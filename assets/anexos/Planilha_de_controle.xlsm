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Gregs\Dropbox\UTILIDADES\Blog\Planilha cp\"/>
    </mc:Choice>
  </mc:AlternateContent>
  <bookViews>
    <workbookView xWindow="0" yWindow="0" windowWidth="19440" windowHeight="13725" tabRatio="746" activeTab="6"/>
  </bookViews>
  <sheets>
    <sheet name="Cadastros" sheetId="8" r:id="rId1"/>
    <sheet name="Passagens" sheetId="2" r:id="rId2"/>
    <sheet name="Frequência CP" sheetId="13" r:id="rId3"/>
    <sheet name="Abordagens" sheetId="14" r:id="rId4"/>
    <sheet name="Consulta Usuário" sheetId="4" r:id="rId5"/>
    <sheet name="Relatório Mensal" sheetId="10" r:id="rId6"/>
    <sheet name="Sobre" sheetId="15" r:id="rId7"/>
  </sheets>
  <definedNames>
    <definedName name="_xlnm._FilterDatabase" localSheetId="4" hidden="1">'Consulta Usuário'!$E$59:$E$59</definedName>
    <definedName name="_xlnm.Extract" localSheetId="4">'Consulta Usuário'!$I$59</definedName>
    <definedName name="_xlnm.Print_Area" localSheetId="4">'Consulta Usuário'!$A$1:$T$56</definedName>
    <definedName name="_xlnm.Print_Area" localSheetId="5">'Relatório Mensal'!$B$2:$L$29</definedName>
  </definedNames>
  <calcPr calcId="162913"/>
  <pivotCaches>
    <pivotCache cacheId="0" r:id="rId8"/>
    <pivotCache cacheId="1" r:id="rId9"/>
    <pivotCache cacheId="2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7" i="13" l="1"/>
  <c r="A108" i="13"/>
  <c r="A109" i="13"/>
  <c r="A110" i="13"/>
  <c r="D107" i="13"/>
  <c r="D108" i="13"/>
  <c r="D109" i="13"/>
  <c r="D110" i="13"/>
  <c r="E107" i="13"/>
  <c r="E108" i="13"/>
  <c r="E109" i="13"/>
  <c r="E110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A162" i="13"/>
  <c r="A163" i="13"/>
  <c r="A164" i="13"/>
  <c r="A165" i="13"/>
  <c r="A166" i="13"/>
  <c r="A167" i="13"/>
  <c r="A168" i="13"/>
  <c r="D162" i="13"/>
  <c r="D163" i="13"/>
  <c r="D164" i="13"/>
  <c r="D165" i="13"/>
  <c r="D166" i="13"/>
  <c r="D167" i="13"/>
  <c r="D168" i="13"/>
  <c r="E162" i="13"/>
  <c r="E163" i="13"/>
  <c r="E164" i="13"/>
  <c r="E165" i="13"/>
  <c r="E166" i="13"/>
  <c r="E167" i="13"/>
  <c r="E168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A85" i="13"/>
  <c r="D85" i="13"/>
  <c r="E85" i="13"/>
  <c r="A71" i="13"/>
  <c r="D71" i="13"/>
  <c r="E71" i="13"/>
  <c r="A72" i="13"/>
  <c r="D72" i="13"/>
  <c r="E72" i="13"/>
  <c r="A73" i="13"/>
  <c r="D73" i="13"/>
  <c r="E73" i="13"/>
  <c r="A74" i="13"/>
  <c r="D74" i="13"/>
  <c r="E74" i="13"/>
  <c r="A75" i="13"/>
  <c r="D75" i="13"/>
  <c r="E75" i="13"/>
  <c r="A76" i="13"/>
  <c r="D76" i="13"/>
  <c r="E76" i="13"/>
  <c r="A77" i="13"/>
  <c r="D77" i="13"/>
  <c r="E77" i="13"/>
  <c r="A78" i="13"/>
  <c r="D78" i="13"/>
  <c r="E78" i="13"/>
  <c r="A79" i="13"/>
  <c r="D79" i="13"/>
  <c r="E79" i="13"/>
  <c r="A80" i="13"/>
  <c r="D80" i="13"/>
  <c r="E80" i="13"/>
  <c r="A81" i="13"/>
  <c r="D81" i="13"/>
  <c r="E81" i="13"/>
  <c r="A82" i="13"/>
  <c r="D82" i="13"/>
  <c r="E82" i="13"/>
  <c r="A83" i="13"/>
  <c r="D83" i="13"/>
  <c r="E83" i="13"/>
  <c r="A84" i="13"/>
  <c r="D84" i="13"/>
  <c r="E84" i="13"/>
  <c r="B32" i="2"/>
  <c r="C3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2" i="2"/>
  <c r="A36" i="8"/>
  <c r="A37" i="8"/>
  <c r="L37" i="8" s="1"/>
  <c r="A38" i="8"/>
  <c r="L38" i="8" s="1"/>
  <c r="A39" i="8"/>
  <c r="A40" i="8"/>
  <c r="A41" i="8"/>
  <c r="L41" i="8" s="1"/>
  <c r="L36" i="8"/>
  <c r="L39" i="8"/>
  <c r="L40" i="8"/>
  <c r="M36" i="8"/>
  <c r="M37" i="8"/>
  <c r="M38" i="8"/>
  <c r="M39" i="8"/>
  <c r="M40" i="8"/>
  <c r="M4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M22" i="8" l="1"/>
  <c r="M23" i="8"/>
  <c r="M24" i="8"/>
  <c r="M25" i="8"/>
  <c r="M26" i="8"/>
  <c r="M27" i="8"/>
  <c r="M28" i="8"/>
  <c r="M30" i="8"/>
  <c r="M31" i="8"/>
  <c r="M32" i="8"/>
  <c r="M34" i="8"/>
  <c r="M35" i="8"/>
  <c r="M33" i="8" l="1"/>
  <c r="M29" i="8"/>
  <c r="F101" i="14" l="1"/>
  <c r="F102" i="14"/>
  <c r="F103" i="14"/>
  <c r="F104" i="14"/>
  <c r="F105" i="14"/>
  <c r="F106" i="14"/>
  <c r="F107" i="14"/>
  <c r="F108" i="14"/>
  <c r="F109" i="14"/>
  <c r="F110" i="14"/>
  <c r="F111" i="14"/>
  <c r="F112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A109" i="14" l="1"/>
  <c r="W31" i="10" l="1"/>
  <c r="U31" i="10"/>
  <c r="A107" i="14" l="1"/>
  <c r="A111" i="14"/>
  <c r="A104" i="14"/>
  <c r="G100" i="14"/>
  <c r="F100" i="14"/>
  <c r="G99" i="14"/>
  <c r="F99" i="14"/>
  <c r="G98" i="14"/>
  <c r="F98" i="14"/>
  <c r="G97" i="14"/>
  <c r="F97" i="14"/>
  <c r="G96" i="14"/>
  <c r="F96" i="14"/>
  <c r="G95" i="14"/>
  <c r="F95" i="14"/>
  <c r="G94" i="14"/>
  <c r="F94" i="14"/>
  <c r="G93" i="14"/>
  <c r="F93" i="14"/>
  <c r="G92" i="14"/>
  <c r="F92" i="14"/>
  <c r="G91" i="14"/>
  <c r="F91" i="14"/>
  <c r="G90" i="14"/>
  <c r="F90" i="14"/>
  <c r="G89" i="14"/>
  <c r="F89" i="14"/>
  <c r="A89" i="14"/>
  <c r="G88" i="14"/>
  <c r="F88" i="14"/>
  <c r="G87" i="14"/>
  <c r="F87" i="14"/>
  <c r="G86" i="14"/>
  <c r="F86" i="14"/>
  <c r="G85" i="14"/>
  <c r="F85" i="14"/>
  <c r="G84" i="14"/>
  <c r="F84" i="14"/>
  <c r="G83" i="14"/>
  <c r="F83" i="14"/>
  <c r="G82" i="14"/>
  <c r="F82" i="14"/>
  <c r="G81" i="14"/>
  <c r="F81" i="14"/>
  <c r="A81" i="14"/>
  <c r="G80" i="14"/>
  <c r="F80" i="14"/>
  <c r="G79" i="14"/>
  <c r="F79" i="14"/>
  <c r="A79" i="14"/>
  <c r="G78" i="14"/>
  <c r="F78" i="14"/>
  <c r="G77" i="14"/>
  <c r="F77" i="14"/>
  <c r="A77" i="14"/>
  <c r="G76" i="14"/>
  <c r="F76" i="14"/>
  <c r="G75" i="14"/>
  <c r="F75" i="14"/>
  <c r="G74" i="14"/>
  <c r="F74" i="14"/>
  <c r="G73" i="14"/>
  <c r="F73" i="14"/>
  <c r="G72" i="14"/>
  <c r="F72" i="14"/>
  <c r="G71" i="14"/>
  <c r="F71" i="14"/>
  <c r="G70" i="14"/>
  <c r="F70" i="14"/>
  <c r="G69" i="14"/>
  <c r="F69" i="14"/>
  <c r="G68" i="14"/>
  <c r="F68" i="14"/>
  <c r="A68" i="14"/>
  <c r="G67" i="14"/>
  <c r="F67" i="14"/>
  <c r="A67" i="14"/>
  <c r="G66" i="14"/>
  <c r="F66" i="14"/>
  <c r="G65" i="14"/>
  <c r="F65" i="14"/>
  <c r="G64" i="14"/>
  <c r="F64" i="14"/>
  <c r="G63" i="14"/>
  <c r="F63" i="14"/>
  <c r="G62" i="14"/>
  <c r="F62" i="14"/>
  <c r="G61" i="14"/>
  <c r="F61" i="14"/>
  <c r="A61" i="14"/>
  <c r="G60" i="14"/>
  <c r="F60" i="14"/>
  <c r="G59" i="14"/>
  <c r="F59" i="14"/>
  <c r="G58" i="14"/>
  <c r="F58" i="14"/>
  <c r="G57" i="14"/>
  <c r="F57" i="14"/>
  <c r="G56" i="14"/>
  <c r="F56" i="14"/>
  <c r="G55" i="14"/>
  <c r="F55" i="14"/>
  <c r="G54" i="14"/>
  <c r="F54" i="14"/>
  <c r="G53" i="14"/>
  <c r="F53" i="14"/>
  <c r="G52" i="14"/>
  <c r="F52" i="14"/>
  <c r="G51" i="14"/>
  <c r="F51" i="14"/>
  <c r="G50" i="14"/>
  <c r="F50" i="14"/>
  <c r="G49" i="14"/>
  <c r="F49" i="14"/>
  <c r="G48" i="14"/>
  <c r="F48" i="14"/>
  <c r="G47" i="14"/>
  <c r="F47" i="14"/>
  <c r="G46" i="14"/>
  <c r="F46" i="14"/>
  <c r="G45" i="14"/>
  <c r="F45" i="14"/>
  <c r="G44" i="14"/>
  <c r="F44" i="14"/>
  <c r="G43" i="14"/>
  <c r="F43" i="14"/>
  <c r="G42" i="14"/>
  <c r="F42" i="14"/>
  <c r="G41" i="14"/>
  <c r="F41" i="14"/>
  <c r="G40" i="14"/>
  <c r="F40" i="14"/>
  <c r="G39" i="14"/>
  <c r="F39" i="14"/>
  <c r="G38" i="14"/>
  <c r="F38" i="14"/>
  <c r="G37" i="14"/>
  <c r="F37" i="14"/>
  <c r="G36" i="14"/>
  <c r="F36" i="14"/>
  <c r="G35" i="14"/>
  <c r="F35" i="14"/>
  <c r="G34" i="14"/>
  <c r="F34" i="14"/>
  <c r="G33" i="14"/>
  <c r="F33" i="14"/>
  <c r="G32" i="14"/>
  <c r="F32" i="14"/>
  <c r="G31" i="14"/>
  <c r="F31" i="14"/>
  <c r="G30" i="14"/>
  <c r="F30" i="14"/>
  <c r="G29" i="14"/>
  <c r="F29" i="14"/>
  <c r="G28" i="14"/>
  <c r="F28" i="14"/>
  <c r="G27" i="14"/>
  <c r="F27" i="14"/>
  <c r="G26" i="14"/>
  <c r="F26" i="14"/>
  <c r="G25" i="14"/>
  <c r="F25" i="14"/>
  <c r="G24" i="14"/>
  <c r="F24" i="14"/>
  <c r="G23" i="14"/>
  <c r="F23" i="14"/>
  <c r="G22" i="14"/>
  <c r="F22" i="14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E871" i="10" l="1"/>
  <c r="E872" i="10"/>
  <c r="K31" i="10" l="1"/>
  <c r="I31" i="10"/>
  <c r="A40" i="13" l="1"/>
  <c r="A41" i="13"/>
  <c r="A45" i="13"/>
  <c r="A60" i="13"/>
  <c r="A68" i="13"/>
  <c r="A69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E2" i="13" l="1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K3" i="10" l="1"/>
  <c r="I3" i="10"/>
  <c r="L2" i="10" l="1"/>
  <c r="C44" i="10" s="1" a="1"/>
  <c r="C44" i="10" s="1"/>
  <c r="C38" i="10" a="1"/>
  <c r="C38" i="10" s="1"/>
  <c r="L9" i="4"/>
  <c r="C42" i="10" l="1" a="1"/>
  <c r="C42" i="10" s="1"/>
  <c r="C33" i="10" a="1"/>
  <c r="C33" i="10" s="1"/>
  <c r="C40" i="10" a="1"/>
  <c r="C40" i="10" s="1"/>
  <c r="C36" i="10" a="1"/>
  <c r="C36" i="10" s="1"/>
  <c r="AA33" i="10" a="1"/>
  <c r="AA33" i="10" s="1"/>
  <c r="AA35" i="10" a="1"/>
  <c r="AA35" i="10" s="1"/>
  <c r="AA37" i="10" a="1"/>
  <c r="AA37" i="10" s="1"/>
  <c r="AB40" i="10" a="1"/>
  <c r="AB40" i="10" s="1"/>
  <c r="AB42" i="10" a="1"/>
  <c r="AB42" i="10" s="1"/>
  <c r="AB44" i="10" a="1"/>
  <c r="AB44" i="10" s="1"/>
  <c r="AB46" i="10" a="1"/>
  <c r="AB46" i="10" s="1"/>
  <c r="AA48" i="10" a="1"/>
  <c r="AA48" i="10" s="1"/>
  <c r="AA50" i="10" a="1"/>
  <c r="AA50" i="10" s="1"/>
  <c r="AA52" i="10" a="1"/>
  <c r="AA52" i="10" s="1"/>
  <c r="AA54" i="10" a="1"/>
  <c r="AA54" i="10" s="1"/>
  <c r="AB55" i="10" a="1"/>
  <c r="AB55" i="10" s="1"/>
  <c r="AB57" i="10" a="1"/>
  <c r="AB57" i="10" s="1"/>
  <c r="AB58" i="10" a="1"/>
  <c r="AB58" i="10" s="1"/>
  <c r="AB59" i="10" a="1"/>
  <c r="AB59" i="10" s="1"/>
  <c r="AB60" i="10" a="1"/>
  <c r="AB60" i="10" s="1"/>
  <c r="AB61" i="10" a="1"/>
  <c r="AB61" i="10" s="1"/>
  <c r="AB62" i="10" a="1"/>
  <c r="AB62" i="10" s="1"/>
  <c r="AA63" i="10" a="1"/>
  <c r="AA63" i="10" s="1"/>
  <c r="AA64" i="10" a="1"/>
  <c r="AA64" i="10" s="1"/>
  <c r="AA65" i="10" a="1"/>
  <c r="AA65" i="10" s="1"/>
  <c r="AA66" i="10" a="1"/>
  <c r="AA66" i="10" s="1"/>
  <c r="AA67" i="10" a="1"/>
  <c r="AA67" i="10" s="1"/>
  <c r="AA68" i="10" a="1"/>
  <c r="AA68" i="10" s="1"/>
  <c r="AA69" i="10" a="1"/>
  <c r="AA69" i="10" s="1"/>
  <c r="AA70" i="10" a="1"/>
  <c r="AA70" i="10" s="1"/>
  <c r="Z71" i="10" a="1"/>
  <c r="Z71" i="10" s="1"/>
  <c r="Z72" i="10" a="1"/>
  <c r="Z72" i="10" s="1"/>
  <c r="Z73" i="10" a="1"/>
  <c r="Z73" i="10" s="1"/>
  <c r="Z74" i="10" a="1"/>
  <c r="Z74" i="10" s="1"/>
  <c r="Z75" i="10" a="1"/>
  <c r="Z75" i="10" s="1"/>
  <c r="Z76" i="10" a="1"/>
  <c r="Z76" i="10" s="1"/>
  <c r="Y77" i="10" a="1"/>
  <c r="Y77" i="10" s="1"/>
  <c r="Y78" i="10" a="1"/>
  <c r="Y78" i="10" s="1"/>
  <c r="Y79" i="10" a="1"/>
  <c r="Y79" i="10" s="1"/>
  <c r="Y80" i="10" a="1"/>
  <c r="Y80" i="10" s="1"/>
  <c r="AB80" i="10" a="1"/>
  <c r="AB80" i="10" s="1"/>
  <c r="AB81" i="10" a="1"/>
  <c r="AB81" i="10" s="1"/>
  <c r="AB82" i="10" a="1"/>
  <c r="AB82" i="10" s="1"/>
  <c r="AB83" i="10" a="1"/>
  <c r="AB83" i="10" s="1"/>
  <c r="AA85" i="10" a="1"/>
  <c r="AA85" i="10" s="1"/>
  <c r="AA86" i="10" a="1"/>
  <c r="AA86" i="10" s="1"/>
  <c r="AA87" i="10" a="1"/>
  <c r="AA87" i="10" s="1"/>
  <c r="AA88" i="10" a="1"/>
  <c r="AA88" i="10" s="1"/>
  <c r="Z89" i="10" a="1"/>
  <c r="Z89" i="10" s="1"/>
  <c r="Z90" i="10" a="1"/>
  <c r="Z90" i="10" s="1"/>
  <c r="Z91" i="10" a="1"/>
  <c r="Z91" i="10" s="1"/>
  <c r="Z92" i="10" a="1"/>
  <c r="Z92" i="10" s="1"/>
  <c r="Y93" i="10" a="1"/>
  <c r="Y93" i="10" s="1"/>
  <c r="Y94" i="10" a="1"/>
  <c r="Y94" i="10" s="1"/>
  <c r="Y95" i="10" a="1"/>
  <c r="Y95" i="10" s="1"/>
  <c r="Y96" i="10" a="1"/>
  <c r="Y96" i="10" s="1"/>
  <c r="AB96" i="10" a="1"/>
  <c r="AB96" i="10" s="1"/>
  <c r="AB97" i="10" a="1"/>
  <c r="AB97" i="10" s="1"/>
  <c r="AB98" i="10" a="1"/>
  <c r="AB98" i="10" s="1"/>
  <c r="AB99" i="10" a="1"/>
  <c r="AB99" i="10" s="1"/>
  <c r="AA101" i="10" a="1"/>
  <c r="AA101" i="10" s="1"/>
  <c r="AA102" i="10" a="1"/>
  <c r="AA102" i="10" s="1"/>
  <c r="AA103" i="10" a="1"/>
  <c r="AA103" i="10" s="1"/>
  <c r="AA104" i="10" a="1"/>
  <c r="AA104" i="10" s="1"/>
  <c r="Z105" i="10" a="1"/>
  <c r="Z105" i="10" s="1"/>
  <c r="Z106" i="10" a="1"/>
  <c r="Z106" i="10" s="1"/>
  <c r="Z107" i="10" a="1"/>
  <c r="Z107" i="10" s="1"/>
  <c r="Z108" i="10" a="1"/>
  <c r="Z108" i="10" s="1"/>
  <c r="Z109" i="10" a="1"/>
  <c r="Z109" i="10" s="1"/>
  <c r="Z110" i="10" a="1"/>
  <c r="Z110" i="10" s="1"/>
  <c r="Z111" i="10" a="1"/>
  <c r="Z111" i="10" s="1"/>
  <c r="Z112" i="10" a="1"/>
  <c r="Z112" i="10" s="1"/>
  <c r="Y113" i="10" a="1"/>
  <c r="Y113" i="10" s="1"/>
  <c r="AB113" i="10" a="1"/>
  <c r="AB113" i="10" s="1"/>
  <c r="AB114" i="10" a="1"/>
  <c r="AB114" i="10" s="1"/>
  <c r="AA116" i="10" a="1"/>
  <c r="AA116" i="10" s="1"/>
  <c r="AA117" i="10" a="1"/>
  <c r="AA117" i="10" s="1"/>
  <c r="Z118" i="10" a="1"/>
  <c r="Z118" i="10" s="1"/>
  <c r="Z119" i="10" a="1"/>
  <c r="Z119" i="10" s="1"/>
  <c r="Y120" i="10" a="1"/>
  <c r="Y120" i="10" s="1"/>
  <c r="Y121" i="10" a="1"/>
  <c r="Y121" i="10" s="1"/>
  <c r="AB121" i="10" a="1"/>
  <c r="AB121" i="10" s="1"/>
  <c r="AB122" i="10" a="1"/>
  <c r="AB122" i="10" s="1"/>
  <c r="AA124" i="10" a="1"/>
  <c r="AA124" i="10" s="1"/>
  <c r="AB33" i="10" a="1"/>
  <c r="AB33" i="10" s="1"/>
  <c r="AB35" i="10" a="1"/>
  <c r="AB35" i="10" s="1"/>
  <c r="AB37" i="10" a="1"/>
  <c r="AB37" i="10" s="1"/>
  <c r="AA39" i="10" a="1"/>
  <c r="AA39" i="10" s="1"/>
  <c r="AA41" i="10" a="1"/>
  <c r="AA41" i="10" s="1"/>
  <c r="AA43" i="10" a="1"/>
  <c r="AA43" i="10" s="1"/>
  <c r="AA45" i="10" a="1"/>
  <c r="AA45" i="10" s="1"/>
  <c r="AB48" i="10" a="1"/>
  <c r="AB48" i="10" s="1"/>
  <c r="AB50" i="10" a="1"/>
  <c r="AB50" i="10" s="1"/>
  <c r="AB52" i="10" a="1"/>
  <c r="AB52" i="10" s="1"/>
  <c r="AB54" i="10" a="1"/>
  <c r="AB54" i="10" s="1"/>
  <c r="AA56" i="10" a="1"/>
  <c r="AA56" i="10" s="1"/>
  <c r="Y58" i="10" a="1"/>
  <c r="Y58" i="10" s="1"/>
  <c r="Y59" i="10" a="1"/>
  <c r="Y59" i="10" s="1"/>
  <c r="Y60" i="10" a="1"/>
  <c r="Y60" i="10" s="1"/>
  <c r="Y61" i="10" a="1"/>
  <c r="Y61" i="10" s="1"/>
  <c r="AB63" i="10" a="1"/>
  <c r="AB63" i="10" s="1"/>
  <c r="AB64" i="10" a="1"/>
  <c r="AB64" i="10" s="1"/>
  <c r="AB65" i="10" a="1"/>
  <c r="AB65" i="10" s="1"/>
  <c r="AB66" i="10" a="1"/>
  <c r="AB66" i="10" s="1"/>
  <c r="AB67" i="10" a="1"/>
  <c r="AB67" i="10" s="1"/>
  <c r="AB68" i="10" a="1"/>
  <c r="AB68" i="10" s="1"/>
  <c r="AB69" i="10" a="1"/>
  <c r="AB69" i="10" s="1"/>
  <c r="AB70" i="10" a="1"/>
  <c r="AB70" i="10" s="1"/>
  <c r="AA71" i="10" a="1"/>
  <c r="AA71" i="10" s="1"/>
  <c r="AA72" i="10" a="1"/>
  <c r="AA72" i="10" s="1"/>
  <c r="AA73" i="10" a="1"/>
  <c r="AA73" i="10" s="1"/>
  <c r="AA74" i="10" a="1"/>
  <c r="AA74" i="10" s="1"/>
  <c r="AA75" i="10" a="1"/>
  <c r="AA75" i="10" s="1"/>
  <c r="AA76" i="10" a="1"/>
  <c r="AA76" i="10" s="1"/>
  <c r="Z77" i="10" a="1"/>
  <c r="Z77" i="10" s="1"/>
  <c r="Z78" i="10" a="1"/>
  <c r="Z78" i="10" s="1"/>
  <c r="Z79" i="10" a="1"/>
  <c r="Z79" i="10" s="1"/>
  <c r="Z80" i="10" a="1"/>
  <c r="Z80" i="10" s="1"/>
  <c r="Y81" i="10" a="1"/>
  <c r="Y81" i="10" s="1"/>
  <c r="Y82" i="10" a="1"/>
  <c r="Y82" i="10" s="1"/>
  <c r="Y83" i="10" a="1"/>
  <c r="Y83" i="10" s="1"/>
  <c r="Y84" i="10" a="1"/>
  <c r="Y84" i="10" s="1"/>
  <c r="AB84" i="10" a="1"/>
  <c r="AB84" i="10" s="1"/>
  <c r="AB85" i="10" a="1"/>
  <c r="AB85" i="10" s="1"/>
  <c r="AB86" i="10" a="1"/>
  <c r="AB86" i="10" s="1"/>
  <c r="AB87" i="10" a="1"/>
  <c r="AB87" i="10" s="1"/>
  <c r="AA89" i="10" a="1"/>
  <c r="AA89" i="10" s="1"/>
  <c r="AA90" i="10" a="1"/>
  <c r="AA90" i="10" s="1"/>
  <c r="AA91" i="10" a="1"/>
  <c r="AA91" i="10" s="1"/>
  <c r="AA92" i="10" a="1"/>
  <c r="AA92" i="10" s="1"/>
  <c r="Z93" i="10" a="1"/>
  <c r="Z93" i="10" s="1"/>
  <c r="Z94" i="10" a="1"/>
  <c r="Z94" i="10" s="1"/>
  <c r="Z95" i="10" a="1"/>
  <c r="Z95" i="10" s="1"/>
  <c r="Z96" i="10" a="1"/>
  <c r="Z96" i="10" s="1"/>
  <c r="Y97" i="10" a="1"/>
  <c r="Y97" i="10" s="1"/>
  <c r="Y98" i="10" a="1"/>
  <c r="Y98" i="10" s="1"/>
  <c r="Y99" i="10" a="1"/>
  <c r="Y99" i="10" s="1"/>
  <c r="Y100" i="10" a="1"/>
  <c r="Y100" i="10" s="1"/>
  <c r="AB100" i="10" a="1"/>
  <c r="AB100" i="10" s="1"/>
  <c r="AB101" i="10" a="1"/>
  <c r="AB101" i="10" s="1"/>
  <c r="AB102" i="10" a="1"/>
  <c r="AB102" i="10" s="1"/>
  <c r="AB103" i="10" a="1"/>
  <c r="AB103" i="10" s="1"/>
  <c r="AA105" i="10" a="1"/>
  <c r="AA105" i="10" s="1"/>
  <c r="AA106" i="10" a="1"/>
  <c r="AA106" i="10" s="1"/>
  <c r="AA107" i="10" a="1"/>
  <c r="AA107" i="10" s="1"/>
  <c r="AA108" i="10" a="1"/>
  <c r="AA108" i="10" s="1"/>
  <c r="AA109" i="10" a="1"/>
  <c r="AA109" i="10" s="1"/>
  <c r="AA110" i="10" a="1"/>
  <c r="AA110" i="10" s="1"/>
  <c r="AA111" i="10" a="1"/>
  <c r="AA111" i="10" s="1"/>
  <c r="AA112" i="10" a="1"/>
  <c r="AA112" i="10" s="1"/>
  <c r="Z113" i="10" a="1"/>
  <c r="Z113" i="10" s="1"/>
  <c r="Y114" i="10" a="1"/>
  <c r="Y114" i="10" s="1"/>
  <c r="Y115" i="10" a="1"/>
  <c r="Y115" i="10" s="1"/>
  <c r="AB115" i="10" a="1"/>
  <c r="AB115" i="10" s="1"/>
  <c r="AB116" i="10" a="1"/>
  <c r="AB116" i="10" s="1"/>
  <c r="AA118" i="10" a="1"/>
  <c r="AA118" i="10" s="1"/>
  <c r="AA119" i="10" a="1"/>
  <c r="AA119" i="10" s="1"/>
  <c r="Z120" i="10" a="1"/>
  <c r="Z120" i="10" s="1"/>
  <c r="Z121" i="10" a="1"/>
  <c r="Z121" i="10" s="1"/>
  <c r="Y122" i="10" a="1"/>
  <c r="Y122" i="10" s="1"/>
  <c r="Y123" i="10" a="1"/>
  <c r="Y123" i="10" s="1"/>
  <c r="AB123" i="10" a="1"/>
  <c r="AB123" i="10" s="1"/>
  <c r="AB124" i="10" a="1"/>
  <c r="AB124" i="10" s="1"/>
  <c r="AA34" i="10" a="1"/>
  <c r="AA34" i="10" s="1"/>
  <c r="AA36" i="10" a="1"/>
  <c r="AA36" i="10" s="1"/>
  <c r="AA38" i="10" a="1"/>
  <c r="AA38" i="10" s="1"/>
  <c r="AB39" i="10" a="1"/>
  <c r="AB39" i="10" s="1"/>
  <c r="AB41" i="10" a="1"/>
  <c r="AB41" i="10" s="1"/>
  <c r="AB43" i="10" a="1"/>
  <c r="AB43" i="10" s="1"/>
  <c r="AB45" i="10" a="1"/>
  <c r="AB45" i="10" s="1"/>
  <c r="AA47" i="10" a="1"/>
  <c r="AA47" i="10" s="1"/>
  <c r="AA49" i="10" a="1"/>
  <c r="AA49" i="10" s="1"/>
  <c r="AA51" i="10" a="1"/>
  <c r="AA51" i="10" s="1"/>
  <c r="AA53" i="10" a="1"/>
  <c r="AA53" i="10" s="1"/>
  <c r="AB56" i="10" a="1"/>
  <c r="AB56" i="10" s="1"/>
  <c r="Z58" i="10" a="1"/>
  <c r="Z58" i="10" s="1"/>
  <c r="Z59" i="10" a="1"/>
  <c r="Z59" i="10" s="1"/>
  <c r="Z60" i="10" a="1"/>
  <c r="Z60" i="10" s="1"/>
  <c r="Z61" i="10" a="1"/>
  <c r="Z61" i="10" s="1"/>
  <c r="Z62" i="10" a="1"/>
  <c r="Z62" i="10" s="1"/>
  <c r="Y63" i="10" a="1"/>
  <c r="Y63" i="10" s="1"/>
  <c r="Y65" i="10" a="1"/>
  <c r="Y65" i="10" s="1"/>
  <c r="Y67" i="10" a="1"/>
  <c r="Y67" i="10" s="1"/>
  <c r="AB71" i="10" a="1"/>
  <c r="AB71" i="10" s="1"/>
  <c r="AB72" i="10" a="1"/>
  <c r="AB72" i="10" s="1"/>
  <c r="AB73" i="10" a="1"/>
  <c r="AB73" i="10" s="1"/>
  <c r="AB74" i="10" a="1"/>
  <c r="AB74" i="10" s="1"/>
  <c r="AB75" i="10" a="1"/>
  <c r="AB75" i="10" s="1"/>
  <c r="AA77" i="10" a="1"/>
  <c r="AA77" i="10" s="1"/>
  <c r="AA78" i="10" a="1"/>
  <c r="AA78" i="10" s="1"/>
  <c r="AA79" i="10" a="1"/>
  <c r="AA79" i="10" s="1"/>
  <c r="AA80" i="10" a="1"/>
  <c r="AA80" i="10" s="1"/>
  <c r="Z81" i="10" a="1"/>
  <c r="Z81" i="10" s="1"/>
  <c r="Z82" i="10" a="1"/>
  <c r="Z82" i="10" s="1"/>
  <c r="Z83" i="10" a="1"/>
  <c r="Z83" i="10" s="1"/>
  <c r="Z84" i="10" a="1"/>
  <c r="Z84" i="10" s="1"/>
  <c r="Y85" i="10" a="1"/>
  <c r="Y85" i="10" s="1"/>
  <c r="Y86" i="10" a="1"/>
  <c r="Y86" i="10" s="1"/>
  <c r="Y87" i="10" a="1"/>
  <c r="Y87" i="10" s="1"/>
  <c r="Y88" i="10" a="1"/>
  <c r="Y88" i="10" s="1"/>
  <c r="AB88" i="10" a="1"/>
  <c r="AB88" i="10" s="1"/>
  <c r="AB89" i="10" a="1"/>
  <c r="AB89" i="10" s="1"/>
  <c r="AB90" i="10" a="1"/>
  <c r="AB90" i="10" s="1"/>
  <c r="AB91" i="10" a="1"/>
  <c r="AB91" i="10" s="1"/>
  <c r="AA93" i="10" a="1"/>
  <c r="AA93" i="10" s="1"/>
  <c r="AA94" i="10" a="1"/>
  <c r="AA94" i="10" s="1"/>
  <c r="AA95" i="10" a="1"/>
  <c r="AA95" i="10" s="1"/>
  <c r="AA96" i="10" a="1"/>
  <c r="AA96" i="10" s="1"/>
  <c r="Z97" i="10" a="1"/>
  <c r="Z97" i="10" s="1"/>
  <c r="Z98" i="10" a="1"/>
  <c r="Z98" i="10" s="1"/>
  <c r="Z99" i="10" a="1"/>
  <c r="Z99" i="10" s="1"/>
  <c r="Z100" i="10" a="1"/>
  <c r="Z100" i="10" s="1"/>
  <c r="Y101" i="10" a="1"/>
  <c r="Y101" i="10" s="1"/>
  <c r="Y102" i="10" a="1"/>
  <c r="Y102" i="10" s="1"/>
  <c r="Y103" i="10" a="1"/>
  <c r="Y103" i="10" s="1"/>
  <c r="Y104" i="10" a="1"/>
  <c r="Y104" i="10" s="1"/>
  <c r="AB104" i="10" a="1"/>
  <c r="AB104" i="10" s="1"/>
  <c r="AB105" i="10" a="1"/>
  <c r="AB105" i="10" s="1"/>
  <c r="AB106" i="10" a="1"/>
  <c r="AB106" i="10" s="1"/>
  <c r="AB107" i="10" a="1"/>
  <c r="AB107" i="10" s="1"/>
  <c r="AB108" i="10" a="1"/>
  <c r="AB108" i="10" s="1"/>
  <c r="AB109" i="10" a="1"/>
  <c r="AB109" i="10" s="1"/>
  <c r="AB110" i="10" a="1"/>
  <c r="AB110" i="10" s="1"/>
  <c r="AB111" i="10" a="1"/>
  <c r="AB111" i="10" s="1"/>
  <c r="AA113" i="10" a="1"/>
  <c r="AA113" i="10" s="1"/>
  <c r="Z114" i="10" a="1"/>
  <c r="Z114" i="10" s="1"/>
  <c r="Z115" i="10" a="1"/>
  <c r="Z115" i="10" s="1"/>
  <c r="Y116" i="10" a="1"/>
  <c r="Y116" i="10" s="1"/>
  <c r="Y117" i="10" a="1"/>
  <c r="Y117" i="10" s="1"/>
  <c r="AB117" i="10" a="1"/>
  <c r="AB117" i="10" s="1"/>
  <c r="AB118" i="10" a="1"/>
  <c r="AB118" i="10" s="1"/>
  <c r="AA120" i="10" a="1"/>
  <c r="AA120" i="10" s="1"/>
  <c r="AA121" i="10" a="1"/>
  <c r="AA121" i="10" s="1"/>
  <c r="Z122" i="10" a="1"/>
  <c r="Z122" i="10" s="1"/>
  <c r="Z123" i="10" a="1"/>
  <c r="Z123" i="10" s="1"/>
  <c r="Y124" i="10" a="1"/>
  <c r="Y124" i="10" s="1"/>
  <c r="Y125" i="10" a="1"/>
  <c r="Y125" i="10" s="1"/>
  <c r="AB34" i="10" a="1"/>
  <c r="AB34" i="10" s="1"/>
  <c r="AA42" i="10" a="1"/>
  <c r="AA42" i="10" s="1"/>
  <c r="AB49" i="10" a="1"/>
  <c r="AB49" i="10" s="1"/>
  <c r="AA57" i="10" a="1"/>
  <c r="AA57" i="10" s="1"/>
  <c r="AA61" i="10" a="1"/>
  <c r="AA61" i="10" s="1"/>
  <c r="Z65" i="10" a="1"/>
  <c r="Z65" i="10" s="1"/>
  <c r="Z69" i="10" a="1"/>
  <c r="Z69" i="10" s="1"/>
  <c r="Y73" i="10" a="1"/>
  <c r="Y73" i="10" s="1"/>
  <c r="AB76" i="10" a="1"/>
  <c r="AB76" i="10" s="1"/>
  <c r="AA84" i="10" a="1"/>
  <c r="AA84" i="10" s="1"/>
  <c r="Z88" i="10" a="1"/>
  <c r="Z88" i="10" s="1"/>
  <c r="Y92" i="10" a="1"/>
  <c r="Y92" i="10" s="1"/>
  <c r="AB95" i="10" a="1"/>
  <c r="AB95" i="10" s="1"/>
  <c r="AA99" i="10" a="1"/>
  <c r="AA99" i="10" s="1"/>
  <c r="Z103" i="10" a="1"/>
  <c r="Z103" i="10" s="1"/>
  <c r="Y107" i="10" a="1"/>
  <c r="Y107" i="10" s="1"/>
  <c r="Y111" i="10" a="1"/>
  <c r="Y111" i="10" s="1"/>
  <c r="AA114" i="10" a="1"/>
  <c r="AA114" i="10" s="1"/>
  <c r="Y118" i="10" a="1"/>
  <c r="Y118" i="10" s="1"/>
  <c r="Z125" i="10" a="1"/>
  <c r="Z125" i="10" s="1"/>
  <c r="Y126" i="10" a="1"/>
  <c r="Y126" i="10" s="1"/>
  <c r="Y127" i="10" a="1"/>
  <c r="Y127" i="10" s="1"/>
  <c r="AB127" i="10" a="1"/>
  <c r="AB127" i="10" s="1"/>
  <c r="AB128" i="10" a="1"/>
  <c r="AB128" i="10" s="1"/>
  <c r="AA130" i="10" a="1"/>
  <c r="AA130" i="10" s="1"/>
  <c r="AA131" i="10" a="1"/>
  <c r="AA131" i="10" s="1"/>
  <c r="Z132" i="10" a="1"/>
  <c r="Z132" i="10" s="1"/>
  <c r="Z133" i="10" a="1"/>
  <c r="Z133" i="10" s="1"/>
  <c r="Y134" i="10" a="1"/>
  <c r="Y134" i="10" s="1"/>
  <c r="Y135" i="10" a="1"/>
  <c r="Y135" i="10" s="1"/>
  <c r="AB135" i="10" a="1"/>
  <c r="AB135" i="10" s="1"/>
  <c r="AB136" i="10" a="1"/>
  <c r="AB136" i="10" s="1"/>
  <c r="AA138" i="10" a="1"/>
  <c r="AA138" i="10" s="1"/>
  <c r="Z139" i="10" a="1"/>
  <c r="Z139" i="10" s="1"/>
  <c r="Z140" i="10" a="1"/>
  <c r="Z140" i="10" s="1"/>
  <c r="Y141" i="10" a="1"/>
  <c r="Y141" i="10" s="1"/>
  <c r="AB141" i="10" a="1"/>
  <c r="AB141" i="10" s="1"/>
  <c r="AB142" i="10" a="1"/>
  <c r="AB142" i="10" s="1"/>
  <c r="AA143" i="10" a="1"/>
  <c r="AA143" i="10" s="1"/>
  <c r="AA144" i="10" a="1"/>
  <c r="AA144" i="10" s="1"/>
  <c r="Z145" i="10" a="1"/>
  <c r="Z145" i="10" s="1"/>
  <c r="Y146" i="10" a="1"/>
  <c r="Y146" i="10" s="1"/>
  <c r="Y147" i="10" a="1"/>
  <c r="Y147" i="10" s="1"/>
  <c r="AB147" i="10" a="1"/>
  <c r="AB147" i="10" s="1"/>
  <c r="AA149" i="10" a="1"/>
  <c r="AA149" i="10" s="1"/>
  <c r="Z150" i="10" a="1"/>
  <c r="Z150" i="10" s="1"/>
  <c r="Y152" i="10" a="1"/>
  <c r="Y152" i="10" s="1"/>
  <c r="AB152" i="10" a="1"/>
  <c r="AB152" i="10" s="1"/>
  <c r="AA154" i="10" a="1"/>
  <c r="AA154" i="10" s="1"/>
  <c r="Z155" i="10" a="1"/>
  <c r="Z155" i="10" s="1"/>
  <c r="Z156" i="10" a="1"/>
  <c r="Z156" i="10" s="1"/>
  <c r="Y157" i="10" a="1"/>
  <c r="Y157" i="10" s="1"/>
  <c r="AB157" i="10" a="1"/>
  <c r="AB157" i="10" s="1"/>
  <c r="AB158" i="10" a="1"/>
  <c r="AB158" i="10" s="1"/>
  <c r="AA159" i="10" a="1"/>
  <c r="AA159" i="10" s="1"/>
  <c r="AA160" i="10" a="1"/>
  <c r="AA160" i="10" s="1"/>
  <c r="Z161" i="10" a="1"/>
  <c r="Z161" i="10" s="1"/>
  <c r="Y162" i="10" a="1"/>
  <c r="Y162" i="10" s="1"/>
  <c r="Y163" i="10" a="1"/>
  <c r="Y163" i="10" s="1"/>
  <c r="AB163" i="10" a="1"/>
  <c r="AB163" i="10" s="1"/>
  <c r="AA165" i="10" a="1"/>
  <c r="AA165" i="10" s="1"/>
  <c r="Z166" i="10" a="1"/>
  <c r="Z166" i="10" s="1"/>
  <c r="Y168" i="10" a="1"/>
  <c r="Y168" i="10" s="1"/>
  <c r="AB168" i="10" a="1"/>
  <c r="AB168" i="10" s="1"/>
  <c r="AA170" i="10" a="1"/>
  <c r="AA170" i="10" s="1"/>
  <c r="Z171" i="10" a="1"/>
  <c r="Z171" i="10" s="1"/>
  <c r="Z172" i="10" a="1"/>
  <c r="Z172" i="10" s="1"/>
  <c r="Y173" i="10" a="1"/>
  <c r="Y173" i="10" s="1"/>
  <c r="AB173" i="10" a="1"/>
  <c r="AB173" i="10" s="1"/>
  <c r="AB174" i="10" a="1"/>
  <c r="AB174" i="10" s="1"/>
  <c r="AA175" i="10" a="1"/>
  <c r="AA175" i="10" s="1"/>
  <c r="AA176" i="10" a="1"/>
  <c r="AA176" i="10" s="1"/>
  <c r="Z177" i="10" a="1"/>
  <c r="Z177" i="10" s="1"/>
  <c r="Y178" i="10" a="1"/>
  <c r="Y178" i="10" s="1"/>
  <c r="Y179" i="10" a="1"/>
  <c r="Y179" i="10" s="1"/>
  <c r="AB36" i="10" a="1"/>
  <c r="AB36" i="10" s="1"/>
  <c r="AA44" i="10" a="1"/>
  <c r="AA44" i="10" s="1"/>
  <c r="AB51" i="10" a="1"/>
  <c r="AB51" i="10" s="1"/>
  <c r="AA58" i="10" a="1"/>
  <c r="AA58" i="10" s="1"/>
  <c r="AA62" i="10" a="1"/>
  <c r="AA62" i="10" s="1"/>
  <c r="Z66" i="10" a="1"/>
  <c r="Z66" i="10" s="1"/>
  <c r="Z70" i="10" a="1"/>
  <c r="Z70" i="10" s="1"/>
  <c r="Y74" i="10" a="1"/>
  <c r="Y74" i="10" s="1"/>
  <c r="AB77" i="10" a="1"/>
  <c r="AB77" i="10" s="1"/>
  <c r="AA81" i="10" a="1"/>
  <c r="AA81" i="10" s="1"/>
  <c r="Z85" i="10" a="1"/>
  <c r="Z85" i="10" s="1"/>
  <c r="Y89" i="10" a="1"/>
  <c r="Y89" i="10" s="1"/>
  <c r="AB92" i="10" a="1"/>
  <c r="AB92" i="10" s="1"/>
  <c r="AA100" i="10" a="1"/>
  <c r="AA100" i="10" s="1"/>
  <c r="Z104" i="10" a="1"/>
  <c r="Z104" i="10" s="1"/>
  <c r="Y108" i="10" a="1"/>
  <c r="Y108" i="10" s="1"/>
  <c r="Y112" i="10" a="1"/>
  <c r="Y112" i="10" s="1"/>
  <c r="AA115" i="10" a="1"/>
  <c r="AA115" i="10" s="1"/>
  <c r="Y119" i="10" a="1"/>
  <c r="Y119" i="10" s="1"/>
  <c r="AA122" i="10" a="1"/>
  <c r="AA122" i="10" s="1"/>
  <c r="AA125" i="10" a="1"/>
  <c r="AA125" i="10" s="1"/>
  <c r="Z126" i="10" a="1"/>
  <c r="Z126" i="10" s="1"/>
  <c r="Z127" i="10" a="1"/>
  <c r="Z127" i="10" s="1"/>
  <c r="Y128" i="10" a="1"/>
  <c r="Y128" i="10" s="1"/>
  <c r="Y129" i="10" a="1"/>
  <c r="Y129" i="10" s="1"/>
  <c r="AB129" i="10" a="1"/>
  <c r="AB129" i="10" s="1"/>
  <c r="AB130" i="10" a="1"/>
  <c r="AB130" i="10" s="1"/>
  <c r="AA132" i="10" a="1"/>
  <c r="AA132" i="10" s="1"/>
  <c r="AA133" i="10" a="1"/>
  <c r="AA133" i="10" s="1"/>
  <c r="Z134" i="10" a="1"/>
  <c r="Z134" i="10" s="1"/>
  <c r="Z135" i="10" a="1"/>
  <c r="Z135" i="10" s="1"/>
  <c r="Y136" i="10" a="1"/>
  <c r="Y136" i="10" s="1"/>
  <c r="Y137" i="10" a="1"/>
  <c r="Y137" i="10" s="1"/>
  <c r="AB137" i="10" a="1"/>
  <c r="AB137" i="10" s="1"/>
  <c r="AB138" i="10" a="1"/>
  <c r="AB138" i="10" s="1"/>
  <c r="AA139" i="10" a="1"/>
  <c r="AA139" i="10" s="1"/>
  <c r="AA140" i="10" a="1"/>
  <c r="AA140" i="10" s="1"/>
  <c r="Z141" i="10" a="1"/>
  <c r="Z141" i="10" s="1"/>
  <c r="Y142" i="10" a="1"/>
  <c r="Y142" i="10" s="1"/>
  <c r="Y143" i="10" a="1"/>
  <c r="Y143" i="10" s="1"/>
  <c r="AB143" i="10" a="1"/>
  <c r="AB143" i="10" s="1"/>
  <c r="AA145" i="10" a="1"/>
  <c r="AA145" i="10" s="1"/>
  <c r="Z146" i="10" a="1"/>
  <c r="Z146" i="10" s="1"/>
  <c r="Y148" i="10" a="1"/>
  <c r="Y148" i="10" s="1"/>
  <c r="AB148" i="10" a="1"/>
  <c r="AB148" i="10" s="1"/>
  <c r="AA150" i="10" a="1"/>
  <c r="AA150" i="10" s="1"/>
  <c r="Z151" i="10" a="1"/>
  <c r="Z151" i="10" s="1"/>
  <c r="Z152" i="10" a="1"/>
  <c r="Z152" i="10" s="1"/>
  <c r="Y153" i="10" a="1"/>
  <c r="Y153" i="10" s="1"/>
  <c r="AB153" i="10" a="1"/>
  <c r="AB153" i="10" s="1"/>
  <c r="AB154" i="10" a="1"/>
  <c r="AB154" i="10" s="1"/>
  <c r="AA155" i="10" a="1"/>
  <c r="AA155" i="10" s="1"/>
  <c r="AA156" i="10" a="1"/>
  <c r="AA156" i="10" s="1"/>
  <c r="Z157" i="10" a="1"/>
  <c r="Z157" i="10" s="1"/>
  <c r="Y158" i="10" a="1"/>
  <c r="Y158" i="10" s="1"/>
  <c r="Y159" i="10" a="1"/>
  <c r="Y159" i="10" s="1"/>
  <c r="AB159" i="10" a="1"/>
  <c r="AB159" i="10" s="1"/>
  <c r="AA161" i="10" a="1"/>
  <c r="AA161" i="10" s="1"/>
  <c r="Z162" i="10" a="1"/>
  <c r="Z162" i="10" s="1"/>
  <c r="Y164" i="10" a="1"/>
  <c r="Y164" i="10" s="1"/>
  <c r="AB164" i="10" a="1"/>
  <c r="AB164" i="10" s="1"/>
  <c r="AA166" i="10" a="1"/>
  <c r="AA166" i="10" s="1"/>
  <c r="Z167" i="10" a="1"/>
  <c r="Z167" i="10" s="1"/>
  <c r="Z168" i="10" a="1"/>
  <c r="Z168" i="10" s="1"/>
  <c r="Y169" i="10" a="1"/>
  <c r="Y169" i="10" s="1"/>
  <c r="AB169" i="10" a="1"/>
  <c r="AB169" i="10" s="1"/>
  <c r="AB170" i="10" a="1"/>
  <c r="AB170" i="10" s="1"/>
  <c r="AA171" i="10" a="1"/>
  <c r="AA171" i="10" s="1"/>
  <c r="AA172" i="10" a="1"/>
  <c r="AA172" i="10" s="1"/>
  <c r="Z173" i="10" a="1"/>
  <c r="Z173" i="10" s="1"/>
  <c r="Y174" i="10" a="1"/>
  <c r="Y174" i="10" s="1"/>
  <c r="Y175" i="10" a="1"/>
  <c r="Y175" i="10" s="1"/>
  <c r="AB175" i="10" a="1"/>
  <c r="AB175" i="10" s="1"/>
  <c r="AA177" i="10" a="1"/>
  <c r="AA177" i="10" s="1"/>
  <c r="Z178" i="10" a="1"/>
  <c r="Z178" i="10" s="1"/>
  <c r="AB38" i="10" a="1"/>
  <c r="AB38" i="10" s="1"/>
  <c r="AA46" i="10" a="1"/>
  <c r="AA46" i="10" s="1"/>
  <c r="AB53" i="10" a="1"/>
  <c r="AB53" i="10" s="1"/>
  <c r="AA59" i="10" a="1"/>
  <c r="AA59" i="10" s="1"/>
  <c r="Z63" i="10" a="1"/>
  <c r="Z63" i="10" s="1"/>
  <c r="Z67" i="10" a="1"/>
  <c r="Z67" i="10" s="1"/>
  <c r="Y75" i="10" a="1"/>
  <c r="Y75" i="10" s="1"/>
  <c r="AB78" i="10" a="1"/>
  <c r="AB78" i="10" s="1"/>
  <c r="AA82" i="10" a="1"/>
  <c r="AA82" i="10" s="1"/>
  <c r="Z86" i="10" a="1"/>
  <c r="Z86" i="10" s="1"/>
  <c r="Y90" i="10" a="1"/>
  <c r="Y90" i="10" s="1"/>
  <c r="AB93" i="10" a="1"/>
  <c r="AB93" i="10" s="1"/>
  <c r="AA97" i="10" a="1"/>
  <c r="AA97" i="10" s="1"/>
  <c r="Z101" i="10" a="1"/>
  <c r="Z101" i="10" s="1"/>
  <c r="Y105" i="10" a="1"/>
  <c r="Y105" i="10" s="1"/>
  <c r="Y109" i="10" a="1"/>
  <c r="Y109" i="10" s="1"/>
  <c r="AB112" i="10" a="1"/>
  <c r="AB112" i="10" s="1"/>
  <c r="Z116" i="10" a="1"/>
  <c r="Z116" i="10" s="1"/>
  <c r="AB119" i="10" a="1"/>
  <c r="AB119" i="10" s="1"/>
  <c r="AA123" i="10" a="1"/>
  <c r="AA123" i="10" s="1"/>
  <c r="AA126" i="10" a="1"/>
  <c r="AA126" i="10" s="1"/>
  <c r="AA127" i="10" a="1"/>
  <c r="AA127" i="10" s="1"/>
  <c r="Z128" i="10" a="1"/>
  <c r="Z128" i="10" s="1"/>
  <c r="Z129" i="10" a="1"/>
  <c r="Z129" i="10" s="1"/>
  <c r="Y130" i="10" a="1"/>
  <c r="Y130" i="10" s="1"/>
  <c r="Y131" i="10" a="1"/>
  <c r="Y131" i="10" s="1"/>
  <c r="AB131" i="10" a="1"/>
  <c r="AB131" i="10" s="1"/>
  <c r="AB132" i="10" a="1"/>
  <c r="AB132" i="10" s="1"/>
  <c r="AA134" i="10" a="1"/>
  <c r="AA134" i="10" s="1"/>
  <c r="AA135" i="10" a="1"/>
  <c r="AA135" i="10" s="1"/>
  <c r="Z136" i="10" a="1"/>
  <c r="Z136" i="10" s="1"/>
  <c r="Z137" i="10" a="1"/>
  <c r="Z137" i="10" s="1"/>
  <c r="Y138" i="10" a="1"/>
  <c r="Y138" i="10" s="1"/>
  <c r="Y139" i="10" a="1"/>
  <c r="Y139" i="10" s="1"/>
  <c r="AB139" i="10" a="1"/>
  <c r="AB139" i="10" s="1"/>
  <c r="AA141" i="10" a="1"/>
  <c r="AA141" i="10" s="1"/>
  <c r="Z142" i="10" a="1"/>
  <c r="Z142" i="10" s="1"/>
  <c r="Y144" i="10" a="1"/>
  <c r="Y144" i="10" s="1"/>
  <c r="AB144" i="10" a="1"/>
  <c r="AB144" i="10" s="1"/>
  <c r="AA146" i="10" a="1"/>
  <c r="AA146" i="10" s="1"/>
  <c r="Z147" i="10" a="1"/>
  <c r="Z147" i="10" s="1"/>
  <c r="Z148" i="10" a="1"/>
  <c r="Z148" i="10" s="1"/>
  <c r="Y149" i="10" a="1"/>
  <c r="Y149" i="10" s="1"/>
  <c r="AB149" i="10" a="1"/>
  <c r="AB149" i="10" s="1"/>
  <c r="AB150" i="10" a="1"/>
  <c r="AB150" i="10" s="1"/>
  <c r="AA151" i="10" a="1"/>
  <c r="AA151" i="10" s="1"/>
  <c r="AA152" i="10" a="1"/>
  <c r="AA152" i="10" s="1"/>
  <c r="Z153" i="10" a="1"/>
  <c r="Z153" i="10" s="1"/>
  <c r="Y154" i="10" a="1"/>
  <c r="Y154" i="10" s="1"/>
  <c r="Y155" i="10" a="1"/>
  <c r="Y155" i="10" s="1"/>
  <c r="AB155" i="10" a="1"/>
  <c r="AB155" i="10" s="1"/>
  <c r="AA157" i="10" a="1"/>
  <c r="AA157" i="10" s="1"/>
  <c r="Z158" i="10" a="1"/>
  <c r="Z158" i="10" s="1"/>
  <c r="Y160" i="10" a="1"/>
  <c r="Y160" i="10" s="1"/>
  <c r="AB160" i="10" a="1"/>
  <c r="AB160" i="10" s="1"/>
  <c r="AA162" i="10" a="1"/>
  <c r="AA162" i="10" s="1"/>
  <c r="Z163" i="10" a="1"/>
  <c r="Z163" i="10" s="1"/>
  <c r="Z164" i="10" a="1"/>
  <c r="Z164" i="10" s="1"/>
  <c r="Y165" i="10" a="1"/>
  <c r="Y165" i="10" s="1"/>
  <c r="AB165" i="10" a="1"/>
  <c r="AB165" i="10" s="1"/>
  <c r="AB166" i="10" a="1"/>
  <c r="AB166" i="10" s="1"/>
  <c r="AA167" i="10" a="1"/>
  <c r="AA167" i="10" s="1"/>
  <c r="AA168" i="10" a="1"/>
  <c r="AA168" i="10" s="1"/>
  <c r="Z169" i="10" a="1"/>
  <c r="Z169" i="10" s="1"/>
  <c r="Y170" i="10" a="1"/>
  <c r="Y170" i="10" s="1"/>
  <c r="Y171" i="10" a="1"/>
  <c r="Y171" i="10" s="1"/>
  <c r="AB171" i="10" a="1"/>
  <c r="AB171" i="10" s="1"/>
  <c r="AA173" i="10" a="1"/>
  <c r="AA173" i="10" s="1"/>
  <c r="Z174" i="10" a="1"/>
  <c r="Z174" i="10" s="1"/>
  <c r="Y176" i="10" a="1"/>
  <c r="Y176" i="10" s="1"/>
  <c r="AB176" i="10" a="1"/>
  <c r="AB176" i="10" s="1"/>
  <c r="AA178" i="10" a="1"/>
  <c r="AA178" i="10" s="1"/>
  <c r="Z179" i="10" a="1"/>
  <c r="Z179" i="10" s="1"/>
  <c r="Z180" i="10" a="1"/>
  <c r="Z180" i="10" s="1"/>
  <c r="Y181" i="10" a="1"/>
  <c r="Y181" i="10" s="1"/>
  <c r="AA40" i="10" a="1"/>
  <c r="AA40" i="10" s="1"/>
  <c r="AB47" i="10" a="1"/>
  <c r="AB47" i="10" s="1"/>
  <c r="AA55" i="10" a="1"/>
  <c r="AA55" i="10" s="1"/>
  <c r="AA60" i="10" a="1"/>
  <c r="AA60" i="10" s="1"/>
  <c r="Z64" i="10" a="1"/>
  <c r="Z64" i="10" s="1"/>
  <c r="Z68" i="10" a="1"/>
  <c r="Z68" i="10" s="1"/>
  <c r="Y76" i="10" a="1"/>
  <c r="Y76" i="10" s="1"/>
  <c r="AB79" i="10" a="1"/>
  <c r="AB79" i="10" s="1"/>
  <c r="AA83" i="10" a="1"/>
  <c r="AA83" i="10" s="1"/>
  <c r="Z87" i="10" a="1"/>
  <c r="Z87" i="10" s="1"/>
  <c r="Y91" i="10" a="1"/>
  <c r="Y91" i="10" s="1"/>
  <c r="AB94" i="10" a="1"/>
  <c r="AB94" i="10" s="1"/>
  <c r="AA98" i="10" a="1"/>
  <c r="AA98" i="10" s="1"/>
  <c r="Z102" i="10" a="1"/>
  <c r="Z102" i="10" s="1"/>
  <c r="Y106" i="10" a="1"/>
  <c r="Y106" i="10" s="1"/>
  <c r="Y110" i="10" a="1"/>
  <c r="Y110" i="10" s="1"/>
  <c r="Z117" i="10" a="1"/>
  <c r="Z117" i="10" s="1"/>
  <c r="AB120" i="10" a="1"/>
  <c r="AB120" i="10" s="1"/>
  <c r="Z124" i="10" a="1"/>
  <c r="Z124" i="10" s="1"/>
  <c r="AB125" i="10" a="1"/>
  <c r="AB125" i="10" s="1"/>
  <c r="AB126" i="10" a="1"/>
  <c r="AB126" i="10" s="1"/>
  <c r="AA128" i="10" a="1"/>
  <c r="AA128" i="10" s="1"/>
  <c r="AA129" i="10" a="1"/>
  <c r="AA129" i="10" s="1"/>
  <c r="Z130" i="10" a="1"/>
  <c r="Z130" i="10" s="1"/>
  <c r="Z131" i="10" a="1"/>
  <c r="Z131" i="10" s="1"/>
  <c r="Y132" i="10" a="1"/>
  <c r="Y132" i="10" s="1"/>
  <c r="Y133" i="10" a="1"/>
  <c r="Y133" i="10" s="1"/>
  <c r="AB133" i="10" a="1"/>
  <c r="AB133" i="10" s="1"/>
  <c r="AB134" i="10" a="1"/>
  <c r="AB134" i="10" s="1"/>
  <c r="AA136" i="10" a="1"/>
  <c r="AA136" i="10" s="1"/>
  <c r="AA137" i="10" a="1"/>
  <c r="AA137" i="10" s="1"/>
  <c r="Z138" i="10" a="1"/>
  <c r="Z138" i="10" s="1"/>
  <c r="Y140" i="10" a="1"/>
  <c r="Y140" i="10" s="1"/>
  <c r="AB140" i="10" a="1"/>
  <c r="AB140" i="10" s="1"/>
  <c r="AA142" i="10" a="1"/>
  <c r="AA142" i="10" s="1"/>
  <c r="Z143" i="10" a="1"/>
  <c r="Z143" i="10" s="1"/>
  <c r="Z144" i="10" a="1"/>
  <c r="Z144" i="10" s="1"/>
  <c r="Y145" i="10" a="1"/>
  <c r="Y145" i="10" s="1"/>
  <c r="AB145" i="10" a="1"/>
  <c r="AB145" i="10" s="1"/>
  <c r="AB146" i="10" a="1"/>
  <c r="AB146" i="10" s="1"/>
  <c r="AA147" i="10" a="1"/>
  <c r="AA147" i="10" s="1"/>
  <c r="AA148" i="10" a="1"/>
  <c r="AA148" i="10" s="1"/>
  <c r="Z149" i="10" a="1"/>
  <c r="Z149" i="10" s="1"/>
  <c r="Y150" i="10" a="1"/>
  <c r="Y150" i="10" s="1"/>
  <c r="Y151" i="10" a="1"/>
  <c r="Y151" i="10" s="1"/>
  <c r="AB151" i="10" a="1"/>
  <c r="AB151" i="10" s="1"/>
  <c r="AA153" i="10" a="1"/>
  <c r="AA153" i="10" s="1"/>
  <c r="Z154" i="10" a="1"/>
  <c r="Z154" i="10" s="1"/>
  <c r="Y156" i="10" a="1"/>
  <c r="Y156" i="10" s="1"/>
  <c r="AB156" i="10" a="1"/>
  <c r="AB156" i="10" s="1"/>
  <c r="AA158" i="10" a="1"/>
  <c r="AA158" i="10" s="1"/>
  <c r="Z159" i="10" a="1"/>
  <c r="Z159" i="10" s="1"/>
  <c r="Z160" i="10" a="1"/>
  <c r="Z160" i="10" s="1"/>
  <c r="Y161" i="10" a="1"/>
  <c r="Y161" i="10" s="1"/>
  <c r="AB161" i="10" a="1"/>
  <c r="AB161" i="10" s="1"/>
  <c r="AB162" i="10" a="1"/>
  <c r="AB162" i="10" s="1"/>
  <c r="AA163" i="10" a="1"/>
  <c r="AA163" i="10" s="1"/>
  <c r="AA164" i="10" a="1"/>
  <c r="AA164" i="10" s="1"/>
  <c r="Z165" i="10" a="1"/>
  <c r="Z165" i="10" s="1"/>
  <c r="Y166" i="10" a="1"/>
  <c r="Y166" i="10" s="1"/>
  <c r="Y167" i="10" a="1"/>
  <c r="Y167" i="10" s="1"/>
  <c r="AB167" i="10" a="1"/>
  <c r="AB167" i="10" s="1"/>
  <c r="AA169" i="10" a="1"/>
  <c r="AA169" i="10" s="1"/>
  <c r="Z170" i="10" a="1"/>
  <c r="Z170" i="10" s="1"/>
  <c r="Y172" i="10" a="1"/>
  <c r="Y172" i="10" s="1"/>
  <c r="AB172" i="10" a="1"/>
  <c r="AB172" i="10" s="1"/>
  <c r="AA174" i="10" a="1"/>
  <c r="AA174" i="10" s="1"/>
  <c r="Z175" i="10" a="1"/>
  <c r="Z175" i="10" s="1"/>
  <c r="Z176" i="10" a="1"/>
  <c r="Z176" i="10" s="1"/>
  <c r="Y177" i="10" a="1"/>
  <c r="Y177" i="10" s="1"/>
  <c r="AB177" i="10" a="1"/>
  <c r="AB177" i="10" s="1"/>
  <c r="AB178" i="10" a="1"/>
  <c r="AB178" i="10" s="1"/>
  <c r="AA179" i="10" a="1"/>
  <c r="AA179" i="10" s="1"/>
  <c r="AB179" i="10" a="1"/>
  <c r="AB179" i="10" s="1"/>
  <c r="AB180" i="10" a="1"/>
  <c r="AB180" i="10" s="1"/>
  <c r="AB181" i="10" a="1"/>
  <c r="AB181" i="10" s="1"/>
  <c r="AB182" i="10" a="1"/>
  <c r="AB182" i="10" s="1"/>
  <c r="AA183" i="10" a="1"/>
  <c r="AA183" i="10" s="1"/>
  <c r="AA184" i="10" a="1"/>
  <c r="AA184" i="10" s="1"/>
  <c r="Z185" i="10" a="1"/>
  <c r="Z185" i="10" s="1"/>
  <c r="Y186" i="10" a="1"/>
  <c r="Y186" i="10" s="1"/>
  <c r="Y187" i="10" a="1"/>
  <c r="Y187" i="10" s="1"/>
  <c r="AB187" i="10" a="1"/>
  <c r="AB187" i="10" s="1"/>
  <c r="AA189" i="10" a="1"/>
  <c r="AA189" i="10" s="1"/>
  <c r="Z190" i="10" a="1"/>
  <c r="Z190" i="10" s="1"/>
  <c r="Y192" i="10" a="1"/>
  <c r="Y192" i="10" s="1"/>
  <c r="AB192" i="10" a="1"/>
  <c r="AB192" i="10" s="1"/>
  <c r="AA194" i="10" a="1"/>
  <c r="AA194" i="10" s="1"/>
  <c r="Z195" i="10" a="1"/>
  <c r="Z195" i="10" s="1"/>
  <c r="Z196" i="10" a="1"/>
  <c r="Z196" i="10" s="1"/>
  <c r="Z197" i="10" a="1"/>
  <c r="Z197" i="10" s="1"/>
  <c r="Y199" i="10" a="1"/>
  <c r="Y199" i="10" s="1"/>
  <c r="Y200" i="10" a="1"/>
  <c r="Y200" i="10" s="1"/>
  <c r="Y201" i="10" a="1"/>
  <c r="Y201" i="10" s="1"/>
  <c r="Y202" i="10" a="1"/>
  <c r="Y202" i="10" s="1"/>
  <c r="AB202" i="10" a="1"/>
  <c r="AB202" i="10" s="1"/>
  <c r="AB203" i="10" a="1"/>
  <c r="AB203" i="10" s="1"/>
  <c r="AB204" i="10" a="1"/>
  <c r="AB204" i="10" s="1"/>
  <c r="AB205" i="10" a="1"/>
  <c r="AB205" i="10" s="1"/>
  <c r="AA206" i="10" a="1"/>
  <c r="AA206" i="10" s="1"/>
  <c r="AA207" i="10" a="1"/>
  <c r="AA207" i="10" s="1"/>
  <c r="AA208" i="10" a="1"/>
  <c r="AA208" i="10" s="1"/>
  <c r="AA209" i="10" a="1"/>
  <c r="AA209" i="10" s="1"/>
  <c r="Z210" i="10" a="1"/>
  <c r="Z210" i="10" s="1"/>
  <c r="Z211" i="10" a="1"/>
  <c r="Z211" i="10" s="1"/>
  <c r="Z212" i="10" a="1"/>
  <c r="Z212" i="10" s="1"/>
  <c r="Z213" i="10" a="1"/>
  <c r="Z213" i="10" s="1"/>
  <c r="Y215" i="10" a="1"/>
  <c r="Y215" i="10" s="1"/>
  <c r="Y216" i="10" a="1"/>
  <c r="Y216" i="10" s="1"/>
  <c r="Y217" i="10" a="1"/>
  <c r="Y217" i="10" s="1"/>
  <c r="Y218" i="10" a="1"/>
  <c r="Y218" i="10" s="1"/>
  <c r="AB218" i="10" a="1"/>
  <c r="AB218" i="10" s="1"/>
  <c r="AB219" i="10" a="1"/>
  <c r="AB219" i="10" s="1"/>
  <c r="AB220" i="10" a="1"/>
  <c r="AB220" i="10" s="1"/>
  <c r="AB221" i="10" a="1"/>
  <c r="AB221" i="10" s="1"/>
  <c r="AA222" i="10" a="1"/>
  <c r="AA222" i="10" s="1"/>
  <c r="AA223" i="10" a="1"/>
  <c r="AA223" i="10" s="1"/>
  <c r="AA224" i="10" a="1"/>
  <c r="AA224" i="10" s="1"/>
  <c r="AA225" i="10" a="1"/>
  <c r="AA225" i="10" s="1"/>
  <c r="Z226" i="10" a="1"/>
  <c r="Z226" i="10" s="1"/>
  <c r="Z227" i="10" a="1"/>
  <c r="Z227" i="10" s="1"/>
  <c r="Z228" i="10" a="1"/>
  <c r="Z228" i="10" s="1"/>
  <c r="Z229" i="10" a="1"/>
  <c r="Z229" i="10" s="1"/>
  <c r="Y231" i="10" a="1"/>
  <c r="Y231" i="10" s="1"/>
  <c r="Y232" i="10" a="1"/>
  <c r="Y232" i="10" s="1"/>
  <c r="Y233" i="10" a="1"/>
  <c r="Y233" i="10" s="1"/>
  <c r="Y234" i="10" a="1"/>
  <c r="Y234" i="10" s="1"/>
  <c r="AB234" i="10" a="1"/>
  <c r="AB234" i="10" s="1"/>
  <c r="AB235" i="10" a="1"/>
  <c r="AB235" i="10" s="1"/>
  <c r="AB236" i="10" a="1"/>
  <c r="AB236" i="10" s="1"/>
  <c r="AB237" i="10" a="1"/>
  <c r="AB237" i="10" s="1"/>
  <c r="AA238" i="10" a="1"/>
  <c r="AA238" i="10" s="1"/>
  <c r="AA239" i="10" a="1"/>
  <c r="AA239" i="10" s="1"/>
  <c r="AA240" i="10" a="1"/>
  <c r="AA240" i="10" s="1"/>
  <c r="AA241" i="10" a="1"/>
  <c r="AA241" i="10" s="1"/>
  <c r="Z242" i="10" a="1"/>
  <c r="Z242" i="10" s="1"/>
  <c r="Z243" i="10" a="1"/>
  <c r="Z243" i="10" s="1"/>
  <c r="Z244" i="10" a="1"/>
  <c r="Z244" i="10" s="1"/>
  <c r="Z245" i="10" a="1"/>
  <c r="Z245" i="10" s="1"/>
  <c r="Y247" i="10" a="1"/>
  <c r="Y247" i="10" s="1"/>
  <c r="Y248" i="10" a="1"/>
  <c r="Y248" i="10" s="1"/>
  <c r="Y249" i="10" a="1"/>
  <c r="Y249" i="10" s="1"/>
  <c r="Y250" i="10" a="1"/>
  <c r="Y250" i="10" s="1"/>
  <c r="AB250" i="10" a="1"/>
  <c r="AB250" i="10" s="1"/>
  <c r="AB251" i="10" a="1"/>
  <c r="AB251" i="10" s="1"/>
  <c r="AB252" i="10" a="1"/>
  <c r="AB252" i="10" s="1"/>
  <c r="AB253" i="10" a="1"/>
  <c r="AB253" i="10" s="1"/>
  <c r="AA254" i="10" a="1"/>
  <c r="AA254" i="10" s="1"/>
  <c r="AA255" i="10" a="1"/>
  <c r="AA255" i="10" s="1"/>
  <c r="AA256" i="10" a="1"/>
  <c r="AA256" i="10" s="1"/>
  <c r="AA257" i="10" a="1"/>
  <c r="AA257" i="10" s="1"/>
  <c r="Y180" i="10" a="1"/>
  <c r="Y180" i="10" s="1"/>
  <c r="Z181" i="10" a="1"/>
  <c r="Z181" i="10" s="1"/>
  <c r="Y182" i="10" a="1"/>
  <c r="Y182" i="10" s="1"/>
  <c r="Y183" i="10" a="1"/>
  <c r="Y183" i="10" s="1"/>
  <c r="AB183" i="10" a="1"/>
  <c r="AB183" i="10" s="1"/>
  <c r="AA185" i="10" a="1"/>
  <c r="AA185" i="10" s="1"/>
  <c r="Z186" i="10" a="1"/>
  <c r="Z186" i="10" s="1"/>
  <c r="Y188" i="10" a="1"/>
  <c r="Y188" i="10" s="1"/>
  <c r="AB188" i="10" a="1"/>
  <c r="AB188" i="10" s="1"/>
  <c r="AA190" i="10" a="1"/>
  <c r="AA190" i="10" s="1"/>
  <c r="Z191" i="10" a="1"/>
  <c r="Z191" i="10" s="1"/>
  <c r="Z192" i="10" a="1"/>
  <c r="Z192" i="10" s="1"/>
  <c r="Y193" i="10" a="1"/>
  <c r="Y193" i="10" s="1"/>
  <c r="AB193" i="10" a="1"/>
  <c r="AB193" i="10" s="1"/>
  <c r="AB194" i="10" a="1"/>
  <c r="AB194" i="10" s="1"/>
  <c r="AA195" i="10" a="1"/>
  <c r="AA195" i="10" s="1"/>
  <c r="AA196" i="10" a="1"/>
  <c r="AA196" i="10" s="1"/>
  <c r="AA197" i="10" a="1"/>
  <c r="AA197" i="10" s="1"/>
  <c r="Z198" i="10" a="1"/>
  <c r="Z198" i="10" s="1"/>
  <c r="Z199" i="10" a="1"/>
  <c r="Z199" i="10" s="1"/>
  <c r="Z200" i="10" a="1"/>
  <c r="Z200" i="10" s="1"/>
  <c r="Z201" i="10" a="1"/>
  <c r="Z201" i="10" s="1"/>
  <c r="Y203" i="10" a="1"/>
  <c r="Y203" i="10" s="1"/>
  <c r="Y204" i="10" a="1"/>
  <c r="Y204" i="10" s="1"/>
  <c r="Y205" i="10" a="1"/>
  <c r="Y205" i="10" s="1"/>
  <c r="Y206" i="10" a="1"/>
  <c r="Y206" i="10" s="1"/>
  <c r="AB206" i="10" a="1"/>
  <c r="AB206" i="10" s="1"/>
  <c r="AB207" i="10" a="1"/>
  <c r="AB207" i="10" s="1"/>
  <c r="AB208" i="10" a="1"/>
  <c r="AB208" i="10" s="1"/>
  <c r="AB209" i="10" a="1"/>
  <c r="AB209" i="10" s="1"/>
  <c r="AA210" i="10" a="1"/>
  <c r="AA210" i="10" s="1"/>
  <c r="AA211" i="10" a="1"/>
  <c r="AA211" i="10" s="1"/>
  <c r="AA212" i="10" a="1"/>
  <c r="AA212" i="10" s="1"/>
  <c r="AA213" i="10" a="1"/>
  <c r="AA213" i="10" s="1"/>
  <c r="Z214" i="10" a="1"/>
  <c r="Z214" i="10" s="1"/>
  <c r="Z215" i="10" a="1"/>
  <c r="Z215" i="10" s="1"/>
  <c r="Z216" i="10" a="1"/>
  <c r="Z216" i="10" s="1"/>
  <c r="Z217" i="10" a="1"/>
  <c r="Z217" i="10" s="1"/>
  <c r="Y219" i="10" a="1"/>
  <c r="Y219" i="10" s="1"/>
  <c r="Y220" i="10" a="1"/>
  <c r="Y220" i="10" s="1"/>
  <c r="Y221" i="10" a="1"/>
  <c r="Y221" i="10" s="1"/>
  <c r="Y222" i="10" a="1"/>
  <c r="Y222" i="10" s="1"/>
  <c r="AB222" i="10" a="1"/>
  <c r="AB222" i="10" s="1"/>
  <c r="AB223" i="10" a="1"/>
  <c r="AB223" i="10" s="1"/>
  <c r="AB224" i="10" a="1"/>
  <c r="AB224" i="10" s="1"/>
  <c r="AB225" i="10" a="1"/>
  <c r="AB225" i="10" s="1"/>
  <c r="AA226" i="10" a="1"/>
  <c r="AA226" i="10" s="1"/>
  <c r="AA227" i="10" a="1"/>
  <c r="AA227" i="10" s="1"/>
  <c r="AA228" i="10" a="1"/>
  <c r="AA228" i="10" s="1"/>
  <c r="AA229" i="10" a="1"/>
  <c r="AA229" i="10" s="1"/>
  <c r="Z230" i="10" a="1"/>
  <c r="Z230" i="10" s="1"/>
  <c r="Z231" i="10" a="1"/>
  <c r="Z231" i="10" s="1"/>
  <c r="Z232" i="10" a="1"/>
  <c r="Z232" i="10" s="1"/>
  <c r="Z233" i="10" a="1"/>
  <c r="Z233" i="10" s="1"/>
  <c r="AA180" i="10" a="1"/>
  <c r="AA180" i="10" s="1"/>
  <c r="AA181" i="10" a="1"/>
  <c r="AA181" i="10" s="1"/>
  <c r="Z182" i="10" a="1"/>
  <c r="Z182" i="10" s="1"/>
  <c r="Y184" i="10" a="1"/>
  <c r="Y184" i="10" s="1"/>
  <c r="AB184" i="10" a="1"/>
  <c r="AB184" i="10" s="1"/>
  <c r="AA186" i="10" a="1"/>
  <c r="AA186" i="10" s="1"/>
  <c r="Z187" i="10" a="1"/>
  <c r="Z187" i="10" s="1"/>
  <c r="Z188" i="10" a="1"/>
  <c r="Z188" i="10" s="1"/>
  <c r="Y189" i="10" a="1"/>
  <c r="Y189" i="10" s="1"/>
  <c r="AB189" i="10" a="1"/>
  <c r="AB189" i="10" s="1"/>
  <c r="AB190" i="10" a="1"/>
  <c r="AB190" i="10" s="1"/>
  <c r="AA191" i="10" a="1"/>
  <c r="AA191" i="10" s="1"/>
  <c r="AA192" i="10" a="1"/>
  <c r="AA192" i="10" s="1"/>
  <c r="Z193" i="10" a="1"/>
  <c r="Z193" i="10" s="1"/>
  <c r="Y194" i="10" a="1"/>
  <c r="Y194" i="10" s="1"/>
  <c r="Y195" i="10" a="1"/>
  <c r="Y195" i="10" s="1"/>
  <c r="AB195" i="10" a="1"/>
  <c r="AB195" i="10" s="1"/>
  <c r="AB196" i="10" a="1"/>
  <c r="AB196" i="10" s="1"/>
  <c r="AB197" i="10" a="1"/>
  <c r="AB197" i="10" s="1"/>
  <c r="AA198" i="10" a="1"/>
  <c r="AA198" i="10" s="1"/>
  <c r="AA199" i="10" a="1"/>
  <c r="AA199" i="10" s="1"/>
  <c r="AA200" i="10" a="1"/>
  <c r="AA200" i="10" s="1"/>
  <c r="AA201" i="10" a="1"/>
  <c r="AA201" i="10" s="1"/>
  <c r="Z202" i="10" a="1"/>
  <c r="Z202" i="10" s="1"/>
  <c r="Z203" i="10" a="1"/>
  <c r="Z203" i="10" s="1"/>
  <c r="Z204" i="10" a="1"/>
  <c r="Z204" i="10" s="1"/>
  <c r="Z205" i="10" a="1"/>
  <c r="Z205" i="10" s="1"/>
  <c r="Y207" i="10" a="1"/>
  <c r="Y207" i="10" s="1"/>
  <c r="Y208" i="10" a="1"/>
  <c r="Y208" i="10" s="1"/>
  <c r="Y209" i="10" a="1"/>
  <c r="Y209" i="10" s="1"/>
  <c r="Y210" i="10" a="1"/>
  <c r="Y210" i="10" s="1"/>
  <c r="AB210" i="10" a="1"/>
  <c r="AB210" i="10" s="1"/>
  <c r="AB211" i="10" a="1"/>
  <c r="AB211" i="10" s="1"/>
  <c r="AB212" i="10" a="1"/>
  <c r="AB212" i="10" s="1"/>
  <c r="AB213" i="10" a="1"/>
  <c r="AB213" i="10" s="1"/>
  <c r="AA214" i="10" a="1"/>
  <c r="AA214" i="10" s="1"/>
  <c r="AA215" i="10" a="1"/>
  <c r="AA215" i="10" s="1"/>
  <c r="AA216" i="10" a="1"/>
  <c r="AA216" i="10" s="1"/>
  <c r="AA217" i="10" a="1"/>
  <c r="AA217" i="10" s="1"/>
  <c r="Z218" i="10" a="1"/>
  <c r="Z218" i="10" s="1"/>
  <c r="Z219" i="10" a="1"/>
  <c r="Z219" i="10" s="1"/>
  <c r="Z220" i="10" a="1"/>
  <c r="Z220" i="10" s="1"/>
  <c r="Z221" i="10" a="1"/>
  <c r="Z221" i="10" s="1"/>
  <c r="Y223" i="10" a="1"/>
  <c r="Y223" i="10" s="1"/>
  <c r="Y224" i="10" a="1"/>
  <c r="Y224" i="10" s="1"/>
  <c r="Y225" i="10" a="1"/>
  <c r="Y225" i="10" s="1"/>
  <c r="Y226" i="10" a="1"/>
  <c r="Y226" i="10" s="1"/>
  <c r="AB226" i="10" a="1"/>
  <c r="AB226" i="10" s="1"/>
  <c r="AB227" i="10" a="1"/>
  <c r="AB227" i="10" s="1"/>
  <c r="AB228" i="10" a="1"/>
  <c r="AB228" i="10" s="1"/>
  <c r="AB229" i="10" a="1"/>
  <c r="AB229" i="10" s="1"/>
  <c r="AA230" i="10" a="1"/>
  <c r="AA230" i="10" s="1"/>
  <c r="AA231" i="10" a="1"/>
  <c r="AA231" i="10" s="1"/>
  <c r="AA232" i="10" a="1"/>
  <c r="AA232" i="10" s="1"/>
  <c r="AA233" i="10" a="1"/>
  <c r="AA233" i="10" s="1"/>
  <c r="Z234" i="10" a="1"/>
  <c r="Z234" i="10" s="1"/>
  <c r="Z235" i="10" a="1"/>
  <c r="Z235" i="10" s="1"/>
  <c r="Z236" i="10" a="1"/>
  <c r="Z236" i="10" s="1"/>
  <c r="Z237" i="10" a="1"/>
  <c r="Z237" i="10" s="1"/>
  <c r="Y239" i="10" a="1"/>
  <c r="Y239" i="10" s="1"/>
  <c r="Y240" i="10" a="1"/>
  <c r="Y240" i="10" s="1"/>
  <c r="Y241" i="10" a="1"/>
  <c r="Y241" i="10" s="1"/>
  <c r="Y242" i="10" a="1"/>
  <c r="Y242" i="10" s="1"/>
  <c r="AB242" i="10" a="1"/>
  <c r="AB242" i="10" s="1"/>
  <c r="AB243" i="10" a="1"/>
  <c r="AB243" i="10" s="1"/>
  <c r="AB244" i="10" a="1"/>
  <c r="AB244" i="10" s="1"/>
  <c r="AB245" i="10" a="1"/>
  <c r="AB245" i="10" s="1"/>
  <c r="AA246" i="10" a="1"/>
  <c r="AA246" i="10" s="1"/>
  <c r="AA247" i="10" a="1"/>
  <c r="AA247" i="10" s="1"/>
  <c r="AA248" i="10" a="1"/>
  <c r="AA248" i="10" s="1"/>
  <c r="AA249" i="10" a="1"/>
  <c r="AA249" i="10" s="1"/>
  <c r="Z250" i="10" a="1"/>
  <c r="Z250" i="10" s="1"/>
  <c r="Z251" i="10" a="1"/>
  <c r="Z251" i="10" s="1"/>
  <c r="Z252" i="10" a="1"/>
  <c r="Z252" i="10" s="1"/>
  <c r="Z253" i="10" a="1"/>
  <c r="Z253" i="10" s="1"/>
  <c r="Y255" i="10" a="1"/>
  <c r="Y255" i="10" s="1"/>
  <c r="Y256" i="10" a="1"/>
  <c r="Y256" i="10" s="1"/>
  <c r="Y257" i="10" a="1"/>
  <c r="Y257" i="10" s="1"/>
  <c r="Y258" i="10" a="1"/>
  <c r="Y258" i="10" s="1"/>
  <c r="AA182" i="10" a="1"/>
  <c r="AA182" i="10" s="1"/>
  <c r="Z183" i="10" a="1"/>
  <c r="Z183" i="10" s="1"/>
  <c r="Z184" i="10" a="1"/>
  <c r="Z184" i="10" s="1"/>
  <c r="Y185" i="10" a="1"/>
  <c r="Y185" i="10" s="1"/>
  <c r="AB185" i="10" a="1"/>
  <c r="AB185" i="10" s="1"/>
  <c r="AB186" i="10" a="1"/>
  <c r="AB186" i="10" s="1"/>
  <c r="AA187" i="10" a="1"/>
  <c r="AA187" i="10" s="1"/>
  <c r="AA188" i="10" a="1"/>
  <c r="AA188" i="10" s="1"/>
  <c r="Z189" i="10" a="1"/>
  <c r="Z189" i="10" s="1"/>
  <c r="Y190" i="10" a="1"/>
  <c r="Y190" i="10" s="1"/>
  <c r="Y191" i="10" a="1"/>
  <c r="Y191" i="10" s="1"/>
  <c r="AB191" i="10" a="1"/>
  <c r="AB191" i="10" s="1"/>
  <c r="AA193" i="10" a="1"/>
  <c r="AA193" i="10" s="1"/>
  <c r="Z194" i="10" a="1"/>
  <c r="Z194" i="10" s="1"/>
  <c r="Y196" i="10" a="1"/>
  <c r="Y196" i="10" s="1"/>
  <c r="Y197" i="10" a="1"/>
  <c r="Y197" i="10" s="1"/>
  <c r="Y198" i="10" a="1"/>
  <c r="Y198" i="10" s="1"/>
  <c r="AB198" i="10" a="1"/>
  <c r="AB198" i="10" s="1"/>
  <c r="AB199" i="10" a="1"/>
  <c r="AB199" i="10" s="1"/>
  <c r="AB200" i="10" a="1"/>
  <c r="AB200" i="10" s="1"/>
  <c r="AB201" i="10" a="1"/>
  <c r="AB201" i="10" s="1"/>
  <c r="AA202" i="10" a="1"/>
  <c r="AA202" i="10" s="1"/>
  <c r="AA203" i="10" a="1"/>
  <c r="AA203" i="10" s="1"/>
  <c r="AA204" i="10" a="1"/>
  <c r="AA204" i="10" s="1"/>
  <c r="AA205" i="10" a="1"/>
  <c r="AA205" i="10" s="1"/>
  <c r="Z206" i="10" a="1"/>
  <c r="Z206" i="10" s="1"/>
  <c r="Z207" i="10" a="1"/>
  <c r="Z207" i="10" s="1"/>
  <c r="Z208" i="10" a="1"/>
  <c r="Z208" i="10" s="1"/>
  <c r="Z209" i="10" a="1"/>
  <c r="Z209" i="10" s="1"/>
  <c r="Y211" i="10" a="1"/>
  <c r="Y211" i="10" s="1"/>
  <c r="Y212" i="10" a="1"/>
  <c r="Y212" i="10" s="1"/>
  <c r="Y213" i="10" a="1"/>
  <c r="Y213" i="10" s="1"/>
  <c r="Y214" i="10" a="1"/>
  <c r="Y214" i="10" s="1"/>
  <c r="AB214" i="10" a="1"/>
  <c r="AB214" i="10" s="1"/>
  <c r="AB215" i="10" a="1"/>
  <c r="AB215" i="10" s="1"/>
  <c r="AB216" i="10" a="1"/>
  <c r="AB216" i="10" s="1"/>
  <c r="AB217" i="10" a="1"/>
  <c r="AB217" i="10" s="1"/>
  <c r="AA218" i="10" a="1"/>
  <c r="AA218" i="10" s="1"/>
  <c r="AA219" i="10" a="1"/>
  <c r="AA219" i="10" s="1"/>
  <c r="AA220" i="10" a="1"/>
  <c r="AA220" i="10" s="1"/>
  <c r="AA221" i="10" a="1"/>
  <c r="AA221" i="10" s="1"/>
  <c r="Z222" i="10" a="1"/>
  <c r="Z222" i="10" s="1"/>
  <c r="Z223" i="10" a="1"/>
  <c r="Z223" i="10" s="1"/>
  <c r="Z224" i="10" a="1"/>
  <c r="Z224" i="10" s="1"/>
  <c r="Z225" i="10" a="1"/>
  <c r="Z225" i="10" s="1"/>
  <c r="Y227" i="10" a="1"/>
  <c r="Y227" i="10" s="1"/>
  <c r="Y228" i="10" a="1"/>
  <c r="Y228" i="10" s="1"/>
  <c r="Y229" i="10" a="1"/>
  <c r="Y229" i="10" s="1"/>
  <c r="Y230" i="10" a="1"/>
  <c r="Y230" i="10" s="1"/>
  <c r="AB230" i="10" a="1"/>
  <c r="AB230" i="10" s="1"/>
  <c r="AB231" i="10" a="1"/>
  <c r="AB231" i="10" s="1"/>
  <c r="AB232" i="10" a="1"/>
  <c r="AB232" i="10" s="1"/>
  <c r="AB233" i="10" a="1"/>
  <c r="AB233" i="10" s="1"/>
  <c r="AA234" i="10" a="1"/>
  <c r="AA234" i="10" s="1"/>
  <c r="AA235" i="10" a="1"/>
  <c r="AA235" i="10" s="1"/>
  <c r="AA236" i="10" a="1"/>
  <c r="AA236" i="10" s="1"/>
  <c r="AA237" i="10" a="1"/>
  <c r="AA237" i="10" s="1"/>
  <c r="Z238" i="10" a="1"/>
  <c r="Z238" i="10" s="1"/>
  <c r="Z239" i="10" a="1"/>
  <c r="Z239" i="10" s="1"/>
  <c r="Z240" i="10" a="1"/>
  <c r="Z240" i="10" s="1"/>
  <c r="Z241" i="10" a="1"/>
  <c r="Z241" i="10" s="1"/>
  <c r="Y243" i="10" a="1"/>
  <c r="Y243" i="10" s="1"/>
  <c r="Y244" i="10" a="1"/>
  <c r="Y244" i="10" s="1"/>
  <c r="Y245" i="10" a="1"/>
  <c r="Y245" i="10" s="1"/>
  <c r="Y246" i="10" a="1"/>
  <c r="Y246" i="10" s="1"/>
  <c r="AB246" i="10" a="1"/>
  <c r="AB246" i="10" s="1"/>
  <c r="AB247" i="10" a="1"/>
  <c r="AB247" i="10" s="1"/>
  <c r="AB248" i="10" a="1"/>
  <c r="AB248" i="10" s="1"/>
  <c r="AB249" i="10" a="1"/>
  <c r="AB249" i="10" s="1"/>
  <c r="AA250" i="10" a="1"/>
  <c r="AA250" i="10" s="1"/>
  <c r="AA251" i="10" a="1"/>
  <c r="AA251" i="10" s="1"/>
  <c r="AA252" i="10" a="1"/>
  <c r="AA252" i="10" s="1"/>
  <c r="AA253" i="10" a="1"/>
  <c r="AA253" i="10" s="1"/>
  <c r="Z254" i="10" a="1"/>
  <c r="Z254" i="10" s="1"/>
  <c r="Z255" i="10" a="1"/>
  <c r="Z255" i="10" s="1"/>
  <c r="Z256" i="10" a="1"/>
  <c r="Z256" i="10" s="1"/>
  <c r="Z257" i="10" a="1"/>
  <c r="Z257" i="10" s="1"/>
  <c r="Y238" i="10" a="1"/>
  <c r="Y238" i="10" s="1"/>
  <c r="AB241" i="10" a="1"/>
  <c r="AB241" i="10" s="1"/>
  <c r="AA245" i="10" a="1"/>
  <c r="AA245" i="10" s="1"/>
  <c r="Z249" i="10" a="1"/>
  <c r="Z249" i="10" s="1"/>
  <c r="Y253" i="10" a="1"/>
  <c r="Y253" i="10" s="1"/>
  <c r="AB256" i="10" a="1"/>
  <c r="AB256" i="10" s="1"/>
  <c r="AA258" i="10" a="1"/>
  <c r="AA258" i="10" s="1"/>
  <c r="AA259" i="10" a="1"/>
  <c r="AA259" i="10" s="1"/>
  <c r="AA260" i="10" a="1"/>
  <c r="AA260" i="10" s="1"/>
  <c r="AA261" i="10" a="1"/>
  <c r="AA261" i="10" s="1"/>
  <c r="Z262" i="10" a="1"/>
  <c r="Z262" i="10" s="1"/>
  <c r="Z263" i="10" a="1"/>
  <c r="Z263" i="10" s="1"/>
  <c r="Z264" i="10" a="1"/>
  <c r="Z264" i="10" s="1"/>
  <c r="Z265" i="10" a="1"/>
  <c r="Z265" i="10" s="1"/>
  <c r="Z266" i="10" a="1"/>
  <c r="Z266" i="10" s="1"/>
  <c r="Z267" i="10" a="1"/>
  <c r="Z267" i="10" s="1"/>
  <c r="Z268" i="10" a="1"/>
  <c r="Z268" i="10" s="1"/>
  <c r="Z269" i="10" a="1"/>
  <c r="Z269" i="10" s="1"/>
  <c r="Z270" i="10" a="1"/>
  <c r="Z270" i="10" s="1"/>
  <c r="Z271" i="10" a="1"/>
  <c r="Z271" i="10" s="1"/>
  <c r="Z272" i="10" a="1"/>
  <c r="Z272" i="10" s="1"/>
  <c r="Z273" i="10" a="1"/>
  <c r="Z273" i="10" s="1"/>
  <c r="Z274" i="10" a="1"/>
  <c r="Z274" i="10" s="1"/>
  <c r="Z275" i="10" a="1"/>
  <c r="Z275" i="10" s="1"/>
  <c r="Z276" i="10" a="1"/>
  <c r="Z276" i="10" s="1"/>
  <c r="Z277" i="10" a="1"/>
  <c r="Z277" i="10" s="1"/>
  <c r="Z278" i="10" a="1"/>
  <c r="Z278" i="10" s="1"/>
  <c r="Z279" i="10" a="1"/>
  <c r="Z279" i="10" s="1"/>
  <c r="Z280" i="10" a="1"/>
  <c r="Z280" i="10" s="1"/>
  <c r="Z281" i="10" a="1"/>
  <c r="Z281" i="10" s="1"/>
  <c r="Z282" i="10" a="1"/>
  <c r="Z282" i="10" s="1"/>
  <c r="Z283" i="10" a="1"/>
  <c r="Z283" i="10" s="1"/>
  <c r="Z284" i="10" a="1"/>
  <c r="Z284" i="10" s="1"/>
  <c r="Z285" i="10" a="1"/>
  <c r="Z285" i="10" s="1"/>
  <c r="Z286" i="10" a="1"/>
  <c r="Z286" i="10" s="1"/>
  <c r="Z287" i="10" a="1"/>
  <c r="Z287" i="10" s="1"/>
  <c r="Z288" i="10" a="1"/>
  <c r="Z288" i="10" s="1"/>
  <c r="Z289" i="10" a="1"/>
  <c r="Z289" i="10" s="1"/>
  <c r="Z290" i="10" a="1"/>
  <c r="Z290" i="10" s="1"/>
  <c r="Z291" i="10" a="1"/>
  <c r="Z291" i="10" s="1"/>
  <c r="Z292" i="10" a="1"/>
  <c r="Z292" i="10" s="1"/>
  <c r="Z293" i="10" a="1"/>
  <c r="Z293" i="10" s="1"/>
  <c r="Z294" i="10" a="1"/>
  <c r="Z294" i="10" s="1"/>
  <c r="Z295" i="10" a="1"/>
  <c r="Z295" i="10" s="1"/>
  <c r="Z296" i="10" a="1"/>
  <c r="Z296" i="10" s="1"/>
  <c r="Z297" i="10" a="1"/>
  <c r="Z297" i="10" s="1"/>
  <c r="Z298" i="10" a="1"/>
  <c r="Z298" i="10" s="1"/>
  <c r="Z299" i="10" a="1"/>
  <c r="Z299" i="10" s="1"/>
  <c r="Z300" i="10" a="1"/>
  <c r="Z300" i="10" s="1"/>
  <c r="Z301" i="10" a="1"/>
  <c r="Z301" i="10" s="1"/>
  <c r="Z302" i="10" a="1"/>
  <c r="Z302" i="10" s="1"/>
  <c r="Z303" i="10" a="1"/>
  <c r="Z303" i="10" s="1"/>
  <c r="Z304" i="10" a="1"/>
  <c r="Z304" i="10" s="1"/>
  <c r="Z305" i="10" a="1"/>
  <c r="Z305" i="10" s="1"/>
  <c r="Y306" i="10" a="1"/>
  <c r="Y306" i="10" s="1"/>
  <c r="Y307" i="10" a="1"/>
  <c r="Y307" i="10" s="1"/>
  <c r="AB307" i="10" a="1"/>
  <c r="AB307" i="10" s="1"/>
  <c r="AB308" i="10" a="1"/>
  <c r="AB308" i="10" s="1"/>
  <c r="AA309" i="10" a="1"/>
  <c r="AA309" i="10" s="1"/>
  <c r="AA310" i="10" a="1"/>
  <c r="AA310" i="10" s="1"/>
  <c r="Z312" i="10" a="1"/>
  <c r="Z312" i="10" s="1"/>
  <c r="Z313" i="10" a="1"/>
  <c r="Z313" i="10" s="1"/>
  <c r="Y314" i="10" a="1"/>
  <c r="Y314" i="10" s="1"/>
  <c r="Y315" i="10" a="1"/>
  <c r="Y315" i="10" s="1"/>
  <c r="AB315" i="10" a="1"/>
  <c r="AB315" i="10" s="1"/>
  <c r="AB316" i="10" a="1"/>
  <c r="AB316" i="10" s="1"/>
  <c r="AA317" i="10" a="1"/>
  <c r="AA317" i="10" s="1"/>
  <c r="AA318" i="10" a="1"/>
  <c r="AA318" i="10" s="1"/>
  <c r="Z320" i="10" a="1"/>
  <c r="Z320" i="10" s="1"/>
  <c r="Z321" i="10" a="1"/>
  <c r="Z321" i="10" s="1"/>
  <c r="Z322" i="10" a="1"/>
  <c r="Z322" i="10" s="1"/>
  <c r="Z323" i="10" a="1"/>
  <c r="Z323" i="10" s="1"/>
  <c r="Z324" i="10" a="1"/>
  <c r="Z324" i="10" s="1"/>
  <c r="Z325" i="10" a="1"/>
  <c r="Z325" i="10" s="1"/>
  <c r="Z326" i="10" a="1"/>
  <c r="Z326" i="10" s="1"/>
  <c r="Z327" i="10" a="1"/>
  <c r="Z327" i="10" s="1"/>
  <c r="Z328" i="10" a="1"/>
  <c r="Z328" i="10" s="1"/>
  <c r="Z329" i="10" a="1"/>
  <c r="Z329" i="10" s="1"/>
  <c r="Z330" i="10" a="1"/>
  <c r="Z330" i="10" s="1"/>
  <c r="Z331" i="10" a="1"/>
  <c r="Z331" i="10" s="1"/>
  <c r="Z332" i="10" a="1"/>
  <c r="Z332" i="10" s="1"/>
  <c r="Z333" i="10" a="1"/>
  <c r="Z333" i="10" s="1"/>
  <c r="Z334" i="10" a="1"/>
  <c r="Z334" i="10" s="1"/>
  <c r="Z335" i="10" a="1"/>
  <c r="Z335" i="10" s="1"/>
  <c r="Z336" i="10" a="1"/>
  <c r="Z336" i="10" s="1"/>
  <c r="Z337" i="10" a="1"/>
  <c r="Z337" i="10" s="1"/>
  <c r="Z338" i="10" a="1"/>
  <c r="Z338" i="10" s="1"/>
  <c r="Z339" i="10" a="1"/>
  <c r="Z339" i="10" s="1"/>
  <c r="Z340" i="10" a="1"/>
  <c r="Z340" i="10" s="1"/>
  <c r="Z341" i="10" a="1"/>
  <c r="Z341" i="10" s="1"/>
  <c r="Z342" i="10" a="1"/>
  <c r="Z342" i="10" s="1"/>
  <c r="Z343" i="10" a="1"/>
  <c r="Z343" i="10" s="1"/>
  <c r="Z344" i="10" a="1"/>
  <c r="Z344" i="10" s="1"/>
  <c r="Z345" i="10" a="1"/>
  <c r="Z345" i="10" s="1"/>
  <c r="Z346" i="10" a="1"/>
  <c r="Z346" i="10" s="1"/>
  <c r="Z347" i="10" a="1"/>
  <c r="Z347" i="10" s="1"/>
  <c r="Z348" i="10" a="1"/>
  <c r="Z348" i="10" s="1"/>
  <c r="Z349" i="10" a="1"/>
  <c r="Z349" i="10" s="1"/>
  <c r="Z350" i="10" a="1"/>
  <c r="Z350" i="10" s="1"/>
  <c r="Z351" i="10" a="1"/>
  <c r="Z351" i="10" s="1"/>
  <c r="Z352" i="10" a="1"/>
  <c r="Z352" i="10" s="1"/>
  <c r="Z353" i="10" a="1"/>
  <c r="Z353" i="10" s="1"/>
  <c r="Z354" i="10" a="1"/>
  <c r="Z354" i="10" s="1"/>
  <c r="Z355" i="10" a="1"/>
  <c r="Z355" i="10" s="1"/>
  <c r="Z356" i="10" a="1"/>
  <c r="Z356" i="10" s="1"/>
  <c r="Z357" i="10" a="1"/>
  <c r="Z357" i="10" s="1"/>
  <c r="Z358" i="10" a="1"/>
  <c r="Z358" i="10" s="1"/>
  <c r="Z359" i="10" a="1"/>
  <c r="Z359" i="10" s="1"/>
  <c r="Z360" i="10" a="1"/>
  <c r="Z360" i="10" s="1"/>
  <c r="Z361" i="10" a="1"/>
  <c r="Z361" i="10" s="1"/>
  <c r="Z362" i="10" a="1"/>
  <c r="Z362" i="10" s="1"/>
  <c r="Y363" i="10" a="1"/>
  <c r="Y363" i="10" s="1"/>
  <c r="Y364" i="10" a="1"/>
  <c r="Y364" i="10" s="1"/>
  <c r="Y365" i="10" a="1"/>
  <c r="Y365" i="10" s="1"/>
  <c r="Y366" i="10" a="1"/>
  <c r="Y366" i="10" s="1"/>
  <c r="AB367" i="10" a="1"/>
  <c r="AB367" i="10" s="1"/>
  <c r="AB368" i="10" a="1"/>
  <c r="AB368" i="10" s="1"/>
  <c r="AB369" i="10" a="1"/>
  <c r="AB369" i="10" s="1"/>
  <c r="AB370" i="10" a="1"/>
  <c r="AB370" i="10" s="1"/>
  <c r="AA371" i="10" a="1"/>
  <c r="AA371" i="10" s="1"/>
  <c r="AA372" i="10" a="1"/>
  <c r="AA372" i="10" s="1"/>
  <c r="AA373" i="10" a="1"/>
  <c r="AA373" i="10" s="1"/>
  <c r="AA374" i="10" a="1"/>
  <c r="AA374" i="10" s="1"/>
  <c r="Z375" i="10" a="1"/>
  <c r="Z375" i="10" s="1"/>
  <c r="Z376" i="10" a="1"/>
  <c r="Z376" i="10" s="1"/>
  <c r="Z377" i="10" a="1"/>
  <c r="Z377" i="10" s="1"/>
  <c r="Z378" i="10" a="1"/>
  <c r="Z378" i="10" s="1"/>
  <c r="Y379" i="10" a="1"/>
  <c r="Y379" i="10" s="1"/>
  <c r="Y380" i="10" a="1"/>
  <c r="Y380" i="10" s="1"/>
  <c r="Y381" i="10" a="1"/>
  <c r="Y381" i="10" s="1"/>
  <c r="Y382" i="10" a="1"/>
  <c r="Y382" i="10" s="1"/>
  <c r="Y235" i="10" a="1"/>
  <c r="Y235" i="10" s="1"/>
  <c r="AB238" i="10" a="1"/>
  <c r="AB238" i="10" s="1"/>
  <c r="AA242" i="10" a="1"/>
  <c r="AA242" i="10" s="1"/>
  <c r="Z246" i="10" a="1"/>
  <c r="Z246" i="10" s="1"/>
  <c r="Y254" i="10" a="1"/>
  <c r="Y254" i="10" s="1"/>
  <c r="AB257" i="10" a="1"/>
  <c r="AB257" i="10" s="1"/>
  <c r="AB258" i="10" a="1"/>
  <c r="AB258" i="10" s="1"/>
  <c r="AB259" i="10" a="1"/>
  <c r="AB259" i="10" s="1"/>
  <c r="AB260" i="10" a="1"/>
  <c r="AB260" i="10" s="1"/>
  <c r="AB261" i="10" a="1"/>
  <c r="AB261" i="10" s="1"/>
  <c r="AA262" i="10" a="1"/>
  <c r="AA262" i="10" s="1"/>
  <c r="AA263" i="10" a="1"/>
  <c r="AA263" i="10" s="1"/>
  <c r="AA264" i="10" a="1"/>
  <c r="AA264" i="10" s="1"/>
  <c r="AA265" i="10" a="1"/>
  <c r="AA265" i="10" s="1"/>
  <c r="AA266" i="10" a="1"/>
  <c r="AA266" i="10" s="1"/>
  <c r="AA267" i="10" a="1"/>
  <c r="AA267" i="10" s="1"/>
  <c r="AA268" i="10" a="1"/>
  <c r="AA268" i="10" s="1"/>
  <c r="AA269" i="10" a="1"/>
  <c r="AA269" i="10" s="1"/>
  <c r="AA270" i="10" a="1"/>
  <c r="AA270" i="10" s="1"/>
  <c r="AA271" i="10" a="1"/>
  <c r="AA271" i="10" s="1"/>
  <c r="AA272" i="10" a="1"/>
  <c r="AA272" i="10" s="1"/>
  <c r="AA273" i="10" a="1"/>
  <c r="AA273" i="10" s="1"/>
  <c r="AA274" i="10" a="1"/>
  <c r="AA274" i="10" s="1"/>
  <c r="AA275" i="10" a="1"/>
  <c r="AA275" i="10" s="1"/>
  <c r="AA276" i="10" a="1"/>
  <c r="AA276" i="10" s="1"/>
  <c r="AA277" i="10" a="1"/>
  <c r="AA277" i="10" s="1"/>
  <c r="AA278" i="10" a="1"/>
  <c r="AA278" i="10" s="1"/>
  <c r="AA279" i="10" a="1"/>
  <c r="AA279" i="10" s="1"/>
  <c r="AA280" i="10" a="1"/>
  <c r="AA280" i="10" s="1"/>
  <c r="AA281" i="10" a="1"/>
  <c r="AA281" i="10" s="1"/>
  <c r="AA282" i="10" a="1"/>
  <c r="AA282" i="10" s="1"/>
  <c r="AA283" i="10" a="1"/>
  <c r="AA283" i="10" s="1"/>
  <c r="AA284" i="10" a="1"/>
  <c r="AA284" i="10" s="1"/>
  <c r="AA285" i="10" a="1"/>
  <c r="AA285" i="10" s="1"/>
  <c r="AA286" i="10" a="1"/>
  <c r="AA286" i="10" s="1"/>
  <c r="AA287" i="10" a="1"/>
  <c r="AA287" i="10" s="1"/>
  <c r="AA288" i="10" a="1"/>
  <c r="AA288" i="10" s="1"/>
  <c r="AA289" i="10" a="1"/>
  <c r="AA289" i="10" s="1"/>
  <c r="AA290" i="10" a="1"/>
  <c r="AA290" i="10" s="1"/>
  <c r="AA291" i="10" a="1"/>
  <c r="AA291" i="10" s="1"/>
  <c r="AA292" i="10" a="1"/>
  <c r="AA292" i="10" s="1"/>
  <c r="AA293" i="10" a="1"/>
  <c r="AA293" i="10" s="1"/>
  <c r="AA294" i="10" a="1"/>
  <c r="AA294" i="10" s="1"/>
  <c r="AA295" i="10" a="1"/>
  <c r="AA295" i="10" s="1"/>
  <c r="AA296" i="10" a="1"/>
  <c r="AA296" i="10" s="1"/>
  <c r="AA297" i="10" a="1"/>
  <c r="AA297" i="10" s="1"/>
  <c r="AA298" i="10" a="1"/>
  <c r="AA298" i="10" s="1"/>
  <c r="AA299" i="10" a="1"/>
  <c r="AA299" i="10" s="1"/>
  <c r="AA300" i="10" a="1"/>
  <c r="AA300" i="10" s="1"/>
  <c r="AA301" i="10" a="1"/>
  <c r="AA301" i="10" s="1"/>
  <c r="AA302" i="10" a="1"/>
  <c r="AA302" i="10" s="1"/>
  <c r="AA303" i="10" a="1"/>
  <c r="AA303" i="10" s="1"/>
  <c r="AA304" i="10" a="1"/>
  <c r="AA304" i="10" s="1"/>
  <c r="Z306" i="10" a="1"/>
  <c r="Z306" i="10" s="1"/>
  <c r="Z307" i="10" a="1"/>
  <c r="Z307" i="10" s="1"/>
  <c r="Y308" i="10" a="1"/>
  <c r="Y308" i="10" s="1"/>
  <c r="Y309" i="10" a="1"/>
  <c r="Y309" i="10" s="1"/>
  <c r="AB309" i="10" a="1"/>
  <c r="AB309" i="10" s="1"/>
  <c r="AB310" i="10" a="1"/>
  <c r="AB310" i="10" s="1"/>
  <c r="AA311" i="10" a="1"/>
  <c r="AA311" i="10" s="1"/>
  <c r="AA312" i="10" a="1"/>
  <c r="AA312" i="10" s="1"/>
  <c r="Z314" i="10" a="1"/>
  <c r="Z314" i="10" s="1"/>
  <c r="Z315" i="10" a="1"/>
  <c r="Z315" i="10" s="1"/>
  <c r="Y316" i="10" a="1"/>
  <c r="Y316" i="10" s="1"/>
  <c r="Y317" i="10" a="1"/>
  <c r="Y317" i="10" s="1"/>
  <c r="AB317" i="10" a="1"/>
  <c r="AB317" i="10" s="1"/>
  <c r="AB318" i="10" a="1"/>
  <c r="AB318" i="10" s="1"/>
  <c r="AA319" i="10" a="1"/>
  <c r="AA319" i="10" s="1"/>
  <c r="AA320" i="10" a="1"/>
  <c r="AA320" i="10" s="1"/>
  <c r="AA321" i="10" a="1"/>
  <c r="AA321" i="10" s="1"/>
  <c r="AA322" i="10" a="1"/>
  <c r="AA322" i="10" s="1"/>
  <c r="AA323" i="10" a="1"/>
  <c r="AA323" i="10" s="1"/>
  <c r="AA324" i="10" a="1"/>
  <c r="AA324" i="10" s="1"/>
  <c r="AA325" i="10" a="1"/>
  <c r="AA325" i="10" s="1"/>
  <c r="AA326" i="10" a="1"/>
  <c r="AA326" i="10" s="1"/>
  <c r="AA327" i="10" a="1"/>
  <c r="AA327" i="10" s="1"/>
  <c r="AA328" i="10" a="1"/>
  <c r="AA328" i="10" s="1"/>
  <c r="AA329" i="10" a="1"/>
  <c r="AA329" i="10" s="1"/>
  <c r="AA330" i="10" a="1"/>
  <c r="AA330" i="10" s="1"/>
  <c r="AA331" i="10" a="1"/>
  <c r="AA331" i="10" s="1"/>
  <c r="AA332" i="10" a="1"/>
  <c r="AA332" i="10" s="1"/>
  <c r="AA333" i="10" a="1"/>
  <c r="AA333" i="10" s="1"/>
  <c r="AA334" i="10" a="1"/>
  <c r="AA334" i="10" s="1"/>
  <c r="AA335" i="10" a="1"/>
  <c r="AA335" i="10" s="1"/>
  <c r="AA336" i="10" a="1"/>
  <c r="AA336" i="10" s="1"/>
  <c r="AA337" i="10" a="1"/>
  <c r="AA337" i="10" s="1"/>
  <c r="AA338" i="10" a="1"/>
  <c r="AA338" i="10" s="1"/>
  <c r="AA339" i="10" a="1"/>
  <c r="AA339" i="10" s="1"/>
  <c r="AA340" i="10" a="1"/>
  <c r="AA340" i="10" s="1"/>
  <c r="AA341" i="10" a="1"/>
  <c r="AA341" i="10" s="1"/>
  <c r="AA342" i="10" a="1"/>
  <c r="AA342" i="10" s="1"/>
  <c r="AA343" i="10" a="1"/>
  <c r="AA343" i="10" s="1"/>
  <c r="AA344" i="10" a="1"/>
  <c r="AA344" i="10" s="1"/>
  <c r="AA345" i="10" a="1"/>
  <c r="AA345" i="10" s="1"/>
  <c r="AA346" i="10" a="1"/>
  <c r="AA346" i="10" s="1"/>
  <c r="AA347" i="10" a="1"/>
  <c r="AA347" i="10" s="1"/>
  <c r="AA348" i="10" a="1"/>
  <c r="AA348" i="10" s="1"/>
  <c r="AA349" i="10" a="1"/>
  <c r="AA349" i="10" s="1"/>
  <c r="AA350" i="10" a="1"/>
  <c r="AA350" i="10" s="1"/>
  <c r="AA351" i="10" a="1"/>
  <c r="AA351" i="10" s="1"/>
  <c r="AA352" i="10" a="1"/>
  <c r="AA352" i="10" s="1"/>
  <c r="AA353" i="10" a="1"/>
  <c r="AA353" i="10" s="1"/>
  <c r="AA354" i="10" a="1"/>
  <c r="AA354" i="10" s="1"/>
  <c r="AA355" i="10" a="1"/>
  <c r="AA355" i="10" s="1"/>
  <c r="AA356" i="10" a="1"/>
  <c r="AA356" i="10" s="1"/>
  <c r="AA357" i="10" a="1"/>
  <c r="AA357" i="10" s="1"/>
  <c r="AA358" i="10" a="1"/>
  <c r="AA358" i="10" s="1"/>
  <c r="AA359" i="10" a="1"/>
  <c r="AA359" i="10" s="1"/>
  <c r="AA360" i="10" a="1"/>
  <c r="AA360" i="10" s="1"/>
  <c r="AA361" i="10" a="1"/>
  <c r="AA361" i="10" s="1"/>
  <c r="AA362" i="10" a="1"/>
  <c r="AA362" i="10" s="1"/>
  <c r="Z363" i="10" a="1"/>
  <c r="Z363" i="10" s="1"/>
  <c r="Z364" i="10" a="1"/>
  <c r="Z364" i="10" s="1"/>
  <c r="Z365" i="10" a="1"/>
  <c r="Z365" i="10" s="1"/>
  <c r="Z366" i="10" a="1"/>
  <c r="Z366" i="10" s="1"/>
  <c r="Y367" i="10" a="1"/>
  <c r="Y367" i="10" s="1"/>
  <c r="Y368" i="10" a="1"/>
  <c r="Y368" i="10" s="1"/>
  <c r="Y369" i="10" a="1"/>
  <c r="Y369" i="10" s="1"/>
  <c r="Y370" i="10" a="1"/>
  <c r="Y370" i="10" s="1"/>
  <c r="AB371" i="10" a="1"/>
  <c r="AB371" i="10" s="1"/>
  <c r="AB372" i="10" a="1"/>
  <c r="AB372" i="10" s="1"/>
  <c r="AB373" i="10" a="1"/>
  <c r="AB373" i="10" s="1"/>
  <c r="AB374" i="10" a="1"/>
  <c r="AB374" i="10" s="1"/>
  <c r="AA375" i="10" a="1"/>
  <c r="AA375" i="10" s="1"/>
  <c r="AA376" i="10" a="1"/>
  <c r="AA376" i="10" s="1"/>
  <c r="AA377" i="10" a="1"/>
  <c r="AA377" i="10" s="1"/>
  <c r="AA378" i="10" a="1"/>
  <c r="AA378" i="10" s="1"/>
  <c r="Z379" i="10" a="1"/>
  <c r="Z379" i="10" s="1"/>
  <c r="Z380" i="10" a="1"/>
  <c r="Z380" i="10" s="1"/>
  <c r="Z381" i="10" a="1"/>
  <c r="Z381" i="10" s="1"/>
  <c r="Z382" i="10" a="1"/>
  <c r="Z382" i="10" s="1"/>
  <c r="Y383" i="10" a="1"/>
  <c r="Y383" i="10" s="1"/>
  <c r="Y236" i="10" a="1"/>
  <c r="Y236" i="10" s="1"/>
  <c r="AB239" i="10" a="1"/>
  <c r="AB239" i="10" s="1"/>
  <c r="AA243" i="10" a="1"/>
  <c r="AA243" i="10" s="1"/>
  <c r="Z247" i="10" a="1"/>
  <c r="Z247" i="10" s="1"/>
  <c r="Y251" i="10" a="1"/>
  <c r="Y251" i="10" s="1"/>
  <c r="AB254" i="10" a="1"/>
  <c r="AB254" i="10" s="1"/>
  <c r="Y259" i="10" a="1"/>
  <c r="Y259" i="10" s="1"/>
  <c r="Y260" i="10" a="1"/>
  <c r="Y260" i="10" s="1"/>
  <c r="Y261" i="10" a="1"/>
  <c r="Y261" i="10" s="1"/>
  <c r="AB262" i="10" a="1"/>
  <c r="AB262" i="10" s="1"/>
  <c r="AB263" i="10" a="1"/>
  <c r="AB263" i="10" s="1"/>
  <c r="AB264" i="10" a="1"/>
  <c r="AB264" i="10" s="1"/>
  <c r="AB265" i="10" a="1"/>
  <c r="AB265" i="10" s="1"/>
  <c r="AB266" i="10" a="1"/>
  <c r="AB266" i="10" s="1"/>
  <c r="AB267" i="10" a="1"/>
  <c r="AB267" i="10" s="1"/>
  <c r="AB268" i="10" a="1"/>
  <c r="AB268" i="10" s="1"/>
  <c r="AB269" i="10" a="1"/>
  <c r="AB269" i="10" s="1"/>
  <c r="AB270" i="10" a="1"/>
  <c r="AB270" i="10" s="1"/>
  <c r="AB271" i="10" a="1"/>
  <c r="AB271" i="10" s="1"/>
  <c r="AB272" i="10" a="1"/>
  <c r="AB272" i="10" s="1"/>
  <c r="AB273" i="10" a="1"/>
  <c r="AB273" i="10" s="1"/>
  <c r="AB274" i="10" a="1"/>
  <c r="AB274" i="10" s="1"/>
  <c r="AB275" i="10" a="1"/>
  <c r="AB275" i="10" s="1"/>
  <c r="AB276" i="10" a="1"/>
  <c r="AB276" i="10" s="1"/>
  <c r="AB277" i="10" a="1"/>
  <c r="AB277" i="10" s="1"/>
  <c r="AB278" i="10" a="1"/>
  <c r="AB278" i="10" s="1"/>
  <c r="AB279" i="10" a="1"/>
  <c r="AB279" i="10" s="1"/>
  <c r="AB280" i="10" a="1"/>
  <c r="AB280" i="10" s="1"/>
  <c r="AB281" i="10" a="1"/>
  <c r="AB281" i="10" s="1"/>
  <c r="AB282" i="10" a="1"/>
  <c r="AB282" i="10" s="1"/>
  <c r="AB283" i="10" a="1"/>
  <c r="AB283" i="10" s="1"/>
  <c r="AB284" i="10" a="1"/>
  <c r="AB284" i="10" s="1"/>
  <c r="AB285" i="10" a="1"/>
  <c r="AB285" i="10" s="1"/>
  <c r="AB286" i="10" a="1"/>
  <c r="AB286" i="10" s="1"/>
  <c r="AB287" i="10" a="1"/>
  <c r="AB287" i="10" s="1"/>
  <c r="AB288" i="10" a="1"/>
  <c r="AB288" i="10" s="1"/>
  <c r="AB289" i="10" a="1"/>
  <c r="AB289" i="10" s="1"/>
  <c r="AB290" i="10" a="1"/>
  <c r="AB290" i="10" s="1"/>
  <c r="AB291" i="10" a="1"/>
  <c r="AB291" i="10" s="1"/>
  <c r="AB292" i="10" a="1"/>
  <c r="AB292" i="10" s="1"/>
  <c r="AB293" i="10" a="1"/>
  <c r="AB293" i="10" s="1"/>
  <c r="AB294" i="10" a="1"/>
  <c r="AB294" i="10" s="1"/>
  <c r="AB295" i="10" a="1"/>
  <c r="AB295" i="10" s="1"/>
  <c r="AB296" i="10" a="1"/>
  <c r="AB296" i="10" s="1"/>
  <c r="AB297" i="10" a="1"/>
  <c r="AB297" i="10" s="1"/>
  <c r="AB298" i="10" a="1"/>
  <c r="AB298" i="10" s="1"/>
  <c r="AB299" i="10" a="1"/>
  <c r="AB299" i="10" s="1"/>
  <c r="AB300" i="10" a="1"/>
  <c r="AB300" i="10" s="1"/>
  <c r="AB301" i="10" a="1"/>
  <c r="AB301" i="10" s="1"/>
  <c r="AB302" i="10" a="1"/>
  <c r="AB302" i="10" s="1"/>
  <c r="AB303" i="10" a="1"/>
  <c r="AB303" i="10" s="1"/>
  <c r="AB304" i="10" a="1"/>
  <c r="AB304" i="10" s="1"/>
  <c r="AA305" i="10" a="1"/>
  <c r="AA305" i="10" s="1"/>
  <c r="AA306" i="10" a="1"/>
  <c r="AA306" i="10" s="1"/>
  <c r="Z308" i="10" a="1"/>
  <c r="Z308" i="10" s="1"/>
  <c r="Z309" i="10" a="1"/>
  <c r="Z309" i="10" s="1"/>
  <c r="Y310" i="10" a="1"/>
  <c r="Y310" i="10" s="1"/>
  <c r="Y311" i="10" a="1"/>
  <c r="Y311" i="10" s="1"/>
  <c r="AB311" i="10" a="1"/>
  <c r="AB311" i="10" s="1"/>
  <c r="AB312" i="10" a="1"/>
  <c r="AB312" i="10" s="1"/>
  <c r="AA313" i="10" a="1"/>
  <c r="AA313" i="10" s="1"/>
  <c r="AA314" i="10" a="1"/>
  <c r="AA314" i="10" s="1"/>
  <c r="Z316" i="10" a="1"/>
  <c r="Z316" i="10" s="1"/>
  <c r="Z317" i="10" a="1"/>
  <c r="Z317" i="10" s="1"/>
  <c r="Y318" i="10" a="1"/>
  <c r="Y318" i="10" s="1"/>
  <c r="Y319" i="10" a="1"/>
  <c r="Y319" i="10" s="1"/>
  <c r="AB319" i="10" a="1"/>
  <c r="AB319" i="10" s="1"/>
  <c r="AB320" i="10" a="1"/>
  <c r="AB320" i="10" s="1"/>
  <c r="AB321" i="10" a="1"/>
  <c r="AB321" i="10" s="1"/>
  <c r="AB322" i="10" a="1"/>
  <c r="AB322" i="10" s="1"/>
  <c r="AB323" i="10" a="1"/>
  <c r="AB323" i="10" s="1"/>
  <c r="AB324" i="10" a="1"/>
  <c r="AB324" i="10" s="1"/>
  <c r="AB325" i="10" a="1"/>
  <c r="AB325" i="10" s="1"/>
  <c r="AB326" i="10" a="1"/>
  <c r="AB326" i="10" s="1"/>
  <c r="AB327" i="10" a="1"/>
  <c r="AB327" i="10" s="1"/>
  <c r="AB328" i="10" a="1"/>
  <c r="AB328" i="10" s="1"/>
  <c r="AB329" i="10" a="1"/>
  <c r="AB329" i="10" s="1"/>
  <c r="AB330" i="10" a="1"/>
  <c r="AB330" i="10" s="1"/>
  <c r="AB331" i="10" a="1"/>
  <c r="AB331" i="10" s="1"/>
  <c r="AB332" i="10" a="1"/>
  <c r="AB332" i="10" s="1"/>
  <c r="AB333" i="10" a="1"/>
  <c r="AB333" i="10" s="1"/>
  <c r="AB334" i="10" a="1"/>
  <c r="AB334" i="10" s="1"/>
  <c r="AB335" i="10" a="1"/>
  <c r="AB335" i="10" s="1"/>
  <c r="AB336" i="10" a="1"/>
  <c r="AB336" i="10" s="1"/>
  <c r="AB337" i="10" a="1"/>
  <c r="AB337" i="10" s="1"/>
  <c r="AB338" i="10" a="1"/>
  <c r="AB338" i="10" s="1"/>
  <c r="AB339" i="10" a="1"/>
  <c r="AB339" i="10" s="1"/>
  <c r="AB340" i="10" a="1"/>
  <c r="AB340" i="10" s="1"/>
  <c r="AB341" i="10" a="1"/>
  <c r="AB341" i="10" s="1"/>
  <c r="AB342" i="10" a="1"/>
  <c r="AB342" i="10" s="1"/>
  <c r="AB343" i="10" a="1"/>
  <c r="AB343" i="10" s="1"/>
  <c r="AB344" i="10" a="1"/>
  <c r="AB344" i="10" s="1"/>
  <c r="AB345" i="10" a="1"/>
  <c r="AB345" i="10" s="1"/>
  <c r="AB346" i="10" a="1"/>
  <c r="AB346" i="10" s="1"/>
  <c r="AB347" i="10" a="1"/>
  <c r="AB347" i="10" s="1"/>
  <c r="AB348" i="10" a="1"/>
  <c r="AB348" i="10" s="1"/>
  <c r="AB349" i="10" a="1"/>
  <c r="AB349" i="10" s="1"/>
  <c r="AB350" i="10" a="1"/>
  <c r="AB350" i="10" s="1"/>
  <c r="AB351" i="10" a="1"/>
  <c r="AB351" i="10" s="1"/>
  <c r="AB352" i="10" a="1"/>
  <c r="AB352" i="10" s="1"/>
  <c r="AB353" i="10" a="1"/>
  <c r="AB353" i="10" s="1"/>
  <c r="AB354" i="10" a="1"/>
  <c r="AB354" i="10" s="1"/>
  <c r="AB355" i="10" a="1"/>
  <c r="AB355" i="10" s="1"/>
  <c r="AB356" i="10" a="1"/>
  <c r="AB356" i="10" s="1"/>
  <c r="AB357" i="10" a="1"/>
  <c r="AB357" i="10" s="1"/>
  <c r="AB358" i="10" a="1"/>
  <c r="AB358" i="10" s="1"/>
  <c r="AB359" i="10" a="1"/>
  <c r="AB359" i="10" s="1"/>
  <c r="AB360" i="10" a="1"/>
  <c r="AB360" i="10" s="1"/>
  <c r="AB361" i="10" a="1"/>
  <c r="AB361" i="10" s="1"/>
  <c r="AB362" i="10" a="1"/>
  <c r="AB362" i="10" s="1"/>
  <c r="AA363" i="10" a="1"/>
  <c r="AA363" i="10" s="1"/>
  <c r="AA364" i="10" a="1"/>
  <c r="AA364" i="10" s="1"/>
  <c r="AA365" i="10" a="1"/>
  <c r="AA365" i="10" s="1"/>
  <c r="AA366" i="10" a="1"/>
  <c r="AA366" i="10" s="1"/>
  <c r="Z367" i="10" a="1"/>
  <c r="Z367" i="10" s="1"/>
  <c r="Z368" i="10" a="1"/>
  <c r="Z368" i="10" s="1"/>
  <c r="Z369" i="10" a="1"/>
  <c r="Z369" i="10" s="1"/>
  <c r="Z370" i="10" a="1"/>
  <c r="Z370" i="10" s="1"/>
  <c r="Y371" i="10" a="1"/>
  <c r="Y371" i="10" s="1"/>
  <c r="Y372" i="10" a="1"/>
  <c r="Y372" i="10" s="1"/>
  <c r="Y373" i="10" a="1"/>
  <c r="Y373" i="10" s="1"/>
  <c r="Y374" i="10" a="1"/>
  <c r="Y374" i="10" s="1"/>
  <c r="AB375" i="10" a="1"/>
  <c r="AB375" i="10" s="1"/>
  <c r="AB376" i="10" a="1"/>
  <c r="AB376" i="10" s="1"/>
  <c r="AB377" i="10" a="1"/>
  <c r="AB377" i="10" s="1"/>
  <c r="AB378" i="10" a="1"/>
  <c r="AB378" i="10" s="1"/>
  <c r="AA379" i="10" a="1"/>
  <c r="AA379" i="10" s="1"/>
  <c r="AA380" i="10" a="1"/>
  <c r="AA380" i="10" s="1"/>
  <c r="AA381" i="10" a="1"/>
  <c r="AA381" i="10" s="1"/>
  <c r="AA382" i="10" a="1"/>
  <c r="AA382" i="10" s="1"/>
  <c r="Z383" i="10" a="1"/>
  <c r="Z383" i="10" s="1"/>
  <c r="Z384" i="10" a="1"/>
  <c r="Z384" i="10" s="1"/>
  <c r="Y237" i="10" a="1"/>
  <c r="Y237" i="10" s="1"/>
  <c r="AB240" i="10" a="1"/>
  <c r="AB240" i="10" s="1"/>
  <c r="AA244" i="10" a="1"/>
  <c r="AA244" i="10" s="1"/>
  <c r="Z248" i="10" a="1"/>
  <c r="Z248" i="10" s="1"/>
  <c r="Y252" i="10" a="1"/>
  <c r="Y252" i="10" s="1"/>
  <c r="AB255" i="10" a="1"/>
  <c r="AB255" i="10" s="1"/>
  <c r="Z258" i="10" a="1"/>
  <c r="Z258" i="10" s="1"/>
  <c r="Z259" i="10" a="1"/>
  <c r="Z259" i="10" s="1"/>
  <c r="Z260" i="10" a="1"/>
  <c r="Z260" i="10" s="1"/>
  <c r="Z261" i="10" a="1"/>
  <c r="Z261" i="10" s="1"/>
  <c r="Y262" i="10" a="1"/>
  <c r="Y262" i="10" s="1"/>
  <c r="Y263" i="10" a="1"/>
  <c r="Y263" i="10" s="1"/>
  <c r="Y264" i="10" a="1"/>
  <c r="Y264" i="10" s="1"/>
  <c r="Y265" i="10" a="1"/>
  <c r="Y265" i="10" s="1"/>
  <c r="Y266" i="10" a="1"/>
  <c r="Y266" i="10" s="1"/>
  <c r="Y267" i="10" a="1"/>
  <c r="Y267" i="10" s="1"/>
  <c r="Y268" i="10" a="1"/>
  <c r="Y268" i="10" s="1"/>
  <c r="Y269" i="10" a="1"/>
  <c r="Y269" i="10" s="1"/>
  <c r="Y270" i="10" a="1"/>
  <c r="Y270" i="10" s="1"/>
  <c r="Y271" i="10" a="1"/>
  <c r="Y271" i="10" s="1"/>
  <c r="Y272" i="10" a="1"/>
  <c r="Y272" i="10" s="1"/>
  <c r="Y273" i="10" a="1"/>
  <c r="Y273" i="10" s="1"/>
  <c r="Y274" i="10" a="1"/>
  <c r="Y274" i="10" s="1"/>
  <c r="Y275" i="10" a="1"/>
  <c r="Y275" i="10" s="1"/>
  <c r="Y276" i="10" a="1"/>
  <c r="Y276" i="10" s="1"/>
  <c r="Y277" i="10" a="1"/>
  <c r="Y277" i="10" s="1"/>
  <c r="Y278" i="10" a="1"/>
  <c r="Y278" i="10" s="1"/>
  <c r="Y279" i="10" a="1"/>
  <c r="Y279" i="10" s="1"/>
  <c r="Y280" i="10" a="1"/>
  <c r="Y280" i="10" s="1"/>
  <c r="Y281" i="10" a="1"/>
  <c r="Y281" i="10" s="1"/>
  <c r="Y282" i="10" a="1"/>
  <c r="Y282" i="10" s="1"/>
  <c r="Y283" i="10" a="1"/>
  <c r="Y283" i="10" s="1"/>
  <c r="Y284" i="10" a="1"/>
  <c r="Y284" i="10" s="1"/>
  <c r="Y285" i="10" a="1"/>
  <c r="Y285" i="10" s="1"/>
  <c r="Y286" i="10" a="1"/>
  <c r="Y286" i="10" s="1"/>
  <c r="Y287" i="10" a="1"/>
  <c r="Y287" i="10" s="1"/>
  <c r="Y288" i="10" a="1"/>
  <c r="Y288" i="10" s="1"/>
  <c r="Y289" i="10" a="1"/>
  <c r="Y289" i="10" s="1"/>
  <c r="Y290" i="10" a="1"/>
  <c r="Y290" i="10" s="1"/>
  <c r="Y291" i="10" a="1"/>
  <c r="Y291" i="10" s="1"/>
  <c r="Y292" i="10" a="1"/>
  <c r="Y292" i="10" s="1"/>
  <c r="Y293" i="10" a="1"/>
  <c r="Y293" i="10" s="1"/>
  <c r="Y294" i="10" a="1"/>
  <c r="Y294" i="10" s="1"/>
  <c r="Y295" i="10" a="1"/>
  <c r="Y295" i="10" s="1"/>
  <c r="Y296" i="10" a="1"/>
  <c r="Y296" i="10" s="1"/>
  <c r="Y297" i="10" a="1"/>
  <c r="Y297" i="10" s="1"/>
  <c r="Y298" i="10" a="1"/>
  <c r="Y298" i="10" s="1"/>
  <c r="Y299" i="10" a="1"/>
  <c r="Y299" i="10" s="1"/>
  <c r="Y300" i="10" a="1"/>
  <c r="Y300" i="10" s="1"/>
  <c r="Y301" i="10" a="1"/>
  <c r="Y301" i="10" s="1"/>
  <c r="Y302" i="10" a="1"/>
  <c r="Y302" i="10" s="1"/>
  <c r="Y303" i="10" a="1"/>
  <c r="Y303" i="10" s="1"/>
  <c r="Y304" i="10" a="1"/>
  <c r="Y304" i="10" s="1"/>
  <c r="Y305" i="10" a="1"/>
  <c r="Y305" i="10" s="1"/>
  <c r="AB305" i="10" a="1"/>
  <c r="AB305" i="10" s="1"/>
  <c r="AB306" i="10" a="1"/>
  <c r="AB306" i="10" s="1"/>
  <c r="AA307" i="10" a="1"/>
  <c r="AA307" i="10" s="1"/>
  <c r="AA308" i="10" a="1"/>
  <c r="AA308" i="10" s="1"/>
  <c r="Z310" i="10" a="1"/>
  <c r="Z310" i="10" s="1"/>
  <c r="Z311" i="10" a="1"/>
  <c r="Z311" i="10" s="1"/>
  <c r="Y312" i="10" a="1"/>
  <c r="Y312" i="10" s="1"/>
  <c r="Y313" i="10" a="1"/>
  <c r="Y313" i="10" s="1"/>
  <c r="AB313" i="10" a="1"/>
  <c r="AB313" i="10" s="1"/>
  <c r="AB314" i="10" a="1"/>
  <c r="AB314" i="10" s="1"/>
  <c r="AA315" i="10" a="1"/>
  <c r="AA315" i="10" s="1"/>
  <c r="AA316" i="10" a="1"/>
  <c r="AA316" i="10" s="1"/>
  <c r="Z318" i="10" a="1"/>
  <c r="Z318" i="10" s="1"/>
  <c r="Z319" i="10" a="1"/>
  <c r="Z319" i="10" s="1"/>
  <c r="Y320" i="10" a="1"/>
  <c r="Y320" i="10" s="1"/>
  <c r="Y321" i="10" a="1"/>
  <c r="Y321" i="10" s="1"/>
  <c r="Y322" i="10" a="1"/>
  <c r="Y322" i="10" s="1"/>
  <c r="Y323" i="10" a="1"/>
  <c r="Y323" i="10" s="1"/>
  <c r="Y324" i="10" a="1"/>
  <c r="Y324" i="10" s="1"/>
  <c r="Y325" i="10" a="1"/>
  <c r="Y325" i="10" s="1"/>
  <c r="Y326" i="10" a="1"/>
  <c r="Y326" i="10" s="1"/>
  <c r="Y327" i="10" a="1"/>
  <c r="Y327" i="10" s="1"/>
  <c r="Y328" i="10" a="1"/>
  <c r="Y328" i="10" s="1"/>
  <c r="Y329" i="10" a="1"/>
  <c r="Y329" i="10" s="1"/>
  <c r="Y330" i="10" a="1"/>
  <c r="Y330" i="10" s="1"/>
  <c r="Y331" i="10" a="1"/>
  <c r="Y331" i="10" s="1"/>
  <c r="Y332" i="10" a="1"/>
  <c r="Y332" i="10" s="1"/>
  <c r="Y333" i="10" a="1"/>
  <c r="Y333" i="10" s="1"/>
  <c r="Y334" i="10" a="1"/>
  <c r="Y334" i="10" s="1"/>
  <c r="Y335" i="10" a="1"/>
  <c r="Y335" i="10" s="1"/>
  <c r="Y339" i="10" a="1"/>
  <c r="Y339" i="10" s="1"/>
  <c r="Y343" i="10" a="1"/>
  <c r="Y343" i="10" s="1"/>
  <c r="Y347" i="10" a="1"/>
  <c r="Y347" i="10" s="1"/>
  <c r="Y351" i="10" a="1"/>
  <c r="Y351" i="10" s="1"/>
  <c r="Y355" i="10" a="1"/>
  <c r="Y355" i="10" s="1"/>
  <c r="Y359" i="10" a="1"/>
  <c r="Y359" i="10" s="1"/>
  <c r="AB366" i="10" a="1"/>
  <c r="AB366" i="10" s="1"/>
  <c r="AA370" i="10" a="1"/>
  <c r="AA370" i="10" s="1"/>
  <c r="Z374" i="10" a="1"/>
  <c r="Z374" i="10" s="1"/>
  <c r="Y378" i="10" a="1"/>
  <c r="Y378" i="10" s="1"/>
  <c r="AB381" i="10" a="1"/>
  <c r="AB381" i="10" s="1"/>
  <c r="AB383" i="10" a="1"/>
  <c r="AB383" i="10" s="1"/>
  <c r="Y385" i="10" a="1"/>
  <c r="Y385" i="10" s="1"/>
  <c r="Y386" i="10" a="1"/>
  <c r="Y386" i="10" s="1"/>
  <c r="AB387" i="10" a="1"/>
  <c r="AB387" i="10" s="1"/>
  <c r="AB388" i="10" a="1"/>
  <c r="AB388" i="10" s="1"/>
  <c r="AB389" i="10" a="1"/>
  <c r="AB389" i="10" s="1"/>
  <c r="AB390" i="10" a="1"/>
  <c r="AB390" i="10" s="1"/>
  <c r="AA391" i="10" a="1"/>
  <c r="AA391" i="10" s="1"/>
  <c r="AA392" i="10" a="1"/>
  <c r="AA392" i="10" s="1"/>
  <c r="AA393" i="10" a="1"/>
  <c r="AA393" i="10" s="1"/>
  <c r="AA394" i="10" a="1"/>
  <c r="AA394" i="10" s="1"/>
  <c r="Z395" i="10" a="1"/>
  <c r="Z395" i="10" s="1"/>
  <c r="Z396" i="10" a="1"/>
  <c r="Z396" i="10" s="1"/>
  <c r="Z397" i="10" a="1"/>
  <c r="Z397" i="10" s="1"/>
  <c r="Y398" i="10" a="1"/>
  <c r="Y398" i="10" s="1"/>
  <c r="Y399" i="10" a="1"/>
  <c r="Y399" i="10" s="1"/>
  <c r="AB399" i="10" a="1"/>
  <c r="AB399" i="10" s="1"/>
  <c r="AB400" i="10" a="1"/>
  <c r="AB400" i="10" s="1"/>
  <c r="AA401" i="10" a="1"/>
  <c r="AA401" i="10" s="1"/>
  <c r="AA402" i="10" a="1"/>
  <c r="AA402" i="10" s="1"/>
  <c r="AA403" i="10" a="1"/>
  <c r="AA403" i="10" s="1"/>
  <c r="AA404" i="10" a="1"/>
  <c r="AA404" i="10" s="1"/>
  <c r="Z406" i="10" a="1"/>
  <c r="Z406" i="10" s="1"/>
  <c r="Z407" i="10" a="1"/>
  <c r="Z407" i="10" s="1"/>
  <c r="Z408" i="10" a="1"/>
  <c r="Z408" i="10" s="1"/>
  <c r="Z409" i="10" a="1"/>
  <c r="Z409" i="10" s="1"/>
  <c r="Y410" i="10" a="1"/>
  <c r="Y410" i="10" s="1"/>
  <c r="Y411" i="10" a="1"/>
  <c r="Y411" i="10" s="1"/>
  <c r="Y412" i="10" a="1"/>
  <c r="Y412" i="10" s="1"/>
  <c r="Y413" i="10" a="1"/>
  <c r="Y413" i="10" s="1"/>
  <c r="AB413" i="10" a="1"/>
  <c r="AB413" i="10" s="1"/>
  <c r="AB414" i="10" a="1"/>
  <c r="AB414" i="10" s="1"/>
  <c r="AB415" i="10" a="1"/>
  <c r="AB415" i="10" s="1"/>
  <c r="AB416" i="10" a="1"/>
  <c r="AB416" i="10" s="1"/>
  <c r="AA417" i="10" a="1"/>
  <c r="AA417" i="10" s="1"/>
  <c r="Z418" i="10" a="1"/>
  <c r="Z418" i="10" s="1"/>
  <c r="Z419" i="10" a="1"/>
  <c r="Z419" i="10" s="1"/>
  <c r="Z420" i="10" a="1"/>
  <c r="Z420" i="10" s="1"/>
  <c r="Z421" i="10" a="1"/>
  <c r="Z421" i="10" s="1"/>
  <c r="AB422" i="10" a="1"/>
  <c r="AB422" i="10" s="1"/>
  <c r="AB423" i="10" a="1"/>
  <c r="AB423" i="10" s="1"/>
  <c r="AB424" i="10" a="1"/>
  <c r="AB424" i="10" s="1"/>
  <c r="AA425" i="10" a="1"/>
  <c r="AA425" i="10" s="1"/>
  <c r="Z426" i="10" a="1"/>
  <c r="Z426" i="10" s="1"/>
  <c r="Z427" i="10" a="1"/>
  <c r="Z427" i="10" s="1"/>
  <c r="Z428" i="10" a="1"/>
  <c r="Z428" i="10" s="1"/>
  <c r="Z429" i="10" a="1"/>
  <c r="Z429" i="10" s="1"/>
  <c r="AB430" i="10" a="1"/>
  <c r="AB430" i="10" s="1"/>
  <c r="AB431" i="10" a="1"/>
  <c r="AB431" i="10" s="1"/>
  <c r="AB432" i="10" a="1"/>
  <c r="AB432" i="10" s="1"/>
  <c r="AA433" i="10" a="1"/>
  <c r="AA433" i="10" s="1"/>
  <c r="Z434" i="10" a="1"/>
  <c r="Z434" i="10" s="1"/>
  <c r="Z435" i="10" a="1"/>
  <c r="Z435" i="10" s="1"/>
  <c r="Z436" i="10" a="1"/>
  <c r="Z436" i="10" s="1"/>
  <c r="Z437" i="10" a="1"/>
  <c r="Z437" i="10" s="1"/>
  <c r="AB438" i="10" a="1"/>
  <c r="AB438" i="10" s="1"/>
  <c r="AB439" i="10" a="1"/>
  <c r="AB439" i="10" s="1"/>
  <c r="AB440" i="10" a="1"/>
  <c r="AB440" i="10" s="1"/>
  <c r="AA441" i="10" a="1"/>
  <c r="AA441" i="10" s="1"/>
  <c r="Z442" i="10" a="1"/>
  <c r="Z442" i="10" s="1"/>
  <c r="Z443" i="10" a="1"/>
  <c r="Z443" i="10" s="1"/>
  <c r="Z444" i="10" a="1"/>
  <c r="Z444" i="10" s="1"/>
  <c r="Z445" i="10" a="1"/>
  <c r="Z445" i="10" s="1"/>
  <c r="AB446" i="10" a="1"/>
  <c r="AB446" i="10" s="1"/>
  <c r="AB447" i="10" a="1"/>
  <c r="AB447" i="10" s="1"/>
  <c r="AB448" i="10" a="1"/>
  <c r="AB448" i="10" s="1"/>
  <c r="AA449" i="10" a="1"/>
  <c r="AA449" i="10" s="1"/>
  <c r="Z450" i="10" a="1"/>
  <c r="Z450" i="10" s="1"/>
  <c r="Z451" i="10" a="1"/>
  <c r="Z451" i="10" s="1"/>
  <c r="Z452" i="10" a="1"/>
  <c r="Z452" i="10" s="1"/>
  <c r="Z453" i="10" a="1"/>
  <c r="Z453" i="10" s="1"/>
  <c r="AB454" i="10" a="1"/>
  <c r="AB454" i="10" s="1"/>
  <c r="AB455" i="10" a="1"/>
  <c r="AB455" i="10" s="1"/>
  <c r="AB456" i="10" a="1"/>
  <c r="AB456" i="10" s="1"/>
  <c r="AA457" i="10" a="1"/>
  <c r="AA457" i="10" s="1"/>
  <c r="Z458" i="10" a="1"/>
  <c r="Z458" i="10" s="1"/>
  <c r="Z459" i="10" a="1"/>
  <c r="Z459" i="10" s="1"/>
  <c r="Z460" i="10" a="1"/>
  <c r="Z460" i="10" s="1"/>
  <c r="Z461" i="10" a="1"/>
  <c r="Z461" i="10" s="1"/>
  <c r="AB462" i="10" a="1"/>
  <c r="AB462" i="10" s="1"/>
  <c r="AB463" i="10" a="1"/>
  <c r="AB463" i="10" s="1"/>
  <c r="AB464" i="10" a="1"/>
  <c r="AB464" i="10" s="1"/>
  <c r="AA465" i="10" a="1"/>
  <c r="AA465" i="10" s="1"/>
  <c r="Z466" i="10" a="1"/>
  <c r="Z466" i="10" s="1"/>
  <c r="Z467" i="10" a="1"/>
  <c r="Z467" i="10" s="1"/>
  <c r="Z468" i="10" a="1"/>
  <c r="Z468" i="10" s="1"/>
  <c r="Z469" i="10" a="1"/>
  <c r="Z469" i="10" s="1"/>
  <c r="AB470" i="10" a="1"/>
  <c r="AB470" i="10" s="1"/>
  <c r="AB471" i="10" a="1"/>
  <c r="AB471" i="10" s="1"/>
  <c r="AB472" i="10" a="1"/>
  <c r="AB472" i="10" s="1"/>
  <c r="AA473" i="10" a="1"/>
  <c r="AA473" i="10" s="1"/>
  <c r="Z474" i="10" a="1"/>
  <c r="Z474" i="10" s="1"/>
  <c r="Z475" i="10" a="1"/>
  <c r="Z475" i="10" s="1"/>
  <c r="Y476" i="10" a="1"/>
  <c r="Y476" i="10" s="1"/>
  <c r="Y477" i="10" a="1"/>
  <c r="Y477" i="10" s="1"/>
  <c r="Y478" i="10" a="1"/>
  <c r="Y478" i="10" s="1"/>
  <c r="Y479" i="10" a="1"/>
  <c r="Y479" i="10" s="1"/>
  <c r="Y480" i="10" a="1"/>
  <c r="Y480" i="10" s="1"/>
  <c r="Y481" i="10" a="1"/>
  <c r="Y481" i="10" s="1"/>
  <c r="AB482" i="10" a="1"/>
  <c r="AB482" i="10" s="1"/>
  <c r="AA483" i="10" a="1"/>
  <c r="AA483" i="10" s="1"/>
  <c r="AA484" i="10" a="1"/>
  <c r="AA484" i="10" s="1"/>
  <c r="AA485" i="10" a="1"/>
  <c r="AA485" i="10" s="1"/>
  <c r="Z486" i="10" a="1"/>
  <c r="Z486" i="10" s="1"/>
  <c r="Z487" i="10" a="1"/>
  <c r="Z487" i="10" s="1"/>
  <c r="Y488" i="10" a="1"/>
  <c r="Y488" i="10" s="1"/>
  <c r="Y489" i="10" a="1"/>
  <c r="Y489" i="10" s="1"/>
  <c r="AB490" i="10" a="1"/>
  <c r="AB490" i="10" s="1"/>
  <c r="AA491" i="10" a="1"/>
  <c r="AA491" i="10" s="1"/>
  <c r="AA492" i="10" a="1"/>
  <c r="AA492" i="10" s="1"/>
  <c r="AA493" i="10" a="1"/>
  <c r="AA493" i="10" s="1"/>
  <c r="Z494" i="10" a="1"/>
  <c r="Z494" i="10" s="1"/>
  <c r="Z495" i="10" a="1"/>
  <c r="Z495" i="10" s="1"/>
  <c r="Y496" i="10" a="1"/>
  <c r="Y496" i="10" s="1"/>
  <c r="Y497" i="10" a="1"/>
  <c r="Y497" i="10" s="1"/>
  <c r="Y498" i="10" a="1"/>
  <c r="Y498" i="10" s="1"/>
  <c r="Y499" i="10" a="1"/>
  <c r="Y499" i="10" s="1"/>
  <c r="Y500" i="10" a="1"/>
  <c r="Y500" i="10" s="1"/>
  <c r="Y501" i="10" a="1"/>
  <c r="Y501" i="10" s="1"/>
  <c r="AB502" i="10" a="1"/>
  <c r="AB502" i="10" s="1"/>
  <c r="AB503" i="10" a="1"/>
  <c r="AB503" i="10" s="1"/>
  <c r="AA504" i="10" a="1"/>
  <c r="AA504" i="10" s="1"/>
  <c r="AA505" i="10" a="1"/>
  <c r="AA505" i="10" s="1"/>
  <c r="AA506" i="10" a="1"/>
  <c r="AA506" i="10" s="1"/>
  <c r="AA507" i="10" a="1"/>
  <c r="AA507" i="10" s="1"/>
  <c r="AA508" i="10" a="1"/>
  <c r="AA508" i="10" s="1"/>
  <c r="AA509" i="10" a="1"/>
  <c r="AA509" i="10" s="1"/>
  <c r="Z510" i="10" a="1"/>
  <c r="Z510" i="10" s="1"/>
  <c r="Z511" i="10" a="1"/>
  <c r="Z511" i="10" s="1"/>
  <c r="Y512" i="10" a="1"/>
  <c r="Y512" i="10" s="1"/>
  <c r="Y513" i="10" a="1"/>
  <c r="Y513" i="10" s="1"/>
  <c r="Y514" i="10" a="1"/>
  <c r="Y514" i="10" s="1"/>
  <c r="Y515" i="10" a="1"/>
  <c r="Y515" i="10" s="1"/>
  <c r="Y516" i="10" a="1"/>
  <c r="Y516" i="10" s="1"/>
  <c r="Y517" i="10" a="1"/>
  <c r="Y517" i="10" s="1"/>
  <c r="AB518" i="10" a="1"/>
  <c r="AB518" i="10" s="1"/>
  <c r="AB519" i="10" a="1"/>
  <c r="AB519" i="10" s="1"/>
  <c r="AA520" i="10" a="1"/>
  <c r="AA520" i="10" s="1"/>
  <c r="AA521" i="10" a="1"/>
  <c r="AA521" i="10" s="1"/>
  <c r="AA522" i="10" a="1"/>
  <c r="AA522" i="10" s="1"/>
  <c r="AA523" i="10" a="1"/>
  <c r="AA523" i="10" s="1"/>
  <c r="AA524" i="10" a="1"/>
  <c r="AA524" i="10" s="1"/>
  <c r="Y336" i="10" a="1"/>
  <c r="Y336" i="10" s="1"/>
  <c r="Y340" i="10" a="1"/>
  <c r="Y340" i="10" s="1"/>
  <c r="Y344" i="10" a="1"/>
  <c r="Y344" i="10" s="1"/>
  <c r="Y348" i="10" a="1"/>
  <c r="Y348" i="10" s="1"/>
  <c r="Y352" i="10" a="1"/>
  <c r="Y352" i="10" s="1"/>
  <c r="Y356" i="10" a="1"/>
  <c r="Y356" i="10" s="1"/>
  <c r="Y360" i="10" a="1"/>
  <c r="Y360" i="10" s="1"/>
  <c r="AB363" i="10" a="1"/>
  <c r="AB363" i="10" s="1"/>
  <c r="AA367" i="10" a="1"/>
  <c r="AA367" i="10" s="1"/>
  <c r="Z371" i="10" a="1"/>
  <c r="Z371" i="10" s="1"/>
  <c r="Y375" i="10" a="1"/>
  <c r="Y375" i="10" s="1"/>
  <c r="AB382" i="10" a="1"/>
  <c r="AB382" i="10" s="1"/>
  <c r="Y384" i="10" a="1"/>
  <c r="Y384" i="10" s="1"/>
  <c r="Z385" i="10" a="1"/>
  <c r="Z385" i="10" s="1"/>
  <c r="Z386" i="10" a="1"/>
  <c r="Z386" i="10" s="1"/>
  <c r="Y387" i="10" a="1"/>
  <c r="Y387" i="10" s="1"/>
  <c r="Y388" i="10" a="1"/>
  <c r="Y388" i="10" s="1"/>
  <c r="Y389" i="10" a="1"/>
  <c r="Y389" i="10" s="1"/>
  <c r="Y390" i="10" a="1"/>
  <c r="Y390" i="10" s="1"/>
  <c r="AB391" i="10" a="1"/>
  <c r="AB391" i="10" s="1"/>
  <c r="AB392" i="10" a="1"/>
  <c r="AB392" i="10" s="1"/>
  <c r="AB393" i="10" a="1"/>
  <c r="AB393" i="10" s="1"/>
  <c r="AB394" i="10" a="1"/>
  <c r="AB394" i="10" s="1"/>
  <c r="AA395" i="10" a="1"/>
  <c r="AA395" i="10" s="1"/>
  <c r="AA396" i="10" a="1"/>
  <c r="AA396" i="10" s="1"/>
  <c r="AA397" i="10" a="1"/>
  <c r="AA397" i="10" s="1"/>
  <c r="Z398" i="10" a="1"/>
  <c r="Z398" i="10" s="1"/>
  <c r="Z399" i="10" a="1"/>
  <c r="Z399" i="10" s="1"/>
  <c r="Y400" i="10" a="1"/>
  <c r="Y400" i="10" s="1"/>
  <c r="Y401" i="10" a="1"/>
  <c r="Y401" i="10" s="1"/>
  <c r="AB401" i="10" a="1"/>
  <c r="AB401" i="10" s="1"/>
  <c r="AB402" i="10" a="1"/>
  <c r="AB402" i="10" s="1"/>
  <c r="AB403" i="10" a="1"/>
  <c r="AB403" i="10" s="1"/>
  <c r="AB404" i="10" a="1"/>
  <c r="AB404" i="10" s="1"/>
  <c r="AA405" i="10" a="1"/>
  <c r="AA405" i="10" s="1"/>
  <c r="AA406" i="10" a="1"/>
  <c r="AA406" i="10" s="1"/>
  <c r="AA407" i="10" a="1"/>
  <c r="AA407" i="10" s="1"/>
  <c r="AA408" i="10" a="1"/>
  <c r="AA408" i="10" s="1"/>
  <c r="Z410" i="10" a="1"/>
  <c r="Z410" i="10" s="1"/>
  <c r="Z411" i="10" a="1"/>
  <c r="Z411" i="10" s="1"/>
  <c r="Z412" i="10" a="1"/>
  <c r="Z412" i="10" s="1"/>
  <c r="Z413" i="10" a="1"/>
  <c r="Z413" i="10" s="1"/>
  <c r="Y414" i="10" a="1"/>
  <c r="Y414" i="10" s="1"/>
  <c r="Y415" i="10" a="1"/>
  <c r="Y415" i="10" s="1"/>
  <c r="Y416" i="10" a="1"/>
  <c r="Y416" i="10" s="1"/>
  <c r="Y417" i="10" a="1"/>
  <c r="Y417" i="10" s="1"/>
  <c r="AB417" i="10" a="1"/>
  <c r="AB417" i="10" s="1"/>
  <c r="AA418" i="10" a="1"/>
  <c r="AA418" i="10" s="1"/>
  <c r="AA419" i="10" a="1"/>
  <c r="AA419" i="10" s="1"/>
  <c r="AA420" i="10" a="1"/>
  <c r="AA420" i="10" s="1"/>
  <c r="Y422" i="10" a="1"/>
  <c r="Y422" i="10" s="1"/>
  <c r="Y423" i="10" a="1"/>
  <c r="Y423" i="10" s="1"/>
  <c r="Y424" i="10" a="1"/>
  <c r="Y424" i="10" s="1"/>
  <c r="Y425" i="10" a="1"/>
  <c r="Y425" i="10" s="1"/>
  <c r="AB425" i="10" a="1"/>
  <c r="AB425" i="10" s="1"/>
  <c r="AA426" i="10" a="1"/>
  <c r="AA426" i="10" s="1"/>
  <c r="AA427" i="10" a="1"/>
  <c r="AA427" i="10" s="1"/>
  <c r="AA428" i="10" a="1"/>
  <c r="AA428" i="10" s="1"/>
  <c r="Y430" i="10" a="1"/>
  <c r="Y430" i="10" s="1"/>
  <c r="Y431" i="10" a="1"/>
  <c r="Y431" i="10" s="1"/>
  <c r="Y432" i="10" a="1"/>
  <c r="Y432" i="10" s="1"/>
  <c r="Y433" i="10" a="1"/>
  <c r="Y433" i="10" s="1"/>
  <c r="AB433" i="10" a="1"/>
  <c r="AB433" i="10" s="1"/>
  <c r="AA434" i="10" a="1"/>
  <c r="AA434" i="10" s="1"/>
  <c r="AA435" i="10" a="1"/>
  <c r="AA435" i="10" s="1"/>
  <c r="AA436" i="10" a="1"/>
  <c r="AA436" i="10" s="1"/>
  <c r="Y438" i="10" a="1"/>
  <c r="Y438" i="10" s="1"/>
  <c r="Y439" i="10" a="1"/>
  <c r="Y439" i="10" s="1"/>
  <c r="Y440" i="10" a="1"/>
  <c r="Y440" i="10" s="1"/>
  <c r="Y441" i="10" a="1"/>
  <c r="Y441" i="10" s="1"/>
  <c r="AB441" i="10" a="1"/>
  <c r="AB441" i="10" s="1"/>
  <c r="AA442" i="10" a="1"/>
  <c r="AA442" i="10" s="1"/>
  <c r="AA443" i="10" a="1"/>
  <c r="AA443" i="10" s="1"/>
  <c r="AA444" i="10" a="1"/>
  <c r="AA444" i="10" s="1"/>
  <c r="Y446" i="10" a="1"/>
  <c r="Y446" i="10" s="1"/>
  <c r="Y447" i="10" a="1"/>
  <c r="Y447" i="10" s="1"/>
  <c r="Y448" i="10" a="1"/>
  <c r="Y448" i="10" s="1"/>
  <c r="Y449" i="10" a="1"/>
  <c r="Y449" i="10" s="1"/>
  <c r="AB449" i="10" a="1"/>
  <c r="AB449" i="10" s="1"/>
  <c r="AA450" i="10" a="1"/>
  <c r="AA450" i="10" s="1"/>
  <c r="AA451" i="10" a="1"/>
  <c r="AA451" i="10" s="1"/>
  <c r="AA452" i="10" a="1"/>
  <c r="AA452" i="10" s="1"/>
  <c r="Y454" i="10" a="1"/>
  <c r="Y454" i="10" s="1"/>
  <c r="Y455" i="10" a="1"/>
  <c r="Y455" i="10" s="1"/>
  <c r="Y456" i="10" a="1"/>
  <c r="Y456" i="10" s="1"/>
  <c r="Y457" i="10" a="1"/>
  <c r="Y457" i="10" s="1"/>
  <c r="AB457" i="10" a="1"/>
  <c r="AB457" i="10" s="1"/>
  <c r="AA458" i="10" a="1"/>
  <c r="AA458" i="10" s="1"/>
  <c r="AA459" i="10" a="1"/>
  <c r="AA459" i="10" s="1"/>
  <c r="AA460" i="10" a="1"/>
  <c r="AA460" i="10" s="1"/>
  <c r="Y462" i="10" a="1"/>
  <c r="Y462" i="10" s="1"/>
  <c r="Y463" i="10" a="1"/>
  <c r="Y463" i="10" s="1"/>
  <c r="Y464" i="10" a="1"/>
  <c r="Y464" i="10" s="1"/>
  <c r="Y465" i="10" a="1"/>
  <c r="Y465" i="10" s="1"/>
  <c r="AB465" i="10" a="1"/>
  <c r="AB465" i="10" s="1"/>
  <c r="AA466" i="10" a="1"/>
  <c r="AA466" i="10" s="1"/>
  <c r="AA467" i="10" a="1"/>
  <c r="AA467" i="10" s="1"/>
  <c r="AA468" i="10" a="1"/>
  <c r="AA468" i="10" s="1"/>
  <c r="Y470" i="10" a="1"/>
  <c r="Y470" i="10" s="1"/>
  <c r="Y471" i="10" a="1"/>
  <c r="Y471" i="10" s="1"/>
  <c r="Y472" i="10" a="1"/>
  <c r="Y472" i="10" s="1"/>
  <c r="Y473" i="10" a="1"/>
  <c r="Y473" i="10" s="1"/>
  <c r="AB473" i="10" a="1"/>
  <c r="AB473" i="10" s="1"/>
  <c r="AA474" i="10" a="1"/>
  <c r="AA474" i="10" s="1"/>
  <c r="AA475" i="10" a="1"/>
  <c r="AA475" i="10" s="1"/>
  <c r="Z476" i="10" a="1"/>
  <c r="Z476" i="10" s="1"/>
  <c r="Z477" i="10" a="1"/>
  <c r="Z477" i="10" s="1"/>
  <c r="Z478" i="10" a="1"/>
  <c r="Z478" i="10" s="1"/>
  <c r="Z479" i="10" a="1"/>
  <c r="Z479" i="10" s="1"/>
  <c r="Z480" i="10" a="1"/>
  <c r="Z480" i="10" s="1"/>
  <c r="Z481" i="10" a="1"/>
  <c r="Z481" i="10" s="1"/>
  <c r="Y482" i="10" a="1"/>
  <c r="Y482" i="10" s="1"/>
  <c r="Y483" i="10" a="1"/>
  <c r="Y483" i="10" s="1"/>
  <c r="AB483" i="10" a="1"/>
  <c r="AB483" i="10" s="1"/>
  <c r="AB484" i="10" a="1"/>
  <c r="AB484" i="10" s="1"/>
  <c r="AB485" i="10" a="1"/>
  <c r="AB485" i="10" s="1"/>
  <c r="AA486" i="10" a="1"/>
  <c r="AA486" i="10" s="1"/>
  <c r="Z488" i="10" a="1"/>
  <c r="Z488" i="10" s="1"/>
  <c r="Z489" i="10" a="1"/>
  <c r="Z489" i="10" s="1"/>
  <c r="Y490" i="10" a="1"/>
  <c r="Y490" i="10" s="1"/>
  <c r="Y491" i="10" a="1"/>
  <c r="Y491" i="10" s="1"/>
  <c r="AB491" i="10" a="1"/>
  <c r="AB491" i="10" s="1"/>
  <c r="AB492" i="10" a="1"/>
  <c r="AB492" i="10" s="1"/>
  <c r="AB493" i="10" a="1"/>
  <c r="AB493" i="10" s="1"/>
  <c r="AA494" i="10" a="1"/>
  <c r="AA494" i="10" s="1"/>
  <c r="AA495" i="10" a="1"/>
  <c r="AA495" i="10" s="1"/>
  <c r="Z496" i="10" a="1"/>
  <c r="Z496" i="10" s="1"/>
  <c r="Z497" i="10" a="1"/>
  <c r="Z497" i="10" s="1"/>
  <c r="Z498" i="10" a="1"/>
  <c r="Z498" i="10" s="1"/>
  <c r="Z499" i="10" a="1"/>
  <c r="Z499" i="10" s="1"/>
  <c r="Z500" i="10" a="1"/>
  <c r="Z500" i="10" s="1"/>
  <c r="Z501" i="10" a="1"/>
  <c r="Z501" i="10" s="1"/>
  <c r="Y502" i="10" a="1"/>
  <c r="Y502" i="10" s="1"/>
  <c r="Y503" i="10" a="1"/>
  <c r="Y503" i="10" s="1"/>
  <c r="AB504" i="10" a="1"/>
  <c r="AB504" i="10" s="1"/>
  <c r="AB505" i="10" a="1"/>
  <c r="AB505" i="10" s="1"/>
  <c r="AB506" i="10" a="1"/>
  <c r="AB506" i="10" s="1"/>
  <c r="AB507" i="10" a="1"/>
  <c r="AB507" i="10" s="1"/>
  <c r="AB508" i="10" a="1"/>
  <c r="AB508" i="10" s="1"/>
  <c r="AB509" i="10" a="1"/>
  <c r="AB509" i="10" s="1"/>
  <c r="AA510" i="10" a="1"/>
  <c r="AA510" i="10" s="1"/>
  <c r="AA511" i="10" a="1"/>
  <c r="AA511" i="10" s="1"/>
  <c r="Z512" i="10" a="1"/>
  <c r="Z512" i="10" s="1"/>
  <c r="Z513" i="10" a="1"/>
  <c r="Z513" i="10" s="1"/>
  <c r="Z514" i="10" a="1"/>
  <c r="Z514" i="10" s="1"/>
  <c r="Z515" i="10" a="1"/>
  <c r="Z515" i="10" s="1"/>
  <c r="Z516" i="10" a="1"/>
  <c r="Z516" i="10" s="1"/>
  <c r="Z517" i="10" a="1"/>
  <c r="Z517" i="10" s="1"/>
  <c r="Y518" i="10" a="1"/>
  <c r="Y518" i="10" s="1"/>
  <c r="Y519" i="10" a="1"/>
  <c r="Y519" i="10" s="1"/>
  <c r="AB520" i="10" a="1"/>
  <c r="AB520" i="10" s="1"/>
  <c r="AB521" i="10" a="1"/>
  <c r="AB521" i="10" s="1"/>
  <c r="AB522" i="10" a="1"/>
  <c r="AB522" i="10" s="1"/>
  <c r="AB523" i="10" a="1"/>
  <c r="AB523" i="10" s="1"/>
  <c r="Y337" i="10" a="1"/>
  <c r="Y337" i="10" s="1"/>
  <c r="Y341" i="10" a="1"/>
  <c r="Y341" i="10" s="1"/>
  <c r="Y345" i="10" a="1"/>
  <c r="Y345" i="10" s="1"/>
  <c r="Y349" i="10" a="1"/>
  <c r="Y349" i="10" s="1"/>
  <c r="Y353" i="10" a="1"/>
  <c r="Y353" i="10" s="1"/>
  <c r="Y357" i="10" a="1"/>
  <c r="Y357" i="10" s="1"/>
  <c r="Y361" i="10" a="1"/>
  <c r="Y361" i="10" s="1"/>
  <c r="AB364" i="10" a="1"/>
  <c r="AB364" i="10" s="1"/>
  <c r="AA368" i="10" a="1"/>
  <c r="AA368" i="10" s="1"/>
  <c r="Z372" i="10" a="1"/>
  <c r="Z372" i="10" s="1"/>
  <c r="Y376" i="10" a="1"/>
  <c r="Y376" i="10" s="1"/>
  <c r="AB379" i="10" a="1"/>
  <c r="AB379" i="10" s="1"/>
  <c r="AA384" i="10" a="1"/>
  <c r="AA384" i="10" s="1"/>
  <c r="AA385" i="10" a="1"/>
  <c r="AA385" i="10" s="1"/>
  <c r="AA386" i="10" a="1"/>
  <c r="AA386" i="10" s="1"/>
  <c r="Z387" i="10" a="1"/>
  <c r="Z387" i="10" s="1"/>
  <c r="Z388" i="10" a="1"/>
  <c r="Z388" i="10" s="1"/>
  <c r="Z389" i="10" a="1"/>
  <c r="Z389" i="10" s="1"/>
  <c r="Z390" i="10" a="1"/>
  <c r="Z390" i="10" s="1"/>
  <c r="Y391" i="10" a="1"/>
  <c r="Y391" i="10" s="1"/>
  <c r="Y392" i="10" a="1"/>
  <c r="Y392" i="10" s="1"/>
  <c r="Y393" i="10" a="1"/>
  <c r="Y393" i="10" s="1"/>
  <c r="Y394" i="10" a="1"/>
  <c r="Y394" i="10" s="1"/>
  <c r="AB395" i="10" a="1"/>
  <c r="AB395" i="10" s="1"/>
  <c r="AB396" i="10" a="1"/>
  <c r="AB396" i="10" s="1"/>
  <c r="AB397" i="10" a="1"/>
  <c r="AB397" i="10" s="1"/>
  <c r="AA398" i="10" a="1"/>
  <c r="AA398" i="10" s="1"/>
  <c r="Z400" i="10" a="1"/>
  <c r="Z400" i="10" s="1"/>
  <c r="Z401" i="10" a="1"/>
  <c r="Z401" i="10" s="1"/>
  <c r="Y402" i="10" a="1"/>
  <c r="Y402" i="10" s="1"/>
  <c r="Y403" i="10" a="1"/>
  <c r="Y403" i="10" s="1"/>
  <c r="Y404" i="10" a="1"/>
  <c r="Y404" i="10" s="1"/>
  <c r="Y405" i="10" a="1"/>
  <c r="Y405" i="10" s="1"/>
  <c r="AB405" i="10" a="1"/>
  <c r="AB405" i="10" s="1"/>
  <c r="AB406" i="10" a="1"/>
  <c r="AB406" i="10" s="1"/>
  <c r="AB407" i="10" a="1"/>
  <c r="AB407" i="10" s="1"/>
  <c r="AB408" i="10" a="1"/>
  <c r="AB408" i="10" s="1"/>
  <c r="AA409" i="10" a="1"/>
  <c r="AA409" i="10" s="1"/>
  <c r="AA410" i="10" a="1"/>
  <c r="AA410" i="10" s="1"/>
  <c r="AA411" i="10" a="1"/>
  <c r="AA411" i="10" s="1"/>
  <c r="AA412" i="10" a="1"/>
  <c r="AA412" i="10" s="1"/>
  <c r="Z414" i="10" a="1"/>
  <c r="Z414" i="10" s="1"/>
  <c r="Z415" i="10" a="1"/>
  <c r="Z415" i="10" s="1"/>
  <c r="Z416" i="10" a="1"/>
  <c r="Z416" i="10" s="1"/>
  <c r="Z417" i="10" a="1"/>
  <c r="Z417" i="10" s="1"/>
  <c r="AB418" i="10" a="1"/>
  <c r="AB418" i="10" s="1"/>
  <c r="AB419" i="10" a="1"/>
  <c r="AB419" i="10" s="1"/>
  <c r="AB420" i="10" a="1"/>
  <c r="AB420" i="10" s="1"/>
  <c r="AA421" i="10" a="1"/>
  <c r="AA421" i="10" s="1"/>
  <c r="Z422" i="10" a="1"/>
  <c r="Z422" i="10" s="1"/>
  <c r="Z423" i="10" a="1"/>
  <c r="Z423" i="10" s="1"/>
  <c r="Z424" i="10" a="1"/>
  <c r="Z424" i="10" s="1"/>
  <c r="Z425" i="10" a="1"/>
  <c r="Z425" i="10" s="1"/>
  <c r="AB426" i="10" a="1"/>
  <c r="AB426" i="10" s="1"/>
  <c r="AB427" i="10" a="1"/>
  <c r="AB427" i="10" s="1"/>
  <c r="AB428" i="10" a="1"/>
  <c r="AB428" i="10" s="1"/>
  <c r="AA429" i="10" a="1"/>
  <c r="AA429" i="10" s="1"/>
  <c r="Z430" i="10" a="1"/>
  <c r="Z430" i="10" s="1"/>
  <c r="Z431" i="10" a="1"/>
  <c r="Z431" i="10" s="1"/>
  <c r="Z432" i="10" a="1"/>
  <c r="Z432" i="10" s="1"/>
  <c r="Z433" i="10" a="1"/>
  <c r="Z433" i="10" s="1"/>
  <c r="AB434" i="10" a="1"/>
  <c r="AB434" i="10" s="1"/>
  <c r="AB435" i="10" a="1"/>
  <c r="AB435" i="10" s="1"/>
  <c r="AB436" i="10" a="1"/>
  <c r="AB436" i="10" s="1"/>
  <c r="AA437" i="10" a="1"/>
  <c r="AA437" i="10" s="1"/>
  <c r="Z438" i="10" a="1"/>
  <c r="Z438" i="10" s="1"/>
  <c r="Z439" i="10" a="1"/>
  <c r="Z439" i="10" s="1"/>
  <c r="Z440" i="10" a="1"/>
  <c r="Z440" i="10" s="1"/>
  <c r="Z441" i="10" a="1"/>
  <c r="Z441" i="10" s="1"/>
  <c r="AB442" i="10" a="1"/>
  <c r="AB442" i="10" s="1"/>
  <c r="AB443" i="10" a="1"/>
  <c r="AB443" i="10" s="1"/>
  <c r="AB444" i="10" a="1"/>
  <c r="AB444" i="10" s="1"/>
  <c r="AA445" i="10" a="1"/>
  <c r="AA445" i="10" s="1"/>
  <c r="Z446" i="10" a="1"/>
  <c r="Z446" i="10" s="1"/>
  <c r="Z447" i="10" a="1"/>
  <c r="Z447" i="10" s="1"/>
  <c r="Z448" i="10" a="1"/>
  <c r="Z448" i="10" s="1"/>
  <c r="Z449" i="10" a="1"/>
  <c r="Z449" i="10" s="1"/>
  <c r="AB450" i="10" a="1"/>
  <c r="AB450" i="10" s="1"/>
  <c r="AB451" i="10" a="1"/>
  <c r="AB451" i="10" s="1"/>
  <c r="AB452" i="10" a="1"/>
  <c r="AB452" i="10" s="1"/>
  <c r="AA453" i="10" a="1"/>
  <c r="AA453" i="10" s="1"/>
  <c r="Z454" i="10" a="1"/>
  <c r="Z454" i="10" s="1"/>
  <c r="Z455" i="10" a="1"/>
  <c r="Z455" i="10" s="1"/>
  <c r="Z456" i="10" a="1"/>
  <c r="Z456" i="10" s="1"/>
  <c r="Z457" i="10" a="1"/>
  <c r="Z457" i="10" s="1"/>
  <c r="AB458" i="10" a="1"/>
  <c r="AB458" i="10" s="1"/>
  <c r="AB459" i="10" a="1"/>
  <c r="AB459" i="10" s="1"/>
  <c r="AB460" i="10" a="1"/>
  <c r="AB460" i="10" s="1"/>
  <c r="AA461" i="10" a="1"/>
  <c r="AA461" i="10" s="1"/>
  <c r="Z462" i="10" a="1"/>
  <c r="Z462" i="10" s="1"/>
  <c r="Z463" i="10" a="1"/>
  <c r="Z463" i="10" s="1"/>
  <c r="Z464" i="10" a="1"/>
  <c r="Z464" i="10" s="1"/>
  <c r="Z465" i="10" a="1"/>
  <c r="Z465" i="10" s="1"/>
  <c r="AB466" i="10" a="1"/>
  <c r="AB466" i="10" s="1"/>
  <c r="AB467" i="10" a="1"/>
  <c r="AB467" i="10" s="1"/>
  <c r="AB468" i="10" a="1"/>
  <c r="AB468" i="10" s="1"/>
  <c r="AA469" i="10" a="1"/>
  <c r="AA469" i="10" s="1"/>
  <c r="Z470" i="10" a="1"/>
  <c r="Z470" i="10" s="1"/>
  <c r="Z471" i="10" a="1"/>
  <c r="Z471" i="10" s="1"/>
  <c r="Z472" i="10" a="1"/>
  <c r="Z472" i="10" s="1"/>
  <c r="Z473" i="10" a="1"/>
  <c r="Z473" i="10" s="1"/>
  <c r="AB474" i="10" a="1"/>
  <c r="AB474" i="10" s="1"/>
  <c r="AB475" i="10" a="1"/>
  <c r="AB475" i="10" s="1"/>
  <c r="AA476" i="10" a="1"/>
  <c r="AA476" i="10" s="1"/>
  <c r="AA477" i="10" a="1"/>
  <c r="AA477" i="10" s="1"/>
  <c r="AA478" i="10" a="1"/>
  <c r="AA478" i="10" s="1"/>
  <c r="AA479" i="10" a="1"/>
  <c r="AA479" i="10" s="1"/>
  <c r="AA480" i="10" a="1"/>
  <c r="AA480" i="10" s="1"/>
  <c r="AA481" i="10" a="1"/>
  <c r="AA481" i="10" s="1"/>
  <c r="Z482" i="10" a="1"/>
  <c r="Z482" i="10" s="1"/>
  <c r="Z483" i="10" a="1"/>
  <c r="Z483" i="10" s="1"/>
  <c r="Y484" i="10" a="1"/>
  <c r="Y484" i="10" s="1"/>
  <c r="Y485" i="10" a="1"/>
  <c r="Y485" i="10" s="1"/>
  <c r="AB486" i="10" a="1"/>
  <c r="AB486" i="10" s="1"/>
  <c r="AA487" i="10" a="1"/>
  <c r="AA487" i="10" s="1"/>
  <c r="AA488" i="10" a="1"/>
  <c r="AA488" i="10" s="1"/>
  <c r="AA489" i="10" a="1"/>
  <c r="AA489" i="10" s="1"/>
  <c r="Z490" i="10" a="1"/>
  <c r="Z490" i="10" s="1"/>
  <c r="Z491" i="10" a="1"/>
  <c r="Z491" i="10" s="1"/>
  <c r="Y492" i="10" a="1"/>
  <c r="Y492" i="10" s="1"/>
  <c r="Y493" i="10" a="1"/>
  <c r="Y493" i="10" s="1"/>
  <c r="AB494" i="10" a="1"/>
  <c r="AB494" i="10" s="1"/>
  <c r="AB495" i="10" a="1"/>
  <c r="AB495" i="10" s="1"/>
  <c r="AA496" i="10" a="1"/>
  <c r="AA496" i="10" s="1"/>
  <c r="AA497" i="10" a="1"/>
  <c r="AA497" i="10" s="1"/>
  <c r="AA498" i="10" a="1"/>
  <c r="AA498" i="10" s="1"/>
  <c r="AA499" i="10" a="1"/>
  <c r="AA499" i="10" s="1"/>
  <c r="AA500" i="10" a="1"/>
  <c r="AA500" i="10" s="1"/>
  <c r="AA501" i="10" a="1"/>
  <c r="AA501" i="10" s="1"/>
  <c r="Z502" i="10" a="1"/>
  <c r="Z502" i="10" s="1"/>
  <c r="Z503" i="10" a="1"/>
  <c r="Z503" i="10" s="1"/>
  <c r="Y504" i="10" a="1"/>
  <c r="Y504" i="10" s="1"/>
  <c r="Y505" i="10" a="1"/>
  <c r="Y505" i="10" s="1"/>
  <c r="Y506" i="10" a="1"/>
  <c r="Y506" i="10" s="1"/>
  <c r="Y507" i="10" a="1"/>
  <c r="Y507" i="10" s="1"/>
  <c r="Y508" i="10" a="1"/>
  <c r="Y508" i="10" s="1"/>
  <c r="Y509" i="10" a="1"/>
  <c r="Y509" i="10" s="1"/>
  <c r="AB510" i="10" a="1"/>
  <c r="AB510" i="10" s="1"/>
  <c r="AB511" i="10" a="1"/>
  <c r="AB511" i="10" s="1"/>
  <c r="AA512" i="10" a="1"/>
  <c r="AA512" i="10" s="1"/>
  <c r="AA513" i="10" a="1"/>
  <c r="AA513" i="10" s="1"/>
  <c r="AA514" i="10" a="1"/>
  <c r="AA514" i="10" s="1"/>
  <c r="AA515" i="10" a="1"/>
  <c r="AA515" i="10" s="1"/>
  <c r="AA516" i="10" a="1"/>
  <c r="AA516" i="10" s="1"/>
  <c r="AA517" i="10" a="1"/>
  <c r="AA517" i="10" s="1"/>
  <c r="Z518" i="10" a="1"/>
  <c r="Z518" i="10" s="1"/>
  <c r="Z519" i="10" a="1"/>
  <c r="Z519" i="10" s="1"/>
  <c r="Y520" i="10" a="1"/>
  <c r="Y520" i="10" s="1"/>
  <c r="Y521" i="10" a="1"/>
  <c r="Y521" i="10" s="1"/>
  <c r="Y522" i="10" a="1"/>
  <c r="Y522" i="10" s="1"/>
  <c r="Y523" i="10" a="1"/>
  <c r="Y523" i="10" s="1"/>
  <c r="Y524" i="10" a="1"/>
  <c r="Y524" i="10" s="1"/>
  <c r="Y525" i="10" a="1"/>
  <c r="Y525" i="10" s="1"/>
  <c r="AB526" i="10" a="1"/>
  <c r="AB526" i="10" s="1"/>
  <c r="Y338" i="10" a="1"/>
  <c r="Y338" i="10" s="1"/>
  <c r="Y342" i="10" a="1"/>
  <c r="Y342" i="10" s="1"/>
  <c r="Y346" i="10" a="1"/>
  <c r="Y346" i="10" s="1"/>
  <c r="Y350" i="10" a="1"/>
  <c r="Y350" i="10" s="1"/>
  <c r="Y354" i="10" a="1"/>
  <c r="Y354" i="10" s="1"/>
  <c r="Y358" i="10" a="1"/>
  <c r="Y358" i="10" s="1"/>
  <c r="Y362" i="10" a="1"/>
  <c r="Y362" i="10" s="1"/>
  <c r="AB365" i="10" a="1"/>
  <c r="AB365" i="10" s="1"/>
  <c r="AA369" i="10" a="1"/>
  <c r="AA369" i="10" s="1"/>
  <c r="Z373" i="10" a="1"/>
  <c r="Z373" i="10" s="1"/>
  <c r="Y377" i="10" a="1"/>
  <c r="Y377" i="10" s="1"/>
  <c r="AB380" i="10" a="1"/>
  <c r="AB380" i="10" s="1"/>
  <c r="AA383" i="10" a="1"/>
  <c r="AA383" i="10" s="1"/>
  <c r="AB384" i="10" a="1"/>
  <c r="AB384" i="10" s="1"/>
  <c r="AB385" i="10" a="1"/>
  <c r="AB385" i="10" s="1"/>
  <c r="AB386" i="10" a="1"/>
  <c r="AB386" i="10" s="1"/>
  <c r="AA387" i="10" a="1"/>
  <c r="AA387" i="10" s="1"/>
  <c r="AA388" i="10" a="1"/>
  <c r="AA388" i="10" s="1"/>
  <c r="AA389" i="10" a="1"/>
  <c r="AA389" i="10" s="1"/>
  <c r="AA390" i="10" a="1"/>
  <c r="AA390" i="10" s="1"/>
  <c r="Z391" i="10" a="1"/>
  <c r="Z391" i="10" s="1"/>
  <c r="Z392" i="10" a="1"/>
  <c r="Z392" i="10" s="1"/>
  <c r="Z393" i="10" a="1"/>
  <c r="Z393" i="10" s="1"/>
  <c r="Z394" i="10" a="1"/>
  <c r="Z394" i="10" s="1"/>
  <c r="Y395" i="10" a="1"/>
  <c r="Y395" i="10" s="1"/>
  <c r="Y396" i="10" a="1"/>
  <c r="Y396" i="10" s="1"/>
  <c r="Y397" i="10" a="1"/>
  <c r="Y397" i="10" s="1"/>
  <c r="AB398" i="10" a="1"/>
  <c r="AB398" i="10" s="1"/>
  <c r="AA399" i="10" a="1"/>
  <c r="AA399" i="10" s="1"/>
  <c r="AA400" i="10" a="1"/>
  <c r="AA400" i="10" s="1"/>
  <c r="Z402" i="10" a="1"/>
  <c r="Z402" i="10" s="1"/>
  <c r="Z403" i="10" a="1"/>
  <c r="Z403" i="10" s="1"/>
  <c r="Z404" i="10" a="1"/>
  <c r="Z404" i="10" s="1"/>
  <c r="Z405" i="10" a="1"/>
  <c r="Z405" i="10" s="1"/>
  <c r="Y409" i="10" a="1"/>
  <c r="Y409" i="10" s="1"/>
  <c r="AB412" i="10" a="1"/>
  <c r="AB412" i="10" s="1"/>
  <c r="AA416" i="10" a="1"/>
  <c r="AA416" i="10" s="1"/>
  <c r="Y420" i="10" a="1"/>
  <c r="Y420" i="10" s="1"/>
  <c r="AA423" i="10" a="1"/>
  <c r="AA423" i="10" s="1"/>
  <c r="Y427" i="10" a="1"/>
  <c r="Y427" i="10" s="1"/>
  <c r="AA430" i="10" a="1"/>
  <c r="AA430" i="10" s="1"/>
  <c r="Y434" i="10" a="1"/>
  <c r="Y434" i="10" s="1"/>
  <c r="AB437" i="10" a="1"/>
  <c r="AB437" i="10" s="1"/>
  <c r="Y445" i="10" a="1"/>
  <c r="Y445" i="10" s="1"/>
  <c r="AA448" i="10" a="1"/>
  <c r="AA448" i="10" s="1"/>
  <c r="Y452" i="10" a="1"/>
  <c r="Y452" i="10" s="1"/>
  <c r="AA455" i="10" a="1"/>
  <c r="AA455" i="10" s="1"/>
  <c r="Y459" i="10" a="1"/>
  <c r="Y459" i="10" s="1"/>
  <c r="AA462" i="10" a="1"/>
  <c r="AA462" i="10" s="1"/>
  <c r="Y466" i="10" a="1"/>
  <c r="Y466" i="10" s="1"/>
  <c r="AB469" i="10" a="1"/>
  <c r="AB469" i="10" s="1"/>
  <c r="AB476" i="10" a="1"/>
  <c r="AB476" i="10" s="1"/>
  <c r="AB480" i="10" a="1"/>
  <c r="AB480" i="10" s="1"/>
  <c r="Z484" i="10" a="1"/>
  <c r="Z484" i="10" s="1"/>
  <c r="AB487" i="10" a="1"/>
  <c r="AB487" i="10" s="1"/>
  <c r="Y495" i="10" a="1"/>
  <c r="Y495" i="10" s="1"/>
  <c r="AB498" i="10" a="1"/>
  <c r="AB498" i="10" s="1"/>
  <c r="AA502" i="10" a="1"/>
  <c r="AA502" i="10" s="1"/>
  <c r="Z506" i="10" a="1"/>
  <c r="Z506" i="10" s="1"/>
  <c r="Y510" i="10" a="1"/>
  <c r="Y510" i="10" s="1"/>
  <c r="AB513" i="10" a="1"/>
  <c r="AB513" i="10" s="1"/>
  <c r="AB517" i="10" a="1"/>
  <c r="AB517" i="10" s="1"/>
  <c r="Z521" i="10" a="1"/>
  <c r="Z521" i="10" s="1"/>
  <c r="AB524" i="10" a="1"/>
  <c r="AB524" i="10" s="1"/>
  <c r="Y526" i="10" a="1"/>
  <c r="Y526" i="10" s="1"/>
  <c r="Z527" i="10" a="1"/>
  <c r="Z527" i="10" s="1"/>
  <c r="Y528" i="10" a="1"/>
  <c r="Y528" i="10" s="1"/>
  <c r="Y529" i="10" a="1"/>
  <c r="Y529" i="10" s="1"/>
  <c r="Y530" i="10" a="1"/>
  <c r="Y530" i="10" s="1"/>
  <c r="Y531" i="10" a="1"/>
  <c r="Y531" i="10" s="1"/>
  <c r="Y532" i="10" a="1"/>
  <c r="Y532" i="10" s="1"/>
  <c r="Y533" i="10" a="1"/>
  <c r="Y533" i="10" s="1"/>
  <c r="AB534" i="10" a="1"/>
  <c r="AB534" i="10" s="1"/>
  <c r="AB535" i="10" a="1"/>
  <c r="AB535" i="10" s="1"/>
  <c r="AB536" i="10" a="1"/>
  <c r="AB536" i="10" s="1"/>
  <c r="AA537" i="10" a="1"/>
  <c r="AA537" i="10" s="1"/>
  <c r="Z538" i="10" a="1"/>
  <c r="Z538" i="10" s="1"/>
  <c r="Z539" i="10" a="1"/>
  <c r="Z539" i="10" s="1"/>
  <c r="Z540" i="10" a="1"/>
  <c r="Z540" i="10" s="1"/>
  <c r="Z541" i="10" a="1"/>
  <c r="Z541" i="10" s="1"/>
  <c r="AB542" i="10" a="1"/>
  <c r="AB542" i="10" s="1"/>
  <c r="AB543" i="10" a="1"/>
  <c r="AB543" i="10" s="1"/>
  <c r="AA544" i="10" a="1"/>
  <c r="AA544" i="10" s="1"/>
  <c r="AA545" i="10" a="1"/>
  <c r="AA545" i="10" s="1"/>
  <c r="AA546" i="10" a="1"/>
  <c r="AA546" i="10" s="1"/>
  <c r="Y548" i="10" a="1"/>
  <c r="Y548" i="10" s="1"/>
  <c r="Y549" i="10" a="1"/>
  <c r="Y549" i="10" s="1"/>
  <c r="Y550" i="10" a="1"/>
  <c r="Y550" i="10" s="1"/>
  <c r="Y551" i="10" a="1"/>
  <c r="Y551" i="10" s="1"/>
  <c r="AB551" i="10" a="1"/>
  <c r="AB551" i="10" s="1"/>
  <c r="AA552" i="10" a="1"/>
  <c r="AA552" i="10" s="1"/>
  <c r="AA553" i="10" a="1"/>
  <c r="AA553" i="10" s="1"/>
  <c r="AA554" i="10" a="1"/>
  <c r="AA554" i="10" s="1"/>
  <c r="Y556" i="10" a="1"/>
  <c r="Y556" i="10" s="1"/>
  <c r="Y557" i="10" a="1"/>
  <c r="Y557" i="10" s="1"/>
  <c r="Y558" i="10" a="1"/>
  <c r="Y558" i="10" s="1"/>
  <c r="Y559" i="10" a="1"/>
  <c r="Y559" i="10" s="1"/>
  <c r="AB559" i="10" a="1"/>
  <c r="AB559" i="10" s="1"/>
  <c r="AA560" i="10" a="1"/>
  <c r="AA560" i="10" s="1"/>
  <c r="AA561" i="10" a="1"/>
  <c r="AA561" i="10" s="1"/>
  <c r="AA562" i="10" a="1"/>
  <c r="AA562" i="10" s="1"/>
  <c r="Y564" i="10" a="1"/>
  <c r="Y564" i="10" s="1"/>
  <c r="Y565" i="10" a="1"/>
  <c r="Y565" i="10" s="1"/>
  <c r="Y566" i="10" a="1"/>
  <c r="Y566" i="10" s="1"/>
  <c r="Y567" i="10" a="1"/>
  <c r="Y567" i="10" s="1"/>
  <c r="AB567" i="10" a="1"/>
  <c r="AB567" i="10" s="1"/>
  <c r="AA568" i="10" a="1"/>
  <c r="AA568" i="10" s="1"/>
  <c r="AA569" i="10" a="1"/>
  <c r="AA569" i="10" s="1"/>
  <c r="AA570" i="10" a="1"/>
  <c r="AA570" i="10" s="1"/>
  <c r="Y572" i="10" a="1"/>
  <c r="Y572" i="10" s="1"/>
  <c r="Y573" i="10" a="1"/>
  <c r="Y573" i="10" s="1"/>
  <c r="Y574" i="10" a="1"/>
  <c r="Y574" i="10" s="1"/>
  <c r="Y575" i="10" a="1"/>
  <c r="Y575" i="10" s="1"/>
  <c r="AB575" i="10" a="1"/>
  <c r="AB575" i="10" s="1"/>
  <c r="AA576" i="10" a="1"/>
  <c r="AA576" i="10" s="1"/>
  <c r="AA577" i="10" a="1"/>
  <c r="AA577" i="10" s="1"/>
  <c r="AA578" i="10" a="1"/>
  <c r="AA578" i="10" s="1"/>
  <c r="Y580" i="10" a="1"/>
  <c r="Y580" i="10" s="1"/>
  <c r="Y581" i="10" a="1"/>
  <c r="Y581" i="10" s="1"/>
  <c r="Y582" i="10" a="1"/>
  <c r="Y582" i="10" s="1"/>
  <c r="Y583" i="10" a="1"/>
  <c r="Y583" i="10" s="1"/>
  <c r="AB583" i="10" a="1"/>
  <c r="AB583" i="10" s="1"/>
  <c r="AA584" i="10" a="1"/>
  <c r="AA584" i="10" s="1"/>
  <c r="AA585" i="10" a="1"/>
  <c r="AA585" i="10" s="1"/>
  <c r="AA586" i="10" a="1"/>
  <c r="AA586" i="10" s="1"/>
  <c r="Y588" i="10" a="1"/>
  <c r="Y588" i="10" s="1"/>
  <c r="Y589" i="10" a="1"/>
  <c r="Y589" i="10" s="1"/>
  <c r="Y590" i="10" a="1"/>
  <c r="Y590" i="10" s="1"/>
  <c r="Y591" i="10" a="1"/>
  <c r="Y591" i="10" s="1"/>
  <c r="AB591" i="10" a="1"/>
  <c r="AB591" i="10" s="1"/>
  <c r="AA592" i="10" a="1"/>
  <c r="AA592" i="10" s="1"/>
  <c r="AA593" i="10" a="1"/>
  <c r="AA593" i="10" s="1"/>
  <c r="AA594" i="10" a="1"/>
  <c r="AA594" i="10" s="1"/>
  <c r="Y596" i="10" a="1"/>
  <c r="Y596" i="10" s="1"/>
  <c r="Y597" i="10" a="1"/>
  <c r="Y597" i="10" s="1"/>
  <c r="Y598" i="10" a="1"/>
  <c r="Y598" i="10" s="1"/>
  <c r="Y599" i="10" a="1"/>
  <c r="Y599" i="10" s="1"/>
  <c r="AB599" i="10" a="1"/>
  <c r="AB599" i="10" s="1"/>
  <c r="AA600" i="10" a="1"/>
  <c r="AA600" i="10" s="1"/>
  <c r="AA601" i="10" a="1"/>
  <c r="AA601" i="10" s="1"/>
  <c r="AA602" i="10" a="1"/>
  <c r="AA602" i="10" s="1"/>
  <c r="Y604" i="10" a="1"/>
  <c r="Y604" i="10" s="1"/>
  <c r="Y605" i="10" a="1"/>
  <c r="Y605" i="10" s="1"/>
  <c r="Y606" i="10" a="1"/>
  <c r="Y606" i="10" s="1"/>
  <c r="Y607" i="10" a="1"/>
  <c r="Y607" i="10" s="1"/>
  <c r="AB607" i="10" a="1"/>
  <c r="AB607" i="10" s="1"/>
  <c r="AA608" i="10" a="1"/>
  <c r="AA608" i="10" s="1"/>
  <c r="AA609" i="10" a="1"/>
  <c r="AA609" i="10" s="1"/>
  <c r="AA610" i="10" a="1"/>
  <c r="AA610" i="10" s="1"/>
  <c r="Y406" i="10" a="1"/>
  <c r="Y406" i="10" s="1"/>
  <c r="AB409" i="10" a="1"/>
  <c r="AB409" i="10" s="1"/>
  <c r="AA413" i="10" a="1"/>
  <c r="AA413" i="10" s="1"/>
  <c r="Y421" i="10" a="1"/>
  <c r="Y421" i="10" s="1"/>
  <c r="AA424" i="10" a="1"/>
  <c r="AA424" i="10" s="1"/>
  <c r="Y428" i="10" a="1"/>
  <c r="Y428" i="10" s="1"/>
  <c r="AA431" i="10" a="1"/>
  <c r="AA431" i="10" s="1"/>
  <c r="Y435" i="10" a="1"/>
  <c r="Y435" i="10" s="1"/>
  <c r="AA438" i="10" a="1"/>
  <c r="AA438" i="10" s="1"/>
  <c r="Y442" i="10" a="1"/>
  <c r="Y442" i="10" s="1"/>
  <c r="AB445" i="10" a="1"/>
  <c r="AB445" i="10" s="1"/>
  <c r="Y453" i="10" a="1"/>
  <c r="Y453" i="10" s="1"/>
  <c r="AA456" i="10" a="1"/>
  <c r="AA456" i="10" s="1"/>
  <c r="Y460" i="10" a="1"/>
  <c r="Y460" i="10" s="1"/>
  <c r="AA463" i="10" a="1"/>
  <c r="AA463" i="10" s="1"/>
  <c r="Y467" i="10" a="1"/>
  <c r="Y467" i="10" s="1"/>
  <c r="AA470" i="10" a="1"/>
  <c r="AA470" i="10" s="1"/>
  <c r="Y474" i="10" a="1"/>
  <c r="Y474" i="10" s="1"/>
  <c r="AB477" i="10" a="1"/>
  <c r="AB477" i="10" s="1"/>
  <c r="AB481" i="10" a="1"/>
  <c r="AB481" i="10" s="1"/>
  <c r="Z485" i="10" a="1"/>
  <c r="Z485" i="10" s="1"/>
  <c r="AB488" i="10" a="1"/>
  <c r="AB488" i="10" s="1"/>
  <c r="Z492" i="10" a="1"/>
  <c r="Z492" i="10" s="1"/>
  <c r="AB499" i="10" a="1"/>
  <c r="AB499" i="10" s="1"/>
  <c r="AA503" i="10" a="1"/>
  <c r="AA503" i="10" s="1"/>
  <c r="Z507" i="10" a="1"/>
  <c r="Z507" i="10" s="1"/>
  <c r="Y511" i="10" a="1"/>
  <c r="Y511" i="10" s="1"/>
  <c r="AB514" i="10" a="1"/>
  <c r="AB514" i="10" s="1"/>
  <c r="AA518" i="10" a="1"/>
  <c r="AA518" i="10" s="1"/>
  <c r="Z522" i="10" a="1"/>
  <c r="Z522" i="10" s="1"/>
  <c r="Z525" i="10" a="1"/>
  <c r="Z525" i="10" s="1"/>
  <c r="Z526" i="10" a="1"/>
  <c r="Z526" i="10" s="1"/>
  <c r="AA527" i="10" a="1"/>
  <c r="AA527" i="10" s="1"/>
  <c r="Z528" i="10" a="1"/>
  <c r="Z528" i="10" s="1"/>
  <c r="Z529" i="10" a="1"/>
  <c r="Z529" i="10" s="1"/>
  <c r="Z530" i="10" a="1"/>
  <c r="Z530" i="10" s="1"/>
  <c r="Z531" i="10" a="1"/>
  <c r="Z531" i="10" s="1"/>
  <c r="Z532" i="10" a="1"/>
  <c r="Z532" i="10" s="1"/>
  <c r="Z533" i="10" a="1"/>
  <c r="Z533" i="10" s="1"/>
  <c r="Y534" i="10" a="1"/>
  <c r="Y534" i="10" s="1"/>
  <c r="Y535" i="10" a="1"/>
  <c r="Y535" i="10" s="1"/>
  <c r="Y536" i="10" a="1"/>
  <c r="Y536" i="10" s="1"/>
  <c r="Y537" i="10" a="1"/>
  <c r="Y537" i="10" s="1"/>
  <c r="AB537" i="10" a="1"/>
  <c r="AB537" i="10" s="1"/>
  <c r="AA538" i="10" a="1"/>
  <c r="AA538" i="10" s="1"/>
  <c r="AA539" i="10" a="1"/>
  <c r="AA539" i="10" s="1"/>
  <c r="AA540" i="10" a="1"/>
  <c r="AA540" i="10" s="1"/>
  <c r="Y542" i="10" a="1"/>
  <c r="Y542" i="10" s="1"/>
  <c r="Y543" i="10" a="1"/>
  <c r="Y543" i="10" s="1"/>
  <c r="AB544" i="10" a="1"/>
  <c r="AB544" i="10" s="1"/>
  <c r="AB545" i="10" a="1"/>
  <c r="AB545" i="10" s="1"/>
  <c r="AB546" i="10" a="1"/>
  <c r="AB546" i="10" s="1"/>
  <c r="AA547" i="10" a="1"/>
  <c r="AA547" i="10" s="1"/>
  <c r="Z548" i="10" a="1"/>
  <c r="Z548" i="10" s="1"/>
  <c r="Z549" i="10" a="1"/>
  <c r="Z549" i="10" s="1"/>
  <c r="Z550" i="10" a="1"/>
  <c r="Z550" i="10" s="1"/>
  <c r="Z551" i="10" a="1"/>
  <c r="Z551" i="10" s="1"/>
  <c r="AB552" i="10" a="1"/>
  <c r="AB552" i="10" s="1"/>
  <c r="AB553" i="10" a="1"/>
  <c r="AB553" i="10" s="1"/>
  <c r="AB554" i="10" a="1"/>
  <c r="AB554" i="10" s="1"/>
  <c r="AA555" i="10" a="1"/>
  <c r="AA555" i="10" s="1"/>
  <c r="Z556" i="10" a="1"/>
  <c r="Z556" i="10" s="1"/>
  <c r="Z557" i="10" a="1"/>
  <c r="Z557" i="10" s="1"/>
  <c r="Z558" i="10" a="1"/>
  <c r="Z558" i="10" s="1"/>
  <c r="Z559" i="10" a="1"/>
  <c r="Z559" i="10" s="1"/>
  <c r="AB560" i="10" a="1"/>
  <c r="AB560" i="10" s="1"/>
  <c r="AB561" i="10" a="1"/>
  <c r="AB561" i="10" s="1"/>
  <c r="AB562" i="10" a="1"/>
  <c r="AB562" i="10" s="1"/>
  <c r="AA563" i="10" a="1"/>
  <c r="AA563" i="10" s="1"/>
  <c r="Z564" i="10" a="1"/>
  <c r="Z564" i="10" s="1"/>
  <c r="Z565" i="10" a="1"/>
  <c r="Z565" i="10" s="1"/>
  <c r="Z566" i="10" a="1"/>
  <c r="Z566" i="10" s="1"/>
  <c r="Z567" i="10" a="1"/>
  <c r="Z567" i="10" s="1"/>
  <c r="AB568" i="10" a="1"/>
  <c r="AB568" i="10" s="1"/>
  <c r="AB569" i="10" a="1"/>
  <c r="AB569" i="10" s="1"/>
  <c r="AB570" i="10" a="1"/>
  <c r="AB570" i="10" s="1"/>
  <c r="AA571" i="10" a="1"/>
  <c r="AA571" i="10" s="1"/>
  <c r="Z572" i="10" a="1"/>
  <c r="Z572" i="10" s="1"/>
  <c r="Z573" i="10" a="1"/>
  <c r="Z573" i="10" s="1"/>
  <c r="Z574" i="10" a="1"/>
  <c r="Z574" i="10" s="1"/>
  <c r="Z575" i="10" a="1"/>
  <c r="Z575" i="10" s="1"/>
  <c r="AB576" i="10" a="1"/>
  <c r="AB576" i="10" s="1"/>
  <c r="AB577" i="10" a="1"/>
  <c r="AB577" i="10" s="1"/>
  <c r="AB578" i="10" a="1"/>
  <c r="AB578" i="10" s="1"/>
  <c r="AA579" i="10" a="1"/>
  <c r="AA579" i="10" s="1"/>
  <c r="Z580" i="10" a="1"/>
  <c r="Z580" i="10" s="1"/>
  <c r="Z581" i="10" a="1"/>
  <c r="Z581" i="10" s="1"/>
  <c r="Z582" i="10" a="1"/>
  <c r="Z582" i="10" s="1"/>
  <c r="Z583" i="10" a="1"/>
  <c r="Z583" i="10" s="1"/>
  <c r="AB584" i="10" a="1"/>
  <c r="AB584" i="10" s="1"/>
  <c r="AB585" i="10" a="1"/>
  <c r="AB585" i="10" s="1"/>
  <c r="AB586" i="10" a="1"/>
  <c r="AB586" i="10" s="1"/>
  <c r="AA587" i="10" a="1"/>
  <c r="AA587" i="10" s="1"/>
  <c r="Z588" i="10" a="1"/>
  <c r="Z588" i="10" s="1"/>
  <c r="Z589" i="10" a="1"/>
  <c r="Z589" i="10" s="1"/>
  <c r="Z590" i="10" a="1"/>
  <c r="Z590" i="10" s="1"/>
  <c r="Z591" i="10" a="1"/>
  <c r="Z591" i="10" s="1"/>
  <c r="AB592" i="10" a="1"/>
  <c r="AB592" i="10" s="1"/>
  <c r="AB593" i="10" a="1"/>
  <c r="AB593" i="10" s="1"/>
  <c r="AB594" i="10" a="1"/>
  <c r="AB594" i="10" s="1"/>
  <c r="AA595" i="10" a="1"/>
  <c r="AA595" i="10" s="1"/>
  <c r="Z596" i="10" a="1"/>
  <c r="Z596" i="10" s="1"/>
  <c r="Z597" i="10" a="1"/>
  <c r="Z597" i="10" s="1"/>
  <c r="Z598" i="10" a="1"/>
  <c r="Z598" i="10" s="1"/>
  <c r="Z599" i="10" a="1"/>
  <c r="Z599" i="10" s="1"/>
  <c r="AB600" i="10" a="1"/>
  <c r="AB600" i="10" s="1"/>
  <c r="AB601" i="10" a="1"/>
  <c r="AB601" i="10" s="1"/>
  <c r="AB602" i="10" a="1"/>
  <c r="AB602" i="10" s="1"/>
  <c r="AA603" i="10" a="1"/>
  <c r="AA603" i="10" s="1"/>
  <c r="Z604" i="10" a="1"/>
  <c r="Z604" i="10" s="1"/>
  <c r="Z605" i="10" a="1"/>
  <c r="Z605" i="10" s="1"/>
  <c r="Z606" i="10" a="1"/>
  <c r="Z606" i="10" s="1"/>
  <c r="Z607" i="10" a="1"/>
  <c r="Z607" i="10" s="1"/>
  <c r="AB608" i="10" a="1"/>
  <c r="AB608" i="10" s="1"/>
  <c r="AB609" i="10" a="1"/>
  <c r="AB609" i="10" s="1"/>
  <c r="AB610" i="10" a="1"/>
  <c r="AB610" i="10" s="1"/>
  <c r="AA611" i="10" a="1"/>
  <c r="AA611" i="10" s="1"/>
  <c r="Z612" i="10" a="1"/>
  <c r="Z612" i="10" s="1"/>
  <c r="Z613" i="10" a="1"/>
  <c r="Z613" i="10" s="1"/>
  <c r="Z614" i="10" a="1"/>
  <c r="Z614" i="10" s="1"/>
  <c r="Z615" i="10" a="1"/>
  <c r="Z615" i="10" s="1"/>
  <c r="AB616" i="10" a="1"/>
  <c r="AB616" i="10" s="1"/>
  <c r="AB617" i="10" a="1"/>
  <c r="AB617" i="10" s="1"/>
  <c r="AB618" i="10" a="1"/>
  <c r="AB618" i="10" s="1"/>
  <c r="AA619" i="10" a="1"/>
  <c r="AA619" i="10" s="1"/>
  <c r="Z620" i="10" a="1"/>
  <c r="Z620" i="10" s="1"/>
  <c r="Z621" i="10" a="1"/>
  <c r="Z621" i="10" s="1"/>
  <c r="Z622" i="10" a="1"/>
  <c r="Z622" i="10" s="1"/>
  <c r="Z623" i="10" a="1"/>
  <c r="Z623" i="10" s="1"/>
  <c r="AB624" i="10" a="1"/>
  <c r="AB624" i="10" s="1"/>
  <c r="Z626" i="10" a="1"/>
  <c r="Z626" i="10" s="1"/>
  <c r="Z627" i="10" a="1"/>
  <c r="Z627" i="10" s="1"/>
  <c r="Z628" i="10" a="1"/>
  <c r="Z628" i="10" s="1"/>
  <c r="Z629" i="10" a="1"/>
  <c r="Z629" i="10" s="1"/>
  <c r="Z630" i="10" a="1"/>
  <c r="Z630" i="10" s="1"/>
  <c r="Z631" i="10" a="1"/>
  <c r="Z631" i="10" s="1"/>
  <c r="Z632" i="10" a="1"/>
  <c r="Z632" i="10" s="1"/>
  <c r="Z633" i="10" a="1"/>
  <c r="Z633" i="10" s="1"/>
  <c r="Z634" i="10" a="1"/>
  <c r="Z634" i="10" s="1"/>
  <c r="Z635" i="10" a="1"/>
  <c r="Z635" i="10" s="1"/>
  <c r="Z636" i="10" a="1"/>
  <c r="Z636" i="10" s="1"/>
  <c r="Z637" i="10" a="1"/>
  <c r="Z637" i="10" s="1"/>
  <c r="Z638" i="10" a="1"/>
  <c r="Z638" i="10" s="1"/>
  <c r="Z639" i="10" a="1"/>
  <c r="Z639" i="10" s="1"/>
  <c r="Z640" i="10" a="1"/>
  <c r="Z640" i="10" s="1"/>
  <c r="Z641" i="10" a="1"/>
  <c r="Z641" i="10" s="1"/>
  <c r="Z642" i="10" a="1"/>
  <c r="Z642" i="10" s="1"/>
  <c r="Z643" i="10" a="1"/>
  <c r="Z643" i="10" s="1"/>
  <c r="Z644" i="10" a="1"/>
  <c r="Z644" i="10" s="1"/>
  <c r="Z645" i="10" a="1"/>
  <c r="Z645" i="10" s="1"/>
  <c r="Z646" i="10" a="1"/>
  <c r="Z646" i="10" s="1"/>
  <c r="Z647" i="10" a="1"/>
  <c r="Z647" i="10" s="1"/>
  <c r="Z648" i="10" a="1"/>
  <c r="Z648" i="10" s="1"/>
  <c r="Z649" i="10" a="1"/>
  <c r="Z649" i="10" s="1"/>
  <c r="Y407" i="10" a="1"/>
  <c r="Y407" i="10" s="1"/>
  <c r="AB410" i="10" a="1"/>
  <c r="AB410" i="10" s="1"/>
  <c r="AA414" i="10" a="1"/>
  <c r="AA414" i="10" s="1"/>
  <c r="Y418" i="10" a="1"/>
  <c r="Y418" i="10" s="1"/>
  <c r="AB421" i="10" a="1"/>
  <c r="AB421" i="10" s="1"/>
  <c r="Y429" i="10" a="1"/>
  <c r="Y429" i="10" s="1"/>
  <c r="AA432" i="10" a="1"/>
  <c r="AA432" i="10" s="1"/>
  <c r="Y436" i="10" a="1"/>
  <c r="Y436" i="10" s="1"/>
  <c r="AA439" i="10" a="1"/>
  <c r="AA439" i="10" s="1"/>
  <c r="Y443" i="10" a="1"/>
  <c r="Y443" i="10" s="1"/>
  <c r="AA446" i="10" a="1"/>
  <c r="AA446" i="10" s="1"/>
  <c r="Y450" i="10" a="1"/>
  <c r="Y450" i="10" s="1"/>
  <c r="AB453" i="10" a="1"/>
  <c r="AB453" i="10" s="1"/>
  <c r="Y461" i="10" a="1"/>
  <c r="Y461" i="10" s="1"/>
  <c r="AA464" i="10" a="1"/>
  <c r="AA464" i="10" s="1"/>
  <c r="Y468" i="10" a="1"/>
  <c r="Y468" i="10" s="1"/>
  <c r="AA471" i="10" a="1"/>
  <c r="AA471" i="10" s="1"/>
  <c r="Y475" i="10" a="1"/>
  <c r="Y475" i="10" s="1"/>
  <c r="AB478" i="10" a="1"/>
  <c r="AB478" i="10" s="1"/>
  <c r="AA482" i="10" a="1"/>
  <c r="AA482" i="10" s="1"/>
  <c r="Y486" i="10" a="1"/>
  <c r="Y486" i="10" s="1"/>
  <c r="AB489" i="10" a="1"/>
  <c r="AB489" i="10" s="1"/>
  <c r="Z493" i="10" a="1"/>
  <c r="Z493" i="10" s="1"/>
  <c r="AB496" i="10" a="1"/>
  <c r="AB496" i="10" s="1"/>
  <c r="AB500" i="10" a="1"/>
  <c r="AB500" i="10" s="1"/>
  <c r="Z504" i="10" a="1"/>
  <c r="Z504" i="10" s="1"/>
  <c r="Z508" i="10" a="1"/>
  <c r="Z508" i="10" s="1"/>
  <c r="AB515" i="10" a="1"/>
  <c r="AB515" i="10" s="1"/>
  <c r="AA519" i="10" a="1"/>
  <c r="AA519" i="10" s="1"/>
  <c r="Z523" i="10" a="1"/>
  <c r="Z523" i="10" s="1"/>
  <c r="AA525" i="10" a="1"/>
  <c r="AA525" i="10" s="1"/>
  <c r="AA526" i="10" a="1"/>
  <c r="AA526" i="10" s="1"/>
  <c r="AB527" i="10" a="1"/>
  <c r="AB527" i="10" s="1"/>
  <c r="AA528" i="10" a="1"/>
  <c r="AA528" i="10" s="1"/>
  <c r="AA529" i="10" a="1"/>
  <c r="AA529" i="10" s="1"/>
  <c r="AA530" i="10" a="1"/>
  <c r="AA530" i="10" s="1"/>
  <c r="AA531" i="10" a="1"/>
  <c r="AA531" i="10" s="1"/>
  <c r="AA532" i="10" a="1"/>
  <c r="AA532" i="10" s="1"/>
  <c r="AA533" i="10" a="1"/>
  <c r="AA533" i="10" s="1"/>
  <c r="Z534" i="10" a="1"/>
  <c r="Z534" i="10" s="1"/>
  <c r="Z535" i="10" a="1"/>
  <c r="Z535" i="10" s="1"/>
  <c r="Z536" i="10" a="1"/>
  <c r="Z536" i="10" s="1"/>
  <c r="Z537" i="10" a="1"/>
  <c r="Z537" i="10" s="1"/>
  <c r="AB538" i="10" a="1"/>
  <c r="AB538" i="10" s="1"/>
  <c r="AB539" i="10" a="1"/>
  <c r="AB539" i="10" s="1"/>
  <c r="AB540" i="10" a="1"/>
  <c r="AB540" i="10" s="1"/>
  <c r="AA541" i="10" a="1"/>
  <c r="AA541" i="10" s="1"/>
  <c r="Z542" i="10" a="1"/>
  <c r="Z542" i="10" s="1"/>
  <c r="Z543" i="10" a="1"/>
  <c r="Z543" i="10" s="1"/>
  <c r="Y544" i="10" a="1"/>
  <c r="Y544" i="10" s="1"/>
  <c r="Y545" i="10" a="1"/>
  <c r="Y545" i="10" s="1"/>
  <c r="Y546" i="10" a="1"/>
  <c r="Y546" i="10" s="1"/>
  <c r="Y547" i="10" a="1"/>
  <c r="Y547" i="10" s="1"/>
  <c r="AB547" i="10" a="1"/>
  <c r="AB547" i="10" s="1"/>
  <c r="AA548" i="10" a="1"/>
  <c r="AA548" i="10" s="1"/>
  <c r="AA549" i="10" a="1"/>
  <c r="AA549" i="10" s="1"/>
  <c r="AA550" i="10" a="1"/>
  <c r="AA550" i="10" s="1"/>
  <c r="Y552" i="10" a="1"/>
  <c r="Y552" i="10" s="1"/>
  <c r="Y553" i="10" a="1"/>
  <c r="Y553" i="10" s="1"/>
  <c r="Y554" i="10" a="1"/>
  <c r="Y554" i="10" s="1"/>
  <c r="Y555" i="10" a="1"/>
  <c r="Y555" i="10" s="1"/>
  <c r="AB555" i="10" a="1"/>
  <c r="AB555" i="10" s="1"/>
  <c r="AA556" i="10" a="1"/>
  <c r="AA556" i="10" s="1"/>
  <c r="AA557" i="10" a="1"/>
  <c r="AA557" i="10" s="1"/>
  <c r="AA558" i="10" a="1"/>
  <c r="AA558" i="10" s="1"/>
  <c r="Y560" i="10" a="1"/>
  <c r="Y560" i="10" s="1"/>
  <c r="Y561" i="10" a="1"/>
  <c r="Y561" i="10" s="1"/>
  <c r="Y562" i="10" a="1"/>
  <c r="Y562" i="10" s="1"/>
  <c r="Y563" i="10" a="1"/>
  <c r="Y563" i="10" s="1"/>
  <c r="AB563" i="10" a="1"/>
  <c r="AB563" i="10" s="1"/>
  <c r="AA564" i="10" a="1"/>
  <c r="AA564" i="10" s="1"/>
  <c r="AA565" i="10" a="1"/>
  <c r="AA565" i="10" s="1"/>
  <c r="AA566" i="10" a="1"/>
  <c r="AA566" i="10" s="1"/>
  <c r="Y568" i="10" a="1"/>
  <c r="Y568" i="10" s="1"/>
  <c r="Y569" i="10" a="1"/>
  <c r="Y569" i="10" s="1"/>
  <c r="Y570" i="10" a="1"/>
  <c r="Y570" i="10" s="1"/>
  <c r="Y571" i="10" a="1"/>
  <c r="Y571" i="10" s="1"/>
  <c r="AB571" i="10" a="1"/>
  <c r="AB571" i="10" s="1"/>
  <c r="AA572" i="10" a="1"/>
  <c r="AA572" i="10" s="1"/>
  <c r="AA573" i="10" a="1"/>
  <c r="AA573" i="10" s="1"/>
  <c r="AA574" i="10" a="1"/>
  <c r="AA574" i="10" s="1"/>
  <c r="Y576" i="10" a="1"/>
  <c r="Y576" i="10" s="1"/>
  <c r="Y577" i="10" a="1"/>
  <c r="Y577" i="10" s="1"/>
  <c r="Y578" i="10" a="1"/>
  <c r="Y578" i="10" s="1"/>
  <c r="Y579" i="10" a="1"/>
  <c r="Y579" i="10" s="1"/>
  <c r="AB579" i="10" a="1"/>
  <c r="AB579" i="10" s="1"/>
  <c r="AA580" i="10" a="1"/>
  <c r="AA580" i="10" s="1"/>
  <c r="AA581" i="10" a="1"/>
  <c r="AA581" i="10" s="1"/>
  <c r="AA582" i="10" a="1"/>
  <c r="AA582" i="10" s="1"/>
  <c r="Y584" i="10" a="1"/>
  <c r="Y584" i="10" s="1"/>
  <c r="Y585" i="10" a="1"/>
  <c r="Y585" i="10" s="1"/>
  <c r="Y586" i="10" a="1"/>
  <c r="Y586" i="10" s="1"/>
  <c r="Y587" i="10" a="1"/>
  <c r="Y587" i="10" s="1"/>
  <c r="AB587" i="10" a="1"/>
  <c r="AB587" i="10" s="1"/>
  <c r="AA588" i="10" a="1"/>
  <c r="AA588" i="10" s="1"/>
  <c r="AA589" i="10" a="1"/>
  <c r="AA589" i="10" s="1"/>
  <c r="AA590" i="10" a="1"/>
  <c r="AA590" i="10" s="1"/>
  <c r="Y592" i="10" a="1"/>
  <c r="Y592" i="10" s="1"/>
  <c r="Y593" i="10" a="1"/>
  <c r="Y593" i="10" s="1"/>
  <c r="Y594" i="10" a="1"/>
  <c r="Y594" i="10" s="1"/>
  <c r="Y595" i="10" a="1"/>
  <c r="Y595" i="10" s="1"/>
  <c r="AB595" i="10" a="1"/>
  <c r="AB595" i="10" s="1"/>
  <c r="AA596" i="10" a="1"/>
  <c r="AA596" i="10" s="1"/>
  <c r="AA597" i="10" a="1"/>
  <c r="AA597" i="10" s="1"/>
  <c r="AA598" i="10" a="1"/>
  <c r="AA598" i="10" s="1"/>
  <c r="Y600" i="10" a="1"/>
  <c r="Y600" i="10" s="1"/>
  <c r="Y601" i="10" a="1"/>
  <c r="Y601" i="10" s="1"/>
  <c r="Y602" i="10" a="1"/>
  <c r="Y602" i="10" s="1"/>
  <c r="Y603" i="10" a="1"/>
  <c r="Y603" i="10" s="1"/>
  <c r="AB603" i="10" a="1"/>
  <c r="AB603" i="10" s="1"/>
  <c r="AA604" i="10" a="1"/>
  <c r="AA604" i="10" s="1"/>
  <c r="AA605" i="10" a="1"/>
  <c r="AA605" i="10" s="1"/>
  <c r="AA606" i="10" a="1"/>
  <c r="AA606" i="10" s="1"/>
  <c r="Y608" i="10" a="1"/>
  <c r="Y608" i="10" s="1"/>
  <c r="Y609" i="10" a="1"/>
  <c r="Y609" i="10" s="1"/>
  <c r="Y610" i="10" a="1"/>
  <c r="Y610" i="10" s="1"/>
  <c r="Y611" i="10" a="1"/>
  <c r="Y611" i="10" s="1"/>
  <c r="AB611" i="10" a="1"/>
  <c r="AB611" i="10" s="1"/>
  <c r="AA612" i="10" a="1"/>
  <c r="AA612" i="10" s="1"/>
  <c r="AA613" i="10" a="1"/>
  <c r="AA613" i="10" s="1"/>
  <c r="AA614" i="10" a="1"/>
  <c r="AA614" i="10" s="1"/>
  <c r="Y616" i="10" a="1"/>
  <c r="Y616" i="10" s="1"/>
  <c r="Y617" i="10" a="1"/>
  <c r="Y617" i="10" s="1"/>
  <c r="Y618" i="10" a="1"/>
  <c r="Y618" i="10" s="1"/>
  <c r="Y619" i="10" a="1"/>
  <c r="Y619" i="10" s="1"/>
  <c r="AB619" i="10" a="1"/>
  <c r="AB619" i="10" s="1"/>
  <c r="AA620" i="10" a="1"/>
  <c r="AA620" i="10" s="1"/>
  <c r="AA621" i="10" a="1"/>
  <c r="AA621" i="10" s="1"/>
  <c r="AA622" i="10" a="1"/>
  <c r="AA622" i="10" s="1"/>
  <c r="Y624" i="10" a="1"/>
  <c r="Y624" i="10" s="1"/>
  <c r="Y625" i="10" a="1"/>
  <c r="Y625" i="10" s="1"/>
  <c r="AB625" i="10" a="1"/>
  <c r="AB625" i="10" s="1"/>
  <c r="AA626" i="10" a="1"/>
  <c r="AA626" i="10" s="1"/>
  <c r="AA627" i="10" a="1"/>
  <c r="AA627" i="10" s="1"/>
  <c r="AA628" i="10" a="1"/>
  <c r="AA628" i="10" s="1"/>
  <c r="AA629" i="10" a="1"/>
  <c r="AA629" i="10" s="1"/>
  <c r="AA630" i="10" a="1"/>
  <c r="AA630" i="10" s="1"/>
  <c r="AA631" i="10" a="1"/>
  <c r="AA631" i="10" s="1"/>
  <c r="AA632" i="10" a="1"/>
  <c r="AA632" i="10" s="1"/>
  <c r="AA633" i="10" a="1"/>
  <c r="AA633" i="10" s="1"/>
  <c r="AA634" i="10" a="1"/>
  <c r="AA634" i="10" s="1"/>
  <c r="AA635" i="10" a="1"/>
  <c r="AA635" i="10" s="1"/>
  <c r="AA636" i="10" a="1"/>
  <c r="AA636" i="10" s="1"/>
  <c r="AA637" i="10" a="1"/>
  <c r="AA637" i="10" s="1"/>
  <c r="AA638" i="10" a="1"/>
  <c r="AA638" i="10" s="1"/>
  <c r="AA639" i="10" a="1"/>
  <c r="AA639" i="10" s="1"/>
  <c r="AA640" i="10" a="1"/>
  <c r="AA640" i="10" s="1"/>
  <c r="AA641" i="10" a="1"/>
  <c r="AA641" i="10" s="1"/>
  <c r="AA642" i="10" a="1"/>
  <c r="AA642" i="10" s="1"/>
  <c r="AA643" i="10" a="1"/>
  <c r="AA643" i="10" s="1"/>
  <c r="AA644" i="10" a="1"/>
  <c r="AA644" i="10" s="1"/>
  <c r="AA645" i="10" a="1"/>
  <c r="AA645" i="10" s="1"/>
  <c r="AA646" i="10" a="1"/>
  <c r="AA646" i="10" s="1"/>
  <c r="AA647" i="10" a="1"/>
  <c r="AA647" i="10" s="1"/>
  <c r="AA648" i="10" a="1"/>
  <c r="AA648" i="10" s="1"/>
  <c r="AA649" i="10" a="1"/>
  <c r="AA649" i="10" s="1"/>
  <c r="Y408" i="10" a="1"/>
  <c r="Y408" i="10" s="1"/>
  <c r="AB411" i="10" a="1"/>
  <c r="AB411" i="10" s="1"/>
  <c r="AA415" i="10" a="1"/>
  <c r="AA415" i="10" s="1"/>
  <c r="Y419" i="10" a="1"/>
  <c r="Y419" i="10" s="1"/>
  <c r="AA422" i="10" a="1"/>
  <c r="AA422" i="10" s="1"/>
  <c r="Y426" i="10" a="1"/>
  <c r="Y426" i="10" s="1"/>
  <c r="AB429" i="10" a="1"/>
  <c r="AB429" i="10" s="1"/>
  <c r="Y437" i="10" a="1"/>
  <c r="Y437" i="10" s="1"/>
  <c r="AA440" i="10" a="1"/>
  <c r="AA440" i="10" s="1"/>
  <c r="Y444" i="10" a="1"/>
  <c r="Y444" i="10" s="1"/>
  <c r="AA447" i="10" a="1"/>
  <c r="AA447" i="10" s="1"/>
  <c r="Y451" i="10" a="1"/>
  <c r="Y451" i="10" s="1"/>
  <c r="AA454" i="10" a="1"/>
  <c r="AA454" i="10" s="1"/>
  <c r="Y458" i="10" a="1"/>
  <c r="Y458" i="10" s="1"/>
  <c r="AB461" i="10" a="1"/>
  <c r="AB461" i="10" s="1"/>
  <c r="Y469" i="10" a="1"/>
  <c r="Y469" i="10" s="1"/>
  <c r="AA472" i="10" a="1"/>
  <c r="AA472" i="10" s="1"/>
  <c r="AB479" i="10" a="1"/>
  <c r="AB479" i="10" s="1"/>
  <c r="Y487" i="10" a="1"/>
  <c r="Y487" i="10" s="1"/>
  <c r="AA490" i="10" a="1"/>
  <c r="AA490" i="10" s="1"/>
  <c r="Y494" i="10" a="1"/>
  <c r="Y494" i="10" s="1"/>
  <c r="AB497" i="10" a="1"/>
  <c r="AB497" i="10" s="1"/>
  <c r="AB501" i="10" a="1"/>
  <c r="AB501" i="10" s="1"/>
  <c r="Z505" i="10" a="1"/>
  <c r="Z505" i="10" s="1"/>
  <c r="Z509" i="10" a="1"/>
  <c r="Z509" i="10" s="1"/>
  <c r="AB512" i="10" a="1"/>
  <c r="AB512" i="10" s="1"/>
  <c r="AB516" i="10" a="1"/>
  <c r="AB516" i="10" s="1"/>
  <c r="Z520" i="10" a="1"/>
  <c r="Z520" i="10" s="1"/>
  <c r="Z524" i="10" a="1"/>
  <c r="Z524" i="10" s="1"/>
  <c r="AB525" i="10" a="1"/>
  <c r="AB525" i="10" s="1"/>
  <c r="Y527" i="10" a="1"/>
  <c r="Y527" i="10" s="1"/>
  <c r="AB528" i="10" a="1"/>
  <c r="AB528" i="10" s="1"/>
  <c r="AB529" i="10" a="1"/>
  <c r="AB529" i="10" s="1"/>
  <c r="AB530" i="10" a="1"/>
  <c r="AB530" i="10" s="1"/>
  <c r="AB531" i="10" a="1"/>
  <c r="AB531" i="10" s="1"/>
  <c r="AB532" i="10" a="1"/>
  <c r="AB532" i="10" s="1"/>
  <c r="AB533" i="10" a="1"/>
  <c r="AB533" i="10" s="1"/>
  <c r="AA534" i="10" a="1"/>
  <c r="AA534" i="10" s="1"/>
  <c r="AA535" i="10" a="1"/>
  <c r="AA535" i="10" s="1"/>
  <c r="AA536" i="10" a="1"/>
  <c r="AA536" i="10" s="1"/>
  <c r="Y538" i="10" a="1"/>
  <c r="Y538" i="10" s="1"/>
  <c r="Y539" i="10" a="1"/>
  <c r="Y539" i="10" s="1"/>
  <c r="Y540" i="10" a="1"/>
  <c r="Y540" i="10" s="1"/>
  <c r="Y541" i="10" a="1"/>
  <c r="Y541" i="10" s="1"/>
  <c r="AB541" i="10" a="1"/>
  <c r="AB541" i="10" s="1"/>
  <c r="AA542" i="10" a="1"/>
  <c r="AA542" i="10" s="1"/>
  <c r="AA543" i="10" a="1"/>
  <c r="AA543" i="10" s="1"/>
  <c r="Z544" i="10" a="1"/>
  <c r="Z544" i="10" s="1"/>
  <c r="Z545" i="10" a="1"/>
  <c r="Z545" i="10" s="1"/>
  <c r="Z546" i="10" a="1"/>
  <c r="Z546" i="10" s="1"/>
  <c r="Z547" i="10" a="1"/>
  <c r="Z547" i="10" s="1"/>
  <c r="AB548" i="10" a="1"/>
  <c r="AB548" i="10" s="1"/>
  <c r="AB549" i="10" a="1"/>
  <c r="AB549" i="10" s="1"/>
  <c r="AB550" i="10" a="1"/>
  <c r="AB550" i="10" s="1"/>
  <c r="AA551" i="10" a="1"/>
  <c r="AA551" i="10" s="1"/>
  <c r="Z552" i="10" a="1"/>
  <c r="Z552" i="10" s="1"/>
  <c r="Z553" i="10" a="1"/>
  <c r="Z553" i="10" s="1"/>
  <c r="Z554" i="10" a="1"/>
  <c r="Z554" i="10" s="1"/>
  <c r="Z555" i="10" a="1"/>
  <c r="Z555" i="10" s="1"/>
  <c r="AB556" i="10" a="1"/>
  <c r="AB556" i="10" s="1"/>
  <c r="AB557" i="10" a="1"/>
  <c r="AB557" i="10" s="1"/>
  <c r="AB558" i="10" a="1"/>
  <c r="AB558" i="10" s="1"/>
  <c r="AA559" i="10" a="1"/>
  <c r="AA559" i="10" s="1"/>
  <c r="Z560" i="10" a="1"/>
  <c r="Z560" i="10" s="1"/>
  <c r="Z561" i="10" a="1"/>
  <c r="Z561" i="10" s="1"/>
  <c r="Z562" i="10" a="1"/>
  <c r="Z562" i="10" s="1"/>
  <c r="Z563" i="10" a="1"/>
  <c r="Z563" i="10" s="1"/>
  <c r="AB564" i="10" a="1"/>
  <c r="AB564" i="10" s="1"/>
  <c r="AB565" i="10" a="1"/>
  <c r="AB565" i="10" s="1"/>
  <c r="AB566" i="10" a="1"/>
  <c r="AB566" i="10" s="1"/>
  <c r="AA567" i="10" a="1"/>
  <c r="AA567" i="10" s="1"/>
  <c r="Z568" i="10" a="1"/>
  <c r="Z568" i="10" s="1"/>
  <c r="Z569" i="10" a="1"/>
  <c r="Z569" i="10" s="1"/>
  <c r="Z570" i="10" a="1"/>
  <c r="Z570" i="10" s="1"/>
  <c r="Z571" i="10" a="1"/>
  <c r="Z571" i="10" s="1"/>
  <c r="AB572" i="10" a="1"/>
  <c r="AB572" i="10" s="1"/>
  <c r="AB573" i="10" a="1"/>
  <c r="AB573" i="10" s="1"/>
  <c r="AB574" i="10" a="1"/>
  <c r="AB574" i="10" s="1"/>
  <c r="AA575" i="10" a="1"/>
  <c r="AA575" i="10" s="1"/>
  <c r="Z576" i="10" a="1"/>
  <c r="Z576" i="10" s="1"/>
  <c r="Z577" i="10" a="1"/>
  <c r="Z577" i="10" s="1"/>
  <c r="Z578" i="10" a="1"/>
  <c r="Z578" i="10" s="1"/>
  <c r="Z579" i="10" a="1"/>
  <c r="Z579" i="10" s="1"/>
  <c r="AB580" i="10" a="1"/>
  <c r="AB580" i="10" s="1"/>
  <c r="AB581" i="10" a="1"/>
  <c r="AB581" i="10" s="1"/>
  <c r="AB582" i="10" a="1"/>
  <c r="AB582" i="10" s="1"/>
  <c r="AA583" i="10" a="1"/>
  <c r="AA583" i="10" s="1"/>
  <c r="Z584" i="10" a="1"/>
  <c r="Z584" i="10" s="1"/>
  <c r="Z585" i="10" a="1"/>
  <c r="Z585" i="10" s="1"/>
  <c r="Z586" i="10" a="1"/>
  <c r="Z586" i="10" s="1"/>
  <c r="Z587" i="10" a="1"/>
  <c r="Z587" i="10" s="1"/>
  <c r="AB588" i="10" a="1"/>
  <c r="AB588" i="10" s="1"/>
  <c r="AB589" i="10" a="1"/>
  <c r="AB589" i="10" s="1"/>
  <c r="AB590" i="10" a="1"/>
  <c r="AB590" i="10" s="1"/>
  <c r="AA591" i="10" a="1"/>
  <c r="AA591" i="10" s="1"/>
  <c r="Z592" i="10" a="1"/>
  <c r="Z592" i="10" s="1"/>
  <c r="Z593" i="10" a="1"/>
  <c r="Z593" i="10" s="1"/>
  <c r="Z594" i="10" a="1"/>
  <c r="Z594" i="10" s="1"/>
  <c r="Z595" i="10" a="1"/>
  <c r="Z595" i="10" s="1"/>
  <c r="AB596" i="10" a="1"/>
  <c r="AB596" i="10" s="1"/>
  <c r="AB597" i="10" a="1"/>
  <c r="AB597" i="10" s="1"/>
  <c r="AB598" i="10" a="1"/>
  <c r="AB598" i="10" s="1"/>
  <c r="AA599" i="10" a="1"/>
  <c r="AA599" i="10" s="1"/>
  <c r="Z600" i="10" a="1"/>
  <c r="Z600" i="10" s="1"/>
  <c r="Z601" i="10" a="1"/>
  <c r="Z601" i="10" s="1"/>
  <c r="Z602" i="10" a="1"/>
  <c r="Z602" i="10" s="1"/>
  <c r="Z603" i="10" a="1"/>
  <c r="Z603" i="10" s="1"/>
  <c r="AB604" i="10" a="1"/>
  <c r="AB604" i="10" s="1"/>
  <c r="AB605" i="10" a="1"/>
  <c r="AB605" i="10" s="1"/>
  <c r="AB606" i="10" a="1"/>
  <c r="AB606" i="10" s="1"/>
  <c r="AA607" i="10" a="1"/>
  <c r="AA607" i="10" s="1"/>
  <c r="Z608" i="10" a="1"/>
  <c r="Z608" i="10" s="1"/>
  <c r="Y613" i="10" a="1"/>
  <c r="Y613" i="10" s="1"/>
  <c r="Y615" i="10" a="1"/>
  <c r="Y615" i="10" s="1"/>
  <c r="AA616" i="10" a="1"/>
  <c r="AA616" i="10" s="1"/>
  <c r="AA618" i="10" a="1"/>
  <c r="AA618" i="10" s="1"/>
  <c r="Y620" i="10" a="1"/>
  <c r="Y620" i="10" s="1"/>
  <c r="Y622" i="10" a="1"/>
  <c r="Y622" i="10" s="1"/>
  <c r="AB623" i="10" a="1"/>
  <c r="AB623" i="10" s="1"/>
  <c r="AA625" i="10" a="1"/>
  <c r="AA625" i="10" s="1"/>
  <c r="Y627" i="10" a="1"/>
  <c r="Y627" i="10" s="1"/>
  <c r="Y629" i="10" a="1"/>
  <c r="Y629" i="10" s="1"/>
  <c r="Y631" i="10" a="1"/>
  <c r="Y631" i="10" s="1"/>
  <c r="Y633" i="10" a="1"/>
  <c r="Y633" i="10" s="1"/>
  <c r="Y635" i="10" a="1"/>
  <c r="Y635" i="10" s="1"/>
  <c r="Y637" i="10" a="1"/>
  <c r="Y637" i="10" s="1"/>
  <c r="Y639" i="10" a="1"/>
  <c r="Y639" i="10" s="1"/>
  <c r="Y641" i="10" a="1"/>
  <c r="Y641" i="10" s="1"/>
  <c r="Y643" i="10" a="1"/>
  <c r="Y643" i="10" s="1"/>
  <c r="Y645" i="10" a="1"/>
  <c r="Y645" i="10" s="1"/>
  <c r="Y647" i="10" a="1"/>
  <c r="Y647" i="10" s="1"/>
  <c r="Y649" i="10" a="1"/>
  <c r="Y649" i="10" s="1"/>
  <c r="AA650" i="10" a="1"/>
  <c r="AA650" i="10" s="1"/>
  <c r="AA651" i="10" a="1"/>
  <c r="AA651" i="10" s="1"/>
  <c r="AA652" i="10" a="1"/>
  <c r="AA652" i="10" s="1"/>
  <c r="AA653" i="10" a="1"/>
  <c r="AA653" i="10" s="1"/>
  <c r="AA654" i="10" a="1"/>
  <c r="AA654" i="10" s="1"/>
  <c r="AA655" i="10" a="1"/>
  <c r="AA655" i="10" s="1"/>
  <c r="AA656" i="10" a="1"/>
  <c r="AA656" i="10" s="1"/>
  <c r="AA657" i="10" a="1"/>
  <c r="AA657" i="10" s="1"/>
  <c r="AA658" i="10" a="1"/>
  <c r="AA658" i="10" s="1"/>
  <c r="AA659" i="10" a="1"/>
  <c r="AA659" i="10" s="1"/>
  <c r="AA660" i="10" a="1"/>
  <c r="AA660" i="10" s="1"/>
  <c r="AA661" i="10" a="1"/>
  <c r="AA661" i="10" s="1"/>
  <c r="AA662" i="10" a="1"/>
  <c r="AA662" i="10" s="1"/>
  <c r="AA663" i="10" a="1"/>
  <c r="AA663" i="10" s="1"/>
  <c r="AA664" i="10" a="1"/>
  <c r="AA664" i="10" s="1"/>
  <c r="AA665" i="10" a="1"/>
  <c r="AA665" i="10" s="1"/>
  <c r="AA666" i="10" a="1"/>
  <c r="AA666" i="10" s="1"/>
  <c r="AA667" i="10" a="1"/>
  <c r="AA667" i="10" s="1"/>
  <c r="AA668" i="10" a="1"/>
  <c r="AA668" i="10" s="1"/>
  <c r="AA669" i="10" a="1"/>
  <c r="AA669" i="10" s="1"/>
  <c r="AA670" i="10" a="1"/>
  <c r="AA670" i="10" s="1"/>
  <c r="AA671" i="10" a="1"/>
  <c r="AA671" i="10" s="1"/>
  <c r="AA672" i="10" a="1"/>
  <c r="AA672" i="10" s="1"/>
  <c r="AA673" i="10" a="1"/>
  <c r="AA673" i="10" s="1"/>
  <c r="AA674" i="10" a="1"/>
  <c r="AA674" i="10" s="1"/>
  <c r="AA675" i="10" a="1"/>
  <c r="AA675" i="10" s="1"/>
  <c r="AA676" i="10" a="1"/>
  <c r="AA676" i="10" s="1"/>
  <c r="AA677" i="10" a="1"/>
  <c r="AA677" i="10" s="1"/>
  <c r="AA678" i="10" a="1"/>
  <c r="AA678" i="10" s="1"/>
  <c r="AA679" i="10" a="1"/>
  <c r="AA679" i="10" s="1"/>
  <c r="AA680" i="10" a="1"/>
  <c r="AA680" i="10" s="1"/>
  <c r="AA681" i="10" a="1"/>
  <c r="AA681" i="10" s="1"/>
  <c r="AA682" i="10" a="1"/>
  <c r="AA682" i="10" s="1"/>
  <c r="AA683" i="10" a="1"/>
  <c r="AA683" i="10" s="1"/>
  <c r="AA684" i="10" a="1"/>
  <c r="AA684" i="10" s="1"/>
  <c r="AA685" i="10" a="1"/>
  <c r="AA685" i="10" s="1"/>
  <c r="AA686" i="10" a="1"/>
  <c r="AA686" i="10" s="1"/>
  <c r="AA687" i="10" a="1"/>
  <c r="AA687" i="10" s="1"/>
  <c r="AA688" i="10" a="1"/>
  <c r="AA688" i="10" s="1"/>
  <c r="AA689" i="10" a="1"/>
  <c r="AA689" i="10" s="1"/>
  <c r="AA690" i="10" a="1"/>
  <c r="AA690" i="10" s="1"/>
  <c r="AA691" i="10" a="1"/>
  <c r="AA691" i="10" s="1"/>
  <c r="AA692" i="10" a="1"/>
  <c r="AA692" i="10" s="1"/>
  <c r="AA693" i="10" a="1"/>
  <c r="AA693" i="10" s="1"/>
  <c r="AA694" i="10" a="1"/>
  <c r="AA694" i="10" s="1"/>
  <c r="AA695" i="10" a="1"/>
  <c r="AA695" i="10" s="1"/>
  <c r="AA696" i="10" a="1"/>
  <c r="AA696" i="10" s="1"/>
  <c r="AA697" i="10" a="1"/>
  <c r="AA697" i="10" s="1"/>
  <c r="AA698" i="10" a="1"/>
  <c r="AA698" i="10" s="1"/>
  <c r="AA699" i="10" a="1"/>
  <c r="AA699" i="10" s="1"/>
  <c r="AA700" i="10" a="1"/>
  <c r="AA700" i="10" s="1"/>
  <c r="AA701" i="10" a="1"/>
  <c r="AA701" i="10" s="1"/>
  <c r="AA702" i="10" a="1"/>
  <c r="AA702" i="10" s="1"/>
  <c r="AA703" i="10" a="1"/>
  <c r="AA703" i="10" s="1"/>
  <c r="AA704" i="10" a="1"/>
  <c r="AA704" i="10" s="1"/>
  <c r="AA705" i="10" a="1"/>
  <c r="AA705" i="10" s="1"/>
  <c r="AA706" i="10" a="1"/>
  <c r="AA706" i="10" s="1"/>
  <c r="AA707" i="10" a="1"/>
  <c r="AA707" i="10" s="1"/>
  <c r="AA708" i="10" a="1"/>
  <c r="AA708" i="10" s="1"/>
  <c r="AA709" i="10" a="1"/>
  <c r="AA709" i="10" s="1"/>
  <c r="AA710" i="10" a="1"/>
  <c r="AA710" i="10" s="1"/>
  <c r="AA711" i="10" a="1"/>
  <c r="AA711" i="10" s="1"/>
  <c r="AA712" i="10" a="1"/>
  <c r="AA712" i="10" s="1"/>
  <c r="Z713" i="10" a="1"/>
  <c r="Z713" i="10" s="1"/>
  <c r="Z714" i="10" a="1"/>
  <c r="Z714" i="10" s="1"/>
  <c r="Z715" i="10" a="1"/>
  <c r="Z715" i="10" s="1"/>
  <c r="Z716" i="10" a="1"/>
  <c r="Z716" i="10" s="1"/>
  <c r="Z717" i="10" a="1"/>
  <c r="Z717" i="10" s="1"/>
  <c r="Z718" i="10" a="1"/>
  <c r="Z718" i="10" s="1"/>
  <c r="Z719" i="10" a="1"/>
  <c r="Z719" i="10" s="1"/>
  <c r="Z720" i="10" a="1"/>
  <c r="Z720" i="10" s="1"/>
  <c r="Z721" i="10" a="1"/>
  <c r="Z721" i="10" s="1"/>
  <c r="Z722" i="10" a="1"/>
  <c r="Z722" i="10" s="1"/>
  <c r="Z723" i="10" a="1"/>
  <c r="Z723" i="10" s="1"/>
  <c r="Z724" i="10" a="1"/>
  <c r="Z724" i="10" s="1"/>
  <c r="Z725" i="10" a="1"/>
  <c r="Z725" i="10" s="1"/>
  <c r="Z726" i="10" a="1"/>
  <c r="Z726" i="10" s="1"/>
  <c r="Z727" i="10" a="1"/>
  <c r="Z727" i="10" s="1"/>
  <c r="Z728" i="10" a="1"/>
  <c r="Z728" i="10" s="1"/>
  <c r="Z729" i="10" a="1"/>
  <c r="Z729" i="10" s="1"/>
  <c r="Z730" i="10" a="1"/>
  <c r="Z730" i="10" s="1"/>
  <c r="Z731" i="10" a="1"/>
  <c r="Z731" i="10" s="1"/>
  <c r="Z732" i="10" a="1"/>
  <c r="Z732" i="10" s="1"/>
  <c r="Z733" i="10" a="1"/>
  <c r="Z733" i="10" s="1"/>
  <c r="Z734" i="10" a="1"/>
  <c r="Z734" i="10" s="1"/>
  <c r="Z735" i="10" a="1"/>
  <c r="Z735" i="10" s="1"/>
  <c r="Z736" i="10" a="1"/>
  <c r="Z736" i="10" s="1"/>
  <c r="Z737" i="10" a="1"/>
  <c r="Z737" i="10" s="1"/>
  <c r="Z738" i="10" a="1"/>
  <c r="Z738" i="10" s="1"/>
  <c r="Z739" i="10" a="1"/>
  <c r="Z739" i="10" s="1"/>
  <c r="Z740" i="10" a="1"/>
  <c r="Z740" i="10" s="1"/>
  <c r="Z741" i="10" a="1"/>
  <c r="Z741" i="10" s="1"/>
  <c r="Z742" i="10" a="1"/>
  <c r="Z742" i="10" s="1"/>
  <c r="Z743" i="10" a="1"/>
  <c r="Z743" i="10" s="1"/>
  <c r="Z744" i="10" a="1"/>
  <c r="Z744" i="10" s="1"/>
  <c r="Z745" i="10" a="1"/>
  <c r="Z745" i="10" s="1"/>
  <c r="Z746" i="10" a="1"/>
  <c r="Z746" i="10" s="1"/>
  <c r="Z747" i="10" a="1"/>
  <c r="Z747" i="10" s="1"/>
  <c r="Z748" i="10" a="1"/>
  <c r="Z748" i="10" s="1"/>
  <c r="Z749" i="10" a="1"/>
  <c r="Z749" i="10" s="1"/>
  <c r="Z750" i="10" a="1"/>
  <c r="Z750" i="10" s="1"/>
  <c r="Z751" i="10" a="1"/>
  <c r="Z751" i="10" s="1"/>
  <c r="Z752" i="10" a="1"/>
  <c r="Z752" i="10" s="1"/>
  <c r="Z753" i="10" a="1"/>
  <c r="Z753" i="10" s="1"/>
  <c r="Z754" i="10" a="1"/>
  <c r="Z754" i="10" s="1"/>
  <c r="Z755" i="10" a="1"/>
  <c r="Z755" i="10" s="1"/>
  <c r="Z756" i="10" a="1"/>
  <c r="Z756" i="10" s="1"/>
  <c r="Z757" i="10" a="1"/>
  <c r="Z757" i="10" s="1"/>
  <c r="Z758" i="10" a="1"/>
  <c r="Z758" i="10" s="1"/>
  <c r="Z759" i="10" a="1"/>
  <c r="Z759" i="10" s="1"/>
  <c r="Z760" i="10" a="1"/>
  <c r="Z760" i="10" s="1"/>
  <c r="Z761" i="10" a="1"/>
  <c r="Z761" i="10" s="1"/>
  <c r="Z762" i="10" a="1"/>
  <c r="Z762" i="10" s="1"/>
  <c r="Z763" i="10" a="1"/>
  <c r="Z763" i="10" s="1"/>
  <c r="Z764" i="10" a="1"/>
  <c r="Z764" i="10" s="1"/>
  <c r="Z765" i="10" a="1"/>
  <c r="Z765" i="10" s="1"/>
  <c r="Z766" i="10" a="1"/>
  <c r="Z766" i="10" s="1"/>
  <c r="Z767" i="10" a="1"/>
  <c r="Z767" i="10" s="1"/>
  <c r="Z768" i="10" a="1"/>
  <c r="Z768" i="10" s="1"/>
  <c r="Z769" i="10" a="1"/>
  <c r="Z769" i="10" s="1"/>
  <c r="Z770" i="10" a="1"/>
  <c r="Z770" i="10" s="1"/>
  <c r="Z771" i="10" a="1"/>
  <c r="Z771" i="10" s="1"/>
  <c r="Z772" i="10" a="1"/>
  <c r="Z772" i="10" s="1"/>
  <c r="Z773" i="10" a="1"/>
  <c r="Z773" i="10" s="1"/>
  <c r="Z774" i="10" a="1"/>
  <c r="Z774" i="10" s="1"/>
  <c r="Z775" i="10" a="1"/>
  <c r="Z775" i="10" s="1"/>
  <c r="Z776" i="10" a="1"/>
  <c r="Z776" i="10" s="1"/>
  <c r="Z777" i="10" a="1"/>
  <c r="Z777" i="10" s="1"/>
  <c r="Z778" i="10" a="1"/>
  <c r="Z778" i="10" s="1"/>
  <c r="Z779" i="10" a="1"/>
  <c r="Z779" i="10" s="1"/>
  <c r="Z780" i="10" a="1"/>
  <c r="Z780" i="10" s="1"/>
  <c r="Z781" i="10" a="1"/>
  <c r="Z781" i="10" s="1"/>
  <c r="Z782" i="10" a="1"/>
  <c r="Z782" i="10" s="1"/>
  <c r="Z783" i="10" a="1"/>
  <c r="Z783" i="10" s="1"/>
  <c r="Z784" i="10" a="1"/>
  <c r="Z784" i="10" s="1"/>
  <c r="Z785" i="10" a="1"/>
  <c r="Z785" i="10" s="1"/>
  <c r="Z786" i="10" a="1"/>
  <c r="Z786" i="10" s="1"/>
  <c r="Z787" i="10" a="1"/>
  <c r="Z787" i="10" s="1"/>
  <c r="Z788" i="10" a="1"/>
  <c r="Z788" i="10" s="1"/>
  <c r="Z789" i="10" a="1"/>
  <c r="Z789" i="10" s="1"/>
  <c r="Z790" i="10" a="1"/>
  <c r="Z790" i="10" s="1"/>
  <c r="Z791" i="10" a="1"/>
  <c r="Z791" i="10" s="1"/>
  <c r="Z792" i="10" a="1"/>
  <c r="Z792" i="10" s="1"/>
  <c r="Z793" i="10" a="1"/>
  <c r="Z793" i="10" s="1"/>
  <c r="Z794" i="10" a="1"/>
  <c r="Z794" i="10" s="1"/>
  <c r="Z795" i="10" a="1"/>
  <c r="Z795" i="10" s="1"/>
  <c r="Z796" i="10" a="1"/>
  <c r="Z796" i="10" s="1"/>
  <c r="Z797" i="10" a="1"/>
  <c r="Z797" i="10" s="1"/>
  <c r="Z609" i="10" a="1"/>
  <c r="Z609" i="10" s="1"/>
  <c r="AB613" i="10" a="1"/>
  <c r="AB613" i="10" s="1"/>
  <c r="AA615" i="10" a="1"/>
  <c r="AA615" i="10" s="1"/>
  <c r="Z617" i="10" a="1"/>
  <c r="Z617" i="10" s="1"/>
  <c r="Z619" i="10" a="1"/>
  <c r="Z619" i="10" s="1"/>
  <c r="AB620" i="10" a="1"/>
  <c r="AB620" i="10" s="1"/>
  <c r="AB622" i="10" a="1"/>
  <c r="AB622" i="10" s="1"/>
  <c r="Z624" i="10" a="1"/>
  <c r="Z624" i="10" s="1"/>
  <c r="Y626" i="10" a="1"/>
  <c r="Y626" i="10" s="1"/>
  <c r="AB627" i="10" a="1"/>
  <c r="AB627" i="10" s="1"/>
  <c r="AB629" i="10" a="1"/>
  <c r="AB629" i="10" s="1"/>
  <c r="AB631" i="10" a="1"/>
  <c r="AB631" i="10" s="1"/>
  <c r="AB633" i="10" a="1"/>
  <c r="AB633" i="10" s="1"/>
  <c r="AB635" i="10" a="1"/>
  <c r="AB635" i="10" s="1"/>
  <c r="AB637" i="10" a="1"/>
  <c r="AB637" i="10" s="1"/>
  <c r="AB639" i="10" a="1"/>
  <c r="AB639" i="10" s="1"/>
  <c r="AB641" i="10" a="1"/>
  <c r="AB641" i="10" s="1"/>
  <c r="AB643" i="10" a="1"/>
  <c r="AB643" i="10" s="1"/>
  <c r="AB645" i="10" a="1"/>
  <c r="AB645" i="10" s="1"/>
  <c r="AB647" i="10" a="1"/>
  <c r="AB647" i="10" s="1"/>
  <c r="AB649" i="10" a="1"/>
  <c r="AB649" i="10" s="1"/>
  <c r="AB650" i="10" a="1"/>
  <c r="AB650" i="10" s="1"/>
  <c r="AB651" i="10" a="1"/>
  <c r="AB651" i="10" s="1"/>
  <c r="AB652" i="10" a="1"/>
  <c r="AB652" i="10" s="1"/>
  <c r="AB653" i="10" a="1"/>
  <c r="AB653" i="10" s="1"/>
  <c r="AB654" i="10" a="1"/>
  <c r="AB654" i="10" s="1"/>
  <c r="AB655" i="10" a="1"/>
  <c r="AB655" i="10" s="1"/>
  <c r="AB656" i="10" a="1"/>
  <c r="AB656" i="10" s="1"/>
  <c r="AB657" i="10" a="1"/>
  <c r="AB657" i="10" s="1"/>
  <c r="AB658" i="10" a="1"/>
  <c r="AB658" i="10" s="1"/>
  <c r="AB659" i="10" a="1"/>
  <c r="AB659" i="10" s="1"/>
  <c r="AB660" i="10" a="1"/>
  <c r="AB660" i="10" s="1"/>
  <c r="AB661" i="10" a="1"/>
  <c r="AB661" i="10" s="1"/>
  <c r="AB662" i="10" a="1"/>
  <c r="AB662" i="10" s="1"/>
  <c r="AB663" i="10" a="1"/>
  <c r="AB663" i="10" s="1"/>
  <c r="AB664" i="10" a="1"/>
  <c r="AB664" i="10" s="1"/>
  <c r="AB665" i="10" a="1"/>
  <c r="AB665" i="10" s="1"/>
  <c r="AB666" i="10" a="1"/>
  <c r="AB666" i="10" s="1"/>
  <c r="AB667" i="10" a="1"/>
  <c r="AB667" i="10" s="1"/>
  <c r="AB668" i="10" a="1"/>
  <c r="AB668" i="10" s="1"/>
  <c r="AB669" i="10" a="1"/>
  <c r="AB669" i="10" s="1"/>
  <c r="AB670" i="10" a="1"/>
  <c r="AB670" i="10" s="1"/>
  <c r="AB671" i="10" a="1"/>
  <c r="AB671" i="10" s="1"/>
  <c r="AB672" i="10" a="1"/>
  <c r="AB672" i="10" s="1"/>
  <c r="AB673" i="10" a="1"/>
  <c r="AB673" i="10" s="1"/>
  <c r="AB674" i="10" a="1"/>
  <c r="AB674" i="10" s="1"/>
  <c r="AB675" i="10" a="1"/>
  <c r="AB675" i="10" s="1"/>
  <c r="AB676" i="10" a="1"/>
  <c r="AB676" i="10" s="1"/>
  <c r="AB677" i="10" a="1"/>
  <c r="AB677" i="10" s="1"/>
  <c r="AB678" i="10" a="1"/>
  <c r="AB678" i="10" s="1"/>
  <c r="AB679" i="10" a="1"/>
  <c r="AB679" i="10" s="1"/>
  <c r="AB680" i="10" a="1"/>
  <c r="AB680" i="10" s="1"/>
  <c r="AB681" i="10" a="1"/>
  <c r="AB681" i="10" s="1"/>
  <c r="AB682" i="10" a="1"/>
  <c r="AB682" i="10" s="1"/>
  <c r="AB683" i="10" a="1"/>
  <c r="AB683" i="10" s="1"/>
  <c r="AB684" i="10" a="1"/>
  <c r="AB684" i="10" s="1"/>
  <c r="AB685" i="10" a="1"/>
  <c r="AB685" i="10" s="1"/>
  <c r="AB686" i="10" a="1"/>
  <c r="AB686" i="10" s="1"/>
  <c r="AB687" i="10" a="1"/>
  <c r="AB687" i="10" s="1"/>
  <c r="AB688" i="10" a="1"/>
  <c r="AB688" i="10" s="1"/>
  <c r="AB689" i="10" a="1"/>
  <c r="AB689" i="10" s="1"/>
  <c r="AB690" i="10" a="1"/>
  <c r="AB690" i="10" s="1"/>
  <c r="AB691" i="10" a="1"/>
  <c r="AB691" i="10" s="1"/>
  <c r="AB692" i="10" a="1"/>
  <c r="AB692" i="10" s="1"/>
  <c r="AB693" i="10" a="1"/>
  <c r="AB693" i="10" s="1"/>
  <c r="AB694" i="10" a="1"/>
  <c r="AB694" i="10" s="1"/>
  <c r="AB695" i="10" a="1"/>
  <c r="AB695" i="10" s="1"/>
  <c r="AB696" i="10" a="1"/>
  <c r="AB696" i="10" s="1"/>
  <c r="AB697" i="10" a="1"/>
  <c r="AB697" i="10" s="1"/>
  <c r="AB698" i="10" a="1"/>
  <c r="AB698" i="10" s="1"/>
  <c r="AB699" i="10" a="1"/>
  <c r="AB699" i="10" s="1"/>
  <c r="AB700" i="10" a="1"/>
  <c r="AB700" i="10" s="1"/>
  <c r="AB701" i="10" a="1"/>
  <c r="AB701" i="10" s="1"/>
  <c r="AB702" i="10" a="1"/>
  <c r="AB702" i="10" s="1"/>
  <c r="AB703" i="10" a="1"/>
  <c r="AB703" i="10" s="1"/>
  <c r="AB704" i="10" a="1"/>
  <c r="AB704" i="10" s="1"/>
  <c r="AB705" i="10" a="1"/>
  <c r="AB705" i="10" s="1"/>
  <c r="AB706" i="10" a="1"/>
  <c r="AB706" i="10" s="1"/>
  <c r="AB707" i="10" a="1"/>
  <c r="AB707" i="10" s="1"/>
  <c r="AB708" i="10" a="1"/>
  <c r="AB708" i="10" s="1"/>
  <c r="AB709" i="10" a="1"/>
  <c r="AB709" i="10" s="1"/>
  <c r="AB710" i="10" a="1"/>
  <c r="AB710" i="10" s="1"/>
  <c r="AB711" i="10" a="1"/>
  <c r="AB711" i="10" s="1"/>
  <c r="AA713" i="10" a="1"/>
  <c r="AA713" i="10" s="1"/>
  <c r="AA714" i="10" a="1"/>
  <c r="AA714" i="10" s="1"/>
  <c r="AA715" i="10" a="1"/>
  <c r="AA715" i="10" s="1"/>
  <c r="AA716" i="10" a="1"/>
  <c r="AA716" i="10" s="1"/>
  <c r="AA717" i="10" a="1"/>
  <c r="AA717" i="10" s="1"/>
  <c r="AA718" i="10" a="1"/>
  <c r="AA718" i="10" s="1"/>
  <c r="AA719" i="10" a="1"/>
  <c r="AA719" i="10" s="1"/>
  <c r="AA720" i="10" a="1"/>
  <c r="AA720" i="10" s="1"/>
  <c r="AA721" i="10" a="1"/>
  <c r="AA721" i="10" s="1"/>
  <c r="AA722" i="10" a="1"/>
  <c r="AA722" i="10" s="1"/>
  <c r="AA723" i="10" a="1"/>
  <c r="AA723" i="10" s="1"/>
  <c r="AA724" i="10" a="1"/>
  <c r="AA724" i="10" s="1"/>
  <c r="AA725" i="10" a="1"/>
  <c r="AA725" i="10" s="1"/>
  <c r="AA726" i="10" a="1"/>
  <c r="AA726" i="10" s="1"/>
  <c r="AA727" i="10" a="1"/>
  <c r="AA727" i="10" s="1"/>
  <c r="AA728" i="10" a="1"/>
  <c r="AA728" i="10" s="1"/>
  <c r="AA729" i="10" a="1"/>
  <c r="AA729" i="10" s="1"/>
  <c r="AA730" i="10" a="1"/>
  <c r="AA730" i="10" s="1"/>
  <c r="AA731" i="10" a="1"/>
  <c r="AA731" i="10" s="1"/>
  <c r="AA732" i="10" a="1"/>
  <c r="AA732" i="10" s="1"/>
  <c r="AA733" i="10" a="1"/>
  <c r="AA733" i="10" s="1"/>
  <c r="AA734" i="10" a="1"/>
  <c r="AA734" i="10" s="1"/>
  <c r="AA735" i="10" a="1"/>
  <c r="AA735" i="10" s="1"/>
  <c r="AA736" i="10" a="1"/>
  <c r="AA736" i="10" s="1"/>
  <c r="AA737" i="10" a="1"/>
  <c r="AA737" i="10" s="1"/>
  <c r="AA738" i="10" a="1"/>
  <c r="AA738" i="10" s="1"/>
  <c r="AA739" i="10" a="1"/>
  <c r="AA739" i="10" s="1"/>
  <c r="AA740" i="10" a="1"/>
  <c r="AA740" i="10" s="1"/>
  <c r="AA741" i="10" a="1"/>
  <c r="AA741" i="10" s="1"/>
  <c r="AA742" i="10" a="1"/>
  <c r="AA742" i="10" s="1"/>
  <c r="AA743" i="10" a="1"/>
  <c r="AA743" i="10" s="1"/>
  <c r="AA744" i="10" a="1"/>
  <c r="AA744" i="10" s="1"/>
  <c r="AA745" i="10" a="1"/>
  <c r="AA745" i="10" s="1"/>
  <c r="AA746" i="10" a="1"/>
  <c r="AA746" i="10" s="1"/>
  <c r="AA747" i="10" a="1"/>
  <c r="AA747" i="10" s="1"/>
  <c r="AA748" i="10" a="1"/>
  <c r="AA748" i="10" s="1"/>
  <c r="AA749" i="10" a="1"/>
  <c r="AA749" i="10" s="1"/>
  <c r="AA750" i="10" a="1"/>
  <c r="AA750" i="10" s="1"/>
  <c r="AA751" i="10" a="1"/>
  <c r="AA751" i="10" s="1"/>
  <c r="AA752" i="10" a="1"/>
  <c r="AA752" i="10" s="1"/>
  <c r="AA753" i="10" a="1"/>
  <c r="AA753" i="10" s="1"/>
  <c r="AA754" i="10" a="1"/>
  <c r="AA754" i="10" s="1"/>
  <c r="AA755" i="10" a="1"/>
  <c r="AA755" i="10" s="1"/>
  <c r="AA756" i="10" a="1"/>
  <c r="AA756" i="10" s="1"/>
  <c r="AA757" i="10" a="1"/>
  <c r="AA757" i="10" s="1"/>
  <c r="AA758" i="10" a="1"/>
  <c r="AA758" i="10" s="1"/>
  <c r="AA759" i="10" a="1"/>
  <c r="AA759" i="10" s="1"/>
  <c r="AA760" i="10" a="1"/>
  <c r="AA760" i="10" s="1"/>
  <c r="AA761" i="10" a="1"/>
  <c r="AA761" i="10" s="1"/>
  <c r="AA762" i="10" a="1"/>
  <c r="AA762" i="10" s="1"/>
  <c r="AA763" i="10" a="1"/>
  <c r="AA763" i="10" s="1"/>
  <c r="AA764" i="10" a="1"/>
  <c r="AA764" i="10" s="1"/>
  <c r="AA765" i="10" a="1"/>
  <c r="AA765" i="10" s="1"/>
  <c r="AA766" i="10" a="1"/>
  <c r="AA766" i="10" s="1"/>
  <c r="AA767" i="10" a="1"/>
  <c r="AA767" i="10" s="1"/>
  <c r="AA768" i="10" a="1"/>
  <c r="AA768" i="10" s="1"/>
  <c r="AA769" i="10" a="1"/>
  <c r="AA769" i="10" s="1"/>
  <c r="AA770" i="10" a="1"/>
  <c r="AA770" i="10" s="1"/>
  <c r="AA771" i="10" a="1"/>
  <c r="AA771" i="10" s="1"/>
  <c r="AA772" i="10" a="1"/>
  <c r="AA772" i="10" s="1"/>
  <c r="AA773" i="10" a="1"/>
  <c r="AA773" i="10" s="1"/>
  <c r="AA774" i="10" a="1"/>
  <c r="AA774" i="10" s="1"/>
  <c r="AA775" i="10" a="1"/>
  <c r="AA775" i="10" s="1"/>
  <c r="AA776" i="10" a="1"/>
  <c r="AA776" i="10" s="1"/>
  <c r="AA777" i="10" a="1"/>
  <c r="AA777" i="10" s="1"/>
  <c r="AA778" i="10" a="1"/>
  <c r="AA778" i="10" s="1"/>
  <c r="AA779" i="10" a="1"/>
  <c r="AA779" i="10" s="1"/>
  <c r="AA780" i="10" a="1"/>
  <c r="AA780" i="10" s="1"/>
  <c r="AA781" i="10" a="1"/>
  <c r="AA781" i="10" s="1"/>
  <c r="AA782" i="10" a="1"/>
  <c r="AA782" i="10" s="1"/>
  <c r="AA783" i="10" a="1"/>
  <c r="AA783" i="10" s="1"/>
  <c r="AA784" i="10" a="1"/>
  <c r="AA784" i="10" s="1"/>
  <c r="AA785" i="10" a="1"/>
  <c r="AA785" i="10" s="1"/>
  <c r="AA786" i="10" a="1"/>
  <c r="AA786" i="10" s="1"/>
  <c r="AA787" i="10" a="1"/>
  <c r="AA787" i="10" s="1"/>
  <c r="AA788" i="10" a="1"/>
  <c r="AA788" i="10" s="1"/>
  <c r="AA789" i="10" a="1"/>
  <c r="AA789" i="10" s="1"/>
  <c r="AA790" i="10" a="1"/>
  <c r="AA790" i="10" s="1"/>
  <c r="AA791" i="10" a="1"/>
  <c r="AA791" i="10" s="1"/>
  <c r="AA792" i="10" a="1"/>
  <c r="AA792" i="10" s="1"/>
  <c r="AA793" i="10" a="1"/>
  <c r="AA793" i="10" s="1"/>
  <c r="AA794" i="10" a="1"/>
  <c r="AA794" i="10" s="1"/>
  <c r="AA795" i="10" a="1"/>
  <c r="AA795" i="10" s="1"/>
  <c r="AA796" i="10" a="1"/>
  <c r="AA796" i="10" s="1"/>
  <c r="AA797" i="10" a="1"/>
  <c r="AA797" i="10" s="1"/>
  <c r="AA798" i="10" a="1"/>
  <c r="AA798" i="10" s="1"/>
  <c r="AA799" i="10" a="1"/>
  <c r="AA799" i="10" s="1"/>
  <c r="Z610" i="10" a="1"/>
  <c r="Z610" i="10" s="1"/>
  <c r="Y612" i="10" a="1"/>
  <c r="Y612" i="10" s="1"/>
  <c r="Y614" i="10" a="1"/>
  <c r="Y614" i="10" s="1"/>
  <c r="AB615" i="10" a="1"/>
  <c r="AB615" i="10" s="1"/>
  <c r="AA617" i="10" a="1"/>
  <c r="AA617" i="10" s="1"/>
  <c r="Y621" i="10" a="1"/>
  <c r="Y621" i="10" s="1"/>
  <c r="Y623" i="10" a="1"/>
  <c r="Y623" i="10" s="1"/>
  <c r="AA624" i="10" a="1"/>
  <c r="AA624" i="10" s="1"/>
  <c r="Y628" i="10" a="1"/>
  <c r="Y628" i="10" s="1"/>
  <c r="Y630" i="10" a="1"/>
  <c r="Y630" i="10" s="1"/>
  <c r="Y632" i="10" a="1"/>
  <c r="Y632" i="10" s="1"/>
  <c r="Y634" i="10" a="1"/>
  <c r="Y634" i="10" s="1"/>
  <c r="Y636" i="10" a="1"/>
  <c r="Y636" i="10" s="1"/>
  <c r="Y638" i="10" a="1"/>
  <c r="Y638" i="10" s="1"/>
  <c r="Y640" i="10" a="1"/>
  <c r="Y640" i="10" s="1"/>
  <c r="Y642" i="10" a="1"/>
  <c r="Y642" i="10" s="1"/>
  <c r="Y644" i="10" a="1"/>
  <c r="Y644" i="10" s="1"/>
  <c r="Y646" i="10" a="1"/>
  <c r="Y646" i="10" s="1"/>
  <c r="Y648" i="10" a="1"/>
  <c r="Y648" i="10" s="1"/>
  <c r="Y650" i="10" a="1"/>
  <c r="Y650" i="10" s="1"/>
  <c r="Y651" i="10" a="1"/>
  <c r="Y651" i="10" s="1"/>
  <c r="Y652" i="10" a="1"/>
  <c r="Y652" i="10" s="1"/>
  <c r="Y653" i="10" a="1"/>
  <c r="Y653" i="10" s="1"/>
  <c r="Y654" i="10" a="1"/>
  <c r="Y654" i="10" s="1"/>
  <c r="Y655" i="10" a="1"/>
  <c r="Y655" i="10" s="1"/>
  <c r="Y656" i="10" a="1"/>
  <c r="Y656" i="10" s="1"/>
  <c r="Y657" i="10" a="1"/>
  <c r="Y657" i="10" s="1"/>
  <c r="Y658" i="10" a="1"/>
  <c r="Y658" i="10" s="1"/>
  <c r="Y659" i="10" a="1"/>
  <c r="Y659" i="10" s="1"/>
  <c r="Y660" i="10" a="1"/>
  <c r="Y660" i="10" s="1"/>
  <c r="Y661" i="10" a="1"/>
  <c r="Y661" i="10" s="1"/>
  <c r="Y662" i="10" a="1"/>
  <c r="Y662" i="10" s="1"/>
  <c r="Y663" i="10" a="1"/>
  <c r="Y663" i="10" s="1"/>
  <c r="Y664" i="10" a="1"/>
  <c r="Y664" i="10" s="1"/>
  <c r="Y665" i="10" a="1"/>
  <c r="Y665" i="10" s="1"/>
  <c r="Y666" i="10" a="1"/>
  <c r="Y666" i="10" s="1"/>
  <c r="Y667" i="10" a="1"/>
  <c r="Y667" i="10" s="1"/>
  <c r="Y668" i="10" a="1"/>
  <c r="Y668" i="10" s="1"/>
  <c r="Y669" i="10" a="1"/>
  <c r="Y669" i="10" s="1"/>
  <c r="Y670" i="10" a="1"/>
  <c r="Y670" i="10" s="1"/>
  <c r="Y671" i="10" a="1"/>
  <c r="Y671" i="10" s="1"/>
  <c r="Y672" i="10" a="1"/>
  <c r="Y672" i="10" s="1"/>
  <c r="Y673" i="10" a="1"/>
  <c r="Y673" i="10" s="1"/>
  <c r="Y674" i="10" a="1"/>
  <c r="Y674" i="10" s="1"/>
  <c r="Y675" i="10" a="1"/>
  <c r="Y675" i="10" s="1"/>
  <c r="Y676" i="10" a="1"/>
  <c r="Y676" i="10" s="1"/>
  <c r="Y677" i="10" a="1"/>
  <c r="Y677" i="10" s="1"/>
  <c r="Y678" i="10" a="1"/>
  <c r="Y678" i="10" s="1"/>
  <c r="Y679" i="10" a="1"/>
  <c r="Y679" i="10" s="1"/>
  <c r="Y680" i="10" a="1"/>
  <c r="Y680" i="10" s="1"/>
  <c r="Y681" i="10" a="1"/>
  <c r="Y681" i="10" s="1"/>
  <c r="Y682" i="10" a="1"/>
  <c r="Y682" i="10" s="1"/>
  <c r="Y683" i="10" a="1"/>
  <c r="Y683" i="10" s="1"/>
  <c r="Y684" i="10" a="1"/>
  <c r="Y684" i="10" s="1"/>
  <c r="Y685" i="10" a="1"/>
  <c r="Y685" i="10" s="1"/>
  <c r="Y686" i="10" a="1"/>
  <c r="Y686" i="10" s="1"/>
  <c r="Y687" i="10" a="1"/>
  <c r="Y687" i="10" s="1"/>
  <c r="Y688" i="10" a="1"/>
  <c r="Y688" i="10" s="1"/>
  <c r="Y689" i="10" a="1"/>
  <c r="Y689" i="10" s="1"/>
  <c r="Y690" i="10" a="1"/>
  <c r="Y690" i="10" s="1"/>
  <c r="Y691" i="10" a="1"/>
  <c r="Y691" i="10" s="1"/>
  <c r="Y692" i="10" a="1"/>
  <c r="Y692" i="10" s="1"/>
  <c r="Y693" i="10" a="1"/>
  <c r="Y693" i="10" s="1"/>
  <c r="Y694" i="10" a="1"/>
  <c r="Y694" i="10" s="1"/>
  <c r="Y695" i="10" a="1"/>
  <c r="Y695" i="10" s="1"/>
  <c r="Y696" i="10" a="1"/>
  <c r="Y696" i="10" s="1"/>
  <c r="Y697" i="10" a="1"/>
  <c r="Y697" i="10" s="1"/>
  <c r="Y698" i="10" a="1"/>
  <c r="Y698" i="10" s="1"/>
  <c r="Y699" i="10" a="1"/>
  <c r="Y699" i="10" s="1"/>
  <c r="Y700" i="10" a="1"/>
  <c r="Y700" i="10" s="1"/>
  <c r="Y701" i="10" a="1"/>
  <c r="Y701" i="10" s="1"/>
  <c r="Y702" i="10" a="1"/>
  <c r="Y702" i="10" s="1"/>
  <c r="Y703" i="10" a="1"/>
  <c r="Y703" i="10" s="1"/>
  <c r="Y704" i="10" a="1"/>
  <c r="Y704" i="10" s="1"/>
  <c r="Y705" i="10" a="1"/>
  <c r="Y705" i="10" s="1"/>
  <c r="Y706" i="10" a="1"/>
  <c r="Y706" i="10" s="1"/>
  <c r="Y707" i="10" a="1"/>
  <c r="Y707" i="10" s="1"/>
  <c r="Y708" i="10" a="1"/>
  <c r="Y708" i="10" s="1"/>
  <c r="Y709" i="10" a="1"/>
  <c r="Y709" i="10" s="1"/>
  <c r="Y710" i="10" a="1"/>
  <c r="Y710" i="10" s="1"/>
  <c r="Y711" i="10" a="1"/>
  <c r="Y711" i="10" s="1"/>
  <c r="Y712" i="10" a="1"/>
  <c r="Y712" i="10" s="1"/>
  <c r="AB712" i="10" a="1"/>
  <c r="AB712" i="10" s="1"/>
  <c r="AB713" i="10" a="1"/>
  <c r="AB713" i="10" s="1"/>
  <c r="AB714" i="10" a="1"/>
  <c r="AB714" i="10" s="1"/>
  <c r="AB715" i="10" a="1"/>
  <c r="AB715" i="10" s="1"/>
  <c r="AB716" i="10" a="1"/>
  <c r="AB716" i="10" s="1"/>
  <c r="AB717" i="10" a="1"/>
  <c r="AB717" i="10" s="1"/>
  <c r="AB718" i="10" a="1"/>
  <c r="AB718" i="10" s="1"/>
  <c r="AB719" i="10" a="1"/>
  <c r="AB719" i="10" s="1"/>
  <c r="AB720" i="10" a="1"/>
  <c r="AB720" i="10" s="1"/>
  <c r="AB721" i="10" a="1"/>
  <c r="AB721" i="10" s="1"/>
  <c r="AB722" i="10" a="1"/>
  <c r="AB722" i="10" s="1"/>
  <c r="AB723" i="10" a="1"/>
  <c r="AB723" i="10" s="1"/>
  <c r="AB724" i="10" a="1"/>
  <c r="AB724" i="10" s="1"/>
  <c r="AB725" i="10" a="1"/>
  <c r="AB725" i="10" s="1"/>
  <c r="AB726" i="10" a="1"/>
  <c r="AB726" i="10" s="1"/>
  <c r="AB727" i="10" a="1"/>
  <c r="AB727" i="10" s="1"/>
  <c r="AB728" i="10" a="1"/>
  <c r="AB728" i="10" s="1"/>
  <c r="AB729" i="10" a="1"/>
  <c r="AB729" i="10" s="1"/>
  <c r="AB730" i="10" a="1"/>
  <c r="AB730" i="10" s="1"/>
  <c r="AB731" i="10" a="1"/>
  <c r="AB731" i="10" s="1"/>
  <c r="AB732" i="10" a="1"/>
  <c r="AB732" i="10" s="1"/>
  <c r="AB733" i="10" a="1"/>
  <c r="AB733" i="10" s="1"/>
  <c r="AB734" i="10" a="1"/>
  <c r="AB734" i="10" s="1"/>
  <c r="AB735" i="10" a="1"/>
  <c r="AB735" i="10" s="1"/>
  <c r="AB736" i="10" a="1"/>
  <c r="AB736" i="10" s="1"/>
  <c r="AB737" i="10" a="1"/>
  <c r="AB737" i="10" s="1"/>
  <c r="AB738" i="10" a="1"/>
  <c r="AB738" i="10" s="1"/>
  <c r="AB739" i="10" a="1"/>
  <c r="AB739" i="10" s="1"/>
  <c r="AB740" i="10" a="1"/>
  <c r="AB740" i="10" s="1"/>
  <c r="AB741" i="10" a="1"/>
  <c r="AB741" i="10" s="1"/>
  <c r="AB742" i="10" a="1"/>
  <c r="AB742" i="10" s="1"/>
  <c r="AB743" i="10" a="1"/>
  <c r="AB743" i="10" s="1"/>
  <c r="AB744" i="10" a="1"/>
  <c r="AB744" i="10" s="1"/>
  <c r="AB745" i="10" a="1"/>
  <c r="AB745" i="10" s="1"/>
  <c r="AB746" i="10" a="1"/>
  <c r="AB746" i="10" s="1"/>
  <c r="AB747" i="10" a="1"/>
  <c r="AB747" i="10" s="1"/>
  <c r="AB748" i="10" a="1"/>
  <c r="AB748" i="10" s="1"/>
  <c r="AB749" i="10" a="1"/>
  <c r="AB749" i="10" s="1"/>
  <c r="AB750" i="10" a="1"/>
  <c r="AB750" i="10" s="1"/>
  <c r="AB751" i="10" a="1"/>
  <c r="AB751" i="10" s="1"/>
  <c r="AB752" i="10" a="1"/>
  <c r="AB752" i="10" s="1"/>
  <c r="AB753" i="10" a="1"/>
  <c r="AB753" i="10" s="1"/>
  <c r="AB754" i="10" a="1"/>
  <c r="AB754" i="10" s="1"/>
  <c r="AB755" i="10" a="1"/>
  <c r="AB755" i="10" s="1"/>
  <c r="AB756" i="10" a="1"/>
  <c r="AB756" i="10" s="1"/>
  <c r="AB757" i="10" a="1"/>
  <c r="AB757" i="10" s="1"/>
  <c r="AB758" i="10" a="1"/>
  <c r="AB758" i="10" s="1"/>
  <c r="AB759" i="10" a="1"/>
  <c r="AB759" i="10" s="1"/>
  <c r="AB760" i="10" a="1"/>
  <c r="AB760" i="10" s="1"/>
  <c r="AB761" i="10" a="1"/>
  <c r="AB761" i="10" s="1"/>
  <c r="AB762" i="10" a="1"/>
  <c r="AB762" i="10" s="1"/>
  <c r="AB763" i="10" a="1"/>
  <c r="AB763" i="10" s="1"/>
  <c r="AB764" i="10" a="1"/>
  <c r="AB764" i="10" s="1"/>
  <c r="AB765" i="10" a="1"/>
  <c r="AB765" i="10" s="1"/>
  <c r="AB766" i="10" a="1"/>
  <c r="AB766" i="10" s="1"/>
  <c r="AB767" i="10" a="1"/>
  <c r="AB767" i="10" s="1"/>
  <c r="AB768" i="10" a="1"/>
  <c r="AB768" i="10" s="1"/>
  <c r="AB769" i="10" a="1"/>
  <c r="AB769" i="10" s="1"/>
  <c r="AB770" i="10" a="1"/>
  <c r="AB770" i="10" s="1"/>
  <c r="AB771" i="10" a="1"/>
  <c r="AB771" i="10" s="1"/>
  <c r="AB772" i="10" a="1"/>
  <c r="AB772" i="10" s="1"/>
  <c r="AB773" i="10" a="1"/>
  <c r="AB773" i="10" s="1"/>
  <c r="AB774" i="10" a="1"/>
  <c r="AB774" i="10" s="1"/>
  <c r="AB775" i="10" a="1"/>
  <c r="AB775" i="10" s="1"/>
  <c r="AB776" i="10" a="1"/>
  <c r="AB776" i="10" s="1"/>
  <c r="AB777" i="10" a="1"/>
  <c r="AB777" i="10" s="1"/>
  <c r="AB778" i="10" a="1"/>
  <c r="AB778" i="10" s="1"/>
  <c r="AB779" i="10" a="1"/>
  <c r="AB779" i="10" s="1"/>
  <c r="AB780" i="10" a="1"/>
  <c r="AB780" i="10" s="1"/>
  <c r="AB781" i="10" a="1"/>
  <c r="AB781" i="10" s="1"/>
  <c r="AB782" i="10" a="1"/>
  <c r="AB782" i="10" s="1"/>
  <c r="AB783" i="10" a="1"/>
  <c r="AB783" i="10" s="1"/>
  <c r="AB784" i="10" a="1"/>
  <c r="AB784" i="10" s="1"/>
  <c r="AB785" i="10" a="1"/>
  <c r="AB785" i="10" s="1"/>
  <c r="AB786" i="10" a="1"/>
  <c r="AB786" i="10" s="1"/>
  <c r="AB787" i="10" a="1"/>
  <c r="AB787" i="10" s="1"/>
  <c r="AB788" i="10" a="1"/>
  <c r="AB788" i="10" s="1"/>
  <c r="AB789" i="10" a="1"/>
  <c r="AB789" i="10" s="1"/>
  <c r="AB790" i="10" a="1"/>
  <c r="AB790" i="10" s="1"/>
  <c r="AB791" i="10" a="1"/>
  <c r="AB791" i="10" s="1"/>
  <c r="AB792" i="10" a="1"/>
  <c r="AB792" i="10" s="1"/>
  <c r="AB793" i="10" a="1"/>
  <c r="AB793" i="10" s="1"/>
  <c r="AB794" i="10" a="1"/>
  <c r="AB794" i="10" s="1"/>
  <c r="AB795" i="10" a="1"/>
  <c r="AB795" i="10" s="1"/>
  <c r="AB796" i="10" a="1"/>
  <c r="AB796" i="10" s="1"/>
  <c r="AB797" i="10" a="1"/>
  <c r="AB797" i="10" s="1"/>
  <c r="AB798" i="10" a="1"/>
  <c r="AB798" i="10" s="1"/>
  <c r="AB799" i="10" a="1"/>
  <c r="AB799" i="10" s="1"/>
  <c r="AB800" i="10" a="1"/>
  <c r="AB800" i="10" s="1"/>
  <c r="AB801" i="10" a="1"/>
  <c r="AB801" i="10" s="1"/>
  <c r="Z611" i="10" a="1"/>
  <c r="Z611" i="10" s="1"/>
  <c r="AB612" i="10" a="1"/>
  <c r="AB612" i="10" s="1"/>
  <c r="AB614" i="10" a="1"/>
  <c r="AB614" i="10" s="1"/>
  <c r="Z616" i="10" a="1"/>
  <c r="Z616" i="10" s="1"/>
  <c r="Z618" i="10" a="1"/>
  <c r="Z618" i="10" s="1"/>
  <c r="AB621" i="10" a="1"/>
  <c r="AB621" i="10" s="1"/>
  <c r="AA623" i="10" a="1"/>
  <c r="AA623" i="10" s="1"/>
  <c r="Z625" i="10" a="1"/>
  <c r="Z625" i="10" s="1"/>
  <c r="AB626" i="10" a="1"/>
  <c r="AB626" i="10" s="1"/>
  <c r="AB628" i="10" a="1"/>
  <c r="AB628" i="10" s="1"/>
  <c r="AB630" i="10" a="1"/>
  <c r="AB630" i="10" s="1"/>
  <c r="AB632" i="10" a="1"/>
  <c r="AB632" i="10" s="1"/>
  <c r="AB634" i="10" a="1"/>
  <c r="AB634" i="10" s="1"/>
  <c r="AB636" i="10" a="1"/>
  <c r="AB636" i="10" s="1"/>
  <c r="AB638" i="10" a="1"/>
  <c r="AB638" i="10" s="1"/>
  <c r="AB640" i="10" a="1"/>
  <c r="AB640" i="10" s="1"/>
  <c r="AB642" i="10" a="1"/>
  <c r="AB642" i="10" s="1"/>
  <c r="AB644" i="10" a="1"/>
  <c r="AB644" i="10" s="1"/>
  <c r="AB646" i="10" a="1"/>
  <c r="AB646" i="10" s="1"/>
  <c r="AB648" i="10" a="1"/>
  <c r="AB648" i="10" s="1"/>
  <c r="Z650" i="10" a="1"/>
  <c r="Z650" i="10" s="1"/>
  <c r="Z651" i="10" a="1"/>
  <c r="Z651" i="10" s="1"/>
  <c r="Z652" i="10" a="1"/>
  <c r="Z652" i="10" s="1"/>
  <c r="Z653" i="10" a="1"/>
  <c r="Z653" i="10" s="1"/>
  <c r="Z654" i="10" a="1"/>
  <c r="Z654" i="10" s="1"/>
  <c r="Z655" i="10" a="1"/>
  <c r="Z655" i="10" s="1"/>
  <c r="Z656" i="10" a="1"/>
  <c r="Z656" i="10" s="1"/>
  <c r="Z657" i="10" a="1"/>
  <c r="Z657" i="10" s="1"/>
  <c r="Z658" i="10" a="1"/>
  <c r="Z658" i="10" s="1"/>
  <c r="Z659" i="10" a="1"/>
  <c r="Z659" i="10" s="1"/>
  <c r="Z660" i="10" a="1"/>
  <c r="Z660" i="10" s="1"/>
  <c r="Z661" i="10" a="1"/>
  <c r="Z661" i="10" s="1"/>
  <c r="Z662" i="10" a="1"/>
  <c r="Z662" i="10" s="1"/>
  <c r="Z663" i="10" a="1"/>
  <c r="Z663" i="10" s="1"/>
  <c r="Z664" i="10" a="1"/>
  <c r="Z664" i="10" s="1"/>
  <c r="Z665" i="10" a="1"/>
  <c r="Z665" i="10" s="1"/>
  <c r="Z666" i="10" a="1"/>
  <c r="Z666" i="10" s="1"/>
  <c r="Z667" i="10" a="1"/>
  <c r="Z667" i="10" s="1"/>
  <c r="Z668" i="10" a="1"/>
  <c r="Z668" i="10" s="1"/>
  <c r="Z669" i="10" a="1"/>
  <c r="Z669" i="10" s="1"/>
  <c r="Z670" i="10" a="1"/>
  <c r="Z670" i="10" s="1"/>
  <c r="Z671" i="10" a="1"/>
  <c r="Z671" i="10" s="1"/>
  <c r="Z672" i="10" a="1"/>
  <c r="Z672" i="10" s="1"/>
  <c r="Z673" i="10" a="1"/>
  <c r="Z673" i="10" s="1"/>
  <c r="Z674" i="10" a="1"/>
  <c r="Z674" i="10" s="1"/>
  <c r="Z675" i="10" a="1"/>
  <c r="Z675" i="10" s="1"/>
  <c r="Z676" i="10" a="1"/>
  <c r="Z676" i="10" s="1"/>
  <c r="Z677" i="10" a="1"/>
  <c r="Z677" i="10" s="1"/>
  <c r="Z678" i="10" a="1"/>
  <c r="Z678" i="10" s="1"/>
  <c r="Z679" i="10" a="1"/>
  <c r="Z679" i="10" s="1"/>
  <c r="Z680" i="10" a="1"/>
  <c r="Z680" i="10" s="1"/>
  <c r="Z681" i="10" a="1"/>
  <c r="Z681" i="10" s="1"/>
  <c r="Z682" i="10" a="1"/>
  <c r="Z682" i="10" s="1"/>
  <c r="Z683" i="10" a="1"/>
  <c r="Z683" i="10" s="1"/>
  <c r="Z684" i="10" a="1"/>
  <c r="Z684" i="10" s="1"/>
  <c r="Z685" i="10" a="1"/>
  <c r="Z685" i="10" s="1"/>
  <c r="Z686" i="10" a="1"/>
  <c r="Z686" i="10" s="1"/>
  <c r="Z687" i="10" a="1"/>
  <c r="Z687" i="10" s="1"/>
  <c r="Z688" i="10" a="1"/>
  <c r="Z688" i="10" s="1"/>
  <c r="Z689" i="10" a="1"/>
  <c r="Z689" i="10" s="1"/>
  <c r="Z690" i="10" a="1"/>
  <c r="Z690" i="10" s="1"/>
  <c r="Z691" i="10" a="1"/>
  <c r="Z691" i="10" s="1"/>
  <c r="Z692" i="10" a="1"/>
  <c r="Z692" i="10" s="1"/>
  <c r="Z693" i="10" a="1"/>
  <c r="Z693" i="10" s="1"/>
  <c r="Z694" i="10" a="1"/>
  <c r="Z694" i="10" s="1"/>
  <c r="Z695" i="10" a="1"/>
  <c r="Z695" i="10" s="1"/>
  <c r="Z696" i="10" a="1"/>
  <c r="Z696" i="10" s="1"/>
  <c r="Z697" i="10" a="1"/>
  <c r="Z697" i="10" s="1"/>
  <c r="Z698" i="10" a="1"/>
  <c r="Z698" i="10" s="1"/>
  <c r="Z699" i="10" a="1"/>
  <c r="Z699" i="10" s="1"/>
  <c r="Z700" i="10" a="1"/>
  <c r="Z700" i="10" s="1"/>
  <c r="Z701" i="10" a="1"/>
  <c r="Z701" i="10" s="1"/>
  <c r="Z702" i="10" a="1"/>
  <c r="Z702" i="10" s="1"/>
  <c r="Z703" i="10" a="1"/>
  <c r="Z703" i="10" s="1"/>
  <c r="Z704" i="10" a="1"/>
  <c r="Z704" i="10" s="1"/>
  <c r="Z705" i="10" a="1"/>
  <c r="Z705" i="10" s="1"/>
  <c r="Z706" i="10" a="1"/>
  <c r="Z706" i="10" s="1"/>
  <c r="Z707" i="10" a="1"/>
  <c r="Z707" i="10" s="1"/>
  <c r="Z708" i="10" a="1"/>
  <c r="Z708" i="10" s="1"/>
  <c r="Z709" i="10" a="1"/>
  <c r="Z709" i="10" s="1"/>
  <c r="Z710" i="10" a="1"/>
  <c r="Z710" i="10" s="1"/>
  <c r="Z711" i="10" a="1"/>
  <c r="Z711" i="10" s="1"/>
  <c r="Z712" i="10" a="1"/>
  <c r="Z712" i="10" s="1"/>
  <c r="Y713" i="10" a="1"/>
  <c r="Y713" i="10" s="1"/>
  <c r="Y714" i="10" a="1"/>
  <c r="Y714" i="10" s="1"/>
  <c r="Y715" i="10" a="1"/>
  <c r="Y715" i="10" s="1"/>
  <c r="Y716" i="10" a="1"/>
  <c r="Y716" i="10" s="1"/>
  <c r="Y717" i="10" a="1"/>
  <c r="Y717" i="10" s="1"/>
  <c r="Y718" i="10" a="1"/>
  <c r="Y718" i="10" s="1"/>
  <c r="Y719" i="10" a="1"/>
  <c r="Y719" i="10" s="1"/>
  <c r="Y720" i="10" a="1"/>
  <c r="Y720" i="10" s="1"/>
  <c r="Y721" i="10" a="1"/>
  <c r="Y721" i="10" s="1"/>
  <c r="Y722" i="10" a="1"/>
  <c r="Y722" i="10" s="1"/>
  <c r="Y723" i="10" a="1"/>
  <c r="Y723" i="10" s="1"/>
  <c r="Y724" i="10" a="1"/>
  <c r="Y724" i="10" s="1"/>
  <c r="Y725" i="10" a="1"/>
  <c r="Y725" i="10" s="1"/>
  <c r="Y726" i="10" a="1"/>
  <c r="Y726" i="10" s="1"/>
  <c r="Y727" i="10" a="1"/>
  <c r="Y727" i="10" s="1"/>
  <c r="Y728" i="10" a="1"/>
  <c r="Y728" i="10" s="1"/>
  <c r="Y729" i="10" a="1"/>
  <c r="Y729" i="10" s="1"/>
  <c r="Y730" i="10" a="1"/>
  <c r="Y730" i="10" s="1"/>
  <c r="Y731" i="10" a="1"/>
  <c r="Y731" i="10" s="1"/>
  <c r="Y732" i="10" a="1"/>
  <c r="Y732" i="10" s="1"/>
  <c r="Y733" i="10" a="1"/>
  <c r="Y733" i="10" s="1"/>
  <c r="Y734" i="10" a="1"/>
  <c r="Y734" i="10" s="1"/>
  <c r="Y735" i="10" a="1"/>
  <c r="Y735" i="10" s="1"/>
  <c r="Y736" i="10" a="1"/>
  <c r="Y736" i="10" s="1"/>
  <c r="Y737" i="10" a="1"/>
  <c r="Y737" i="10" s="1"/>
  <c r="Y738" i="10" a="1"/>
  <c r="Y738" i="10" s="1"/>
  <c r="Y739" i="10" a="1"/>
  <c r="Y739" i="10" s="1"/>
  <c r="Y740" i="10" a="1"/>
  <c r="Y740" i="10" s="1"/>
  <c r="Y741" i="10" a="1"/>
  <c r="Y741" i="10" s="1"/>
  <c r="Y742" i="10" a="1"/>
  <c r="Y742" i="10" s="1"/>
  <c r="Y743" i="10" a="1"/>
  <c r="Y743" i="10" s="1"/>
  <c r="Y744" i="10" a="1"/>
  <c r="Y744" i="10" s="1"/>
  <c r="Y745" i="10" a="1"/>
  <c r="Y745" i="10" s="1"/>
  <c r="Y746" i="10" a="1"/>
  <c r="Y746" i="10" s="1"/>
  <c r="Y747" i="10" a="1"/>
  <c r="Y747" i="10" s="1"/>
  <c r="Y748" i="10" a="1"/>
  <c r="Y748" i="10" s="1"/>
  <c r="Y749" i="10" a="1"/>
  <c r="Y749" i="10" s="1"/>
  <c r="Y750" i="10" a="1"/>
  <c r="Y750" i="10" s="1"/>
  <c r="Y751" i="10" a="1"/>
  <c r="Y751" i="10" s="1"/>
  <c r="Y752" i="10" a="1"/>
  <c r="Y752" i="10" s="1"/>
  <c r="Y753" i="10" a="1"/>
  <c r="Y753" i="10" s="1"/>
  <c r="Y754" i="10" a="1"/>
  <c r="Y754" i="10" s="1"/>
  <c r="Y755" i="10" a="1"/>
  <c r="Y755" i="10" s="1"/>
  <c r="Y756" i="10" a="1"/>
  <c r="Y756" i="10" s="1"/>
  <c r="Y757" i="10" a="1"/>
  <c r="Y757" i="10" s="1"/>
  <c r="Y758" i="10" a="1"/>
  <c r="Y758" i="10" s="1"/>
  <c r="Y759" i="10" a="1"/>
  <c r="Y759" i="10" s="1"/>
  <c r="Y760" i="10" a="1"/>
  <c r="Y760" i="10" s="1"/>
  <c r="Y761" i="10" a="1"/>
  <c r="Y761" i="10" s="1"/>
  <c r="Y762" i="10" a="1"/>
  <c r="Y762" i="10" s="1"/>
  <c r="Y763" i="10" a="1"/>
  <c r="Y763" i="10" s="1"/>
  <c r="Y764" i="10" a="1"/>
  <c r="Y764" i="10" s="1"/>
  <c r="Y765" i="10" a="1"/>
  <c r="Y765" i="10" s="1"/>
  <c r="Y766" i="10" a="1"/>
  <c r="Y766" i="10" s="1"/>
  <c r="Y767" i="10" a="1"/>
  <c r="Y767" i="10" s="1"/>
  <c r="Y768" i="10" a="1"/>
  <c r="Y768" i="10" s="1"/>
  <c r="Y769" i="10" a="1"/>
  <c r="Y769" i="10" s="1"/>
  <c r="Y770" i="10" a="1"/>
  <c r="Y770" i="10" s="1"/>
  <c r="Y771" i="10" a="1"/>
  <c r="Y771" i="10" s="1"/>
  <c r="Y772" i="10" a="1"/>
  <c r="Y772" i="10" s="1"/>
  <c r="Y773" i="10" a="1"/>
  <c r="Y773" i="10" s="1"/>
  <c r="Y774" i="10" a="1"/>
  <c r="Y774" i="10" s="1"/>
  <c r="Y775" i="10" a="1"/>
  <c r="Y775" i="10" s="1"/>
  <c r="Y776" i="10" a="1"/>
  <c r="Y776" i="10" s="1"/>
  <c r="Y777" i="10" a="1"/>
  <c r="Y777" i="10" s="1"/>
  <c r="Y778" i="10" a="1"/>
  <c r="Y778" i="10" s="1"/>
  <c r="Y779" i="10" a="1"/>
  <c r="Y779" i="10" s="1"/>
  <c r="Y780" i="10" a="1"/>
  <c r="Y780" i="10" s="1"/>
  <c r="Y781" i="10" a="1"/>
  <c r="Y781" i="10" s="1"/>
  <c r="Y782" i="10" a="1"/>
  <c r="Y782" i="10" s="1"/>
  <c r="Y786" i="10" a="1"/>
  <c r="Y786" i="10" s="1"/>
  <c r="Y790" i="10" a="1"/>
  <c r="Y790" i="10" s="1"/>
  <c r="Y794" i="10" a="1"/>
  <c r="Y794" i="10" s="1"/>
  <c r="Y798" i="10" a="1"/>
  <c r="Y798" i="10" s="1"/>
  <c r="Y800" i="10" a="1"/>
  <c r="Y800" i="10" s="1"/>
  <c r="Z801" i="10" a="1"/>
  <c r="Z801" i="10" s="1"/>
  <c r="AA802" i="10" a="1"/>
  <c r="AA802" i="10" s="1"/>
  <c r="AA803" i="10" a="1"/>
  <c r="AA803" i="10" s="1"/>
  <c r="AA804" i="10" a="1"/>
  <c r="AA804" i="10" s="1"/>
  <c r="AA805" i="10" a="1"/>
  <c r="AA805" i="10" s="1"/>
  <c r="AA806" i="10" a="1"/>
  <c r="AA806" i="10" s="1"/>
  <c r="AA807" i="10" a="1"/>
  <c r="AA807" i="10" s="1"/>
  <c r="AA808" i="10" a="1"/>
  <c r="AA808" i="10" s="1"/>
  <c r="AA809" i="10" a="1"/>
  <c r="AA809" i="10" s="1"/>
  <c r="AA810" i="10" a="1"/>
  <c r="AA810" i="10" s="1"/>
  <c r="AA811" i="10" a="1"/>
  <c r="AA811" i="10" s="1"/>
  <c r="AA812" i="10" a="1"/>
  <c r="AA812" i="10" s="1"/>
  <c r="AA813" i="10" a="1"/>
  <c r="AA813" i="10" s="1"/>
  <c r="AA814" i="10" a="1"/>
  <c r="AA814" i="10" s="1"/>
  <c r="AA815" i="10" a="1"/>
  <c r="AA815" i="10" s="1"/>
  <c r="AA816" i="10" a="1"/>
  <c r="AA816" i="10" s="1"/>
  <c r="AA817" i="10" a="1"/>
  <c r="AA817" i="10" s="1"/>
  <c r="AA818" i="10" a="1"/>
  <c r="AA818" i="10" s="1"/>
  <c r="AA819" i="10" a="1"/>
  <c r="AA819" i="10" s="1"/>
  <c r="AA820" i="10" a="1"/>
  <c r="AA820" i="10" s="1"/>
  <c r="AA821" i="10" a="1"/>
  <c r="AA821" i="10" s="1"/>
  <c r="AA822" i="10" a="1"/>
  <c r="AA822" i="10" s="1"/>
  <c r="AA823" i="10" a="1"/>
  <c r="AA823" i="10" s="1"/>
  <c r="AA824" i="10" a="1"/>
  <c r="AA824" i="10" s="1"/>
  <c r="AA825" i="10" a="1"/>
  <c r="AA825" i="10" s="1"/>
  <c r="AA826" i="10" a="1"/>
  <c r="AA826" i="10" s="1"/>
  <c r="AA827" i="10" a="1"/>
  <c r="AA827" i="10" s="1"/>
  <c r="AA828" i="10" a="1"/>
  <c r="AA828" i="10" s="1"/>
  <c r="AA829" i="10" a="1"/>
  <c r="AA829" i="10" s="1"/>
  <c r="AA830" i="10" a="1"/>
  <c r="AA830" i="10" s="1"/>
  <c r="AA831" i="10" a="1"/>
  <c r="AA831" i="10" s="1"/>
  <c r="AA832" i="10" a="1"/>
  <c r="AA832" i="10" s="1"/>
  <c r="AA833" i="10" a="1"/>
  <c r="AA833" i="10" s="1"/>
  <c r="AA834" i="10" a="1"/>
  <c r="AA834" i="10" s="1"/>
  <c r="AA835" i="10" a="1"/>
  <c r="AA835" i="10" s="1"/>
  <c r="AA836" i="10" a="1"/>
  <c r="AA836" i="10" s="1"/>
  <c r="AA837" i="10" a="1"/>
  <c r="AA837" i="10" s="1"/>
  <c r="AA838" i="10" a="1"/>
  <c r="AA838" i="10" s="1"/>
  <c r="AA839" i="10" a="1"/>
  <c r="AA839" i="10" s="1"/>
  <c r="AA840" i="10" a="1"/>
  <c r="AA840" i="10" s="1"/>
  <c r="AA841" i="10" a="1"/>
  <c r="AA841" i="10" s="1"/>
  <c r="AA842" i="10" a="1"/>
  <c r="AA842" i="10" s="1"/>
  <c r="AA843" i="10" a="1"/>
  <c r="AA843" i="10" s="1"/>
  <c r="AA844" i="10" a="1"/>
  <c r="AA844" i="10" s="1"/>
  <c r="AA845" i="10" a="1"/>
  <c r="AA845" i="10" s="1"/>
  <c r="AA846" i="10" a="1"/>
  <c r="AA846" i="10" s="1"/>
  <c r="AA847" i="10" a="1"/>
  <c r="AA847" i="10" s="1"/>
  <c r="AA848" i="10" a="1"/>
  <c r="AA848" i="10" s="1"/>
  <c r="AA849" i="10" a="1"/>
  <c r="AA849" i="10" s="1"/>
  <c r="AA850" i="10" a="1"/>
  <c r="AA850" i="10" s="1"/>
  <c r="AA851" i="10" a="1"/>
  <c r="AA851" i="10" s="1"/>
  <c r="AA852" i="10" a="1"/>
  <c r="AA852" i="10" s="1"/>
  <c r="AA853" i="10" a="1"/>
  <c r="AA853" i="10" s="1"/>
  <c r="AA854" i="10" a="1"/>
  <c r="AA854" i="10" s="1"/>
  <c r="AA855" i="10" a="1"/>
  <c r="AA855" i="10" s="1"/>
  <c r="AA856" i="10" a="1"/>
  <c r="AA856" i="10" s="1"/>
  <c r="AA857" i="10" a="1"/>
  <c r="AA857" i="10" s="1"/>
  <c r="AA858" i="10" a="1"/>
  <c r="AA858" i="10" s="1"/>
  <c r="AA859" i="10" a="1"/>
  <c r="AA859" i="10" s="1"/>
  <c r="AA860" i="10" a="1"/>
  <c r="AA860" i="10" s="1"/>
  <c r="AA861" i="10" a="1"/>
  <c r="AA861" i="10" s="1"/>
  <c r="AA862" i="10" a="1"/>
  <c r="AA862" i="10" s="1"/>
  <c r="AA863" i="10" a="1"/>
  <c r="AA863" i="10" s="1"/>
  <c r="AA864" i="10" a="1"/>
  <c r="AA864" i="10" s="1"/>
  <c r="AA865" i="10" a="1"/>
  <c r="AA865" i="10" s="1"/>
  <c r="AA866" i="10" a="1"/>
  <c r="AA866" i="10" s="1"/>
  <c r="Z809" i="10" a="1"/>
  <c r="Z809" i="10" s="1"/>
  <c r="Z814" i="10" a="1"/>
  <c r="Z814" i="10" s="1"/>
  <c r="Z818" i="10" a="1"/>
  <c r="Z818" i="10" s="1"/>
  <c r="Z822" i="10" a="1"/>
  <c r="Z822" i="10" s="1"/>
  <c r="Z826" i="10" a="1"/>
  <c r="Z826" i="10" s="1"/>
  <c r="Z830" i="10" a="1"/>
  <c r="Z830" i="10" s="1"/>
  <c r="Z833" i="10" a="1"/>
  <c r="Z833" i="10" s="1"/>
  <c r="Z837" i="10" a="1"/>
  <c r="Z837" i="10" s="1"/>
  <c r="Z842" i="10" a="1"/>
  <c r="Z842" i="10" s="1"/>
  <c r="Z846" i="10" a="1"/>
  <c r="Z846" i="10" s="1"/>
  <c r="Z850" i="10" a="1"/>
  <c r="Z850" i="10" s="1"/>
  <c r="Z854" i="10" a="1"/>
  <c r="Z854" i="10" s="1"/>
  <c r="Z858" i="10" a="1"/>
  <c r="Z858" i="10" s="1"/>
  <c r="Z862" i="10" a="1"/>
  <c r="Z862" i="10" s="1"/>
  <c r="Z866" i="10" a="1"/>
  <c r="Z866" i="10" s="1"/>
  <c r="Y783" i="10" a="1"/>
  <c r="Y783" i="10" s="1"/>
  <c r="Y787" i="10" a="1"/>
  <c r="Y787" i="10" s="1"/>
  <c r="Y791" i="10" a="1"/>
  <c r="Y791" i="10" s="1"/>
  <c r="Y795" i="10" a="1"/>
  <c r="Y795" i="10" s="1"/>
  <c r="Z798" i="10" a="1"/>
  <c r="Z798" i="10" s="1"/>
  <c r="Z800" i="10" a="1"/>
  <c r="Z800" i="10" s="1"/>
  <c r="AA801" i="10" a="1"/>
  <c r="AA801" i="10" s="1"/>
  <c r="AB802" i="10" a="1"/>
  <c r="AB802" i="10" s="1"/>
  <c r="AB803" i="10" a="1"/>
  <c r="AB803" i="10" s="1"/>
  <c r="AB804" i="10" a="1"/>
  <c r="AB804" i="10" s="1"/>
  <c r="AB805" i="10" a="1"/>
  <c r="AB805" i="10" s="1"/>
  <c r="AB806" i="10" a="1"/>
  <c r="AB806" i="10" s="1"/>
  <c r="AB807" i="10" a="1"/>
  <c r="AB807" i="10" s="1"/>
  <c r="AB808" i="10" a="1"/>
  <c r="AB808" i="10" s="1"/>
  <c r="AB809" i="10" a="1"/>
  <c r="AB809" i="10" s="1"/>
  <c r="AB810" i="10" a="1"/>
  <c r="AB810" i="10" s="1"/>
  <c r="AB811" i="10" a="1"/>
  <c r="AB811" i="10" s="1"/>
  <c r="AB812" i="10" a="1"/>
  <c r="AB812" i="10" s="1"/>
  <c r="AB813" i="10" a="1"/>
  <c r="AB813" i="10" s="1"/>
  <c r="AB814" i="10" a="1"/>
  <c r="AB814" i="10" s="1"/>
  <c r="AB815" i="10" a="1"/>
  <c r="AB815" i="10" s="1"/>
  <c r="AB816" i="10" a="1"/>
  <c r="AB816" i="10" s="1"/>
  <c r="AB817" i="10" a="1"/>
  <c r="AB817" i="10" s="1"/>
  <c r="AB818" i="10" a="1"/>
  <c r="AB818" i="10" s="1"/>
  <c r="AB819" i="10" a="1"/>
  <c r="AB819" i="10" s="1"/>
  <c r="AB820" i="10" a="1"/>
  <c r="AB820" i="10" s="1"/>
  <c r="AB821" i="10" a="1"/>
  <c r="AB821" i="10" s="1"/>
  <c r="AB822" i="10" a="1"/>
  <c r="AB822" i="10" s="1"/>
  <c r="AB823" i="10" a="1"/>
  <c r="AB823" i="10" s="1"/>
  <c r="AB824" i="10" a="1"/>
  <c r="AB824" i="10" s="1"/>
  <c r="AB825" i="10" a="1"/>
  <c r="AB825" i="10" s="1"/>
  <c r="AB826" i="10" a="1"/>
  <c r="AB826" i="10" s="1"/>
  <c r="AB827" i="10" a="1"/>
  <c r="AB827" i="10" s="1"/>
  <c r="AB828" i="10" a="1"/>
  <c r="AB828" i="10" s="1"/>
  <c r="AB829" i="10" a="1"/>
  <c r="AB829" i="10" s="1"/>
  <c r="AB830" i="10" a="1"/>
  <c r="AB830" i="10" s="1"/>
  <c r="AB831" i="10" a="1"/>
  <c r="AB831" i="10" s="1"/>
  <c r="AB832" i="10" a="1"/>
  <c r="AB832" i="10" s="1"/>
  <c r="AB833" i="10" a="1"/>
  <c r="AB833" i="10" s="1"/>
  <c r="AB834" i="10" a="1"/>
  <c r="AB834" i="10" s="1"/>
  <c r="AB835" i="10" a="1"/>
  <c r="AB835" i="10" s="1"/>
  <c r="AB836" i="10" a="1"/>
  <c r="AB836" i="10" s="1"/>
  <c r="AB837" i="10" a="1"/>
  <c r="AB837" i="10" s="1"/>
  <c r="AB838" i="10" a="1"/>
  <c r="AB838" i="10" s="1"/>
  <c r="AB839" i="10" a="1"/>
  <c r="AB839" i="10" s="1"/>
  <c r="AB840" i="10" a="1"/>
  <c r="AB840" i="10" s="1"/>
  <c r="AB841" i="10" a="1"/>
  <c r="AB841" i="10" s="1"/>
  <c r="AB842" i="10" a="1"/>
  <c r="AB842" i="10" s="1"/>
  <c r="AB843" i="10" a="1"/>
  <c r="AB843" i="10" s="1"/>
  <c r="AB844" i="10" a="1"/>
  <c r="AB844" i="10" s="1"/>
  <c r="AB845" i="10" a="1"/>
  <c r="AB845" i="10" s="1"/>
  <c r="AB846" i="10" a="1"/>
  <c r="AB846" i="10" s="1"/>
  <c r="AB847" i="10" a="1"/>
  <c r="AB847" i="10" s="1"/>
  <c r="AB848" i="10" a="1"/>
  <c r="AB848" i="10" s="1"/>
  <c r="AB849" i="10" a="1"/>
  <c r="AB849" i="10" s="1"/>
  <c r="AB850" i="10" a="1"/>
  <c r="AB850" i="10" s="1"/>
  <c r="AB851" i="10" a="1"/>
  <c r="AB851" i="10" s="1"/>
  <c r="AB852" i="10" a="1"/>
  <c r="AB852" i="10" s="1"/>
  <c r="AB853" i="10" a="1"/>
  <c r="AB853" i="10" s="1"/>
  <c r="AB854" i="10" a="1"/>
  <c r="AB854" i="10" s="1"/>
  <c r="AB855" i="10" a="1"/>
  <c r="AB855" i="10" s="1"/>
  <c r="AB856" i="10" a="1"/>
  <c r="AB856" i="10" s="1"/>
  <c r="AB857" i="10" a="1"/>
  <c r="AB857" i="10" s="1"/>
  <c r="AB858" i="10" a="1"/>
  <c r="AB858" i="10" s="1"/>
  <c r="AB859" i="10" a="1"/>
  <c r="AB859" i="10" s="1"/>
  <c r="AB860" i="10" a="1"/>
  <c r="AB860" i="10" s="1"/>
  <c r="AB861" i="10" a="1"/>
  <c r="AB861" i="10" s="1"/>
  <c r="AB862" i="10" a="1"/>
  <c r="AB862" i="10" s="1"/>
  <c r="AB863" i="10" a="1"/>
  <c r="AB863" i="10" s="1"/>
  <c r="AB864" i="10" a="1"/>
  <c r="AB864" i="10" s="1"/>
  <c r="AB865" i="10" a="1"/>
  <c r="AB865" i="10" s="1"/>
  <c r="AB866" i="10" a="1"/>
  <c r="AB866" i="10" s="1"/>
  <c r="Z808" i="10" a="1"/>
  <c r="Z808" i="10" s="1"/>
  <c r="Z812" i="10" a="1"/>
  <c r="Z812" i="10" s="1"/>
  <c r="Z816" i="10" a="1"/>
  <c r="Z816" i="10" s="1"/>
  <c r="Z820" i="10" a="1"/>
  <c r="Z820" i="10" s="1"/>
  <c r="Z825" i="10" a="1"/>
  <c r="Z825" i="10" s="1"/>
  <c r="Z829" i="10" a="1"/>
  <c r="Z829" i="10" s="1"/>
  <c r="Z834" i="10" a="1"/>
  <c r="Z834" i="10" s="1"/>
  <c r="Z838" i="10" a="1"/>
  <c r="Z838" i="10" s="1"/>
  <c r="Z841" i="10" a="1"/>
  <c r="Z841" i="10" s="1"/>
  <c r="Z845" i="10" a="1"/>
  <c r="Z845" i="10" s="1"/>
  <c r="Z849" i="10" a="1"/>
  <c r="Z849" i="10" s="1"/>
  <c r="Z853" i="10" a="1"/>
  <c r="Z853" i="10" s="1"/>
  <c r="Z857" i="10" a="1"/>
  <c r="Z857" i="10" s="1"/>
  <c r="Z861" i="10" a="1"/>
  <c r="Z861" i="10" s="1"/>
  <c r="Z865" i="10" a="1"/>
  <c r="Z865" i="10" s="1"/>
  <c r="Y784" i="10" a="1"/>
  <c r="Y784" i="10" s="1"/>
  <c r="Y788" i="10" a="1"/>
  <c r="Y788" i="10" s="1"/>
  <c r="Y792" i="10" a="1"/>
  <c r="Y792" i="10" s="1"/>
  <c r="Y796" i="10" a="1"/>
  <c r="Y796" i="10" s="1"/>
  <c r="Y799" i="10" a="1"/>
  <c r="Y799" i="10" s="1"/>
  <c r="AA800" i="10" a="1"/>
  <c r="AA800" i="10" s="1"/>
  <c r="Y802" i="10" a="1"/>
  <c r="Y802" i="10" s="1"/>
  <c r="Y803" i="10" a="1"/>
  <c r="Y803" i="10" s="1"/>
  <c r="Y804" i="10" a="1"/>
  <c r="Y804" i="10" s="1"/>
  <c r="Y805" i="10" a="1"/>
  <c r="Y805" i="10" s="1"/>
  <c r="Y806" i="10" a="1"/>
  <c r="Y806" i="10" s="1"/>
  <c r="Y807" i="10" a="1"/>
  <c r="Y807" i="10" s="1"/>
  <c r="Y808" i="10" a="1"/>
  <c r="Y808" i="10" s="1"/>
  <c r="Y809" i="10" a="1"/>
  <c r="Y809" i="10" s="1"/>
  <c r="Y810" i="10" a="1"/>
  <c r="Y810" i="10" s="1"/>
  <c r="Y811" i="10" a="1"/>
  <c r="Y811" i="10" s="1"/>
  <c r="Y812" i="10" a="1"/>
  <c r="Y812" i="10" s="1"/>
  <c r="Y813" i="10" a="1"/>
  <c r="Y813" i="10" s="1"/>
  <c r="Y814" i="10" a="1"/>
  <c r="Y814" i="10" s="1"/>
  <c r="Y815" i="10" a="1"/>
  <c r="Y815" i="10" s="1"/>
  <c r="Y816" i="10" a="1"/>
  <c r="Y816" i="10" s="1"/>
  <c r="Y817" i="10" a="1"/>
  <c r="Y817" i="10" s="1"/>
  <c r="Y818" i="10" a="1"/>
  <c r="Y818" i="10" s="1"/>
  <c r="Y819" i="10" a="1"/>
  <c r="Y819" i="10" s="1"/>
  <c r="Y820" i="10" a="1"/>
  <c r="Y820" i="10" s="1"/>
  <c r="Y821" i="10" a="1"/>
  <c r="Y821" i="10" s="1"/>
  <c r="Y822" i="10" a="1"/>
  <c r="Y822" i="10" s="1"/>
  <c r="Y823" i="10" a="1"/>
  <c r="Y823" i="10" s="1"/>
  <c r="Y824" i="10" a="1"/>
  <c r="Y824" i="10" s="1"/>
  <c r="Y825" i="10" a="1"/>
  <c r="Y825" i="10" s="1"/>
  <c r="Y826" i="10" a="1"/>
  <c r="Y826" i="10" s="1"/>
  <c r="Y827" i="10" a="1"/>
  <c r="Y827" i="10" s="1"/>
  <c r="Y828" i="10" a="1"/>
  <c r="Y828" i="10" s="1"/>
  <c r="Y829" i="10" a="1"/>
  <c r="Y829" i="10" s="1"/>
  <c r="Y830" i="10" a="1"/>
  <c r="Y830" i="10" s="1"/>
  <c r="Y831" i="10" a="1"/>
  <c r="Y831" i="10" s="1"/>
  <c r="Y832" i="10" a="1"/>
  <c r="Y832" i="10" s="1"/>
  <c r="Y833" i="10" a="1"/>
  <c r="Y833" i="10" s="1"/>
  <c r="Y834" i="10" a="1"/>
  <c r="Y834" i="10" s="1"/>
  <c r="Y835" i="10" a="1"/>
  <c r="Y835" i="10" s="1"/>
  <c r="Y836" i="10" a="1"/>
  <c r="Y836" i="10" s="1"/>
  <c r="Y837" i="10" a="1"/>
  <c r="Y837" i="10" s="1"/>
  <c r="Y838" i="10" a="1"/>
  <c r="Y838" i="10" s="1"/>
  <c r="Y839" i="10" a="1"/>
  <c r="Y839" i="10" s="1"/>
  <c r="Y840" i="10" a="1"/>
  <c r="Y840" i="10" s="1"/>
  <c r="Y841" i="10" a="1"/>
  <c r="Y841" i="10" s="1"/>
  <c r="Y842" i="10" a="1"/>
  <c r="Y842" i="10" s="1"/>
  <c r="Y843" i="10" a="1"/>
  <c r="Y843" i="10" s="1"/>
  <c r="Y844" i="10" a="1"/>
  <c r="Y844" i="10" s="1"/>
  <c r="Y845" i="10" a="1"/>
  <c r="Y845" i="10" s="1"/>
  <c r="Y846" i="10" a="1"/>
  <c r="Y846" i="10" s="1"/>
  <c r="Y847" i="10" a="1"/>
  <c r="Y847" i="10" s="1"/>
  <c r="Y848" i="10" a="1"/>
  <c r="Y848" i="10" s="1"/>
  <c r="Y849" i="10" a="1"/>
  <c r="Y849" i="10" s="1"/>
  <c r="Y850" i="10" a="1"/>
  <c r="Y850" i="10" s="1"/>
  <c r="Y851" i="10" a="1"/>
  <c r="Y851" i="10" s="1"/>
  <c r="Y852" i="10" a="1"/>
  <c r="Y852" i="10" s="1"/>
  <c r="Y853" i="10" a="1"/>
  <c r="Y853" i="10" s="1"/>
  <c r="Y854" i="10" a="1"/>
  <c r="Y854" i="10" s="1"/>
  <c r="Y855" i="10" a="1"/>
  <c r="Y855" i="10" s="1"/>
  <c r="Y856" i="10" a="1"/>
  <c r="Y856" i="10" s="1"/>
  <c r="Y857" i="10" a="1"/>
  <c r="Y857" i="10" s="1"/>
  <c r="Y858" i="10" a="1"/>
  <c r="Y858" i="10" s="1"/>
  <c r="Y859" i="10" a="1"/>
  <c r="Y859" i="10" s="1"/>
  <c r="Y860" i="10" a="1"/>
  <c r="Y860" i="10" s="1"/>
  <c r="Y861" i="10" a="1"/>
  <c r="Y861" i="10" s="1"/>
  <c r="Y862" i="10" a="1"/>
  <c r="Y862" i="10" s="1"/>
  <c r="Y863" i="10" a="1"/>
  <c r="Y863" i="10" s="1"/>
  <c r="Y864" i="10" a="1"/>
  <c r="Y864" i="10" s="1"/>
  <c r="Y865" i="10" a="1"/>
  <c r="Y865" i="10" s="1"/>
  <c r="Y866" i="10" a="1"/>
  <c r="Y866" i="10" s="1"/>
  <c r="Z807" i="10" a="1"/>
  <c r="Z807" i="10" s="1"/>
  <c r="Z813" i="10" a="1"/>
  <c r="Z813" i="10" s="1"/>
  <c r="Z817" i="10" a="1"/>
  <c r="Z817" i="10" s="1"/>
  <c r="Z821" i="10" a="1"/>
  <c r="Z821" i="10" s="1"/>
  <c r="Z824" i="10" a="1"/>
  <c r="Z824" i="10" s="1"/>
  <c r="Z828" i="10" a="1"/>
  <c r="Z828" i="10" s="1"/>
  <c r="Z832" i="10" a="1"/>
  <c r="Z832" i="10" s="1"/>
  <c r="Z836" i="10" a="1"/>
  <c r="Z836" i="10" s="1"/>
  <c r="Z840" i="10" a="1"/>
  <c r="Z840" i="10" s="1"/>
  <c r="Z844" i="10" a="1"/>
  <c r="Z844" i="10" s="1"/>
  <c r="Z848" i="10" a="1"/>
  <c r="Z848" i="10" s="1"/>
  <c r="Z852" i="10" a="1"/>
  <c r="Z852" i="10" s="1"/>
  <c r="Z856" i="10" a="1"/>
  <c r="Z856" i="10" s="1"/>
  <c r="Z860" i="10" a="1"/>
  <c r="Z860" i="10" s="1"/>
  <c r="Z864" i="10" a="1"/>
  <c r="Z864" i="10" s="1"/>
  <c r="Y785" i="10" a="1"/>
  <c r="Y785" i="10" s="1"/>
  <c r="Y789" i="10" a="1"/>
  <c r="Y789" i="10" s="1"/>
  <c r="Y793" i="10" a="1"/>
  <c r="Y793" i="10" s="1"/>
  <c r="Y797" i="10" a="1"/>
  <c r="Y797" i="10" s="1"/>
  <c r="Z799" i="10" a="1"/>
  <c r="Z799" i="10" s="1"/>
  <c r="Y801" i="10" a="1"/>
  <c r="Y801" i="10" s="1"/>
  <c r="Z802" i="10" a="1"/>
  <c r="Z802" i="10" s="1"/>
  <c r="Z803" i="10" a="1"/>
  <c r="Z803" i="10" s="1"/>
  <c r="Z804" i="10" a="1"/>
  <c r="Z804" i="10" s="1"/>
  <c r="Z805" i="10" a="1"/>
  <c r="Z805" i="10" s="1"/>
  <c r="Z806" i="10" a="1"/>
  <c r="Z806" i="10" s="1"/>
  <c r="Z810" i="10" a="1"/>
  <c r="Z810" i="10" s="1"/>
  <c r="Z811" i="10" a="1"/>
  <c r="Z811" i="10" s="1"/>
  <c r="Z815" i="10" a="1"/>
  <c r="Z815" i="10" s="1"/>
  <c r="Z819" i="10" a="1"/>
  <c r="Z819" i="10" s="1"/>
  <c r="Z823" i="10" a="1"/>
  <c r="Z823" i="10" s="1"/>
  <c r="Z827" i="10" a="1"/>
  <c r="Z827" i="10" s="1"/>
  <c r="Z831" i="10" a="1"/>
  <c r="Z831" i="10" s="1"/>
  <c r="Z835" i="10" a="1"/>
  <c r="Z835" i="10" s="1"/>
  <c r="Z839" i="10" a="1"/>
  <c r="Z839" i="10" s="1"/>
  <c r="Z843" i="10" a="1"/>
  <c r="Z843" i="10" s="1"/>
  <c r="Z847" i="10" a="1"/>
  <c r="Z847" i="10" s="1"/>
  <c r="Z851" i="10" a="1"/>
  <c r="Z851" i="10" s="1"/>
  <c r="Z855" i="10" a="1"/>
  <c r="Z855" i="10" s="1"/>
  <c r="Z859" i="10" a="1"/>
  <c r="Z859" i="10" s="1"/>
  <c r="Z863" i="10" a="1"/>
  <c r="Z863" i="10" s="1"/>
  <c r="Z38" i="10" a="1"/>
  <c r="Z38" i="10" s="1"/>
  <c r="Y48" i="10" a="1"/>
  <c r="Y48" i="10" s="1"/>
  <c r="Z44" i="10" a="1"/>
  <c r="Z44" i="10" s="1"/>
  <c r="Z48" i="10" a="1"/>
  <c r="Z48" i="10" s="1"/>
  <c r="Z57" i="10" a="1"/>
  <c r="Z57" i="10" s="1"/>
  <c r="Z34" i="10" a="1"/>
  <c r="Z34" i="10" s="1"/>
  <c r="Z41" i="10" a="1"/>
  <c r="Z41" i="10" s="1"/>
  <c r="Z50" i="10" a="1"/>
  <c r="Z50" i="10" s="1"/>
  <c r="Z43" i="10" a="1"/>
  <c r="Z43" i="10" s="1"/>
  <c r="Z51" i="10" a="1"/>
  <c r="Z51" i="10" s="1"/>
  <c r="Y38" i="10" a="1"/>
  <c r="Y38" i="10" s="1"/>
  <c r="Z42" i="10" a="1"/>
  <c r="Z42" i="10" s="1"/>
  <c r="Y39" i="10" a="1"/>
  <c r="Y39" i="10" s="1"/>
  <c r="Z40" i="10" a="1"/>
  <c r="Z40" i="10" s="1"/>
  <c r="Z47" i="10" a="1"/>
  <c r="Z47" i="10" s="1"/>
  <c r="Z56" i="10" a="1"/>
  <c r="Z56" i="10" s="1"/>
  <c r="Z49" i="10" a="1"/>
  <c r="Z49" i="10" s="1"/>
  <c r="Z46" i="10" a="1"/>
  <c r="Z46" i="10" s="1"/>
  <c r="Y50" i="10" a="1"/>
  <c r="Y50" i="10" s="1"/>
  <c r="Z52" i="10" a="1"/>
  <c r="Z52" i="10" s="1"/>
  <c r="Z36" i="10" a="1"/>
  <c r="Z36" i="10" s="1"/>
  <c r="Y52" i="10" a="1"/>
  <c r="Y52" i="10" s="1"/>
  <c r="Z33" i="10" a="1"/>
  <c r="Z33" i="10" s="1"/>
  <c r="Z35" i="10" a="1"/>
  <c r="Z35" i="10" s="1"/>
  <c r="Z54" i="10" a="1"/>
  <c r="Z54" i="10" s="1"/>
  <c r="Z53" i="10" a="1"/>
  <c r="Z53" i="10" s="1"/>
  <c r="Z45" i="10" a="1"/>
  <c r="Z45" i="10" s="1"/>
  <c r="Z37" i="10" a="1"/>
  <c r="Z37" i="10" s="1"/>
  <c r="Z55" i="10" a="1"/>
  <c r="Z55" i="10" s="1"/>
  <c r="Z39" i="10" a="1"/>
  <c r="Z39" i="10" s="1"/>
  <c r="C45" i="10" a="1"/>
  <c r="C45" i="10" s="1"/>
  <c r="C37" i="10" a="1"/>
  <c r="C37" i="10" s="1"/>
  <c r="C41" i="10" a="1"/>
  <c r="C41" i="10" s="1"/>
  <c r="C43" i="10" a="1"/>
  <c r="C43" i="10" s="1"/>
  <c r="C35" i="10" a="1"/>
  <c r="C35" i="10" s="1"/>
  <c r="C34" i="10" a="1"/>
  <c r="C34" i="10" s="1"/>
  <c r="C46" i="10" a="1"/>
  <c r="C46" i="10" s="1"/>
  <c r="C39" i="10" a="1"/>
  <c r="C39" i="10" s="1"/>
  <c r="C465" i="10" a="1"/>
  <c r="C465" i="10" s="1"/>
  <c r="C460" i="10" a="1"/>
  <c r="C460" i="10" s="1"/>
  <c r="C444" i="10" a="1"/>
  <c r="C444" i="10" s="1"/>
  <c r="C428" i="10" a="1"/>
  <c r="C428" i="10" s="1"/>
  <c r="C412" i="10" a="1"/>
  <c r="C412" i="10" s="1"/>
  <c r="C396" i="10" a="1"/>
  <c r="C396" i="10" s="1"/>
  <c r="C380" i="10" a="1"/>
  <c r="C380" i="10" s="1"/>
  <c r="C364" i="10" a="1"/>
  <c r="C364" i="10" s="1"/>
  <c r="C467" i="10" a="1"/>
  <c r="C467" i="10" s="1"/>
  <c r="C451" i="10" a="1"/>
  <c r="C451" i="10" s="1"/>
  <c r="C435" i="10" a="1"/>
  <c r="C435" i="10" s="1"/>
  <c r="C419" i="10" a="1"/>
  <c r="C419" i="10" s="1"/>
  <c r="C403" i="10" a="1"/>
  <c r="C403" i="10" s="1"/>
  <c r="C387" i="10" a="1"/>
  <c r="C387" i="10" s="1"/>
  <c r="C371" i="10" a="1"/>
  <c r="C371" i="10" s="1"/>
  <c r="C355" i="10" a="1"/>
  <c r="C355" i="10" s="1"/>
  <c r="B391" i="10" a="1"/>
  <c r="B391" i="10" s="1"/>
  <c r="B359" i="10" a="1"/>
  <c r="B359" i="10" s="1"/>
  <c r="C785" i="10" a="1"/>
  <c r="C785" i="10" s="1"/>
  <c r="C814" i="10" a="1"/>
  <c r="C814" i="10" s="1"/>
  <c r="C830" i="10" a="1"/>
  <c r="C830" i="10" s="1"/>
  <c r="C846" i="10" a="1"/>
  <c r="C846" i="10" s="1"/>
  <c r="C862" i="10" a="1"/>
  <c r="C862" i="10" s="1"/>
  <c r="B514" i="10" a="1"/>
  <c r="B514" i="10" s="1"/>
  <c r="B530" i="10" a="1"/>
  <c r="B530" i="10" s="1"/>
  <c r="B546" i="10" a="1"/>
  <c r="B546" i="10" s="1"/>
  <c r="B562" i="10" a="1"/>
  <c r="B562" i="10" s="1"/>
  <c r="B658" i="10" a="1"/>
  <c r="B658" i="10" s="1"/>
  <c r="B674" i="10" a="1"/>
  <c r="B674" i="10" s="1"/>
  <c r="B690" i="10" a="1"/>
  <c r="B690" i="10" s="1"/>
  <c r="B706" i="10" a="1"/>
  <c r="B706" i="10" s="1"/>
  <c r="C789" i="10" a="1"/>
  <c r="C789" i="10" s="1"/>
  <c r="C815" i="10" a="1"/>
  <c r="C815" i="10" s="1"/>
  <c r="C831" i="10" a="1"/>
  <c r="C831" i="10" s="1"/>
  <c r="C469" i="10" a="1"/>
  <c r="C469" i="10" s="1"/>
  <c r="C456" i="10" a="1"/>
  <c r="C456" i="10" s="1"/>
  <c r="C440" i="10" a="1"/>
  <c r="C440" i="10" s="1"/>
  <c r="C424" i="10" a="1"/>
  <c r="C424" i="10" s="1"/>
  <c r="C408" i="10" a="1"/>
  <c r="C408" i="10" s="1"/>
  <c r="C392" i="10" a="1"/>
  <c r="C392" i="10" s="1"/>
  <c r="C376" i="10" a="1"/>
  <c r="C376" i="10" s="1"/>
  <c r="C360" i="10" a="1"/>
  <c r="C360" i="10" s="1"/>
  <c r="C463" i="10" a="1"/>
  <c r="C463" i="10" s="1"/>
  <c r="C447" i="10" a="1"/>
  <c r="C447" i="10" s="1"/>
  <c r="C431" i="10" a="1"/>
  <c r="C431" i="10" s="1"/>
  <c r="C415" i="10" a="1"/>
  <c r="C415" i="10" s="1"/>
  <c r="C399" i="10" a="1"/>
  <c r="C399" i="10" s="1"/>
  <c r="C383" i="10" a="1"/>
  <c r="C383" i="10" s="1"/>
  <c r="C367" i="10" a="1"/>
  <c r="C367" i="10" s="1"/>
  <c r="B467" i="10" a="1"/>
  <c r="B467" i="10" s="1"/>
  <c r="B371" i="10" a="1"/>
  <c r="B371" i="10" s="1"/>
  <c r="C798" i="10" a="1"/>
  <c r="C798" i="10" s="1"/>
  <c r="C818" i="10" a="1"/>
  <c r="C818" i="10" s="1"/>
  <c r="C834" i="10" a="1"/>
  <c r="C834" i="10" s="1"/>
  <c r="C850" i="10" a="1"/>
  <c r="C850" i="10" s="1"/>
  <c r="B486" i="10" a="1"/>
  <c r="B486" i="10" s="1"/>
  <c r="B582" i="10" a="1"/>
  <c r="B582" i="10" s="1"/>
  <c r="B614" i="10" a="1"/>
  <c r="B614" i="10" s="1"/>
  <c r="B646" i="10" a="1"/>
  <c r="B646" i="10" s="1"/>
  <c r="B662" i="10" a="1"/>
  <c r="B662" i="10" s="1"/>
  <c r="B678" i="10" a="1"/>
  <c r="B678" i="10" s="1"/>
  <c r="C468" i="10" a="1"/>
  <c r="C468" i="10" s="1"/>
  <c r="C452" i="10" a="1"/>
  <c r="C452" i="10" s="1"/>
  <c r="C436" i="10" a="1"/>
  <c r="C436" i="10" s="1"/>
  <c r="C420" i="10" a="1"/>
  <c r="C420" i="10" s="1"/>
  <c r="C404" i="10" a="1"/>
  <c r="C404" i="10" s="1"/>
  <c r="C388" i="10" a="1"/>
  <c r="C388" i="10" s="1"/>
  <c r="C372" i="10" a="1"/>
  <c r="C372" i="10" s="1"/>
  <c r="C356" i="10" a="1"/>
  <c r="C356" i="10" s="1"/>
  <c r="C459" i="10" a="1"/>
  <c r="C459" i="10" s="1"/>
  <c r="C443" i="10" a="1"/>
  <c r="C443" i="10" s="1"/>
  <c r="C427" i="10" a="1"/>
  <c r="C427" i="10" s="1"/>
  <c r="C411" i="10" a="1"/>
  <c r="C411" i="10" s="1"/>
  <c r="C395" i="10" a="1"/>
  <c r="C395" i="10" s="1"/>
  <c r="C379" i="10" a="1"/>
  <c r="C379" i="10" s="1"/>
  <c r="C363" i="10" a="1"/>
  <c r="C363" i="10" s="1"/>
  <c r="C753" i="10" a="1"/>
  <c r="C753" i="10" s="1"/>
  <c r="C805" i="10" a="1"/>
  <c r="C805" i="10" s="1"/>
  <c r="C822" i="10" a="1"/>
  <c r="C822" i="10" s="1"/>
  <c r="C838" i="10" a="1"/>
  <c r="C838" i="10" s="1"/>
  <c r="C854" i="10" a="1"/>
  <c r="C854" i="10" s="1"/>
  <c r="B554" i="10" a="1"/>
  <c r="B554" i="10" s="1"/>
  <c r="B618" i="10" a="1"/>
  <c r="B618" i="10" s="1"/>
  <c r="B634" i="10" a="1"/>
  <c r="B634" i="10" s="1"/>
  <c r="B650" i="10" a="1"/>
  <c r="B650" i="10" s="1"/>
  <c r="B666" i="10" a="1"/>
  <c r="B666" i="10" s="1"/>
  <c r="B682" i="10" a="1"/>
  <c r="B682" i="10" s="1"/>
  <c r="B698" i="10" a="1"/>
  <c r="B698" i="10" s="1"/>
  <c r="C757" i="10" a="1"/>
  <c r="C757" i="10" s="1"/>
  <c r="C806" i="10" a="1"/>
  <c r="C806" i="10" s="1"/>
  <c r="C823" i="10" a="1"/>
  <c r="C823" i="10" s="1"/>
  <c r="C839" i="10" a="1"/>
  <c r="C839" i="10" s="1"/>
  <c r="C855" i="10" a="1"/>
  <c r="C855" i="10" s="1"/>
  <c r="B507" i="10" a="1"/>
  <c r="B507" i="10" s="1"/>
  <c r="B555" i="10" a="1"/>
  <c r="B555" i="10" s="1"/>
  <c r="B571" i="10" a="1"/>
  <c r="B571" i="10" s="1"/>
  <c r="B587" i="10" a="1"/>
  <c r="B587" i="10" s="1"/>
  <c r="B635" i="10" a="1"/>
  <c r="B635" i="10" s="1"/>
  <c r="B667" i="10" a="1"/>
  <c r="B667" i="10" s="1"/>
  <c r="B683" i="10" a="1"/>
  <c r="B683" i="10" s="1"/>
  <c r="B699" i="10" a="1"/>
  <c r="B699" i="10" s="1"/>
  <c r="B715" i="10" a="1"/>
  <c r="B715" i="10" s="1"/>
  <c r="B731" i="10" a="1"/>
  <c r="B731" i="10" s="1"/>
  <c r="C802" i="10" a="1"/>
  <c r="C802" i="10" s="1"/>
  <c r="C820" i="10" a="1"/>
  <c r="C820" i="10" s="1"/>
  <c r="C836" i="10" a="1"/>
  <c r="C836" i="10" s="1"/>
  <c r="C852" i="10" a="1"/>
  <c r="C852" i="10" s="1"/>
  <c r="B504" i="10" a="1"/>
  <c r="B504" i="10" s="1"/>
  <c r="B520" i="10" a="1"/>
  <c r="B520" i="10" s="1"/>
  <c r="B568" i="10" a="1"/>
  <c r="B568" i="10" s="1"/>
  <c r="B600" i="10" a="1"/>
  <c r="B600" i="10" s="1"/>
  <c r="B616" i="10" a="1"/>
  <c r="B616" i="10" s="1"/>
  <c r="C464" i="10" a="1"/>
  <c r="C464" i="10" s="1"/>
  <c r="C448" i="10" a="1"/>
  <c r="C448" i="10" s="1"/>
  <c r="C432" i="10" a="1"/>
  <c r="C432" i="10" s="1"/>
  <c r="C416" i="10" a="1"/>
  <c r="C416" i="10" s="1"/>
  <c r="C400" i="10" a="1"/>
  <c r="C400" i="10" s="1"/>
  <c r="C384" i="10" a="1"/>
  <c r="C384" i="10" s="1"/>
  <c r="C368" i="10" a="1"/>
  <c r="C368" i="10" s="1"/>
  <c r="B372" i="10" a="1"/>
  <c r="B372" i="10" s="1"/>
  <c r="C455" i="10" a="1"/>
  <c r="C455" i="10" s="1"/>
  <c r="C439" i="10" a="1"/>
  <c r="C439" i="10" s="1"/>
  <c r="C423" i="10" a="1"/>
  <c r="C423" i="10" s="1"/>
  <c r="C407" i="10" a="1"/>
  <c r="C407" i="10" s="1"/>
  <c r="C391" i="10" a="1"/>
  <c r="C391" i="10" s="1"/>
  <c r="C375" i="10" a="1"/>
  <c r="C375" i="10" s="1"/>
  <c r="C359" i="10" a="1"/>
  <c r="C359" i="10" s="1"/>
  <c r="C769" i="10" a="1"/>
  <c r="C769" i="10" s="1"/>
  <c r="C810" i="10" a="1"/>
  <c r="C810" i="10" s="1"/>
  <c r="C826" i="10" a="1"/>
  <c r="C826" i="10" s="1"/>
  <c r="C842" i="10" a="1"/>
  <c r="C842" i="10" s="1"/>
  <c r="C858" i="10" a="1"/>
  <c r="C858" i="10" s="1"/>
  <c r="B478" i="10" a="1"/>
  <c r="B478" i="10" s="1"/>
  <c r="B558" i="10" a="1"/>
  <c r="B558" i="10" s="1"/>
  <c r="B654" i="10" a="1"/>
  <c r="B654" i="10" s="1"/>
  <c r="B670" i="10" a="1"/>
  <c r="B670" i="10" s="1"/>
  <c r="B686" i="10" a="1"/>
  <c r="B686" i="10" s="1"/>
  <c r="B702" i="10" a="1"/>
  <c r="B702" i="10" s="1"/>
  <c r="C773" i="10" a="1"/>
  <c r="C773" i="10" s="1"/>
  <c r="C811" i="10" a="1"/>
  <c r="C811" i="10" s="1"/>
  <c r="C827" i="10" a="1"/>
  <c r="C827" i="10" s="1"/>
  <c r="C843" i="10" a="1"/>
  <c r="C843" i="10" s="1"/>
  <c r="C859" i="10" a="1"/>
  <c r="C859" i="10" s="1"/>
  <c r="B694" i="10" a="1"/>
  <c r="B694" i="10" s="1"/>
  <c r="C835" i="10" a="1"/>
  <c r="C835" i="10" s="1"/>
  <c r="B503" i="10" a="1"/>
  <c r="B503" i="10" s="1"/>
  <c r="B551" i="10" a="1"/>
  <c r="B551" i="10" s="1"/>
  <c r="B615" i="10" a="1"/>
  <c r="B615" i="10" s="1"/>
  <c r="B639" i="10" a="1"/>
  <c r="B639" i="10" s="1"/>
  <c r="B659" i="10" a="1"/>
  <c r="B659" i="10" s="1"/>
  <c r="B679" i="10" a="1"/>
  <c r="B679" i="10" s="1"/>
  <c r="B703" i="10" a="1"/>
  <c r="B703" i="10" s="1"/>
  <c r="B723" i="10" a="1"/>
  <c r="B723" i="10" s="1"/>
  <c r="C793" i="10" a="1"/>
  <c r="C793" i="10" s="1"/>
  <c r="C824" i="10" a="1"/>
  <c r="C824" i="10" s="1"/>
  <c r="C844" i="10" a="1"/>
  <c r="C844" i="10" s="1"/>
  <c r="C864" i="10" a="1"/>
  <c r="C864" i="10" s="1"/>
  <c r="B492" i="10" a="1"/>
  <c r="B492" i="10" s="1"/>
  <c r="B512" i="10" a="1"/>
  <c r="B512" i="10" s="1"/>
  <c r="B596" i="10" a="1"/>
  <c r="B596" i="10" s="1"/>
  <c r="B636" i="10" a="1"/>
  <c r="B636" i="10" s="1"/>
  <c r="B652" i="10" a="1"/>
  <c r="B652" i="10" s="1"/>
  <c r="B668" i="10" a="1"/>
  <c r="B668" i="10" s="1"/>
  <c r="B684" i="10" a="1"/>
  <c r="B684" i="10" s="1"/>
  <c r="B700" i="10" a="1"/>
  <c r="B700" i="10" s="1"/>
  <c r="B716" i="10" a="1"/>
  <c r="B716" i="10" s="1"/>
  <c r="C803" i="10" a="1"/>
  <c r="C803" i="10" s="1"/>
  <c r="C821" i="10" a="1"/>
  <c r="C821" i="10" s="1"/>
  <c r="C837" i="10" a="1"/>
  <c r="C837" i="10" s="1"/>
  <c r="C853" i="10" a="1"/>
  <c r="C853" i="10" s="1"/>
  <c r="B473" i="10" a="1"/>
  <c r="B473" i="10" s="1"/>
  <c r="B505" i="10" a="1"/>
  <c r="B505" i="10" s="1"/>
  <c r="B649" i="10" a="1"/>
  <c r="B649" i="10" s="1"/>
  <c r="B713" i="10" a="1"/>
  <c r="B713" i="10" s="1"/>
  <c r="B735" i="10" a="1"/>
  <c r="B735" i="10" s="1"/>
  <c r="B751" i="10" a="1"/>
  <c r="B751" i="10" s="1"/>
  <c r="B767" i="10" a="1"/>
  <c r="B767" i="10" s="1"/>
  <c r="B783" i="10" a="1"/>
  <c r="B783" i="10" s="1"/>
  <c r="B799" i="10" a="1"/>
  <c r="B799" i="10" s="1"/>
  <c r="B815" i="10" a="1"/>
  <c r="B815" i="10" s="1"/>
  <c r="B831" i="10" a="1"/>
  <c r="B831" i="10" s="1"/>
  <c r="B847" i="10" a="1"/>
  <c r="B847" i="10" s="1"/>
  <c r="B863" i="10" a="1"/>
  <c r="B863" i="10" s="1"/>
  <c r="B701" i="10" a="1"/>
  <c r="B701" i="10" s="1"/>
  <c r="B732" i="10" a="1"/>
  <c r="B732" i="10" s="1"/>
  <c r="B748" i="10" a="1"/>
  <c r="B748" i="10" s="1"/>
  <c r="B764" i="10" a="1"/>
  <c r="B764" i="10" s="1"/>
  <c r="B780" i="10" a="1"/>
  <c r="B780" i="10" s="1"/>
  <c r="B796" i="10" a="1"/>
  <c r="B796" i="10" s="1"/>
  <c r="B812" i="10" a="1"/>
  <c r="B812" i="10" s="1"/>
  <c r="B828" i="10" a="1"/>
  <c r="B828" i="10" s="1"/>
  <c r="B844" i="10" a="1"/>
  <c r="B844" i="10" s="1"/>
  <c r="B860" i="10" a="1"/>
  <c r="B860" i="10" s="1"/>
  <c r="B689" i="10" a="1"/>
  <c r="B689" i="10" s="1"/>
  <c r="B728" i="10" a="1"/>
  <c r="B728" i="10" s="1"/>
  <c r="B745" i="10" a="1"/>
  <c r="B745" i="10" s="1"/>
  <c r="B761" i="10" a="1"/>
  <c r="B761" i="10" s="1"/>
  <c r="B777" i="10" a="1"/>
  <c r="B777" i="10" s="1"/>
  <c r="B793" i="10" a="1"/>
  <c r="B793" i="10" s="1"/>
  <c r="B809" i="10" a="1"/>
  <c r="B809" i="10" s="1"/>
  <c r="B825" i="10" a="1"/>
  <c r="B825" i="10" s="1"/>
  <c r="B841" i="10" a="1"/>
  <c r="B841" i="10" s="1"/>
  <c r="B857" i="10" a="1"/>
  <c r="B857" i="10" s="1"/>
  <c r="B629" i="10" a="1"/>
  <c r="B629" i="10" s="1"/>
  <c r="B693" i="10" a="1"/>
  <c r="B693" i="10" s="1"/>
  <c r="B729" i="10" a="1"/>
  <c r="B729" i="10" s="1"/>
  <c r="B746" i="10" a="1"/>
  <c r="B746" i="10" s="1"/>
  <c r="B762" i="10" a="1"/>
  <c r="B762" i="10" s="1"/>
  <c r="B778" i="10" a="1"/>
  <c r="B778" i="10" s="1"/>
  <c r="B794" i="10" a="1"/>
  <c r="B794" i="10" s="1"/>
  <c r="B810" i="10" a="1"/>
  <c r="B810" i="10" s="1"/>
  <c r="B826" i="10" a="1"/>
  <c r="B826" i="10" s="1"/>
  <c r="B710" i="10" a="1"/>
  <c r="B710" i="10" s="1"/>
  <c r="C847" i="10" a="1"/>
  <c r="C847" i="10" s="1"/>
  <c r="B535" i="10" a="1"/>
  <c r="B535" i="10" s="1"/>
  <c r="B643" i="10" a="1"/>
  <c r="B643" i="10" s="1"/>
  <c r="B663" i="10" a="1"/>
  <c r="B663" i="10" s="1"/>
  <c r="B687" i="10" a="1"/>
  <c r="B687" i="10" s="1"/>
  <c r="B707" i="10" a="1"/>
  <c r="B707" i="10" s="1"/>
  <c r="B727" i="10" a="1"/>
  <c r="B727" i="10" s="1"/>
  <c r="C807" i="10" a="1"/>
  <c r="C807" i="10" s="1"/>
  <c r="C828" i="10" a="1"/>
  <c r="C828" i="10" s="1"/>
  <c r="C848" i="10" a="1"/>
  <c r="C848" i="10" s="1"/>
  <c r="B540" i="10" a="1"/>
  <c r="B540" i="10" s="1"/>
  <c r="B604" i="10" a="1"/>
  <c r="B604" i="10" s="1"/>
  <c r="B656" i="10" a="1"/>
  <c r="B656" i="10" s="1"/>
  <c r="B672" i="10" a="1"/>
  <c r="B672" i="10" s="1"/>
  <c r="B688" i="10" a="1"/>
  <c r="B688" i="10" s="1"/>
  <c r="B704" i="10" a="1"/>
  <c r="B704" i="10" s="1"/>
  <c r="C765" i="10" a="1"/>
  <c r="C765" i="10" s="1"/>
  <c r="C809" i="10" a="1"/>
  <c r="C809" i="10" s="1"/>
  <c r="C825" i="10" a="1"/>
  <c r="C825" i="10" s="1"/>
  <c r="C841" i="10" a="1"/>
  <c r="C841" i="10" s="1"/>
  <c r="C857" i="10" a="1"/>
  <c r="C857" i="10" s="1"/>
  <c r="B477" i="10" a="1"/>
  <c r="B477" i="10" s="1"/>
  <c r="B557" i="10" a="1"/>
  <c r="B557" i="10" s="1"/>
  <c r="B573" i="10" a="1"/>
  <c r="B573" i="10" s="1"/>
  <c r="B601" i="10" a="1"/>
  <c r="B601" i="10" s="1"/>
  <c r="B665" i="10" a="1"/>
  <c r="B665" i="10" s="1"/>
  <c r="B720" i="10" a="1"/>
  <c r="B720" i="10" s="1"/>
  <c r="B739" i="10" a="1"/>
  <c r="B739" i="10" s="1"/>
  <c r="B755" i="10" a="1"/>
  <c r="B755" i="10" s="1"/>
  <c r="B771" i="10" a="1"/>
  <c r="B771" i="10" s="1"/>
  <c r="B787" i="10" a="1"/>
  <c r="B787" i="10" s="1"/>
  <c r="B803" i="10" a="1"/>
  <c r="B803" i="10" s="1"/>
  <c r="B819" i="10" a="1"/>
  <c r="B819" i="10" s="1"/>
  <c r="B835" i="10" a="1"/>
  <c r="B835" i="10" s="1"/>
  <c r="B851" i="10" a="1"/>
  <c r="B851" i="10" s="1"/>
  <c r="B653" i="10" a="1"/>
  <c r="B653" i="10" s="1"/>
  <c r="B714" i="10" a="1"/>
  <c r="B714" i="10" s="1"/>
  <c r="B736" i="10" a="1"/>
  <c r="B736" i="10" s="1"/>
  <c r="B752" i="10" a="1"/>
  <c r="B752" i="10" s="1"/>
  <c r="B768" i="10" a="1"/>
  <c r="B768" i="10" s="1"/>
  <c r="B784" i="10" a="1"/>
  <c r="B784" i="10" s="1"/>
  <c r="B800" i="10" a="1"/>
  <c r="B800" i="10" s="1"/>
  <c r="B816" i="10" a="1"/>
  <c r="B816" i="10" s="1"/>
  <c r="B832" i="10" a="1"/>
  <c r="B832" i="10" s="1"/>
  <c r="B848" i="10" a="1"/>
  <c r="B848" i="10" s="1"/>
  <c r="B864" i="10" a="1"/>
  <c r="B864" i="10" s="1"/>
  <c r="B705" i="10" a="1"/>
  <c r="B705" i="10" s="1"/>
  <c r="B733" i="10" a="1"/>
  <c r="B733" i="10" s="1"/>
  <c r="B749" i="10" a="1"/>
  <c r="B749" i="10" s="1"/>
  <c r="B765" i="10" a="1"/>
  <c r="B765" i="10" s="1"/>
  <c r="B781" i="10" a="1"/>
  <c r="B781" i="10" s="1"/>
  <c r="B797" i="10" a="1"/>
  <c r="B797" i="10" s="1"/>
  <c r="B813" i="10" a="1"/>
  <c r="B813" i="10" s="1"/>
  <c r="B829" i="10" a="1"/>
  <c r="B829" i="10" s="1"/>
  <c r="B845" i="10" a="1"/>
  <c r="B845" i="10" s="1"/>
  <c r="B861" i="10" a="1"/>
  <c r="B861" i="10" s="1"/>
  <c r="B709" i="10" a="1"/>
  <c r="B709" i="10" s="1"/>
  <c r="B734" i="10" a="1"/>
  <c r="B734" i="10" s="1"/>
  <c r="B750" i="10" a="1"/>
  <c r="B750" i="10" s="1"/>
  <c r="B766" i="10" a="1"/>
  <c r="B766" i="10" s="1"/>
  <c r="B782" i="10" a="1"/>
  <c r="B782" i="10" s="1"/>
  <c r="B798" i="10" a="1"/>
  <c r="B798" i="10" s="1"/>
  <c r="B814" i="10" a="1"/>
  <c r="B814" i="10" s="1"/>
  <c r="C801" i="10" a="1"/>
  <c r="C801" i="10" s="1"/>
  <c r="C851" i="10" a="1"/>
  <c r="C851" i="10" s="1"/>
  <c r="B487" i="10" a="1"/>
  <c r="B487" i="10" s="1"/>
  <c r="B607" i="10" a="1"/>
  <c r="B607" i="10" s="1"/>
  <c r="B627" i="10" a="1"/>
  <c r="B627" i="10" s="1"/>
  <c r="B671" i="10" a="1"/>
  <c r="B671" i="10" s="1"/>
  <c r="B691" i="10" a="1"/>
  <c r="B691" i="10" s="1"/>
  <c r="B711" i="10" a="1"/>
  <c r="B711" i="10" s="1"/>
  <c r="C761" i="10" a="1"/>
  <c r="C761" i="10" s="1"/>
  <c r="C812" i="10" a="1"/>
  <c r="C812" i="10" s="1"/>
  <c r="C832" i="10" a="1"/>
  <c r="C832" i="10" s="1"/>
  <c r="C856" i="10" a="1"/>
  <c r="C856" i="10" s="1"/>
  <c r="B500" i="10" a="1"/>
  <c r="B500" i="10" s="1"/>
  <c r="B524" i="10" a="1"/>
  <c r="B524" i="10" s="1"/>
  <c r="B544" i="10" a="1"/>
  <c r="B544" i="10" s="1"/>
  <c r="B564" i="10" a="1"/>
  <c r="B564" i="10" s="1"/>
  <c r="B588" i="10" a="1"/>
  <c r="B588" i="10" s="1"/>
  <c r="B660" i="10" a="1"/>
  <c r="B660" i="10" s="1"/>
  <c r="B676" i="10" a="1"/>
  <c r="B676" i="10" s="1"/>
  <c r="B692" i="10" a="1"/>
  <c r="B692" i="10" s="1"/>
  <c r="B708" i="10" a="1"/>
  <c r="B708" i="10" s="1"/>
  <c r="C781" i="10" a="1"/>
  <c r="C781" i="10" s="1"/>
  <c r="C813" i="10" a="1"/>
  <c r="C813" i="10" s="1"/>
  <c r="C829" i="10" a="1"/>
  <c r="C829" i="10" s="1"/>
  <c r="C845" i="10" a="1"/>
  <c r="C845" i="10" s="1"/>
  <c r="C861" i="10" a="1"/>
  <c r="C861" i="10" s="1"/>
  <c r="B481" i="10" a="1"/>
  <c r="B481" i="10" s="1"/>
  <c r="B513" i="10" a="1"/>
  <c r="B513" i="10" s="1"/>
  <c r="B529" i="10" a="1"/>
  <c r="B529" i="10" s="1"/>
  <c r="B561" i="10" a="1"/>
  <c r="B561" i="10" s="1"/>
  <c r="B681" i="10" a="1"/>
  <c r="B681" i="10" s="1"/>
  <c r="B725" i="10" a="1"/>
  <c r="B725" i="10" s="1"/>
  <c r="B743" i="10" a="1"/>
  <c r="B743" i="10" s="1"/>
  <c r="B759" i="10" a="1"/>
  <c r="B759" i="10" s="1"/>
  <c r="B775" i="10" a="1"/>
  <c r="B775" i="10" s="1"/>
  <c r="B791" i="10" a="1"/>
  <c r="B791" i="10" s="1"/>
  <c r="B807" i="10" a="1"/>
  <c r="B807" i="10" s="1"/>
  <c r="B823" i="10" a="1"/>
  <c r="B823" i="10" s="1"/>
  <c r="B839" i="10" a="1"/>
  <c r="B839" i="10" s="1"/>
  <c r="B855" i="10" a="1"/>
  <c r="B855" i="10" s="1"/>
  <c r="B669" i="10" a="1"/>
  <c r="B669" i="10" s="1"/>
  <c r="B721" i="10" a="1"/>
  <c r="B721" i="10" s="1"/>
  <c r="B740" i="10" a="1"/>
  <c r="B740" i="10" s="1"/>
  <c r="B756" i="10" a="1"/>
  <c r="B756" i="10" s="1"/>
  <c r="B772" i="10" a="1"/>
  <c r="B772" i="10" s="1"/>
  <c r="B788" i="10" a="1"/>
  <c r="B788" i="10" s="1"/>
  <c r="B804" i="10" a="1"/>
  <c r="B804" i="10" s="1"/>
  <c r="B820" i="10" a="1"/>
  <c r="B820" i="10" s="1"/>
  <c r="B836" i="10" a="1"/>
  <c r="B836" i="10" s="1"/>
  <c r="B852" i="10" a="1"/>
  <c r="B852" i="10" s="1"/>
  <c r="B593" i="10" a="1"/>
  <c r="B593" i="10" s="1"/>
  <c r="B657" i="10" a="1"/>
  <c r="B657" i="10" s="1"/>
  <c r="B717" i="10" a="1"/>
  <c r="B717" i="10" s="1"/>
  <c r="B737" i="10" a="1"/>
  <c r="B737" i="10" s="1"/>
  <c r="B753" i="10" a="1"/>
  <c r="B753" i="10" s="1"/>
  <c r="B769" i="10" a="1"/>
  <c r="B769" i="10" s="1"/>
  <c r="B785" i="10" a="1"/>
  <c r="B785" i="10" s="1"/>
  <c r="B801" i="10" a="1"/>
  <c r="B801" i="10" s="1"/>
  <c r="B817" i="10" a="1"/>
  <c r="B817" i="10" s="1"/>
  <c r="B833" i="10" a="1"/>
  <c r="B833" i="10" s="1"/>
  <c r="B849" i="10" a="1"/>
  <c r="B849" i="10" s="1"/>
  <c r="B661" i="10" a="1"/>
  <c r="B661" i="10" s="1"/>
  <c r="B718" i="10" a="1"/>
  <c r="B718" i="10" s="1"/>
  <c r="B738" i="10" a="1"/>
  <c r="B738" i="10" s="1"/>
  <c r="B754" i="10" a="1"/>
  <c r="B754" i="10" s="1"/>
  <c r="B770" i="10" a="1"/>
  <c r="B770" i="10" s="1"/>
  <c r="B786" i="10" a="1"/>
  <c r="B786" i="10" s="1"/>
  <c r="B802" i="10" a="1"/>
  <c r="B802" i="10" s="1"/>
  <c r="B818" i="10" a="1"/>
  <c r="B818" i="10" s="1"/>
  <c r="B834" i="10" a="1"/>
  <c r="B834" i="10" s="1"/>
  <c r="C819" i="10" a="1"/>
  <c r="C819" i="10" s="1"/>
  <c r="C863" i="10" a="1"/>
  <c r="C863" i="10" s="1"/>
  <c r="B547" i="10" a="1"/>
  <c r="B547" i="10" s="1"/>
  <c r="B591" i="10" a="1"/>
  <c r="B591" i="10" s="1"/>
  <c r="B655" i="10" a="1"/>
  <c r="B655" i="10" s="1"/>
  <c r="B675" i="10" a="1"/>
  <c r="B675" i="10" s="1"/>
  <c r="B695" i="10" a="1"/>
  <c r="B695" i="10" s="1"/>
  <c r="B719" i="10" a="1"/>
  <c r="B719" i="10" s="1"/>
  <c r="C777" i="10" a="1"/>
  <c r="C777" i="10" s="1"/>
  <c r="B712" i="10" a="1"/>
  <c r="B712" i="10" s="1"/>
  <c r="C849" i="10" a="1"/>
  <c r="C849" i="10" s="1"/>
  <c r="B517" i="10" a="1"/>
  <c r="B517" i="10" s="1"/>
  <c r="B747" i="10" a="1"/>
  <c r="B747" i="10" s="1"/>
  <c r="B811" i="10" a="1"/>
  <c r="B811" i="10" s="1"/>
  <c r="B760" i="10" a="1"/>
  <c r="B760" i="10" s="1"/>
  <c r="B824" i="10" a="1"/>
  <c r="B824" i="10" s="1"/>
  <c r="B673" i="10" a="1"/>
  <c r="B673" i="10" s="1"/>
  <c r="B773" i="10" a="1"/>
  <c r="B773" i="10" s="1"/>
  <c r="B837" i="10" a="1"/>
  <c r="B837" i="10" s="1"/>
  <c r="B724" i="10" a="1"/>
  <c r="B724" i="10" s="1"/>
  <c r="B790" i="10" a="1"/>
  <c r="B790" i="10" s="1"/>
  <c r="B838" i="10" a="1"/>
  <c r="B838" i="10" s="1"/>
  <c r="B854" i="10" a="1"/>
  <c r="B854" i="10" s="1"/>
  <c r="C466" i="10" a="1"/>
  <c r="C466" i="10" s="1"/>
  <c r="C450" i="10" a="1"/>
  <c r="C450" i="10" s="1"/>
  <c r="C434" i="10" a="1"/>
  <c r="C434" i="10" s="1"/>
  <c r="C418" i="10" a="1"/>
  <c r="C418" i="10" s="1"/>
  <c r="C402" i="10" a="1"/>
  <c r="C402" i="10" s="1"/>
  <c r="C386" i="10" a="1"/>
  <c r="C386" i="10" s="1"/>
  <c r="C370" i="10" a="1"/>
  <c r="C370" i="10" s="1"/>
  <c r="C354" i="10" a="1"/>
  <c r="C354" i="10" s="1"/>
  <c r="C453" i="10" a="1"/>
  <c r="C453" i="10" s="1"/>
  <c r="C437" i="10" a="1"/>
  <c r="C437" i="10" s="1"/>
  <c r="C421" i="10" a="1"/>
  <c r="C421" i="10" s="1"/>
  <c r="C405" i="10" a="1"/>
  <c r="C405" i="10" s="1"/>
  <c r="C389" i="10" a="1"/>
  <c r="C389" i="10" s="1"/>
  <c r="C373" i="10" a="1"/>
  <c r="C373" i="10" s="1"/>
  <c r="C357" i="10" a="1"/>
  <c r="C357" i="10" s="1"/>
  <c r="C470" i="10" a="1"/>
  <c r="C470" i="10" s="1"/>
  <c r="C486" i="10" a="1"/>
  <c r="C486" i="10" s="1"/>
  <c r="C502" i="10" a="1"/>
  <c r="C502" i="10" s="1"/>
  <c r="C518" i="10" a="1"/>
  <c r="C518" i="10" s="1"/>
  <c r="C534" i="10" a="1"/>
  <c r="C534" i="10" s="1"/>
  <c r="C550" i="10" a="1"/>
  <c r="C550" i="10" s="1"/>
  <c r="C566" i="10" a="1"/>
  <c r="C566" i="10" s="1"/>
  <c r="C582" i="10" a="1"/>
  <c r="C582" i="10" s="1"/>
  <c r="C598" i="10" a="1"/>
  <c r="C598" i="10" s="1"/>
  <c r="C614" i="10" a="1"/>
  <c r="C614" i="10" s="1"/>
  <c r="C630" i="10" a="1"/>
  <c r="C630" i="10" s="1"/>
  <c r="C646" i="10" a="1"/>
  <c r="C646" i="10" s="1"/>
  <c r="C662" i="10" a="1"/>
  <c r="C662" i="10" s="1"/>
  <c r="C678" i="10" a="1"/>
  <c r="C678" i="10" s="1"/>
  <c r="C694" i="10" a="1"/>
  <c r="C694" i="10" s="1"/>
  <c r="C710" i="10" a="1"/>
  <c r="C710" i="10" s="1"/>
  <c r="C726" i="10" a="1"/>
  <c r="C726" i="10" s="1"/>
  <c r="C742" i="10" a="1"/>
  <c r="C742" i="10" s="1"/>
  <c r="C758" i="10" a="1"/>
  <c r="C758" i="10" s="1"/>
  <c r="C774" i="10" a="1"/>
  <c r="C774" i="10" s="1"/>
  <c r="C790" i="10" a="1"/>
  <c r="C790" i="10" s="1"/>
  <c r="C479" i="10" a="1"/>
  <c r="C479" i="10" s="1"/>
  <c r="C495" i="10" a="1"/>
  <c r="C495" i="10" s="1"/>
  <c r="C511" i="10" a="1"/>
  <c r="C511" i="10" s="1"/>
  <c r="C527" i="10" a="1"/>
  <c r="C527" i="10" s="1"/>
  <c r="C543" i="10" a="1"/>
  <c r="C543" i="10" s="1"/>
  <c r="C559" i="10" a="1"/>
  <c r="C559" i="10" s="1"/>
  <c r="C575" i="10" a="1"/>
  <c r="C575" i="10" s="1"/>
  <c r="C591" i="10" a="1"/>
  <c r="C591" i="10" s="1"/>
  <c r="C607" i="10" a="1"/>
  <c r="C607" i="10" s="1"/>
  <c r="C623" i="10" a="1"/>
  <c r="C623" i="10" s="1"/>
  <c r="C639" i="10" a="1"/>
  <c r="C639" i="10" s="1"/>
  <c r="C655" i="10" a="1"/>
  <c r="C655" i="10" s="1"/>
  <c r="C671" i="10" a="1"/>
  <c r="C671" i="10" s="1"/>
  <c r="C687" i="10" a="1"/>
  <c r="C687" i="10" s="1"/>
  <c r="C703" i="10" a="1"/>
  <c r="C703" i="10" s="1"/>
  <c r="C719" i="10" a="1"/>
  <c r="C719" i="10" s="1"/>
  <c r="C816" i="10" a="1"/>
  <c r="C816" i="10" s="1"/>
  <c r="B664" i="10" a="1"/>
  <c r="B664" i="10" s="1"/>
  <c r="C797" i="10" a="1"/>
  <c r="C797" i="10" s="1"/>
  <c r="C865" i="10" a="1"/>
  <c r="C865" i="10" s="1"/>
  <c r="B533" i="10" a="1"/>
  <c r="B533" i="10" s="1"/>
  <c r="B633" i="10" a="1"/>
  <c r="B633" i="10" s="1"/>
  <c r="B763" i="10" a="1"/>
  <c r="B763" i="10" s="1"/>
  <c r="B827" i="10" a="1"/>
  <c r="B827" i="10" s="1"/>
  <c r="B685" i="10" a="1"/>
  <c r="B685" i="10" s="1"/>
  <c r="B776" i="10" a="1"/>
  <c r="B776" i="10" s="1"/>
  <c r="B840" i="10" a="1"/>
  <c r="B840" i="10" s="1"/>
  <c r="B722" i="10" a="1"/>
  <c r="B722" i="10" s="1"/>
  <c r="B789" i="10" a="1"/>
  <c r="B789" i="10" s="1"/>
  <c r="B853" i="10" a="1"/>
  <c r="B853" i="10" s="1"/>
  <c r="B742" i="10" a="1"/>
  <c r="B742" i="10" s="1"/>
  <c r="B806" i="10" a="1"/>
  <c r="B806" i="10" s="1"/>
  <c r="B842" i="10" a="1"/>
  <c r="B842" i="10" s="1"/>
  <c r="B858" i="10" a="1"/>
  <c r="B858" i="10" s="1"/>
  <c r="C462" i="10" a="1"/>
  <c r="C462" i="10" s="1"/>
  <c r="C446" i="10" a="1"/>
  <c r="C446" i="10" s="1"/>
  <c r="C430" i="10" a="1"/>
  <c r="C430" i="10" s="1"/>
  <c r="C414" i="10" a="1"/>
  <c r="C414" i="10" s="1"/>
  <c r="C398" i="10" a="1"/>
  <c r="C398" i="10" s="1"/>
  <c r="C382" i="10" a="1"/>
  <c r="C382" i="10" s="1"/>
  <c r="C366" i="10" a="1"/>
  <c r="C366" i="10" s="1"/>
  <c r="C449" i="10" a="1"/>
  <c r="C449" i="10" s="1"/>
  <c r="C433" i="10" a="1"/>
  <c r="C433" i="10" s="1"/>
  <c r="C417" i="10" a="1"/>
  <c r="C417" i="10" s="1"/>
  <c r="C401" i="10" a="1"/>
  <c r="C401" i="10" s="1"/>
  <c r="C385" i="10" a="1"/>
  <c r="C385" i="10" s="1"/>
  <c r="C369" i="10" a="1"/>
  <c r="C369" i="10" s="1"/>
  <c r="C353" i="10" a="1"/>
  <c r="C353" i="10" s="1"/>
  <c r="C474" i="10" a="1"/>
  <c r="C474" i="10" s="1"/>
  <c r="C490" i="10" a="1"/>
  <c r="C490" i="10" s="1"/>
  <c r="C506" i="10" a="1"/>
  <c r="C506" i="10" s="1"/>
  <c r="C522" i="10" a="1"/>
  <c r="C522" i="10" s="1"/>
  <c r="C538" i="10" a="1"/>
  <c r="C538" i="10" s="1"/>
  <c r="C554" i="10" a="1"/>
  <c r="C554" i="10" s="1"/>
  <c r="C570" i="10" a="1"/>
  <c r="C570" i="10" s="1"/>
  <c r="C586" i="10" a="1"/>
  <c r="C586" i="10" s="1"/>
  <c r="C602" i="10" a="1"/>
  <c r="C602" i="10" s="1"/>
  <c r="C618" i="10" a="1"/>
  <c r="C618" i="10" s="1"/>
  <c r="C634" i="10" a="1"/>
  <c r="C634" i="10" s="1"/>
  <c r="C650" i="10" a="1"/>
  <c r="C650" i="10" s="1"/>
  <c r="C666" i="10" a="1"/>
  <c r="C666" i="10" s="1"/>
  <c r="C682" i="10" a="1"/>
  <c r="C682" i="10" s="1"/>
  <c r="C698" i="10" a="1"/>
  <c r="C698" i="10" s="1"/>
  <c r="C714" i="10" a="1"/>
  <c r="C714" i="10" s="1"/>
  <c r="C730" i="10" a="1"/>
  <c r="C730" i="10" s="1"/>
  <c r="C746" i="10" a="1"/>
  <c r="C746" i="10" s="1"/>
  <c r="C762" i="10" a="1"/>
  <c r="C762" i="10" s="1"/>
  <c r="C778" i="10" a="1"/>
  <c r="C778" i="10" s="1"/>
  <c r="C794" i="10" a="1"/>
  <c r="C794" i="10" s="1"/>
  <c r="C483" i="10" a="1"/>
  <c r="C483" i="10" s="1"/>
  <c r="C499" i="10" a="1"/>
  <c r="C499" i="10" s="1"/>
  <c r="C515" i="10" a="1"/>
  <c r="C515" i="10" s="1"/>
  <c r="C531" i="10" a="1"/>
  <c r="C531" i="10" s="1"/>
  <c r="C547" i="10" a="1"/>
  <c r="C547" i="10" s="1"/>
  <c r="C563" i="10" a="1"/>
  <c r="C563" i="10" s="1"/>
  <c r="C579" i="10" a="1"/>
  <c r="C579" i="10" s="1"/>
  <c r="C595" i="10" a="1"/>
  <c r="C595" i="10" s="1"/>
  <c r="C611" i="10" a="1"/>
  <c r="C611" i="10" s="1"/>
  <c r="C627" i="10" a="1"/>
  <c r="C627" i="10" s="1"/>
  <c r="C643" i="10" a="1"/>
  <c r="C643" i="10" s="1"/>
  <c r="C659" i="10" a="1"/>
  <c r="C659" i="10" s="1"/>
  <c r="C675" i="10" a="1"/>
  <c r="C675" i="10" s="1"/>
  <c r="C691" i="10" a="1"/>
  <c r="C691" i="10" s="1"/>
  <c r="C707" i="10" a="1"/>
  <c r="C707" i="10" s="1"/>
  <c r="C840" i="10" a="1"/>
  <c r="C840" i="10" s="1"/>
  <c r="B680" i="10" a="1"/>
  <c r="B680" i="10" s="1"/>
  <c r="C817" i="10" a="1"/>
  <c r="C817" i="10" s="1"/>
  <c r="B697" i="10" a="1"/>
  <c r="B697" i="10" s="1"/>
  <c r="B779" i="10" a="1"/>
  <c r="B779" i="10" s="1"/>
  <c r="B843" i="10" a="1"/>
  <c r="B843" i="10" s="1"/>
  <c r="B726" i="10" a="1"/>
  <c r="B726" i="10" s="1"/>
  <c r="B792" i="10" a="1"/>
  <c r="B792" i="10" s="1"/>
  <c r="B856" i="10" a="1"/>
  <c r="B856" i="10" s="1"/>
  <c r="B741" i="10" a="1"/>
  <c r="B741" i="10" s="1"/>
  <c r="B805" i="10" a="1"/>
  <c r="B805" i="10" s="1"/>
  <c r="B758" i="10" a="1"/>
  <c r="B758" i="10" s="1"/>
  <c r="B822" i="10" a="1"/>
  <c r="B822" i="10" s="1"/>
  <c r="B846" i="10" a="1"/>
  <c r="B846" i="10" s="1"/>
  <c r="B862" i="10" a="1"/>
  <c r="B862" i="10" s="1"/>
  <c r="C458" i="10" a="1"/>
  <c r="C458" i="10" s="1"/>
  <c r="C442" i="10" a="1"/>
  <c r="C442" i="10" s="1"/>
  <c r="C426" i="10" a="1"/>
  <c r="C426" i="10" s="1"/>
  <c r="C410" i="10" a="1"/>
  <c r="C410" i="10" s="1"/>
  <c r="C394" i="10" a="1"/>
  <c r="C394" i="10" s="1"/>
  <c r="C378" i="10" a="1"/>
  <c r="C378" i="10" s="1"/>
  <c r="C362" i="10" a="1"/>
  <c r="C362" i="10" s="1"/>
  <c r="B398" i="10" a="1"/>
  <c r="B398" i="10" s="1"/>
  <c r="B382" i="10" a="1"/>
  <c r="B382" i="10" s="1"/>
  <c r="C461" i="10" a="1"/>
  <c r="C461" i="10" s="1"/>
  <c r="C445" i="10" a="1"/>
  <c r="C445" i="10" s="1"/>
  <c r="C429" i="10" a="1"/>
  <c r="C429" i="10" s="1"/>
  <c r="C413" i="10" a="1"/>
  <c r="C413" i="10" s="1"/>
  <c r="C397" i="10" a="1"/>
  <c r="C397" i="10" s="1"/>
  <c r="C381" i="10" a="1"/>
  <c r="C381" i="10" s="1"/>
  <c r="C365" i="10" a="1"/>
  <c r="C365" i="10" s="1"/>
  <c r="C478" i="10" a="1"/>
  <c r="C478" i="10" s="1"/>
  <c r="C494" i="10" a="1"/>
  <c r="C494" i="10" s="1"/>
  <c r="C510" i="10" a="1"/>
  <c r="C510" i="10" s="1"/>
  <c r="C526" i="10" a="1"/>
  <c r="C526" i="10" s="1"/>
  <c r="C542" i="10" a="1"/>
  <c r="C542" i="10" s="1"/>
  <c r="C558" i="10" a="1"/>
  <c r="C558" i="10" s="1"/>
  <c r="C574" i="10" a="1"/>
  <c r="C574" i="10" s="1"/>
  <c r="C590" i="10" a="1"/>
  <c r="C590" i="10" s="1"/>
  <c r="C606" i="10" a="1"/>
  <c r="C606" i="10" s="1"/>
  <c r="C622" i="10" a="1"/>
  <c r="C622" i="10" s="1"/>
  <c r="C638" i="10" a="1"/>
  <c r="C638" i="10" s="1"/>
  <c r="C654" i="10" a="1"/>
  <c r="C654" i="10" s="1"/>
  <c r="C670" i="10" a="1"/>
  <c r="C670" i="10" s="1"/>
  <c r="C686" i="10" a="1"/>
  <c r="C686" i="10" s="1"/>
  <c r="C702" i="10" a="1"/>
  <c r="C702" i="10" s="1"/>
  <c r="C718" i="10" a="1"/>
  <c r="C718" i="10" s="1"/>
  <c r="C734" i="10" a="1"/>
  <c r="C734" i="10" s="1"/>
  <c r="C750" i="10" a="1"/>
  <c r="C750" i="10" s="1"/>
  <c r="C766" i="10" a="1"/>
  <c r="C766" i="10" s="1"/>
  <c r="C782" i="10" a="1"/>
  <c r="C782" i="10" s="1"/>
  <c r="C471" i="10" a="1"/>
  <c r="C471" i="10" s="1"/>
  <c r="C487" i="10" a="1"/>
  <c r="C487" i="10" s="1"/>
  <c r="C503" i="10" a="1"/>
  <c r="C503" i="10" s="1"/>
  <c r="C519" i="10" a="1"/>
  <c r="C519" i="10" s="1"/>
  <c r="C535" i="10" a="1"/>
  <c r="C535" i="10" s="1"/>
  <c r="C551" i="10" a="1"/>
  <c r="C551" i="10" s="1"/>
  <c r="C567" i="10" a="1"/>
  <c r="C567" i="10" s="1"/>
  <c r="C583" i="10" a="1"/>
  <c r="C583" i="10" s="1"/>
  <c r="C599" i="10" a="1"/>
  <c r="C599" i="10" s="1"/>
  <c r="C615" i="10" a="1"/>
  <c r="C615" i="10" s="1"/>
  <c r="C631" i="10" a="1"/>
  <c r="C631" i="10" s="1"/>
  <c r="C647" i="10" a="1"/>
  <c r="C647" i="10" s="1"/>
  <c r="C663" i="10" a="1"/>
  <c r="C663" i="10" s="1"/>
  <c r="C679" i="10" a="1"/>
  <c r="C679" i="10" s="1"/>
  <c r="C695" i="10" a="1"/>
  <c r="C695" i="10" s="1"/>
  <c r="C711" i="10" a="1"/>
  <c r="C711" i="10" s="1"/>
  <c r="C860" i="10" a="1"/>
  <c r="C860" i="10" s="1"/>
  <c r="B632" i="10" a="1"/>
  <c r="B632" i="10" s="1"/>
  <c r="B696" i="10" a="1"/>
  <c r="B696" i="10" s="1"/>
  <c r="C833" i="10" a="1"/>
  <c r="C833" i="10" s="1"/>
  <c r="B730" i="10" a="1"/>
  <c r="B730" i="10" s="1"/>
  <c r="B795" i="10" a="1"/>
  <c r="B795" i="10" s="1"/>
  <c r="B859" i="10" a="1"/>
  <c r="B859" i="10" s="1"/>
  <c r="B744" i="10" a="1"/>
  <c r="B744" i="10" s="1"/>
  <c r="B808" i="10" a="1"/>
  <c r="B808" i="10" s="1"/>
  <c r="B609" i="10" a="1"/>
  <c r="B609" i="10" s="1"/>
  <c r="B757" i="10" a="1"/>
  <c r="B757" i="10" s="1"/>
  <c r="B821" i="10" a="1"/>
  <c r="B821" i="10" s="1"/>
  <c r="B677" i="10" a="1"/>
  <c r="B677" i="10" s="1"/>
  <c r="B774" i="10" a="1"/>
  <c r="B774" i="10" s="1"/>
  <c r="B830" i="10" a="1"/>
  <c r="B830" i="10" s="1"/>
  <c r="B850" i="10" a="1"/>
  <c r="B850" i="10" s="1"/>
  <c r="B865" i="10" a="1"/>
  <c r="B865" i="10" s="1"/>
  <c r="C454" i="10" a="1"/>
  <c r="C454" i="10" s="1"/>
  <c r="C438" i="10" a="1"/>
  <c r="C438" i="10" s="1"/>
  <c r="C422" i="10" a="1"/>
  <c r="C422" i="10" s="1"/>
  <c r="C406" i="10" a="1"/>
  <c r="C406" i="10" s="1"/>
  <c r="C390" i="10" a="1"/>
  <c r="C390" i="10" s="1"/>
  <c r="C374" i="10" a="1"/>
  <c r="C374" i="10" s="1"/>
  <c r="C358" i="10" a="1"/>
  <c r="C358" i="10" s="1"/>
  <c r="C457" i="10" a="1"/>
  <c r="C457" i="10" s="1"/>
  <c r="C441" i="10" a="1"/>
  <c r="C441" i="10" s="1"/>
  <c r="C425" i="10" a="1"/>
  <c r="C425" i="10" s="1"/>
  <c r="C409" i="10" a="1"/>
  <c r="C409" i="10" s="1"/>
  <c r="C393" i="10" a="1"/>
  <c r="C393" i="10" s="1"/>
  <c r="C377" i="10" a="1"/>
  <c r="C377" i="10" s="1"/>
  <c r="C361" i="10" a="1"/>
  <c r="C361" i="10" s="1"/>
  <c r="B401" i="10" a="1"/>
  <c r="B401" i="10" s="1"/>
  <c r="C482" i="10" a="1"/>
  <c r="C482" i="10" s="1"/>
  <c r="C498" i="10" a="1"/>
  <c r="C498" i="10" s="1"/>
  <c r="C514" i="10" a="1"/>
  <c r="C514" i="10" s="1"/>
  <c r="C530" i="10" a="1"/>
  <c r="C530" i="10" s="1"/>
  <c r="C546" i="10" a="1"/>
  <c r="C546" i="10" s="1"/>
  <c r="C562" i="10" a="1"/>
  <c r="C562" i="10" s="1"/>
  <c r="C578" i="10" a="1"/>
  <c r="C578" i="10" s="1"/>
  <c r="C594" i="10" a="1"/>
  <c r="C594" i="10" s="1"/>
  <c r="C610" i="10" a="1"/>
  <c r="C610" i="10" s="1"/>
  <c r="C626" i="10" a="1"/>
  <c r="C626" i="10" s="1"/>
  <c r="C642" i="10" a="1"/>
  <c r="C642" i="10" s="1"/>
  <c r="C658" i="10" a="1"/>
  <c r="C658" i="10" s="1"/>
  <c r="C674" i="10" a="1"/>
  <c r="C674" i="10" s="1"/>
  <c r="C690" i="10" a="1"/>
  <c r="C690" i="10" s="1"/>
  <c r="C706" i="10" a="1"/>
  <c r="C706" i="10" s="1"/>
  <c r="C722" i="10" a="1"/>
  <c r="C722" i="10" s="1"/>
  <c r="C738" i="10" a="1"/>
  <c r="C738" i="10" s="1"/>
  <c r="C754" i="10" a="1"/>
  <c r="C754" i="10" s="1"/>
  <c r="C770" i="10" a="1"/>
  <c r="C770" i="10" s="1"/>
  <c r="C786" i="10" a="1"/>
  <c r="C786" i="10" s="1"/>
  <c r="C475" i="10" a="1"/>
  <c r="C475" i="10" s="1"/>
  <c r="C491" i="10" a="1"/>
  <c r="C491" i="10" s="1"/>
  <c r="C507" i="10" a="1"/>
  <c r="C507" i="10" s="1"/>
  <c r="C523" i="10" a="1"/>
  <c r="C523" i="10" s="1"/>
  <c r="C539" i="10" a="1"/>
  <c r="C539" i="10" s="1"/>
  <c r="C555" i="10" a="1"/>
  <c r="C555" i="10" s="1"/>
  <c r="C571" i="10" a="1"/>
  <c r="C571" i="10" s="1"/>
  <c r="C587" i="10" a="1"/>
  <c r="C587" i="10" s="1"/>
  <c r="C603" i="10" a="1"/>
  <c r="C603" i="10" s="1"/>
  <c r="C619" i="10" a="1"/>
  <c r="C619" i="10" s="1"/>
  <c r="C635" i="10" a="1"/>
  <c r="C635" i="10" s="1"/>
  <c r="C651" i="10" a="1"/>
  <c r="C651" i="10" s="1"/>
  <c r="C667" i="10" a="1"/>
  <c r="C667" i="10" s="1"/>
  <c r="C683" i="10" a="1"/>
  <c r="C683" i="10" s="1"/>
  <c r="C699" i="10" a="1"/>
  <c r="C699" i="10" s="1"/>
  <c r="C715" i="10" a="1"/>
  <c r="C715" i="10" s="1"/>
  <c r="C723" i="10" a="1"/>
  <c r="C723" i="10" s="1"/>
  <c r="C739" i="10" a="1"/>
  <c r="C739" i="10" s="1"/>
  <c r="C755" i="10" a="1"/>
  <c r="C755" i="10" s="1"/>
  <c r="C771" i="10" a="1"/>
  <c r="C771" i="10" s="1"/>
  <c r="C787" i="10" a="1"/>
  <c r="C787" i="10" s="1"/>
  <c r="C472" i="10" a="1"/>
  <c r="C472" i="10" s="1"/>
  <c r="C488" i="10" a="1"/>
  <c r="C488" i="10" s="1"/>
  <c r="C504" i="10" a="1"/>
  <c r="C504" i="10" s="1"/>
  <c r="C520" i="10" a="1"/>
  <c r="C520" i="10" s="1"/>
  <c r="C536" i="10" a="1"/>
  <c r="C536" i="10" s="1"/>
  <c r="C552" i="10" a="1"/>
  <c r="C552" i="10" s="1"/>
  <c r="C568" i="10" a="1"/>
  <c r="C568" i="10" s="1"/>
  <c r="C584" i="10" a="1"/>
  <c r="C584" i="10" s="1"/>
  <c r="C600" i="10" a="1"/>
  <c r="C600" i="10" s="1"/>
  <c r="C616" i="10" a="1"/>
  <c r="C616" i="10" s="1"/>
  <c r="C632" i="10" a="1"/>
  <c r="C632" i="10" s="1"/>
  <c r="C648" i="10" a="1"/>
  <c r="C648" i="10" s="1"/>
  <c r="C664" i="10" a="1"/>
  <c r="C664" i="10" s="1"/>
  <c r="C680" i="10" a="1"/>
  <c r="C680" i="10" s="1"/>
  <c r="C696" i="10" a="1"/>
  <c r="C696" i="10" s="1"/>
  <c r="C712" i="10" a="1"/>
  <c r="C712" i="10" s="1"/>
  <c r="C728" i="10" a="1"/>
  <c r="C728" i="10" s="1"/>
  <c r="C744" i="10" a="1"/>
  <c r="C744" i="10" s="1"/>
  <c r="C760" i="10" a="1"/>
  <c r="C760" i="10" s="1"/>
  <c r="C776" i="10" a="1"/>
  <c r="C776" i="10" s="1"/>
  <c r="C792" i="10" a="1"/>
  <c r="C792" i="10" s="1"/>
  <c r="C808" i="10" a="1"/>
  <c r="C808" i="10" s="1"/>
  <c r="C485" i="10" a="1"/>
  <c r="C485" i="10" s="1"/>
  <c r="C501" i="10" a="1"/>
  <c r="C501" i="10" s="1"/>
  <c r="C517" i="10" a="1"/>
  <c r="C517" i="10" s="1"/>
  <c r="C533" i="10" a="1"/>
  <c r="C533" i="10" s="1"/>
  <c r="C549" i="10" a="1"/>
  <c r="C549" i="10" s="1"/>
  <c r="C565" i="10" a="1"/>
  <c r="C565" i="10" s="1"/>
  <c r="C581" i="10" a="1"/>
  <c r="C581" i="10" s="1"/>
  <c r="C597" i="10" a="1"/>
  <c r="C597" i="10" s="1"/>
  <c r="C613" i="10" a="1"/>
  <c r="C613" i="10" s="1"/>
  <c r="C629" i="10" a="1"/>
  <c r="C629" i="10" s="1"/>
  <c r="C645" i="10" a="1"/>
  <c r="C645" i="10" s="1"/>
  <c r="C661" i="10" a="1"/>
  <c r="C661" i="10" s="1"/>
  <c r="C677" i="10" a="1"/>
  <c r="C677" i="10" s="1"/>
  <c r="C693" i="10" a="1"/>
  <c r="C693" i="10" s="1"/>
  <c r="C709" i="10" a="1"/>
  <c r="C709" i="10" s="1"/>
  <c r="C725" i="10" a="1"/>
  <c r="C725" i="10" s="1"/>
  <c r="C741" i="10" a="1"/>
  <c r="C741" i="10" s="1"/>
  <c r="C727" i="10" a="1"/>
  <c r="C727" i="10" s="1"/>
  <c r="C743" i="10" a="1"/>
  <c r="C743" i="10" s="1"/>
  <c r="C759" i="10" a="1"/>
  <c r="C759" i="10" s="1"/>
  <c r="C775" i="10" a="1"/>
  <c r="C775" i="10" s="1"/>
  <c r="C791" i="10" a="1"/>
  <c r="C791" i="10" s="1"/>
  <c r="C476" i="10" a="1"/>
  <c r="C476" i="10" s="1"/>
  <c r="C492" i="10" a="1"/>
  <c r="C492" i="10" s="1"/>
  <c r="C508" i="10" a="1"/>
  <c r="C508" i="10" s="1"/>
  <c r="C524" i="10" a="1"/>
  <c r="C524" i="10" s="1"/>
  <c r="C540" i="10" a="1"/>
  <c r="C540" i="10" s="1"/>
  <c r="C556" i="10" a="1"/>
  <c r="C556" i="10" s="1"/>
  <c r="C572" i="10" a="1"/>
  <c r="C572" i="10" s="1"/>
  <c r="C588" i="10" a="1"/>
  <c r="C588" i="10" s="1"/>
  <c r="C604" i="10" a="1"/>
  <c r="C604" i="10" s="1"/>
  <c r="C620" i="10" a="1"/>
  <c r="C620" i="10" s="1"/>
  <c r="C636" i="10" a="1"/>
  <c r="C636" i="10" s="1"/>
  <c r="C652" i="10" a="1"/>
  <c r="C652" i="10" s="1"/>
  <c r="C668" i="10" a="1"/>
  <c r="C668" i="10" s="1"/>
  <c r="C684" i="10" a="1"/>
  <c r="C684" i="10" s="1"/>
  <c r="C700" i="10" a="1"/>
  <c r="C700" i="10" s="1"/>
  <c r="C716" i="10" a="1"/>
  <c r="C716" i="10" s="1"/>
  <c r="C732" i="10" a="1"/>
  <c r="C732" i="10" s="1"/>
  <c r="C748" i="10" a="1"/>
  <c r="C748" i="10" s="1"/>
  <c r="C764" i="10" a="1"/>
  <c r="C764" i="10" s="1"/>
  <c r="C780" i="10" a="1"/>
  <c r="C780" i="10" s="1"/>
  <c r="C796" i="10" a="1"/>
  <c r="C796" i="10" s="1"/>
  <c r="C473" i="10" a="1"/>
  <c r="C473" i="10" s="1"/>
  <c r="C489" i="10" a="1"/>
  <c r="C489" i="10" s="1"/>
  <c r="C505" i="10" a="1"/>
  <c r="C505" i="10" s="1"/>
  <c r="C521" i="10" a="1"/>
  <c r="C521" i="10" s="1"/>
  <c r="C537" i="10" a="1"/>
  <c r="C537" i="10" s="1"/>
  <c r="C553" i="10" a="1"/>
  <c r="C553" i="10" s="1"/>
  <c r="C569" i="10" a="1"/>
  <c r="C569" i="10" s="1"/>
  <c r="C585" i="10" a="1"/>
  <c r="C585" i="10" s="1"/>
  <c r="C601" i="10" a="1"/>
  <c r="C601" i="10" s="1"/>
  <c r="C617" i="10" a="1"/>
  <c r="C617" i="10" s="1"/>
  <c r="C633" i="10" a="1"/>
  <c r="C633" i="10" s="1"/>
  <c r="C649" i="10" a="1"/>
  <c r="C649" i="10" s="1"/>
  <c r="C665" i="10" a="1"/>
  <c r="C665" i="10" s="1"/>
  <c r="C681" i="10" a="1"/>
  <c r="C681" i="10" s="1"/>
  <c r="C697" i="10" a="1"/>
  <c r="C697" i="10" s="1"/>
  <c r="C713" i="10" a="1"/>
  <c r="C713" i="10" s="1"/>
  <c r="C729" i="10" a="1"/>
  <c r="C729" i="10" s="1"/>
  <c r="C745" i="10" a="1"/>
  <c r="C745" i="10" s="1"/>
  <c r="C731" i="10" a="1"/>
  <c r="C731" i="10" s="1"/>
  <c r="C747" i="10" a="1"/>
  <c r="C747" i="10" s="1"/>
  <c r="C763" i="10" a="1"/>
  <c r="C763" i="10" s="1"/>
  <c r="C779" i="10" a="1"/>
  <c r="C779" i="10" s="1"/>
  <c r="C795" i="10" a="1"/>
  <c r="C795" i="10" s="1"/>
  <c r="C480" i="10" a="1"/>
  <c r="C480" i="10" s="1"/>
  <c r="C496" i="10" a="1"/>
  <c r="C496" i="10" s="1"/>
  <c r="C512" i="10" a="1"/>
  <c r="C512" i="10" s="1"/>
  <c r="C528" i="10" a="1"/>
  <c r="C528" i="10" s="1"/>
  <c r="C544" i="10" a="1"/>
  <c r="C544" i="10" s="1"/>
  <c r="C560" i="10" a="1"/>
  <c r="C560" i="10" s="1"/>
  <c r="C576" i="10" a="1"/>
  <c r="C576" i="10" s="1"/>
  <c r="C592" i="10" a="1"/>
  <c r="C592" i="10" s="1"/>
  <c r="C608" i="10" a="1"/>
  <c r="C608" i="10" s="1"/>
  <c r="C624" i="10" a="1"/>
  <c r="C624" i="10" s="1"/>
  <c r="C640" i="10" a="1"/>
  <c r="C640" i="10" s="1"/>
  <c r="C656" i="10" a="1"/>
  <c r="C656" i="10" s="1"/>
  <c r="C672" i="10" a="1"/>
  <c r="C672" i="10" s="1"/>
  <c r="C688" i="10" a="1"/>
  <c r="C688" i="10" s="1"/>
  <c r="C704" i="10" a="1"/>
  <c r="C704" i="10" s="1"/>
  <c r="C720" i="10" a="1"/>
  <c r="C720" i="10" s="1"/>
  <c r="C736" i="10" a="1"/>
  <c r="C736" i="10" s="1"/>
  <c r="C752" i="10" a="1"/>
  <c r="C752" i="10" s="1"/>
  <c r="C768" i="10" a="1"/>
  <c r="C768" i="10" s="1"/>
  <c r="C784" i="10" a="1"/>
  <c r="C784" i="10" s="1"/>
  <c r="C800" i="10" a="1"/>
  <c r="C800" i="10" s="1"/>
  <c r="C477" i="10" a="1"/>
  <c r="C477" i="10" s="1"/>
  <c r="C493" i="10" a="1"/>
  <c r="C493" i="10" s="1"/>
  <c r="C509" i="10" a="1"/>
  <c r="C509" i="10" s="1"/>
  <c r="C525" i="10" a="1"/>
  <c r="C525" i="10" s="1"/>
  <c r="C541" i="10" a="1"/>
  <c r="C541" i="10" s="1"/>
  <c r="C557" i="10" a="1"/>
  <c r="C557" i="10" s="1"/>
  <c r="C573" i="10" a="1"/>
  <c r="C573" i="10" s="1"/>
  <c r="C589" i="10" a="1"/>
  <c r="C589" i="10" s="1"/>
  <c r="C605" i="10" a="1"/>
  <c r="C605" i="10" s="1"/>
  <c r="C621" i="10" a="1"/>
  <c r="C621" i="10" s="1"/>
  <c r="C637" i="10" a="1"/>
  <c r="C637" i="10" s="1"/>
  <c r="C653" i="10" a="1"/>
  <c r="C653" i="10" s="1"/>
  <c r="C669" i="10" a="1"/>
  <c r="C669" i="10" s="1"/>
  <c r="C685" i="10" a="1"/>
  <c r="C685" i="10" s="1"/>
  <c r="C701" i="10" a="1"/>
  <c r="C701" i="10" s="1"/>
  <c r="C717" i="10" a="1"/>
  <c r="C717" i="10" s="1"/>
  <c r="C733" i="10" a="1"/>
  <c r="C733" i="10" s="1"/>
  <c r="C749" i="10" a="1"/>
  <c r="C749" i="10" s="1"/>
  <c r="C735" i="10" a="1"/>
  <c r="C735" i="10" s="1"/>
  <c r="C751" i="10" a="1"/>
  <c r="C751" i="10" s="1"/>
  <c r="C767" i="10" a="1"/>
  <c r="C767" i="10" s="1"/>
  <c r="C783" i="10" a="1"/>
  <c r="C783" i="10" s="1"/>
  <c r="C799" i="10" a="1"/>
  <c r="C799" i="10" s="1"/>
  <c r="C484" i="10" a="1"/>
  <c r="C484" i="10" s="1"/>
  <c r="C500" i="10" a="1"/>
  <c r="C500" i="10" s="1"/>
  <c r="C516" i="10" a="1"/>
  <c r="C516" i="10" s="1"/>
  <c r="C532" i="10" a="1"/>
  <c r="C532" i="10" s="1"/>
  <c r="C548" i="10" a="1"/>
  <c r="C548" i="10" s="1"/>
  <c r="C564" i="10" a="1"/>
  <c r="C564" i="10" s="1"/>
  <c r="C580" i="10" a="1"/>
  <c r="C580" i="10" s="1"/>
  <c r="C596" i="10" a="1"/>
  <c r="C596" i="10" s="1"/>
  <c r="C612" i="10" a="1"/>
  <c r="C612" i="10" s="1"/>
  <c r="C628" i="10" a="1"/>
  <c r="C628" i="10" s="1"/>
  <c r="C644" i="10" a="1"/>
  <c r="C644" i="10" s="1"/>
  <c r="C660" i="10" a="1"/>
  <c r="C660" i="10" s="1"/>
  <c r="C676" i="10" a="1"/>
  <c r="C676" i="10" s="1"/>
  <c r="C692" i="10" a="1"/>
  <c r="C692" i="10" s="1"/>
  <c r="C708" i="10" a="1"/>
  <c r="C708" i="10" s="1"/>
  <c r="C724" i="10" a="1"/>
  <c r="C724" i="10" s="1"/>
  <c r="C740" i="10" a="1"/>
  <c r="C740" i="10" s="1"/>
  <c r="C756" i="10" a="1"/>
  <c r="C756" i="10" s="1"/>
  <c r="C772" i="10" a="1"/>
  <c r="C772" i="10" s="1"/>
  <c r="C788" i="10" a="1"/>
  <c r="C788" i="10" s="1"/>
  <c r="C804" i="10" a="1"/>
  <c r="C804" i="10" s="1"/>
  <c r="C481" i="10" a="1"/>
  <c r="C481" i="10" s="1"/>
  <c r="C497" i="10" a="1"/>
  <c r="C497" i="10" s="1"/>
  <c r="C513" i="10" a="1"/>
  <c r="C513" i="10" s="1"/>
  <c r="C529" i="10" a="1"/>
  <c r="C529" i="10" s="1"/>
  <c r="C545" i="10" a="1"/>
  <c r="C545" i="10" s="1"/>
  <c r="C561" i="10" a="1"/>
  <c r="C561" i="10" s="1"/>
  <c r="C577" i="10" a="1"/>
  <c r="C577" i="10" s="1"/>
  <c r="C593" i="10" a="1"/>
  <c r="C593" i="10" s="1"/>
  <c r="C609" i="10" a="1"/>
  <c r="C609" i="10" s="1"/>
  <c r="C625" i="10" a="1"/>
  <c r="C625" i="10" s="1"/>
  <c r="C641" i="10" a="1"/>
  <c r="C641" i="10" s="1"/>
  <c r="C657" i="10" a="1"/>
  <c r="C657" i="10" s="1"/>
  <c r="C673" i="10" a="1"/>
  <c r="C673" i="10" s="1"/>
  <c r="C689" i="10" a="1"/>
  <c r="C689" i="10" s="1"/>
  <c r="C705" i="10" a="1"/>
  <c r="C705" i="10" s="1"/>
  <c r="C721" i="10" a="1"/>
  <c r="C721" i="10" s="1"/>
  <c r="C737" i="10" a="1"/>
  <c r="C737" i="10" s="1"/>
  <c r="C337" i="10" a="1"/>
  <c r="C337" i="10" s="1"/>
  <c r="C336" i="10" a="1"/>
  <c r="C336" i="10" s="1"/>
  <c r="C340" i="10" a="1"/>
  <c r="C340" i="10" s="1"/>
  <c r="C335" i="10" a="1"/>
  <c r="C335" i="10" s="1"/>
  <c r="C339" i="10" a="1"/>
  <c r="C339" i="10" s="1"/>
  <c r="C338" i="10" a="1"/>
  <c r="C338" i="10" s="1"/>
  <c r="C333" i="10" a="1"/>
  <c r="C333" i="10" s="1"/>
  <c r="C349" i="10" a="1"/>
  <c r="C349" i="10" s="1"/>
  <c r="C332" i="10" a="1"/>
  <c r="C332" i="10" s="1"/>
  <c r="C352" i="10" a="1"/>
  <c r="C352" i="10" s="1"/>
  <c r="C331" i="10" a="1"/>
  <c r="C331" i="10" s="1"/>
  <c r="C351" i="10" a="1"/>
  <c r="C351" i="10" s="1"/>
  <c r="C334" i="10" a="1"/>
  <c r="C334" i="10" s="1"/>
  <c r="C350" i="10" a="1"/>
  <c r="C350" i="10" s="1"/>
  <c r="C329" i="10" a="1"/>
  <c r="C329" i="10" s="1"/>
  <c r="C345" i="10" a="1"/>
  <c r="C345" i="10" s="1"/>
  <c r="C348" i="10" a="1"/>
  <c r="C348" i="10" s="1"/>
  <c r="C347" i="10" a="1"/>
  <c r="C347" i="10" s="1"/>
  <c r="C330" i="10" a="1"/>
  <c r="C330" i="10" s="1"/>
  <c r="C346" i="10" a="1"/>
  <c r="C346" i="10" s="1"/>
  <c r="C341" i="10" a="1"/>
  <c r="C341" i="10" s="1"/>
  <c r="C344" i="10" a="1"/>
  <c r="C344" i="10" s="1"/>
  <c r="C343" i="10" a="1"/>
  <c r="C343" i="10" s="1"/>
  <c r="C342" i="10" a="1"/>
  <c r="C342" i="10" s="1"/>
  <c r="C198" i="10" a="1"/>
  <c r="C198" i="10" s="1"/>
  <c r="C182" i="10" a="1"/>
  <c r="C182" i="10" s="1"/>
  <c r="C166" i="10" a="1"/>
  <c r="C166" i="10" s="1"/>
  <c r="C150" i="10" a="1"/>
  <c r="C150" i="10" s="1"/>
  <c r="C134" i="10" a="1"/>
  <c r="C134" i="10" s="1"/>
  <c r="C118" i="10" a="1"/>
  <c r="C118" i="10" s="1"/>
  <c r="C102" i="10" a="1"/>
  <c r="C102" i="10" s="1"/>
  <c r="C86" i="10" a="1"/>
  <c r="C86" i="10" s="1"/>
  <c r="C197" i="10" a="1"/>
  <c r="C197" i="10" s="1"/>
  <c r="C181" i="10" a="1"/>
  <c r="C181" i="10" s="1"/>
  <c r="C165" i="10" a="1"/>
  <c r="C165" i="10" s="1"/>
  <c r="C149" i="10" a="1"/>
  <c r="C149" i="10" s="1"/>
  <c r="C133" i="10" a="1"/>
  <c r="C133" i="10" s="1"/>
  <c r="C117" i="10" a="1"/>
  <c r="C117" i="10" s="1"/>
  <c r="C101" i="10" a="1"/>
  <c r="C101" i="10" s="1"/>
  <c r="C85" i="10" a="1"/>
  <c r="C85" i="10" s="1"/>
  <c r="C184" i="10" a="1"/>
  <c r="C184" i="10" s="1"/>
  <c r="C168" i="10" a="1"/>
  <c r="C168" i="10" s="1"/>
  <c r="C152" i="10" a="1"/>
  <c r="C152" i="10" s="1"/>
  <c r="C136" i="10" a="1"/>
  <c r="C136" i="10" s="1"/>
  <c r="C120" i="10" a="1"/>
  <c r="C120" i="10" s="1"/>
  <c r="C104" i="10" a="1"/>
  <c r="C104" i="10" s="1"/>
  <c r="C88" i="10" a="1"/>
  <c r="C88" i="10" s="1"/>
  <c r="C199" i="10" a="1"/>
  <c r="C199" i="10" s="1"/>
  <c r="C183" i="10" a="1"/>
  <c r="C183" i="10" s="1"/>
  <c r="C167" i="10" a="1"/>
  <c r="C167" i="10" s="1"/>
  <c r="C151" i="10" a="1"/>
  <c r="C151" i="10" s="1"/>
  <c r="C135" i="10" a="1"/>
  <c r="C135" i="10" s="1"/>
  <c r="C119" i="10" a="1"/>
  <c r="C119" i="10" s="1"/>
  <c r="C103" i="10" a="1"/>
  <c r="C103" i="10" s="1"/>
  <c r="C87" i="10" a="1"/>
  <c r="C87" i="10" s="1"/>
  <c r="C74" i="10" a="1"/>
  <c r="C74" i="10" s="1"/>
  <c r="C58" i="10" a="1"/>
  <c r="C58" i="10" s="1"/>
  <c r="C314" i="10" a="1"/>
  <c r="C314" i="10" s="1"/>
  <c r="C298" i="10" a="1"/>
  <c r="C298" i="10" s="1"/>
  <c r="C282" i="10" a="1"/>
  <c r="C282" i="10" s="1"/>
  <c r="C266" i="10" a="1"/>
  <c r="C266" i="10" s="1"/>
  <c r="C250" i="10" a="1"/>
  <c r="C250" i="10" s="1"/>
  <c r="C234" i="10" a="1"/>
  <c r="C234" i="10" s="1"/>
  <c r="C218" i="10" a="1"/>
  <c r="C218" i="10" s="1"/>
  <c r="C202" i="10" a="1"/>
  <c r="C202" i="10" s="1"/>
  <c r="C81" i="10" a="1"/>
  <c r="C81" i="10" s="1"/>
  <c r="C65" i="10" a="1"/>
  <c r="C65" i="10" s="1"/>
  <c r="C49" i="10" a="1"/>
  <c r="C49" i="10" s="1"/>
  <c r="C321" i="10" a="1"/>
  <c r="C321" i="10" s="1"/>
  <c r="C305" i="10" a="1"/>
  <c r="C305" i="10" s="1"/>
  <c r="C289" i="10" a="1"/>
  <c r="C289" i="10" s="1"/>
  <c r="C273" i="10" a="1"/>
  <c r="C273" i="10" s="1"/>
  <c r="C257" i="10" a="1"/>
  <c r="C257" i="10" s="1"/>
  <c r="C241" i="10" a="1"/>
  <c r="C241" i="10" s="1"/>
  <c r="C225" i="10" a="1"/>
  <c r="C225" i="10" s="1"/>
  <c r="C209" i="10" a="1"/>
  <c r="C209" i="10" s="1"/>
  <c r="C64" i="10" a="1"/>
  <c r="C64" i="10" s="1"/>
  <c r="C48" i="10" a="1"/>
  <c r="C48" i="10" s="1"/>
  <c r="C324" i="10" a="1"/>
  <c r="C324" i="10" s="1"/>
  <c r="C308" i="10" a="1"/>
  <c r="C308" i="10" s="1"/>
  <c r="C292" i="10" a="1"/>
  <c r="C292" i="10" s="1"/>
  <c r="C276" i="10" a="1"/>
  <c r="C276" i="10" s="1"/>
  <c r="C260" i="10" a="1"/>
  <c r="C260" i="10" s="1"/>
  <c r="C244" i="10" a="1"/>
  <c r="C244" i="10" s="1"/>
  <c r="C228" i="10" a="1"/>
  <c r="C228" i="10" s="1"/>
  <c r="C212" i="10" a="1"/>
  <c r="C212" i="10" s="1"/>
  <c r="C71" i="10" a="1"/>
  <c r="C71" i="10" s="1"/>
  <c r="C55" i="10" a="1"/>
  <c r="C55" i="10" s="1"/>
  <c r="C327" i="10" a="1"/>
  <c r="C327" i="10" s="1"/>
  <c r="C311" i="10" a="1"/>
  <c r="C311" i="10" s="1"/>
  <c r="C295" i="10" a="1"/>
  <c r="C295" i="10" s="1"/>
  <c r="C279" i="10" a="1"/>
  <c r="C279" i="10" s="1"/>
  <c r="C263" i="10" a="1"/>
  <c r="C263" i="10" s="1"/>
  <c r="C247" i="10" a="1"/>
  <c r="C247" i="10" s="1"/>
  <c r="C231" i="10" a="1"/>
  <c r="C231" i="10" s="1"/>
  <c r="C215" i="10" a="1"/>
  <c r="C215" i="10" s="1"/>
  <c r="C194" i="10" a="1"/>
  <c r="C194" i="10" s="1"/>
  <c r="C178" i="10" a="1"/>
  <c r="C178" i="10" s="1"/>
  <c r="C162" i="10" a="1"/>
  <c r="C162" i="10" s="1"/>
  <c r="C146" i="10" a="1"/>
  <c r="C146" i="10" s="1"/>
  <c r="C130" i="10" a="1"/>
  <c r="C130" i="10" s="1"/>
  <c r="C114" i="10" a="1"/>
  <c r="C114" i="10" s="1"/>
  <c r="C98" i="10" a="1"/>
  <c r="C98" i="10" s="1"/>
  <c r="C82" i="10" a="1"/>
  <c r="C82" i="10" s="1"/>
  <c r="C193" i="10" a="1"/>
  <c r="C193" i="10" s="1"/>
  <c r="C177" i="10" a="1"/>
  <c r="C177" i="10" s="1"/>
  <c r="C161" i="10" a="1"/>
  <c r="C161" i="10" s="1"/>
  <c r="C145" i="10" a="1"/>
  <c r="C145" i="10" s="1"/>
  <c r="C129" i="10" a="1"/>
  <c r="C129" i="10" s="1"/>
  <c r="C113" i="10" a="1"/>
  <c r="C113" i="10" s="1"/>
  <c r="C97" i="10" a="1"/>
  <c r="C97" i="10" s="1"/>
  <c r="C196" i="10" a="1"/>
  <c r="C196" i="10" s="1"/>
  <c r="C180" i="10" a="1"/>
  <c r="C180" i="10" s="1"/>
  <c r="C164" i="10" a="1"/>
  <c r="C164" i="10" s="1"/>
  <c r="C148" i="10" a="1"/>
  <c r="C148" i="10" s="1"/>
  <c r="C132" i="10" a="1"/>
  <c r="C132" i="10" s="1"/>
  <c r="C116" i="10" a="1"/>
  <c r="C116" i="10" s="1"/>
  <c r="C84" i="10" a="1"/>
  <c r="C84" i="10" s="1"/>
  <c r="C195" i="10" a="1"/>
  <c r="C195" i="10" s="1"/>
  <c r="C179" i="10" a="1"/>
  <c r="C179" i="10" s="1"/>
  <c r="C163" i="10" a="1"/>
  <c r="C163" i="10" s="1"/>
  <c r="C147" i="10" a="1"/>
  <c r="C147" i="10" s="1"/>
  <c r="C131" i="10" a="1"/>
  <c r="C131" i="10" s="1"/>
  <c r="C115" i="10" a="1"/>
  <c r="C115" i="10" s="1"/>
  <c r="C99" i="10" a="1"/>
  <c r="C99" i="10" s="1"/>
  <c r="C83" i="10" a="1"/>
  <c r="C83" i="10" s="1"/>
  <c r="C70" i="10" a="1"/>
  <c r="C70" i="10" s="1"/>
  <c r="C54" i="10" a="1"/>
  <c r="C54" i="10" s="1"/>
  <c r="C326" i="10" a="1"/>
  <c r="C326" i="10" s="1"/>
  <c r="C310" i="10" a="1"/>
  <c r="C310" i="10" s="1"/>
  <c r="C294" i="10" a="1"/>
  <c r="C294" i="10" s="1"/>
  <c r="C278" i="10" a="1"/>
  <c r="C278" i="10" s="1"/>
  <c r="C262" i="10" a="1"/>
  <c r="C262" i="10" s="1"/>
  <c r="C246" i="10" a="1"/>
  <c r="C246" i="10" s="1"/>
  <c r="C230" i="10" a="1"/>
  <c r="C230" i="10" s="1"/>
  <c r="C214" i="10" a="1"/>
  <c r="C214" i="10" s="1"/>
  <c r="B309" i="10" a="1"/>
  <c r="B309" i="10" s="1"/>
  <c r="C77" i="10" a="1"/>
  <c r="C77" i="10" s="1"/>
  <c r="C61" i="10" a="1"/>
  <c r="C61" i="10" s="1"/>
  <c r="C317" i="10" a="1"/>
  <c r="C317" i="10" s="1"/>
  <c r="C301" i="10" a="1"/>
  <c r="C301" i="10" s="1"/>
  <c r="C285" i="10" a="1"/>
  <c r="C285" i="10" s="1"/>
  <c r="C269" i="10" a="1"/>
  <c r="C269" i="10" s="1"/>
  <c r="C253" i="10" a="1"/>
  <c r="C253" i="10" s="1"/>
  <c r="C237" i="10" a="1"/>
  <c r="C237" i="10" s="1"/>
  <c r="C221" i="10" a="1"/>
  <c r="C221" i="10" s="1"/>
  <c r="C205" i="10" a="1"/>
  <c r="C205" i="10" s="1"/>
  <c r="C60" i="10" a="1"/>
  <c r="C60" i="10" s="1"/>
  <c r="C320" i="10" a="1"/>
  <c r="C320" i="10" s="1"/>
  <c r="C304" i="10" a="1"/>
  <c r="C304" i="10" s="1"/>
  <c r="C288" i="10" a="1"/>
  <c r="C288" i="10" s="1"/>
  <c r="C272" i="10" a="1"/>
  <c r="C272" i="10" s="1"/>
  <c r="C256" i="10" a="1"/>
  <c r="C256" i="10" s="1"/>
  <c r="C240" i="10" a="1"/>
  <c r="C240" i="10" s="1"/>
  <c r="C224" i="10" a="1"/>
  <c r="C224" i="10" s="1"/>
  <c r="C208" i="10" a="1"/>
  <c r="C208" i="10" s="1"/>
  <c r="C67" i="10" a="1"/>
  <c r="C67" i="10" s="1"/>
  <c r="C51" i="10" a="1"/>
  <c r="C51" i="10" s="1"/>
  <c r="C323" i="10" a="1"/>
  <c r="C323" i="10" s="1"/>
  <c r="C307" i="10" a="1"/>
  <c r="C307" i="10" s="1"/>
  <c r="C291" i="10" a="1"/>
  <c r="C291" i="10" s="1"/>
  <c r="C275" i="10" a="1"/>
  <c r="C275" i="10" s="1"/>
  <c r="C259" i="10" a="1"/>
  <c r="C259" i="10" s="1"/>
  <c r="C243" i="10" a="1"/>
  <c r="C243" i="10" s="1"/>
  <c r="C227" i="10" a="1"/>
  <c r="C227" i="10" s="1"/>
  <c r="C211" i="10" a="1"/>
  <c r="C211" i="10" s="1"/>
  <c r="C190" i="10" a="1"/>
  <c r="C190" i="10" s="1"/>
  <c r="C174" i="10" a="1"/>
  <c r="C174" i="10" s="1"/>
  <c r="C158" i="10" a="1"/>
  <c r="C158" i="10" s="1"/>
  <c r="C142" i="10" a="1"/>
  <c r="C142" i="10" s="1"/>
  <c r="C126" i="10" a="1"/>
  <c r="C126" i="10" s="1"/>
  <c r="C110" i="10" a="1"/>
  <c r="C110" i="10" s="1"/>
  <c r="C94" i="10" a="1"/>
  <c r="C94" i="10" s="1"/>
  <c r="C200" i="10" a="1"/>
  <c r="C200" i="10" s="1"/>
  <c r="C189" i="10" a="1"/>
  <c r="C189" i="10" s="1"/>
  <c r="C173" i="10" a="1"/>
  <c r="C173" i="10" s="1"/>
  <c r="C157" i="10" a="1"/>
  <c r="C157" i="10" s="1"/>
  <c r="C141" i="10" a="1"/>
  <c r="C141" i="10" s="1"/>
  <c r="C125" i="10" a="1"/>
  <c r="C125" i="10" s="1"/>
  <c r="C109" i="10" a="1"/>
  <c r="C109" i="10" s="1"/>
  <c r="C93" i="10" a="1"/>
  <c r="C93" i="10" s="1"/>
  <c r="C192" i="10" a="1"/>
  <c r="C192" i="10" s="1"/>
  <c r="C176" i="10" a="1"/>
  <c r="C176" i="10" s="1"/>
  <c r="C160" i="10" a="1"/>
  <c r="C160" i="10" s="1"/>
  <c r="C144" i="10" a="1"/>
  <c r="C144" i="10" s="1"/>
  <c r="C128" i="10" a="1"/>
  <c r="C128" i="10" s="1"/>
  <c r="C112" i="10" a="1"/>
  <c r="C112" i="10" s="1"/>
  <c r="C96" i="10" a="1"/>
  <c r="C96" i="10" s="1"/>
  <c r="C80" i="10" a="1"/>
  <c r="C80" i="10" s="1"/>
  <c r="C191" i="10" a="1"/>
  <c r="C191" i="10" s="1"/>
  <c r="C175" i="10" a="1"/>
  <c r="C175" i="10" s="1"/>
  <c r="C159" i="10" a="1"/>
  <c r="C159" i="10" s="1"/>
  <c r="C143" i="10" a="1"/>
  <c r="C143" i="10" s="1"/>
  <c r="C127" i="10" a="1"/>
  <c r="C127" i="10" s="1"/>
  <c r="C111" i="10" a="1"/>
  <c r="C111" i="10" s="1"/>
  <c r="C95" i="10" a="1"/>
  <c r="C95" i="10" s="1"/>
  <c r="C79" i="10" a="1"/>
  <c r="C79" i="10" s="1"/>
  <c r="C66" i="10" a="1"/>
  <c r="C66" i="10" s="1"/>
  <c r="C50" i="10" a="1"/>
  <c r="C50" i="10" s="1"/>
  <c r="C322" i="10" a="1"/>
  <c r="C322" i="10" s="1"/>
  <c r="C306" i="10" a="1"/>
  <c r="C306" i="10" s="1"/>
  <c r="C290" i="10" a="1"/>
  <c r="C290" i="10" s="1"/>
  <c r="C274" i="10" a="1"/>
  <c r="C274" i="10" s="1"/>
  <c r="C258" i="10" a="1"/>
  <c r="C258" i="10" s="1"/>
  <c r="C242" i="10" a="1"/>
  <c r="C242" i="10" s="1"/>
  <c r="C226" i="10" a="1"/>
  <c r="C226" i="10" s="1"/>
  <c r="C210" i="10" a="1"/>
  <c r="C210" i="10" s="1"/>
  <c r="C73" i="10" a="1"/>
  <c r="C73" i="10" s="1"/>
  <c r="C57" i="10" a="1"/>
  <c r="C57" i="10" s="1"/>
  <c r="C313" i="10" a="1"/>
  <c r="C313" i="10" s="1"/>
  <c r="C297" i="10" a="1"/>
  <c r="C297" i="10" s="1"/>
  <c r="C281" i="10" a="1"/>
  <c r="C281" i="10" s="1"/>
  <c r="C265" i="10" a="1"/>
  <c r="C265" i="10" s="1"/>
  <c r="C249" i="10" a="1"/>
  <c r="C249" i="10" s="1"/>
  <c r="C233" i="10" a="1"/>
  <c r="C233" i="10" s="1"/>
  <c r="C217" i="10" a="1"/>
  <c r="C217" i="10" s="1"/>
  <c r="C72" i="10" a="1"/>
  <c r="C72" i="10" s="1"/>
  <c r="C56" i="10" a="1"/>
  <c r="C56" i="10" s="1"/>
  <c r="C316" i="10" a="1"/>
  <c r="C316" i="10" s="1"/>
  <c r="C300" i="10" a="1"/>
  <c r="C300" i="10" s="1"/>
  <c r="C284" i="10" a="1"/>
  <c r="C284" i="10" s="1"/>
  <c r="C268" i="10" a="1"/>
  <c r="C268" i="10" s="1"/>
  <c r="C252" i="10" a="1"/>
  <c r="C252" i="10" s="1"/>
  <c r="C236" i="10" a="1"/>
  <c r="C236" i="10" s="1"/>
  <c r="C220" i="10" a="1"/>
  <c r="C220" i="10" s="1"/>
  <c r="C204" i="10" a="1"/>
  <c r="C204" i="10" s="1"/>
  <c r="B283" i="10" a="1"/>
  <c r="B283" i="10" s="1"/>
  <c r="C63" i="10" a="1"/>
  <c r="C63" i="10" s="1"/>
  <c r="C47" i="10" a="1"/>
  <c r="C47" i="10" s="1"/>
  <c r="C319" i="10" a="1"/>
  <c r="C319" i="10" s="1"/>
  <c r="C303" i="10" a="1"/>
  <c r="C303" i="10" s="1"/>
  <c r="C287" i="10" a="1"/>
  <c r="C287" i="10" s="1"/>
  <c r="C271" i="10" a="1"/>
  <c r="C271" i="10" s="1"/>
  <c r="C255" i="10" a="1"/>
  <c r="C255" i="10" s="1"/>
  <c r="C239" i="10" a="1"/>
  <c r="C239" i="10" s="1"/>
  <c r="C223" i="10" a="1"/>
  <c r="C223" i="10" s="1"/>
  <c r="C207" i="10" a="1"/>
  <c r="C207" i="10" s="1"/>
  <c r="C186" i="10" a="1"/>
  <c r="C186" i="10" s="1"/>
  <c r="C170" i="10" a="1"/>
  <c r="C170" i="10" s="1"/>
  <c r="C154" i="10" a="1"/>
  <c r="C154" i="10" s="1"/>
  <c r="C138" i="10" a="1"/>
  <c r="C138" i="10" s="1"/>
  <c r="C122" i="10" a="1"/>
  <c r="C122" i="10" s="1"/>
  <c r="C106" i="10" a="1"/>
  <c r="C106" i="10" s="1"/>
  <c r="C90" i="10" a="1"/>
  <c r="C90" i="10" s="1"/>
  <c r="C201" i="10" a="1"/>
  <c r="C201" i="10" s="1"/>
  <c r="C185" i="10" a="1"/>
  <c r="C185" i="10" s="1"/>
  <c r="C169" i="10" a="1"/>
  <c r="C169" i="10" s="1"/>
  <c r="C153" i="10" a="1"/>
  <c r="C153" i="10" s="1"/>
  <c r="C137" i="10" a="1"/>
  <c r="C137" i="10" s="1"/>
  <c r="C121" i="10" a="1"/>
  <c r="C121" i="10" s="1"/>
  <c r="C105" i="10" a="1"/>
  <c r="C105" i="10" s="1"/>
  <c r="C89" i="10" a="1"/>
  <c r="C89" i="10" s="1"/>
  <c r="C188" i="10" a="1"/>
  <c r="C188" i="10" s="1"/>
  <c r="C172" i="10" a="1"/>
  <c r="C172" i="10" s="1"/>
  <c r="C156" i="10" a="1"/>
  <c r="C156" i="10" s="1"/>
  <c r="C140" i="10" a="1"/>
  <c r="C140" i="10" s="1"/>
  <c r="C124" i="10" a="1"/>
  <c r="C124" i="10" s="1"/>
  <c r="C108" i="10" a="1"/>
  <c r="C108" i="10" s="1"/>
  <c r="C92" i="10" a="1"/>
  <c r="C92" i="10" s="1"/>
  <c r="C76" i="10" a="1"/>
  <c r="C76" i="10" s="1"/>
  <c r="C187" i="10" a="1"/>
  <c r="C187" i="10" s="1"/>
  <c r="C171" i="10" a="1"/>
  <c r="C171" i="10" s="1"/>
  <c r="C155" i="10" a="1"/>
  <c r="C155" i="10" s="1"/>
  <c r="C139" i="10" a="1"/>
  <c r="C139" i="10" s="1"/>
  <c r="C123" i="10" a="1"/>
  <c r="C123" i="10" s="1"/>
  <c r="C107" i="10" a="1"/>
  <c r="C107" i="10" s="1"/>
  <c r="C91" i="10" a="1"/>
  <c r="C91" i="10" s="1"/>
  <c r="C78" i="10" a="1"/>
  <c r="C78" i="10" s="1"/>
  <c r="C62" i="10" a="1"/>
  <c r="C62" i="10" s="1"/>
  <c r="C318" i="10" a="1"/>
  <c r="C318" i="10" s="1"/>
  <c r="C302" i="10" a="1"/>
  <c r="C302" i="10" s="1"/>
  <c r="C286" i="10" a="1"/>
  <c r="C286" i="10" s="1"/>
  <c r="C270" i="10" a="1"/>
  <c r="C270" i="10" s="1"/>
  <c r="C254" i="10" a="1"/>
  <c r="C254" i="10" s="1"/>
  <c r="C238" i="10" a="1"/>
  <c r="C238" i="10" s="1"/>
  <c r="C222" i="10" a="1"/>
  <c r="C222" i="10" s="1"/>
  <c r="C206" i="10" a="1"/>
  <c r="C206" i="10" s="1"/>
  <c r="C69" i="10" a="1"/>
  <c r="C69" i="10" s="1"/>
  <c r="C53" i="10" a="1"/>
  <c r="C53" i="10" s="1"/>
  <c r="C325" i="10" a="1"/>
  <c r="C325" i="10" s="1"/>
  <c r="C309" i="10" a="1"/>
  <c r="C309" i="10" s="1"/>
  <c r="C293" i="10" a="1"/>
  <c r="C293" i="10" s="1"/>
  <c r="C277" i="10" a="1"/>
  <c r="C277" i="10" s="1"/>
  <c r="C261" i="10" a="1"/>
  <c r="C261" i="10" s="1"/>
  <c r="C245" i="10" a="1"/>
  <c r="C245" i="10" s="1"/>
  <c r="C229" i="10" a="1"/>
  <c r="C229" i="10" s="1"/>
  <c r="C213" i="10" a="1"/>
  <c r="C213" i="10" s="1"/>
  <c r="C68" i="10" a="1"/>
  <c r="C68" i="10" s="1"/>
  <c r="C52" i="10" a="1"/>
  <c r="C52" i="10" s="1"/>
  <c r="C328" i="10" a="1"/>
  <c r="C328" i="10" s="1"/>
  <c r="C312" i="10" a="1"/>
  <c r="C312" i="10" s="1"/>
  <c r="C296" i="10" a="1"/>
  <c r="C296" i="10" s="1"/>
  <c r="C280" i="10" a="1"/>
  <c r="C280" i="10" s="1"/>
  <c r="C264" i="10" a="1"/>
  <c r="C264" i="10" s="1"/>
  <c r="C248" i="10" a="1"/>
  <c r="C248" i="10" s="1"/>
  <c r="C232" i="10" a="1"/>
  <c r="C232" i="10" s="1"/>
  <c r="C216" i="10" a="1"/>
  <c r="C216" i="10" s="1"/>
  <c r="C75" i="10" a="1"/>
  <c r="C75" i="10" s="1"/>
  <c r="C59" i="10" a="1"/>
  <c r="C59" i="10" s="1"/>
  <c r="C315" i="10" a="1"/>
  <c r="C315" i="10" s="1"/>
  <c r="C299" i="10" a="1"/>
  <c r="C299" i="10" s="1"/>
  <c r="C283" i="10" a="1"/>
  <c r="C283" i="10" s="1"/>
  <c r="C267" i="10" a="1"/>
  <c r="C267" i="10" s="1"/>
  <c r="C251" i="10" a="1"/>
  <c r="C251" i="10" s="1"/>
  <c r="C235" i="10" a="1"/>
  <c r="C235" i="10" s="1"/>
  <c r="C219" i="10" a="1"/>
  <c r="C219" i="10" s="1"/>
  <c r="C203" i="10" a="1"/>
  <c r="C203" i="10" s="1"/>
  <c r="B459" i="10" l="1" a="1"/>
  <c r="B459" i="10" s="1"/>
  <c r="A15" i="14"/>
  <c r="A18" i="14"/>
  <c r="A7" i="14" l="1"/>
  <c r="A6" i="14"/>
  <c r="B563" i="10" a="1"/>
  <c r="B563" i="10" s="1"/>
  <c r="B583" i="10" a="1"/>
  <c r="B583" i="10" s="1"/>
  <c r="B466" i="10" a="1"/>
  <c r="B466" i="10" s="1"/>
  <c r="A28" i="14"/>
  <c r="A97" i="14"/>
  <c r="A57" i="14"/>
  <c r="A75" i="14"/>
  <c r="Y46" i="10" s="1" a="1"/>
  <c r="Y46" i="10" s="1"/>
  <c r="A47" i="14"/>
  <c r="A35" i="14"/>
  <c r="A96" i="14"/>
  <c r="A80" i="14"/>
  <c r="A64" i="14"/>
  <c r="Y35" i="10" s="1" a="1"/>
  <c r="Y35" i="10" s="1"/>
  <c r="A60" i="14"/>
  <c r="A9" i="14"/>
  <c r="A17" i="14"/>
  <c r="A72" i="14"/>
  <c r="Y43" i="10" s="1" a="1"/>
  <c r="Y43" i="10" s="1"/>
  <c r="A26" i="14"/>
  <c r="A41" i="14"/>
  <c r="A54" i="14"/>
  <c r="A55" i="14"/>
  <c r="A56" i="14"/>
  <c r="A40" i="14"/>
  <c r="A66" i="14"/>
  <c r="Y37" i="10" s="1" a="1"/>
  <c r="Y37" i="10" s="1"/>
  <c r="A31" i="14"/>
  <c r="A8" i="14"/>
  <c r="A33" i="14"/>
  <c r="A34" i="14"/>
  <c r="A30" i="14"/>
  <c r="A32" i="14"/>
  <c r="A13" i="14"/>
  <c r="Y51" i="10" l="1" a="1"/>
  <c r="Y51" i="10" s="1"/>
  <c r="Y66" i="10" a="1"/>
  <c r="Y66" i="10" s="1"/>
  <c r="A2" i="8"/>
  <c r="A3" i="8"/>
  <c r="A4" i="8"/>
  <c r="A5" i="8"/>
  <c r="A7" i="8"/>
  <c r="A6" i="8"/>
  <c r="A8" i="8"/>
  <c r="A21" i="8"/>
  <c r="A17" i="8"/>
  <c r="A20" i="8"/>
  <c r="A18" i="8"/>
  <c r="A19" i="8"/>
  <c r="A12" i="8"/>
  <c r="A13" i="8"/>
  <c r="A14" i="8"/>
  <c r="A15" i="8"/>
  <c r="A16" i="8"/>
  <c r="A10" i="8"/>
  <c r="A11" i="8"/>
  <c r="A9" i="8"/>
  <c r="B16" i="4" l="1"/>
  <c r="O16" i="4"/>
  <c r="T36" i="10"/>
  <c r="T40" i="10"/>
  <c r="T44" i="10"/>
  <c r="T33" i="10"/>
  <c r="S37" i="10"/>
  <c r="S41" i="10"/>
  <c r="S45" i="10"/>
  <c r="R34" i="10"/>
  <c r="R38" i="10"/>
  <c r="R42" i="10"/>
  <c r="R46" i="10"/>
  <c r="T37" i="10"/>
  <c r="T41" i="10"/>
  <c r="T45" i="10"/>
  <c r="S34" i="10"/>
  <c r="S38" i="10"/>
  <c r="S42" i="10"/>
  <c r="S46" i="10"/>
  <c r="R35" i="10"/>
  <c r="R39" i="10"/>
  <c r="R43" i="10"/>
  <c r="R47" i="10"/>
  <c r="T34" i="10"/>
  <c r="T38" i="10"/>
  <c r="T42" i="10"/>
  <c r="T46" i="10"/>
  <c r="S35" i="10"/>
  <c r="S39" i="10"/>
  <c r="S43" i="10"/>
  <c r="S47" i="10"/>
  <c r="R36" i="10"/>
  <c r="R40" i="10"/>
  <c r="R44" i="10"/>
  <c r="R33" i="10"/>
  <c r="T43" i="10"/>
  <c r="S44" i="10"/>
  <c r="R45" i="10"/>
  <c r="T47" i="10"/>
  <c r="S33" i="10"/>
  <c r="T39" i="10"/>
  <c r="S40" i="10"/>
  <c r="R41" i="10"/>
  <c r="R37" i="10"/>
  <c r="T35" i="10"/>
  <c r="S36" i="10"/>
  <c r="T56" i="10"/>
  <c r="T72" i="10"/>
  <c r="T88" i="10"/>
  <c r="T104" i="10"/>
  <c r="T120" i="10"/>
  <c r="T136" i="10"/>
  <c r="T152" i="10"/>
  <c r="T168" i="10"/>
  <c r="T184" i="10"/>
  <c r="T200" i="10"/>
  <c r="T216" i="10"/>
  <c r="T232" i="10"/>
  <c r="T53" i="10"/>
  <c r="T69" i="10"/>
  <c r="T85" i="10"/>
  <c r="T101" i="10"/>
  <c r="T117" i="10"/>
  <c r="T133" i="10"/>
  <c r="T149" i="10"/>
  <c r="T165" i="10"/>
  <c r="T181" i="10"/>
  <c r="T197" i="10"/>
  <c r="T213" i="10"/>
  <c r="T229" i="10"/>
  <c r="T58" i="10"/>
  <c r="T74" i="10"/>
  <c r="T90" i="10"/>
  <c r="T106" i="10"/>
  <c r="T122" i="10"/>
  <c r="T138" i="10"/>
  <c r="T154" i="10"/>
  <c r="T170" i="10"/>
  <c r="T186" i="10"/>
  <c r="T202" i="10"/>
  <c r="T218" i="10"/>
  <c r="T234" i="10"/>
  <c r="T250" i="10"/>
  <c r="T266" i="10"/>
  <c r="T282" i="10"/>
  <c r="T298" i="10"/>
  <c r="T314" i="10"/>
  <c r="T330" i="10"/>
  <c r="T346" i="10"/>
  <c r="T362" i="10"/>
  <c r="T378" i="10"/>
  <c r="T67" i="10"/>
  <c r="T131" i="10"/>
  <c r="T195" i="10"/>
  <c r="T245" i="10"/>
  <c r="T267" i="10"/>
  <c r="T288" i="10"/>
  <c r="T309" i="10"/>
  <c r="T331" i="10"/>
  <c r="T352" i="10"/>
  <c r="T373" i="10"/>
  <c r="T393" i="10"/>
  <c r="T409" i="10"/>
  <c r="T425" i="10"/>
  <c r="T441" i="10"/>
  <c r="T457" i="10"/>
  <c r="T473" i="10"/>
  <c r="T489" i="10"/>
  <c r="T505" i="10"/>
  <c r="T521" i="10"/>
  <c r="T537" i="10"/>
  <c r="T553" i="10"/>
  <c r="T55" i="10"/>
  <c r="T119" i="10"/>
  <c r="T183" i="10"/>
  <c r="T241" i="10"/>
  <c r="T263" i="10"/>
  <c r="T284" i="10"/>
  <c r="T305" i="10"/>
  <c r="T327" i="10"/>
  <c r="T348" i="10"/>
  <c r="T369" i="10"/>
  <c r="T390" i="10"/>
  <c r="T406" i="10"/>
  <c r="T422" i="10"/>
  <c r="T438" i="10"/>
  <c r="T454" i="10"/>
  <c r="T470" i="10"/>
  <c r="T486" i="10"/>
  <c r="T502" i="10"/>
  <c r="T518" i="10"/>
  <c r="T534" i="10"/>
  <c r="T550" i="10"/>
  <c r="T91" i="10"/>
  <c r="T155" i="10"/>
  <c r="T219" i="10"/>
  <c r="T253" i="10"/>
  <c r="T275" i="10"/>
  <c r="T296" i="10"/>
  <c r="T317" i="10"/>
  <c r="T339" i="10"/>
  <c r="T360" i="10"/>
  <c r="T381" i="10"/>
  <c r="T399" i="10"/>
  <c r="T415" i="10"/>
  <c r="T431" i="10"/>
  <c r="T447" i="10"/>
  <c r="T463" i="10"/>
  <c r="T479" i="10"/>
  <c r="T495" i="10"/>
  <c r="T511" i="10"/>
  <c r="T527" i="10"/>
  <c r="T543" i="10"/>
  <c r="T559" i="10"/>
  <c r="T575" i="10"/>
  <c r="T591" i="10"/>
  <c r="T607" i="10"/>
  <c r="T623" i="10"/>
  <c r="T639" i="10"/>
  <c r="T655" i="10"/>
  <c r="T671" i="10"/>
  <c r="T687" i="10"/>
  <c r="T703" i="10"/>
  <c r="T719" i="10"/>
  <c r="T735" i="10"/>
  <c r="T751" i="10"/>
  <c r="T767" i="10"/>
  <c r="T783" i="10"/>
  <c r="T799" i="10"/>
  <c r="T815" i="10"/>
  <c r="T191" i="10"/>
  <c r="T308" i="10"/>
  <c r="T392" i="10"/>
  <c r="T456" i="10"/>
  <c r="T520" i="10"/>
  <c r="T569" i="10"/>
  <c r="T590" i="10"/>
  <c r="T612" i="10"/>
  <c r="T633" i="10"/>
  <c r="T654" i="10"/>
  <c r="T143" i="10"/>
  <c r="T292" i="10"/>
  <c r="T377" i="10"/>
  <c r="T444" i="10"/>
  <c r="T508" i="10"/>
  <c r="T564" i="10"/>
  <c r="T586" i="10"/>
  <c r="T608" i="10"/>
  <c r="T629" i="10"/>
  <c r="T650" i="10"/>
  <c r="T672" i="10"/>
  <c r="T693" i="10"/>
  <c r="T714" i="10"/>
  <c r="T736" i="10"/>
  <c r="T757" i="10"/>
  <c r="T778" i="10"/>
  <c r="T800" i="10"/>
  <c r="T821" i="10"/>
  <c r="T837" i="10"/>
  <c r="T853" i="10"/>
  <c r="S51" i="10"/>
  <c r="T95" i="10"/>
  <c r="T276" i="10"/>
  <c r="T361" i="10"/>
  <c r="T432" i="10"/>
  <c r="T496" i="10"/>
  <c r="T558" i="10"/>
  <c r="T582" i="10"/>
  <c r="T604" i="10"/>
  <c r="T625" i="10"/>
  <c r="T60" i="10"/>
  <c r="T76" i="10"/>
  <c r="T92" i="10"/>
  <c r="T108" i="10"/>
  <c r="T124" i="10"/>
  <c r="T140" i="10"/>
  <c r="T156" i="10"/>
  <c r="T172" i="10"/>
  <c r="T188" i="10"/>
  <c r="T204" i="10"/>
  <c r="T220" i="10"/>
  <c r="T236" i="10"/>
  <c r="T57" i="10"/>
  <c r="T73" i="10"/>
  <c r="T89" i="10"/>
  <c r="T105" i="10"/>
  <c r="T121" i="10"/>
  <c r="T137" i="10"/>
  <c r="T153" i="10"/>
  <c r="T169" i="10"/>
  <c r="T185" i="10"/>
  <c r="T201" i="10"/>
  <c r="T217" i="10"/>
  <c r="T233" i="10"/>
  <c r="T62" i="10"/>
  <c r="T78" i="10"/>
  <c r="T94" i="10"/>
  <c r="T110" i="10"/>
  <c r="T126" i="10"/>
  <c r="T142" i="10"/>
  <c r="T158" i="10"/>
  <c r="T174" i="10"/>
  <c r="T190" i="10"/>
  <c r="T206" i="10"/>
  <c r="T222" i="10"/>
  <c r="T238" i="10"/>
  <c r="T254" i="10"/>
  <c r="T270" i="10"/>
  <c r="T286" i="10"/>
  <c r="T302" i="10"/>
  <c r="T318" i="10"/>
  <c r="T334" i="10"/>
  <c r="T350" i="10"/>
  <c r="T366" i="10"/>
  <c r="T382" i="10"/>
  <c r="T83" i="10"/>
  <c r="T147" i="10"/>
  <c r="T211" i="10"/>
  <c r="T251" i="10"/>
  <c r="T272" i="10"/>
  <c r="T293" i="10"/>
  <c r="T315" i="10"/>
  <c r="T336" i="10"/>
  <c r="T357" i="10"/>
  <c r="T379" i="10"/>
  <c r="T397" i="10"/>
  <c r="T413" i="10"/>
  <c r="T429" i="10"/>
  <c r="T445" i="10"/>
  <c r="T461" i="10"/>
  <c r="T477" i="10"/>
  <c r="T493" i="10"/>
  <c r="T509" i="10"/>
  <c r="T525" i="10"/>
  <c r="T541" i="10"/>
  <c r="T557" i="10"/>
  <c r="T71" i="10"/>
  <c r="T135" i="10"/>
  <c r="T199" i="10"/>
  <c r="T247" i="10"/>
  <c r="T268" i="10"/>
  <c r="T289" i="10"/>
  <c r="T311" i="10"/>
  <c r="T332" i="10"/>
  <c r="T353" i="10"/>
  <c r="T375" i="10"/>
  <c r="T394" i="10"/>
  <c r="T410" i="10"/>
  <c r="T426" i="10"/>
  <c r="T442" i="10"/>
  <c r="T458" i="10"/>
  <c r="T474" i="10"/>
  <c r="T490" i="10"/>
  <c r="T506" i="10"/>
  <c r="T522" i="10"/>
  <c r="T538" i="10"/>
  <c r="T554" i="10"/>
  <c r="T107" i="10"/>
  <c r="T171" i="10"/>
  <c r="T235" i="10"/>
  <c r="T259" i="10"/>
  <c r="T280" i="10"/>
  <c r="T301" i="10"/>
  <c r="T323" i="10"/>
  <c r="T344" i="10"/>
  <c r="T365" i="10"/>
  <c r="T387" i="10"/>
  <c r="T403" i="10"/>
  <c r="T419" i="10"/>
  <c r="T435" i="10"/>
  <c r="T451" i="10"/>
  <c r="T467" i="10"/>
  <c r="T483" i="10"/>
  <c r="T499" i="10"/>
  <c r="T515" i="10"/>
  <c r="T531" i="10"/>
  <c r="T547" i="10"/>
  <c r="T563" i="10"/>
  <c r="T579" i="10"/>
  <c r="T595" i="10"/>
  <c r="T611" i="10"/>
  <c r="T627" i="10"/>
  <c r="T643" i="10"/>
  <c r="T659" i="10"/>
  <c r="T675" i="10"/>
  <c r="T691" i="10"/>
  <c r="T707" i="10"/>
  <c r="T723" i="10"/>
  <c r="T739" i="10"/>
  <c r="T755" i="10"/>
  <c r="T771" i="10"/>
  <c r="T787" i="10"/>
  <c r="T803" i="10"/>
  <c r="T819" i="10"/>
  <c r="T244" i="10"/>
  <c r="T329" i="10"/>
  <c r="T408" i="10"/>
  <c r="T472" i="10"/>
  <c r="T536" i="10"/>
  <c r="T574" i="10"/>
  <c r="T596" i="10"/>
  <c r="T617" i="10"/>
  <c r="T638" i="10"/>
  <c r="T660" i="10"/>
  <c r="T207" i="10"/>
  <c r="T313" i="10"/>
  <c r="T396" i="10"/>
  <c r="T460" i="10"/>
  <c r="T524" i="10"/>
  <c r="T570" i="10"/>
  <c r="T592" i="10"/>
  <c r="T613" i="10"/>
  <c r="T634" i="10"/>
  <c r="T656" i="10"/>
  <c r="T677" i="10"/>
  <c r="T698" i="10"/>
  <c r="T720" i="10"/>
  <c r="T741" i="10"/>
  <c r="T762" i="10"/>
  <c r="T784" i="10"/>
  <c r="T805" i="10"/>
  <c r="T825" i="10"/>
  <c r="T841" i="10"/>
  <c r="T857" i="10"/>
  <c r="S55" i="10"/>
  <c r="T159" i="10"/>
  <c r="T297" i="10"/>
  <c r="T383" i="10"/>
  <c r="T448" i="10"/>
  <c r="T512" i="10"/>
  <c r="T566" i="10"/>
  <c r="T588" i="10"/>
  <c r="T609" i="10"/>
  <c r="T630" i="10"/>
  <c r="T281" i="10"/>
  <c r="T560" i="10"/>
  <c r="T646" i="10"/>
  <c r="T681" i="10"/>
  <c r="T710" i="10"/>
  <c r="T738" i="10"/>
  <c r="T766" i="10"/>
  <c r="T796" i="10"/>
  <c r="T823" i="10"/>
  <c r="T844" i="10"/>
  <c r="T866" i="10"/>
  <c r="S64" i="10"/>
  <c r="S80" i="10"/>
  <c r="S96" i="10"/>
  <c r="S112" i="10"/>
  <c r="S128" i="10"/>
  <c r="S144" i="10"/>
  <c r="S160" i="10"/>
  <c r="S176" i="10"/>
  <c r="S192" i="10"/>
  <c r="S208" i="10"/>
  <c r="S224" i="10"/>
  <c r="S240" i="10"/>
  <c r="S256" i="10"/>
  <c r="S272" i="10"/>
  <c r="T303" i="10"/>
  <c r="T568" i="10"/>
  <c r="T648" i="10"/>
  <c r="T684" i="10"/>
  <c r="T712" i="10"/>
  <c r="T740" i="10"/>
  <c r="T769" i="10"/>
  <c r="T797" i="10"/>
  <c r="T824" i="10"/>
  <c r="T846" i="10"/>
  <c r="S49" i="10"/>
  <c r="S69" i="10"/>
  <c r="S85" i="10"/>
  <c r="S101" i="10"/>
  <c r="S117" i="10"/>
  <c r="S133" i="10"/>
  <c r="S149" i="10"/>
  <c r="S165" i="10"/>
  <c r="T52" i="10"/>
  <c r="T68" i="10"/>
  <c r="T84" i="10"/>
  <c r="T100" i="10"/>
  <c r="T116" i="10"/>
  <c r="T132" i="10"/>
  <c r="T148" i="10"/>
  <c r="T164" i="10"/>
  <c r="T180" i="10"/>
  <c r="T196" i="10"/>
  <c r="T212" i="10"/>
  <c r="T228" i="10"/>
  <c r="T49" i="10"/>
  <c r="T65" i="10"/>
  <c r="T81" i="10"/>
  <c r="T97" i="10"/>
  <c r="T113" i="10"/>
  <c r="T129" i="10"/>
  <c r="T145" i="10"/>
  <c r="T161" i="10"/>
  <c r="T177" i="10"/>
  <c r="T193" i="10"/>
  <c r="T209" i="10"/>
  <c r="T225" i="10"/>
  <c r="T54" i="10"/>
  <c r="T70" i="10"/>
  <c r="T86" i="10"/>
  <c r="T102" i="10"/>
  <c r="T118" i="10"/>
  <c r="T134" i="10"/>
  <c r="T150" i="10"/>
  <c r="T166" i="10"/>
  <c r="T182" i="10"/>
  <c r="T198" i="10"/>
  <c r="T214" i="10"/>
  <c r="T230" i="10"/>
  <c r="T246" i="10"/>
  <c r="T262" i="10"/>
  <c r="T278" i="10"/>
  <c r="T294" i="10"/>
  <c r="T310" i="10"/>
  <c r="T326" i="10"/>
  <c r="T342" i="10"/>
  <c r="T358" i="10"/>
  <c r="T374" i="10"/>
  <c r="T51" i="10"/>
  <c r="T115" i="10"/>
  <c r="T179" i="10"/>
  <c r="T239" i="10"/>
  <c r="T261" i="10"/>
  <c r="T283" i="10"/>
  <c r="T304" i="10"/>
  <c r="T325" i="10"/>
  <c r="T347" i="10"/>
  <c r="T368" i="10"/>
  <c r="T389" i="10"/>
  <c r="T405" i="10"/>
  <c r="T421" i="10"/>
  <c r="T437" i="10"/>
  <c r="T453" i="10"/>
  <c r="T469" i="10"/>
  <c r="T485" i="10"/>
  <c r="T501" i="10"/>
  <c r="T517" i="10"/>
  <c r="T533" i="10"/>
  <c r="T549" i="10"/>
  <c r="T565" i="10"/>
  <c r="T103" i="10"/>
  <c r="T167" i="10"/>
  <c r="T231" i="10"/>
  <c r="T257" i="10"/>
  <c r="T279" i="10"/>
  <c r="T300" i="10"/>
  <c r="T321" i="10"/>
  <c r="T343" i="10"/>
  <c r="T364" i="10"/>
  <c r="T385" i="10"/>
  <c r="T402" i="10"/>
  <c r="T418" i="10"/>
  <c r="T434" i="10"/>
  <c r="T450" i="10"/>
  <c r="T466" i="10"/>
  <c r="T482" i="10"/>
  <c r="T498" i="10"/>
  <c r="T514" i="10"/>
  <c r="T530" i="10"/>
  <c r="T546" i="10"/>
  <c r="T75" i="10"/>
  <c r="T96" i="10"/>
  <c r="T160" i="10"/>
  <c r="T224" i="10"/>
  <c r="T93" i="10"/>
  <c r="T157" i="10"/>
  <c r="T221" i="10"/>
  <c r="T98" i="10"/>
  <c r="T162" i="10"/>
  <c r="T226" i="10"/>
  <c r="T290" i="10"/>
  <c r="T354" i="10"/>
  <c r="T163" i="10"/>
  <c r="T299" i="10"/>
  <c r="T384" i="10"/>
  <c r="T449" i="10"/>
  <c r="T513" i="10"/>
  <c r="T87" i="10"/>
  <c r="T273" i="10"/>
  <c r="T359" i="10"/>
  <c r="T430" i="10"/>
  <c r="T494" i="10"/>
  <c r="T59" i="10"/>
  <c r="T203" i="10"/>
  <c r="T269" i="10"/>
  <c r="T312" i="10"/>
  <c r="T355" i="10"/>
  <c r="T395" i="10"/>
  <c r="T427" i="10"/>
  <c r="T459" i="10"/>
  <c r="T48" i="10"/>
  <c r="T112" i="10"/>
  <c r="T176" i="10"/>
  <c r="T240" i="10"/>
  <c r="T109" i="10"/>
  <c r="T173" i="10"/>
  <c r="T50" i="10"/>
  <c r="T114" i="10"/>
  <c r="T178" i="10"/>
  <c r="T242" i="10"/>
  <c r="T306" i="10"/>
  <c r="T370" i="10"/>
  <c r="T227" i="10"/>
  <c r="T320" i="10"/>
  <c r="T401" i="10"/>
  <c r="T465" i="10"/>
  <c r="T529" i="10"/>
  <c r="T151" i="10"/>
  <c r="T295" i="10"/>
  <c r="T380" i="10"/>
  <c r="T446" i="10"/>
  <c r="T510" i="10"/>
  <c r="T123" i="10"/>
  <c r="T243" i="10"/>
  <c r="T285" i="10"/>
  <c r="T328" i="10"/>
  <c r="T371" i="10"/>
  <c r="T407" i="10"/>
  <c r="T439" i="10"/>
  <c r="T471" i="10"/>
  <c r="T503" i="10"/>
  <c r="T535" i="10"/>
  <c r="T567" i="10"/>
  <c r="T599" i="10"/>
  <c r="T631" i="10"/>
  <c r="T663" i="10"/>
  <c r="T695" i="10"/>
  <c r="T727" i="10"/>
  <c r="T759" i="10"/>
  <c r="T791" i="10"/>
  <c r="T63" i="10"/>
  <c r="T351" i="10"/>
  <c r="T488" i="10"/>
  <c r="T580" i="10"/>
  <c r="T622" i="10"/>
  <c r="T665" i="10"/>
  <c r="T335" i="10"/>
  <c r="T476" i="10"/>
  <c r="T576" i="10"/>
  <c r="T618" i="10"/>
  <c r="T661" i="10"/>
  <c r="T704" i="10"/>
  <c r="T746" i="10"/>
  <c r="T789" i="10"/>
  <c r="T829" i="10"/>
  <c r="T861" i="10"/>
  <c r="T223" i="10"/>
  <c r="T400" i="10"/>
  <c r="T528" i="10"/>
  <c r="T593" i="10"/>
  <c r="T636" i="10"/>
  <c r="T436" i="10"/>
  <c r="T626" i="10"/>
  <c r="T689" i="10"/>
  <c r="T724" i="10"/>
  <c r="T760" i="10"/>
  <c r="T802" i="10"/>
  <c r="T834" i="10"/>
  <c r="T860" i="10"/>
  <c r="S68" i="10"/>
  <c r="S88" i="10"/>
  <c r="S108" i="10"/>
  <c r="S132" i="10"/>
  <c r="S152" i="10"/>
  <c r="S172" i="10"/>
  <c r="S196" i="10"/>
  <c r="S216" i="10"/>
  <c r="S236" i="10"/>
  <c r="S260" i="10"/>
  <c r="S280" i="10"/>
  <c r="T516" i="10"/>
  <c r="T658" i="10"/>
  <c r="T697" i="10"/>
  <c r="T733" i="10"/>
  <c r="T776" i="10"/>
  <c r="T812" i="10"/>
  <c r="T840" i="10"/>
  <c r="S54" i="10"/>
  <c r="S77" i="10"/>
  <c r="S97" i="10"/>
  <c r="S121" i="10"/>
  <c r="S141" i="10"/>
  <c r="S161" i="10"/>
  <c r="S181" i="10"/>
  <c r="S197" i="10"/>
  <c r="S213" i="10"/>
  <c r="S229" i="10"/>
  <c r="S245" i="10"/>
  <c r="S261" i="10"/>
  <c r="S277" i="10"/>
  <c r="S293" i="10"/>
  <c r="S309" i="10"/>
  <c r="S325" i="10"/>
  <c r="S341" i="10"/>
  <c r="S357" i="10"/>
  <c r="S373" i="10"/>
  <c r="S389" i="10"/>
  <c r="S405" i="10"/>
  <c r="S421" i="10"/>
  <c r="S437" i="10"/>
  <c r="S453" i="10"/>
  <c r="S469" i="10"/>
  <c r="S485" i="10"/>
  <c r="S501" i="10"/>
  <c r="S517" i="10"/>
  <c r="S533" i="10"/>
  <c r="S549" i="10"/>
  <c r="S565" i="10"/>
  <c r="T468" i="10"/>
  <c r="T616" i="10"/>
  <c r="T670" i="10"/>
  <c r="T700" i="10"/>
  <c r="T728" i="10"/>
  <c r="T756" i="10"/>
  <c r="T785" i="10"/>
  <c r="T813" i="10"/>
  <c r="T836" i="10"/>
  <c r="T858" i="10"/>
  <c r="S61" i="10"/>
  <c r="S78" i="10"/>
  <c r="S94" i="10"/>
  <c r="S110" i="10"/>
  <c r="S126" i="10"/>
  <c r="S142" i="10"/>
  <c r="S158" i="10"/>
  <c r="S174" i="10"/>
  <c r="S190" i="10"/>
  <c r="S206" i="10"/>
  <c r="S222" i="10"/>
  <c r="S238" i="10"/>
  <c r="S254" i="10"/>
  <c r="S270" i="10"/>
  <c r="T64" i="10"/>
  <c r="T128" i="10"/>
  <c r="T192" i="10"/>
  <c r="T61" i="10"/>
  <c r="T125" i="10"/>
  <c r="T189" i="10"/>
  <c r="T66" i="10"/>
  <c r="T130" i="10"/>
  <c r="T194" i="10"/>
  <c r="T258" i="10"/>
  <c r="T322" i="10"/>
  <c r="T386" i="10"/>
  <c r="T256" i="10"/>
  <c r="T341" i="10"/>
  <c r="T417" i="10"/>
  <c r="T481" i="10"/>
  <c r="T545" i="10"/>
  <c r="T215" i="10"/>
  <c r="T316" i="10"/>
  <c r="T398" i="10"/>
  <c r="T462" i="10"/>
  <c r="T526" i="10"/>
  <c r="T139" i="10"/>
  <c r="T248" i="10"/>
  <c r="T291" i="10"/>
  <c r="T333" i="10"/>
  <c r="T376" i="10"/>
  <c r="T411" i="10"/>
  <c r="T443" i="10"/>
  <c r="T475" i="10"/>
  <c r="T507" i="10"/>
  <c r="T539" i="10"/>
  <c r="T571" i="10"/>
  <c r="T603" i="10"/>
  <c r="T635" i="10"/>
  <c r="T667" i="10"/>
  <c r="T699" i="10"/>
  <c r="T731" i="10"/>
  <c r="T763" i="10"/>
  <c r="T795" i="10"/>
  <c r="T127" i="10"/>
  <c r="T372" i="10"/>
  <c r="T504" i="10"/>
  <c r="T585" i="10"/>
  <c r="T628" i="10"/>
  <c r="T79" i="10"/>
  <c r="T356" i="10"/>
  <c r="T492" i="10"/>
  <c r="T581" i="10"/>
  <c r="T624" i="10"/>
  <c r="T666" i="10"/>
  <c r="T709" i="10"/>
  <c r="T752" i="10"/>
  <c r="T794" i="10"/>
  <c r="T833" i="10"/>
  <c r="T865" i="10"/>
  <c r="T255" i="10"/>
  <c r="T416" i="10"/>
  <c r="T544" i="10"/>
  <c r="T598" i="10"/>
  <c r="T641" i="10"/>
  <c r="T500" i="10"/>
  <c r="T657" i="10"/>
  <c r="T696" i="10"/>
  <c r="T732" i="10"/>
  <c r="T774" i="10"/>
  <c r="T809" i="10"/>
  <c r="T839" i="10"/>
  <c r="S48" i="10"/>
  <c r="S72" i="10"/>
  <c r="S92" i="10"/>
  <c r="S116" i="10"/>
  <c r="S136" i="10"/>
  <c r="S156" i="10"/>
  <c r="S180" i="10"/>
  <c r="S200" i="10"/>
  <c r="S220" i="10"/>
  <c r="S244" i="10"/>
  <c r="S264" i="10"/>
  <c r="T175" i="10"/>
  <c r="T589" i="10"/>
  <c r="T669" i="10"/>
  <c r="T705" i="10"/>
  <c r="T748" i="10"/>
  <c r="T77" i="10"/>
  <c r="T146" i="10"/>
  <c r="T99" i="10"/>
  <c r="T497" i="10"/>
  <c r="T414" i="10"/>
  <c r="T264" i="10"/>
  <c r="T423" i="10"/>
  <c r="T519" i="10"/>
  <c r="T583" i="10"/>
  <c r="T647" i="10"/>
  <c r="T711" i="10"/>
  <c r="T775" i="10"/>
  <c r="T265" i="10"/>
  <c r="T552" i="10"/>
  <c r="T644" i="10"/>
  <c r="T412" i="10"/>
  <c r="T597" i="10"/>
  <c r="T682" i="10"/>
  <c r="T768" i="10"/>
  <c r="T845" i="10"/>
  <c r="T319" i="10"/>
  <c r="T572" i="10"/>
  <c r="T111" i="10"/>
  <c r="T668" i="10"/>
  <c r="T745" i="10"/>
  <c r="T817" i="10"/>
  <c r="S53" i="10"/>
  <c r="S100" i="10"/>
  <c r="S140" i="10"/>
  <c r="S184" i="10"/>
  <c r="S228" i="10"/>
  <c r="S268" i="10"/>
  <c r="T610" i="10"/>
  <c r="T718" i="10"/>
  <c r="T782" i="10"/>
  <c r="T830" i="10"/>
  <c r="T862" i="10"/>
  <c r="S81" i="10"/>
  <c r="S109" i="10"/>
  <c r="S137" i="10"/>
  <c r="S169" i="10"/>
  <c r="S189" i="10"/>
  <c r="S209" i="10"/>
  <c r="S233" i="10"/>
  <c r="S253" i="10"/>
  <c r="S273" i="10"/>
  <c r="S297" i="10"/>
  <c r="S317" i="10"/>
  <c r="S337" i="10"/>
  <c r="S361" i="10"/>
  <c r="S381" i="10"/>
  <c r="S401" i="10"/>
  <c r="S425" i="10"/>
  <c r="S445" i="10"/>
  <c r="S465" i="10"/>
  <c r="S489" i="10"/>
  <c r="S509" i="10"/>
  <c r="S529" i="10"/>
  <c r="S553" i="10"/>
  <c r="T324" i="10"/>
  <c r="T594" i="10"/>
  <c r="T678" i="10"/>
  <c r="T713" i="10"/>
  <c r="T749" i="10"/>
  <c r="T792" i="10"/>
  <c r="T826" i="10"/>
  <c r="T852" i="10"/>
  <c r="S66" i="10"/>
  <c r="S86" i="10"/>
  <c r="S106" i="10"/>
  <c r="S130" i="10"/>
  <c r="S150" i="10"/>
  <c r="S170" i="10"/>
  <c r="S194" i="10"/>
  <c r="S214" i="10"/>
  <c r="S234" i="10"/>
  <c r="S258" i="10"/>
  <c r="S278" i="10"/>
  <c r="T680" i="10"/>
  <c r="T793" i="10"/>
  <c r="S52" i="10"/>
  <c r="S119" i="10"/>
  <c r="S183" i="10"/>
  <c r="S247" i="10"/>
  <c r="S291" i="10"/>
  <c r="S312" i="10"/>
  <c r="S334" i="10"/>
  <c r="S355" i="10"/>
  <c r="S376" i="10"/>
  <c r="S398" i="10"/>
  <c r="S419" i="10"/>
  <c r="S440" i="10"/>
  <c r="S462" i="10"/>
  <c r="S483" i="10"/>
  <c r="S504" i="10"/>
  <c r="S526" i="10"/>
  <c r="S547" i="10"/>
  <c r="S568" i="10"/>
  <c r="S584" i="10"/>
  <c r="S600" i="10"/>
  <c r="S616" i="10"/>
  <c r="S632" i="10"/>
  <c r="T686" i="10"/>
  <c r="T801" i="10"/>
  <c r="S75" i="10"/>
  <c r="S139" i="10"/>
  <c r="S203" i="10"/>
  <c r="S267" i="10"/>
  <c r="T80" i="10"/>
  <c r="T141" i="10"/>
  <c r="T210" i="10"/>
  <c r="T277" i="10"/>
  <c r="T561" i="10"/>
  <c r="T478" i="10"/>
  <c r="T307" i="10"/>
  <c r="T455" i="10"/>
  <c r="T523" i="10"/>
  <c r="T587" i="10"/>
  <c r="T651" i="10"/>
  <c r="T715" i="10"/>
  <c r="T779" i="10"/>
  <c r="T287" i="10"/>
  <c r="T562" i="10"/>
  <c r="T649" i="10"/>
  <c r="T428" i="10"/>
  <c r="T602" i="10"/>
  <c r="T688" i="10"/>
  <c r="T773" i="10"/>
  <c r="T849" i="10"/>
  <c r="T340" i="10"/>
  <c r="T577" i="10"/>
  <c r="T367" i="10"/>
  <c r="T674" i="10"/>
  <c r="T753" i="10"/>
  <c r="T828" i="10"/>
  <c r="S58" i="10"/>
  <c r="S104" i="10"/>
  <c r="S148" i="10"/>
  <c r="S188" i="10"/>
  <c r="S232" i="10"/>
  <c r="S276" i="10"/>
  <c r="T632" i="10"/>
  <c r="T726" i="10"/>
  <c r="T790" i="10"/>
  <c r="T835" i="10"/>
  <c r="S60" i="10"/>
  <c r="S89" i="10"/>
  <c r="S113" i="10"/>
  <c r="S145" i="10"/>
  <c r="S173" i="10"/>
  <c r="S193" i="10"/>
  <c r="S217" i="10"/>
  <c r="S237" i="10"/>
  <c r="S257" i="10"/>
  <c r="S281" i="10"/>
  <c r="S301" i="10"/>
  <c r="S321" i="10"/>
  <c r="S345" i="10"/>
  <c r="S365" i="10"/>
  <c r="S385" i="10"/>
  <c r="S409" i="10"/>
  <c r="S429" i="10"/>
  <c r="S449" i="10"/>
  <c r="S473" i="10"/>
  <c r="S493" i="10"/>
  <c r="S513" i="10"/>
  <c r="S537" i="10"/>
  <c r="S557" i="10"/>
  <c r="T404" i="10"/>
  <c r="T637" i="10"/>
  <c r="T685" i="10"/>
  <c r="T721" i="10"/>
  <c r="T764" i="10"/>
  <c r="T798" i="10"/>
  <c r="T831" i="10"/>
  <c r="T863" i="10"/>
  <c r="S70" i="10"/>
  <c r="S90" i="10"/>
  <c r="S114" i="10"/>
  <c r="S134" i="10"/>
  <c r="S154" i="10"/>
  <c r="S178" i="10"/>
  <c r="S198" i="10"/>
  <c r="S218" i="10"/>
  <c r="S242" i="10"/>
  <c r="S262" i="10"/>
  <c r="T260" i="10"/>
  <c r="T708" i="10"/>
  <c r="T822" i="10"/>
  <c r="S71" i="10"/>
  <c r="S135" i="10"/>
  <c r="S199" i="10"/>
  <c r="S263" i="10"/>
  <c r="S296" i="10"/>
  <c r="S318" i="10"/>
  <c r="S339" i="10"/>
  <c r="S360" i="10"/>
  <c r="S382" i="10"/>
  <c r="S403" i="10"/>
  <c r="S424" i="10"/>
  <c r="S446" i="10"/>
  <c r="S467" i="10"/>
  <c r="S488" i="10"/>
  <c r="S510" i="10"/>
  <c r="S531" i="10"/>
  <c r="S552" i="10"/>
  <c r="S572" i="10"/>
  <c r="S588" i="10"/>
  <c r="S604" i="10"/>
  <c r="S620" i="10"/>
  <c r="T345" i="10"/>
  <c r="T716" i="10"/>
  <c r="T827" i="10"/>
  <c r="S91" i="10"/>
  <c r="S155" i="10"/>
  <c r="S219" i="10"/>
  <c r="S282" i="10"/>
  <c r="S303" i="10"/>
  <c r="S324" i="10"/>
  <c r="S346" i="10"/>
  <c r="S367" i="10"/>
  <c r="S388" i="10"/>
  <c r="S410" i="10"/>
  <c r="S431" i="10"/>
  <c r="S452" i="10"/>
  <c r="S474" i="10"/>
  <c r="S495" i="10"/>
  <c r="S516" i="10"/>
  <c r="S538" i="10"/>
  <c r="S559" i="10"/>
  <c r="S577" i="10"/>
  <c r="S593" i="10"/>
  <c r="S609" i="10"/>
  <c r="S625" i="10"/>
  <c r="S641" i="10"/>
  <c r="T694" i="10"/>
  <c r="T808" i="10"/>
  <c r="S79" i="10"/>
  <c r="S143" i="10"/>
  <c r="S207" i="10"/>
  <c r="S271" i="10"/>
  <c r="S299" i="10"/>
  <c r="S320" i="10"/>
  <c r="S342" i="10"/>
  <c r="S363" i="10"/>
  <c r="S384" i="10"/>
  <c r="S406" i="10"/>
  <c r="S427" i="10"/>
  <c r="S448" i="10"/>
  <c r="S470" i="10"/>
  <c r="S491" i="10"/>
  <c r="S512" i="10"/>
  <c r="S534" i="10"/>
  <c r="S555" i="10"/>
  <c r="S574" i="10"/>
  <c r="S590" i="10"/>
  <c r="S606" i="10"/>
  <c r="S622" i="10"/>
  <c r="S638" i="10"/>
  <c r="S654" i="10"/>
  <c r="S670" i="10"/>
  <c r="S686" i="10"/>
  <c r="S702" i="10"/>
  <c r="S718" i="10"/>
  <c r="S734" i="10"/>
  <c r="S750" i="10"/>
  <c r="S766" i="10"/>
  <c r="S782" i="10"/>
  <c r="S798" i="10"/>
  <c r="S814" i="10"/>
  <c r="S830" i="10"/>
  <c r="S846" i="10"/>
  <c r="S862" i="10"/>
  <c r="R56" i="10"/>
  <c r="R72" i="10"/>
  <c r="R88" i="10"/>
  <c r="R104" i="10"/>
  <c r="T729" i="10"/>
  <c r="S243" i="10"/>
  <c r="S354" i="10"/>
  <c r="S439" i="10"/>
  <c r="S524" i="10"/>
  <c r="S599" i="10"/>
  <c r="S647" i="10"/>
  <c r="S668" i="10"/>
  <c r="S689" i="10"/>
  <c r="S711" i="10"/>
  <c r="S732" i="10"/>
  <c r="S753" i="10"/>
  <c r="S775" i="10"/>
  <c r="S796" i="10"/>
  <c r="S817" i="10"/>
  <c r="S839" i="10"/>
  <c r="S860" i="10"/>
  <c r="R59" i="10"/>
  <c r="R81" i="10"/>
  <c r="R102" i="10"/>
  <c r="R121" i="10"/>
  <c r="R137" i="10"/>
  <c r="R153" i="10"/>
  <c r="R169" i="10"/>
  <c r="R185" i="10"/>
  <c r="R201" i="10"/>
  <c r="R217" i="10"/>
  <c r="R233" i="10"/>
  <c r="R249" i="10"/>
  <c r="R265" i="10"/>
  <c r="R281" i="10"/>
  <c r="R297" i="10"/>
  <c r="R313" i="10"/>
  <c r="R329" i="10"/>
  <c r="R345" i="10"/>
  <c r="R361" i="10"/>
  <c r="R377" i="10"/>
  <c r="R393" i="10"/>
  <c r="R409" i="10"/>
  <c r="R425" i="10"/>
  <c r="R441" i="10"/>
  <c r="R457" i="10"/>
  <c r="R473" i="10"/>
  <c r="S67" i="10"/>
  <c r="S295" i="10"/>
  <c r="T144" i="10"/>
  <c r="T205" i="10"/>
  <c r="T274" i="10"/>
  <c r="T363" i="10"/>
  <c r="T252" i="10"/>
  <c r="T542" i="10"/>
  <c r="T349" i="10"/>
  <c r="T487" i="10"/>
  <c r="T551" i="10"/>
  <c r="T615" i="10"/>
  <c r="T679" i="10"/>
  <c r="T743" i="10"/>
  <c r="T807" i="10"/>
  <c r="T424" i="10"/>
  <c r="T601" i="10"/>
  <c r="T249" i="10"/>
  <c r="T540" i="10"/>
  <c r="T640" i="10"/>
  <c r="T725" i="10"/>
  <c r="T810" i="10"/>
  <c r="S59" i="10"/>
  <c r="T464" i="10"/>
  <c r="T614" i="10"/>
  <c r="T584" i="10"/>
  <c r="T702" i="10"/>
  <c r="T781" i="10"/>
  <c r="T850" i="10"/>
  <c r="S76" i="10"/>
  <c r="S120" i="10"/>
  <c r="S164" i="10"/>
  <c r="S204" i="10"/>
  <c r="S248" i="10"/>
  <c r="T388" i="10"/>
  <c r="T676" i="10"/>
  <c r="T754" i="10"/>
  <c r="T804" i="10"/>
  <c r="T851" i="10"/>
  <c r="S65" i="10"/>
  <c r="S93" i="10"/>
  <c r="S125" i="10"/>
  <c r="S153" i="10"/>
  <c r="S177" i="10"/>
  <c r="S201" i="10"/>
  <c r="S221" i="10"/>
  <c r="S241" i="10"/>
  <c r="S265" i="10"/>
  <c r="S285" i="10"/>
  <c r="S305" i="10"/>
  <c r="S329" i="10"/>
  <c r="S349" i="10"/>
  <c r="S369" i="10"/>
  <c r="S393" i="10"/>
  <c r="S413" i="10"/>
  <c r="S433" i="10"/>
  <c r="S457" i="10"/>
  <c r="S477" i="10"/>
  <c r="S497" i="10"/>
  <c r="S521" i="10"/>
  <c r="S541" i="10"/>
  <c r="S561" i="10"/>
  <c r="T532" i="10"/>
  <c r="T652" i="10"/>
  <c r="T692" i="10"/>
  <c r="T734" i="10"/>
  <c r="T770" i="10"/>
  <c r="T806" i="10"/>
  <c r="T842" i="10"/>
  <c r="S50" i="10"/>
  <c r="S74" i="10"/>
  <c r="S98" i="10"/>
  <c r="S118" i="10"/>
  <c r="S138" i="10"/>
  <c r="S162" i="10"/>
  <c r="S182" i="10"/>
  <c r="S202" i="10"/>
  <c r="S226" i="10"/>
  <c r="S246" i="10"/>
  <c r="S266" i="10"/>
  <c r="T548" i="10"/>
  <c r="T737" i="10"/>
  <c r="T843" i="10"/>
  <c r="S87" i="10"/>
  <c r="S151" i="10"/>
  <c r="S215" i="10"/>
  <c r="S279" i="10"/>
  <c r="S302" i="10"/>
  <c r="S323" i="10"/>
  <c r="S344" i="10"/>
  <c r="S366" i="10"/>
  <c r="S387" i="10"/>
  <c r="S408" i="10"/>
  <c r="S430" i="10"/>
  <c r="S451" i="10"/>
  <c r="S472" i="10"/>
  <c r="S494" i="10"/>
  <c r="S515" i="10"/>
  <c r="S536" i="10"/>
  <c r="S558" i="10"/>
  <c r="S576" i="10"/>
  <c r="S592" i="10"/>
  <c r="S608" i="10"/>
  <c r="S624" i="10"/>
  <c r="T578" i="10"/>
  <c r="T744" i="10"/>
  <c r="T848" i="10"/>
  <c r="S107" i="10"/>
  <c r="S171" i="10"/>
  <c r="S235" i="10"/>
  <c r="S287" i="10"/>
  <c r="S308" i="10"/>
  <c r="S330" i="10"/>
  <c r="S351" i="10"/>
  <c r="S372" i="10"/>
  <c r="S394" i="10"/>
  <c r="S415" i="10"/>
  <c r="S436" i="10"/>
  <c r="S458" i="10"/>
  <c r="S479" i="10"/>
  <c r="S500" i="10"/>
  <c r="S522" i="10"/>
  <c r="S543" i="10"/>
  <c r="S564" i="10"/>
  <c r="S581" i="10"/>
  <c r="S597" i="10"/>
  <c r="S613" i="10"/>
  <c r="S629" i="10"/>
  <c r="T420" i="10"/>
  <c r="T722" i="10"/>
  <c r="T832" i="10"/>
  <c r="S95" i="10"/>
  <c r="S159" i="10"/>
  <c r="S223" i="10"/>
  <c r="S283" i="10"/>
  <c r="S304" i="10"/>
  <c r="S326" i="10"/>
  <c r="S347" i="10"/>
  <c r="S368" i="10"/>
  <c r="S390" i="10"/>
  <c r="S411" i="10"/>
  <c r="S432" i="10"/>
  <c r="S454" i="10"/>
  <c r="S475" i="10"/>
  <c r="S496" i="10"/>
  <c r="S518" i="10"/>
  <c r="S539" i="10"/>
  <c r="S560" i="10"/>
  <c r="S578" i="10"/>
  <c r="S594" i="10"/>
  <c r="S610" i="10"/>
  <c r="S626" i="10"/>
  <c r="S642" i="10"/>
  <c r="S658" i="10"/>
  <c r="S674" i="10"/>
  <c r="S690" i="10"/>
  <c r="S706" i="10"/>
  <c r="S722" i="10"/>
  <c r="S738" i="10"/>
  <c r="S754" i="10"/>
  <c r="S770" i="10"/>
  <c r="S786" i="10"/>
  <c r="S802" i="10"/>
  <c r="S818" i="10"/>
  <c r="S834" i="10"/>
  <c r="S850" i="10"/>
  <c r="S866" i="10"/>
  <c r="R60" i="10"/>
  <c r="R76" i="10"/>
  <c r="R92" i="10"/>
  <c r="R108" i="10"/>
  <c r="T838" i="10"/>
  <c r="T208" i="10"/>
  <c r="T337" i="10"/>
  <c r="T555" i="10"/>
  <c r="T811" i="10"/>
  <c r="T556" i="10"/>
  <c r="S63" i="10"/>
  <c r="T717" i="10"/>
  <c r="S124" i="10"/>
  <c r="T452" i="10"/>
  <c r="T856" i="10"/>
  <c r="S157" i="10"/>
  <c r="S249" i="10"/>
  <c r="S333" i="10"/>
  <c r="S417" i="10"/>
  <c r="S505" i="10"/>
  <c r="T573" i="10"/>
  <c r="T777" i="10"/>
  <c r="S82" i="10"/>
  <c r="S166" i="10"/>
  <c r="S250" i="10"/>
  <c r="T864" i="10"/>
  <c r="S286" i="10"/>
  <c r="S371" i="10"/>
  <c r="S456" i="10"/>
  <c r="S542" i="10"/>
  <c r="S612" i="10"/>
  <c r="S57" i="10"/>
  <c r="S292" i="10"/>
  <c r="S335" i="10"/>
  <c r="S378" i="10"/>
  <c r="S420" i="10"/>
  <c r="S463" i="10"/>
  <c r="S506" i="10"/>
  <c r="S548" i="10"/>
  <c r="S585" i="10"/>
  <c r="S617" i="10"/>
  <c r="T600" i="10"/>
  <c r="T854" i="10"/>
  <c r="S175" i="10"/>
  <c r="S288" i="10"/>
  <c r="S331" i="10"/>
  <c r="S374" i="10"/>
  <c r="S416" i="10"/>
  <c r="S459" i="10"/>
  <c r="S502" i="10"/>
  <c r="S544" i="10"/>
  <c r="S582" i="10"/>
  <c r="S614" i="10"/>
  <c r="S646" i="10"/>
  <c r="S678" i="10"/>
  <c r="S710" i="10"/>
  <c r="S742" i="10"/>
  <c r="S774" i="10"/>
  <c r="S806" i="10"/>
  <c r="S838" i="10"/>
  <c r="R48" i="10"/>
  <c r="R80" i="10"/>
  <c r="R112" i="10"/>
  <c r="S290" i="10"/>
  <c r="S396" i="10"/>
  <c r="S503" i="10"/>
  <c r="S615" i="10"/>
  <c r="S657" i="10"/>
  <c r="S684" i="10"/>
  <c r="S716" i="10"/>
  <c r="S743" i="10"/>
  <c r="S769" i="10"/>
  <c r="S801" i="10"/>
  <c r="S828" i="10"/>
  <c r="S855" i="10"/>
  <c r="R65" i="10"/>
  <c r="R91" i="10"/>
  <c r="R117" i="10"/>
  <c r="R141" i="10"/>
  <c r="R161" i="10"/>
  <c r="R181" i="10"/>
  <c r="R205" i="10"/>
  <c r="R225" i="10"/>
  <c r="R245" i="10"/>
  <c r="R269" i="10"/>
  <c r="R289" i="10"/>
  <c r="R309" i="10"/>
  <c r="R333" i="10"/>
  <c r="R353" i="10"/>
  <c r="R373" i="10"/>
  <c r="R397" i="10"/>
  <c r="R417" i="10"/>
  <c r="R437" i="10"/>
  <c r="R461" i="10"/>
  <c r="T758" i="10"/>
  <c r="S259" i="10"/>
  <c r="S380" i="10"/>
  <c r="S466" i="10"/>
  <c r="S551" i="10"/>
  <c r="S619" i="10"/>
  <c r="S653" i="10"/>
  <c r="S675" i="10"/>
  <c r="S696" i="10"/>
  <c r="S717" i="10"/>
  <c r="S739" i="10"/>
  <c r="S760" i="10"/>
  <c r="S781" i="10"/>
  <c r="S803" i="10"/>
  <c r="S824" i="10"/>
  <c r="S845" i="10"/>
  <c r="R50" i="10"/>
  <c r="R71" i="10"/>
  <c r="R93" i="10"/>
  <c r="R114" i="10"/>
  <c r="R130" i="10"/>
  <c r="R146" i="10"/>
  <c r="R162" i="10"/>
  <c r="R178" i="10"/>
  <c r="R194" i="10"/>
  <c r="R210" i="10"/>
  <c r="R226" i="10"/>
  <c r="R242" i="10"/>
  <c r="R258" i="10"/>
  <c r="R274" i="10"/>
  <c r="R290" i="10"/>
  <c r="R306" i="10"/>
  <c r="R322" i="10"/>
  <c r="R338" i="10"/>
  <c r="R354" i="10"/>
  <c r="R370" i="10"/>
  <c r="T82" i="10"/>
  <c r="T187" i="10"/>
  <c r="T619" i="10"/>
  <c r="T440" i="10"/>
  <c r="T645" i="10"/>
  <c r="T480" i="10"/>
  <c r="T788" i="10"/>
  <c r="S168" i="10"/>
  <c r="T690" i="10"/>
  <c r="S73" i="10"/>
  <c r="S185" i="10"/>
  <c r="S269" i="10"/>
  <c r="S353" i="10"/>
  <c r="S441" i="10"/>
  <c r="S525" i="10"/>
  <c r="T662" i="10"/>
  <c r="T820" i="10"/>
  <c r="S102" i="10"/>
  <c r="S186" i="10"/>
  <c r="S274" i="10"/>
  <c r="S103" i="10"/>
  <c r="S307" i="10"/>
  <c r="S392" i="10"/>
  <c r="S478" i="10"/>
  <c r="S563" i="10"/>
  <c r="S628" i="10"/>
  <c r="S123" i="10"/>
  <c r="S298" i="10"/>
  <c r="S340" i="10"/>
  <c r="S383" i="10"/>
  <c r="S426" i="10"/>
  <c r="S468" i="10"/>
  <c r="S511" i="10"/>
  <c r="S554" i="10"/>
  <c r="S589" i="10"/>
  <c r="S621" i="10"/>
  <c r="T664" i="10"/>
  <c r="S62" i="10"/>
  <c r="S191" i="10"/>
  <c r="S294" i="10"/>
  <c r="S336" i="10"/>
  <c r="S379" i="10"/>
  <c r="S422" i="10"/>
  <c r="S464" i="10"/>
  <c r="S507" i="10"/>
  <c r="S550" i="10"/>
  <c r="S586" i="10"/>
  <c r="S618" i="10"/>
  <c r="S650" i="10"/>
  <c r="S682" i="10"/>
  <c r="S714" i="10"/>
  <c r="S746" i="10"/>
  <c r="S778" i="10"/>
  <c r="S810" i="10"/>
  <c r="S842" i="10"/>
  <c r="R52" i="10"/>
  <c r="R84" i="10"/>
  <c r="T484" i="10"/>
  <c r="S311" i="10"/>
  <c r="S418" i="10"/>
  <c r="S546" i="10"/>
  <c r="S631" i="10"/>
  <c r="S663" i="10"/>
  <c r="S695" i="10"/>
  <c r="S721" i="10"/>
  <c r="S748" i="10"/>
  <c r="S780" i="10"/>
  <c r="S807" i="10"/>
  <c r="S833" i="10"/>
  <c r="S865" i="10"/>
  <c r="R70" i="10"/>
  <c r="R97" i="10"/>
  <c r="R125" i="10"/>
  <c r="R145" i="10"/>
  <c r="R165" i="10"/>
  <c r="R189" i="10"/>
  <c r="R209" i="10"/>
  <c r="R229" i="10"/>
  <c r="R253" i="10"/>
  <c r="R273" i="10"/>
  <c r="R293" i="10"/>
  <c r="R317" i="10"/>
  <c r="R337" i="10"/>
  <c r="R357" i="10"/>
  <c r="R381" i="10"/>
  <c r="R401" i="10"/>
  <c r="R421" i="10"/>
  <c r="R445" i="10"/>
  <c r="R465" i="10"/>
  <c r="T859" i="10"/>
  <c r="S316" i="10"/>
  <c r="S402" i="10"/>
  <c r="S487" i="10"/>
  <c r="S571" i="10"/>
  <c r="S635" i="10"/>
  <c r="S659" i="10"/>
  <c r="S680" i="10"/>
  <c r="S701" i="10"/>
  <c r="S723" i="10"/>
  <c r="S744" i="10"/>
  <c r="S765" i="10"/>
  <c r="S787" i="10"/>
  <c r="S808" i="10"/>
  <c r="S829" i="10"/>
  <c r="S851" i="10"/>
  <c r="R55" i="10"/>
  <c r="R77" i="10"/>
  <c r="R98" i="10"/>
  <c r="R118" i="10"/>
  <c r="R134" i="10"/>
  <c r="R150" i="10"/>
  <c r="R166" i="10"/>
  <c r="R182" i="10"/>
  <c r="R198" i="10"/>
  <c r="R214" i="10"/>
  <c r="R230" i="10"/>
  <c r="R246" i="10"/>
  <c r="R262" i="10"/>
  <c r="R278" i="10"/>
  <c r="R294" i="10"/>
  <c r="R310" i="10"/>
  <c r="R326" i="10"/>
  <c r="R342" i="10"/>
  <c r="R358" i="10"/>
  <c r="R374" i="10"/>
  <c r="R390" i="10"/>
  <c r="R406" i="10"/>
  <c r="R422" i="10"/>
  <c r="R438" i="10"/>
  <c r="R454" i="10"/>
  <c r="T673" i="10"/>
  <c r="S211" i="10"/>
  <c r="S343" i="10"/>
  <c r="S428" i="10"/>
  <c r="S514" i="10"/>
  <c r="S591" i="10"/>
  <c r="S644" i="10"/>
  <c r="S665" i="10"/>
  <c r="S687" i="10"/>
  <c r="S708" i="10"/>
  <c r="S729" i="10"/>
  <c r="S751" i="10"/>
  <c r="S772" i="10"/>
  <c r="S793" i="10"/>
  <c r="S815" i="10"/>
  <c r="S836" i="10"/>
  <c r="S857" i="10"/>
  <c r="R62" i="10"/>
  <c r="R83" i="10"/>
  <c r="R105" i="10"/>
  <c r="R123" i="10"/>
  <c r="R139" i="10"/>
  <c r="R155" i="10"/>
  <c r="R171" i="10"/>
  <c r="R187" i="10"/>
  <c r="R203" i="10"/>
  <c r="R219" i="10"/>
  <c r="R235" i="10"/>
  <c r="R251" i="10"/>
  <c r="R267" i="10"/>
  <c r="R283" i="10"/>
  <c r="R299" i="10"/>
  <c r="R315" i="10"/>
  <c r="R331" i="10"/>
  <c r="R347" i="10"/>
  <c r="R363" i="10"/>
  <c r="R379" i="10"/>
  <c r="R395" i="10"/>
  <c r="R411" i="10"/>
  <c r="R427" i="10"/>
  <c r="R443" i="10"/>
  <c r="R459" i="10"/>
  <c r="R475" i="10"/>
  <c r="R491" i="10"/>
  <c r="R507" i="10"/>
  <c r="R523" i="10"/>
  <c r="R539" i="10"/>
  <c r="R555" i="10"/>
  <c r="R571" i="10"/>
  <c r="R587" i="10"/>
  <c r="R603" i="10"/>
  <c r="R619" i="10"/>
  <c r="R635" i="10"/>
  <c r="R651" i="10"/>
  <c r="R667" i="10"/>
  <c r="R683" i="10"/>
  <c r="R699" i="10"/>
  <c r="R715" i="10"/>
  <c r="R731" i="10"/>
  <c r="R747" i="10"/>
  <c r="R763" i="10"/>
  <c r="R779" i="10"/>
  <c r="R795" i="10"/>
  <c r="R811" i="10"/>
  <c r="R827" i="10"/>
  <c r="R843" i="10"/>
  <c r="R859" i="10"/>
  <c r="S99" i="10"/>
  <c r="S306" i="10"/>
  <c r="S391" i="10"/>
  <c r="S476" i="10"/>
  <c r="S579" i="10"/>
  <c r="S704" i="10"/>
  <c r="S789" i="10"/>
  <c r="R63" i="10"/>
  <c r="R140" i="10"/>
  <c r="R204" i="10"/>
  <c r="R268" i="10"/>
  <c r="R332" i="10"/>
  <c r="R396" i="10"/>
  <c r="R460" i="10"/>
  <c r="R489" i="10"/>
  <c r="R510" i="10"/>
  <c r="R532" i="10"/>
  <c r="R553" i="10"/>
  <c r="R574" i="10"/>
  <c r="R596" i="10"/>
  <c r="R617" i="10"/>
  <c r="R638" i="10"/>
  <c r="R660" i="10"/>
  <c r="R681" i="10"/>
  <c r="R702" i="10"/>
  <c r="R724" i="10"/>
  <c r="R745" i="10"/>
  <c r="R766" i="10"/>
  <c r="R788" i="10"/>
  <c r="R809" i="10"/>
  <c r="R830" i="10"/>
  <c r="R852" i="10"/>
  <c r="R842" i="10"/>
  <c r="R818" i="10"/>
  <c r="S645" i="10"/>
  <c r="S731" i="10"/>
  <c r="S816" i="10"/>
  <c r="R90" i="10"/>
  <c r="R160" i="10"/>
  <c r="R224" i="10"/>
  <c r="R288" i="10"/>
  <c r="R352" i="10"/>
  <c r="R416" i="10"/>
  <c r="R474" i="10"/>
  <c r="R496" i="10"/>
  <c r="R517" i="10"/>
  <c r="R538" i="10"/>
  <c r="R560" i="10"/>
  <c r="R581" i="10"/>
  <c r="R602" i="10"/>
  <c r="R624" i="10"/>
  <c r="R645" i="10"/>
  <c r="R666" i="10"/>
  <c r="R688" i="10"/>
  <c r="R709" i="10"/>
  <c r="R730" i="10"/>
  <c r="R752" i="10"/>
  <c r="R773" i="10"/>
  <c r="R794" i="10"/>
  <c r="R816" i="10"/>
  <c r="R848" i="10"/>
  <c r="R829" i="10"/>
  <c r="S672" i="10"/>
  <c r="S757" i="10"/>
  <c r="S843" i="10"/>
  <c r="R95" i="10"/>
  <c r="R164" i="10"/>
  <c r="R228" i="10"/>
  <c r="R292" i="10"/>
  <c r="R356" i="10"/>
  <c r="R420" i="10"/>
  <c r="R476" i="10"/>
  <c r="R497" i="10"/>
  <c r="R518" i="10"/>
  <c r="R540" i="10"/>
  <c r="R561" i="10"/>
  <c r="R582" i="10"/>
  <c r="R604" i="10"/>
  <c r="R625" i="10"/>
  <c r="R646" i="10"/>
  <c r="R668" i="10"/>
  <c r="R689" i="10"/>
  <c r="R710" i="10"/>
  <c r="R732" i="10"/>
  <c r="R753" i="10"/>
  <c r="R774" i="10"/>
  <c r="R796" i="10"/>
  <c r="R817" i="10"/>
  <c r="R838" i="10"/>
  <c r="R860" i="10"/>
  <c r="S656" i="10"/>
  <c r="S741" i="10"/>
  <c r="S827" i="10"/>
  <c r="R101" i="10"/>
  <c r="R168" i="10"/>
  <c r="R232" i="10"/>
  <c r="R296" i="10"/>
  <c r="R360" i="10"/>
  <c r="R424" i="10"/>
  <c r="R477" i="10"/>
  <c r="R498" i="10"/>
  <c r="R520" i="10"/>
  <c r="R541" i="10"/>
  <c r="R562" i="10"/>
  <c r="R584" i="10"/>
  <c r="R605" i="10"/>
  <c r="R626" i="10"/>
  <c r="R648" i="10"/>
  <c r="R669" i="10"/>
  <c r="R690" i="10"/>
  <c r="R712" i="10"/>
  <c r="R733" i="10"/>
  <c r="R754" i="10"/>
  <c r="R776" i="10"/>
  <c r="R813" i="10"/>
  <c r="R861" i="10"/>
  <c r="R368" i="10"/>
  <c r="R522" i="10"/>
  <c r="R565" i="10"/>
  <c r="R586" i="10"/>
  <c r="R629" i="10"/>
  <c r="R650" i="10"/>
  <c r="R693" i="10"/>
  <c r="R714" i="10"/>
  <c r="R757" i="10"/>
  <c r="R778" i="10"/>
  <c r="R821" i="10"/>
  <c r="R858" i="10"/>
  <c r="R850" i="10"/>
  <c r="S779" i="10"/>
  <c r="S864" i="10"/>
  <c r="R180" i="10"/>
  <c r="R244" i="10"/>
  <c r="R372" i="10"/>
  <c r="R436" i="10"/>
  <c r="R502" i="10"/>
  <c r="R524" i="10"/>
  <c r="R545" i="10"/>
  <c r="R588" i="10"/>
  <c r="R609" i="10"/>
  <c r="R652" i="10"/>
  <c r="R673" i="10"/>
  <c r="R694" i="10"/>
  <c r="T338" i="10"/>
  <c r="T391" i="10"/>
  <c r="T683" i="10"/>
  <c r="T606" i="10"/>
  <c r="T730" i="10"/>
  <c r="T620" i="10"/>
  <c r="T855" i="10"/>
  <c r="S212" i="10"/>
  <c r="T761" i="10"/>
  <c r="S105" i="10"/>
  <c r="S205" i="10"/>
  <c r="S289" i="10"/>
  <c r="S377" i="10"/>
  <c r="S461" i="10"/>
  <c r="S545" i="10"/>
  <c r="T706" i="10"/>
  <c r="T847" i="10"/>
  <c r="S122" i="10"/>
  <c r="S210" i="10"/>
  <c r="T642" i="10"/>
  <c r="S167" i="10"/>
  <c r="S328" i="10"/>
  <c r="S414" i="10"/>
  <c r="S499" i="10"/>
  <c r="S580" i="10"/>
  <c r="T653" i="10"/>
  <c r="S187" i="10"/>
  <c r="S314" i="10"/>
  <c r="S356" i="10"/>
  <c r="S399" i="10"/>
  <c r="S442" i="10"/>
  <c r="S484" i="10"/>
  <c r="S527" i="10"/>
  <c r="S569" i="10"/>
  <c r="S601" i="10"/>
  <c r="S633" i="10"/>
  <c r="T750" i="10"/>
  <c r="S111" i="10"/>
  <c r="S239" i="10"/>
  <c r="S310" i="10"/>
  <c r="S352" i="10"/>
  <c r="S395" i="10"/>
  <c r="S438" i="10"/>
  <c r="S480" i="10"/>
  <c r="S523" i="10"/>
  <c r="S566" i="10"/>
  <c r="S598" i="10"/>
  <c r="S630" i="10"/>
  <c r="S662" i="10"/>
  <c r="S694" i="10"/>
  <c r="S726" i="10"/>
  <c r="S758" i="10"/>
  <c r="S790" i="10"/>
  <c r="S822" i="10"/>
  <c r="S854" i="10"/>
  <c r="R64" i="10"/>
  <c r="R96" i="10"/>
  <c r="S115" i="10"/>
  <c r="S332" i="10"/>
  <c r="S460" i="10"/>
  <c r="S567" i="10"/>
  <c r="S640" i="10"/>
  <c r="S673" i="10"/>
  <c r="S700" i="10"/>
  <c r="S727" i="10"/>
  <c r="S759" i="10"/>
  <c r="S785" i="10"/>
  <c r="S812" i="10"/>
  <c r="S844" i="10"/>
  <c r="R49" i="10"/>
  <c r="R75" i="10"/>
  <c r="R107" i="10"/>
  <c r="R129" i="10"/>
  <c r="R149" i="10"/>
  <c r="R173" i="10"/>
  <c r="R193" i="10"/>
  <c r="R213" i="10"/>
  <c r="R237" i="10"/>
  <c r="R257" i="10"/>
  <c r="R277" i="10"/>
  <c r="R301" i="10"/>
  <c r="R321" i="10"/>
  <c r="R341" i="10"/>
  <c r="R365" i="10"/>
  <c r="R385" i="10"/>
  <c r="R405" i="10"/>
  <c r="R429" i="10"/>
  <c r="R449" i="10"/>
  <c r="R469" i="10"/>
  <c r="S131" i="10"/>
  <c r="S338" i="10"/>
  <c r="S423" i="10"/>
  <c r="S508" i="10"/>
  <c r="S587" i="10"/>
  <c r="S643" i="10"/>
  <c r="S664" i="10"/>
  <c r="S685" i="10"/>
  <c r="S707" i="10"/>
  <c r="S728" i="10"/>
  <c r="S749" i="10"/>
  <c r="S771" i="10"/>
  <c r="S792" i="10"/>
  <c r="S813" i="10"/>
  <c r="S835" i="10"/>
  <c r="S856" i="10"/>
  <c r="R61" i="10"/>
  <c r="R82" i="10"/>
  <c r="R103" i="10"/>
  <c r="R122" i="10"/>
  <c r="R138" i="10"/>
  <c r="R154" i="10"/>
  <c r="R170" i="10"/>
  <c r="R186" i="10"/>
  <c r="R202" i="10"/>
  <c r="R218" i="10"/>
  <c r="R234" i="10"/>
  <c r="R250" i="10"/>
  <c r="R266" i="10"/>
  <c r="R282" i="10"/>
  <c r="R298" i="10"/>
  <c r="R314" i="10"/>
  <c r="R330" i="10"/>
  <c r="R346" i="10"/>
  <c r="R362" i="10"/>
  <c r="R378" i="10"/>
  <c r="R394" i="10"/>
  <c r="R410" i="10"/>
  <c r="R426" i="10"/>
  <c r="R442" i="10"/>
  <c r="R458" i="10"/>
  <c r="T786" i="10"/>
  <c r="S275" i="10"/>
  <c r="S364" i="10"/>
  <c r="S450" i="10"/>
  <c r="S535" i="10"/>
  <c r="S607" i="10"/>
  <c r="S649" i="10"/>
  <c r="S671" i="10"/>
  <c r="S692" i="10"/>
  <c r="S713" i="10"/>
  <c r="S735" i="10"/>
  <c r="S756" i="10"/>
  <c r="S777" i="10"/>
  <c r="S799" i="10"/>
  <c r="S820" i="10"/>
  <c r="S841" i="10"/>
  <c r="S863" i="10"/>
  <c r="R67" i="10"/>
  <c r="R89" i="10"/>
  <c r="R110" i="10"/>
  <c r="R127" i="10"/>
  <c r="R143" i="10"/>
  <c r="R159" i="10"/>
  <c r="R175" i="10"/>
  <c r="R191" i="10"/>
  <c r="R207" i="10"/>
  <c r="R223" i="10"/>
  <c r="R239" i="10"/>
  <c r="R255" i="10"/>
  <c r="R271" i="10"/>
  <c r="R287" i="10"/>
  <c r="R303" i="10"/>
  <c r="R319" i="10"/>
  <c r="R335" i="10"/>
  <c r="R351" i="10"/>
  <c r="R367" i="10"/>
  <c r="R383" i="10"/>
  <c r="R399" i="10"/>
  <c r="R415" i="10"/>
  <c r="R431" i="10"/>
  <c r="R447" i="10"/>
  <c r="R463" i="10"/>
  <c r="R479" i="10"/>
  <c r="R495" i="10"/>
  <c r="R511" i="10"/>
  <c r="R527" i="10"/>
  <c r="R543" i="10"/>
  <c r="R559" i="10"/>
  <c r="R575" i="10"/>
  <c r="R591" i="10"/>
  <c r="R607" i="10"/>
  <c r="R623" i="10"/>
  <c r="R639" i="10"/>
  <c r="R655" i="10"/>
  <c r="R671" i="10"/>
  <c r="R687" i="10"/>
  <c r="R703" i="10"/>
  <c r="R719" i="10"/>
  <c r="R735" i="10"/>
  <c r="R751" i="10"/>
  <c r="R767" i="10"/>
  <c r="R783" i="10"/>
  <c r="R799" i="10"/>
  <c r="R815" i="10"/>
  <c r="R831" i="10"/>
  <c r="R847" i="10"/>
  <c r="R863" i="10"/>
  <c r="S163" i="10"/>
  <c r="S327" i="10"/>
  <c r="S412" i="10"/>
  <c r="S498" i="10"/>
  <c r="S639" i="10"/>
  <c r="S725" i="10"/>
  <c r="S811" i="10"/>
  <c r="R85" i="10"/>
  <c r="R156" i="10"/>
  <c r="R220" i="10"/>
  <c r="R284" i="10"/>
  <c r="R348" i="10"/>
  <c r="R412" i="10"/>
  <c r="R472" i="10"/>
  <c r="R494" i="10"/>
  <c r="R516" i="10"/>
  <c r="R537" i="10"/>
  <c r="R558" i="10"/>
  <c r="R580" i="10"/>
  <c r="R601" i="10"/>
  <c r="R622" i="10"/>
  <c r="R644" i="10"/>
  <c r="R665" i="10"/>
  <c r="R686" i="10"/>
  <c r="R708" i="10"/>
  <c r="R729" i="10"/>
  <c r="R750" i="10"/>
  <c r="R772" i="10"/>
  <c r="R793" i="10"/>
  <c r="R814" i="10"/>
  <c r="R836" i="10"/>
  <c r="R857" i="10"/>
  <c r="R853" i="10"/>
  <c r="R834" i="10"/>
  <c r="S667" i="10"/>
  <c r="S752" i="10"/>
  <c r="S837" i="10"/>
  <c r="R111" i="10"/>
  <c r="R176" i="10"/>
  <c r="R240" i="10"/>
  <c r="R304" i="10"/>
  <c r="R432" i="10"/>
  <c r="R480" i="10"/>
  <c r="R501" i="10"/>
  <c r="R544" i="10"/>
  <c r="R608" i="10"/>
  <c r="R672" i="10"/>
  <c r="R736" i="10"/>
  <c r="R800" i="10"/>
  <c r="S693" i="10"/>
  <c r="R116" i="10"/>
  <c r="R308" i="10"/>
  <c r="R481" i="10"/>
  <c r="R566" i="10"/>
  <c r="R630" i="10"/>
  <c r="R716" i="10"/>
  <c r="T433" i="10"/>
  <c r="T816" i="10"/>
  <c r="T818" i="10"/>
  <c r="S397" i="10"/>
  <c r="S56" i="10"/>
  <c r="S231" i="10"/>
  <c r="S596" i="10"/>
  <c r="S362" i="10"/>
  <c r="S532" i="10"/>
  <c r="T780" i="10"/>
  <c r="S358" i="10"/>
  <c r="S528" i="10"/>
  <c r="S666" i="10"/>
  <c r="S794" i="10"/>
  <c r="R100" i="10"/>
  <c r="S583" i="10"/>
  <c r="S737" i="10"/>
  <c r="S849" i="10"/>
  <c r="R133" i="10"/>
  <c r="R221" i="10"/>
  <c r="R305" i="10"/>
  <c r="R389" i="10"/>
  <c r="T621" i="10"/>
  <c r="S530" i="10"/>
  <c r="S691" i="10"/>
  <c r="S776" i="10"/>
  <c r="S861" i="10"/>
  <c r="R126" i="10"/>
  <c r="R190" i="10"/>
  <c r="R254" i="10"/>
  <c r="R318" i="10"/>
  <c r="R382" i="10"/>
  <c r="R414" i="10"/>
  <c r="R446" i="10"/>
  <c r="S83" i="10"/>
  <c r="S386" i="10"/>
  <c r="S556" i="10"/>
  <c r="S655" i="10"/>
  <c r="S697" i="10"/>
  <c r="S740" i="10"/>
  <c r="S783" i="10"/>
  <c r="S825" i="10"/>
  <c r="R51" i="10"/>
  <c r="R94" i="10"/>
  <c r="R131" i="10"/>
  <c r="R163" i="10"/>
  <c r="R195" i="10"/>
  <c r="R227" i="10"/>
  <c r="R259" i="10"/>
  <c r="R291" i="10"/>
  <c r="R323" i="10"/>
  <c r="R355" i="10"/>
  <c r="R387" i="10"/>
  <c r="R419" i="10"/>
  <c r="R451" i="10"/>
  <c r="R483" i="10"/>
  <c r="R515" i="10"/>
  <c r="R547" i="10"/>
  <c r="R579" i="10"/>
  <c r="R611" i="10"/>
  <c r="R643" i="10"/>
  <c r="R675" i="10"/>
  <c r="R707" i="10"/>
  <c r="R739" i="10"/>
  <c r="R771" i="10"/>
  <c r="R803" i="10"/>
  <c r="R835" i="10"/>
  <c r="T701" i="10"/>
  <c r="S348" i="10"/>
  <c r="S519" i="10"/>
  <c r="S747" i="10"/>
  <c r="R106" i="10"/>
  <c r="R236" i="10"/>
  <c r="R364" i="10"/>
  <c r="R478" i="10"/>
  <c r="R521" i="10"/>
  <c r="R564" i="10"/>
  <c r="R606" i="10"/>
  <c r="R649" i="10"/>
  <c r="R692" i="10"/>
  <c r="R734" i="10"/>
  <c r="R777" i="10"/>
  <c r="R820" i="10"/>
  <c r="R862" i="10"/>
  <c r="R856" i="10"/>
  <c r="S773" i="10"/>
  <c r="R128" i="10"/>
  <c r="R256" i="10"/>
  <c r="R384" i="10"/>
  <c r="R485" i="10"/>
  <c r="R528" i="10"/>
  <c r="R570" i="10"/>
  <c r="R613" i="10"/>
  <c r="R656" i="10"/>
  <c r="R698" i="10"/>
  <c r="R741" i="10"/>
  <c r="R784" i="10"/>
  <c r="R826" i="10"/>
  <c r="S611" i="10"/>
  <c r="S800" i="10"/>
  <c r="R132" i="10"/>
  <c r="R260" i="10"/>
  <c r="R388" i="10"/>
  <c r="R486" i="10"/>
  <c r="R529" i="10"/>
  <c r="R572" i="10"/>
  <c r="R614" i="10"/>
  <c r="R657" i="10"/>
  <c r="R700" i="10"/>
  <c r="R737" i="10"/>
  <c r="R764" i="10"/>
  <c r="R790" i="10"/>
  <c r="R822" i="10"/>
  <c r="R849" i="10"/>
  <c r="S627" i="10"/>
  <c r="S763" i="10"/>
  <c r="R58" i="10"/>
  <c r="R152" i="10"/>
  <c r="R248" i="10"/>
  <c r="R328" i="10"/>
  <c r="R408" i="10"/>
  <c r="R482" i="10"/>
  <c r="R509" i="10"/>
  <c r="R536" i="10"/>
  <c r="R568" i="10"/>
  <c r="R594" i="10"/>
  <c r="R621" i="10"/>
  <c r="R653" i="10"/>
  <c r="R680" i="10"/>
  <c r="R706" i="10"/>
  <c r="R738" i="10"/>
  <c r="R765" i="10"/>
  <c r="R802" i="10"/>
  <c r="R866" i="10"/>
  <c r="R756" i="10"/>
  <c r="R448" i="10"/>
  <c r="R549" i="10"/>
  <c r="R720" i="10"/>
  <c r="R786" i="10"/>
  <c r="R196" i="10"/>
  <c r="R452" i="10"/>
  <c r="R593" i="10"/>
  <c r="R721" i="10"/>
  <c r="R780" i="10"/>
  <c r="R865" i="10"/>
  <c r="R120" i="10"/>
  <c r="R376" i="10"/>
  <c r="R525" i="10"/>
  <c r="R578" i="10"/>
  <c r="R696" i="10"/>
  <c r="R781" i="10"/>
  <c r="R633" i="10"/>
  <c r="R69" i="10"/>
  <c r="R464" i="10"/>
  <c r="R597" i="10"/>
  <c r="R725" i="10"/>
  <c r="R808" i="10"/>
  <c r="R212" i="10"/>
  <c r="R513" i="10"/>
  <c r="R641" i="10"/>
  <c r="R758" i="10"/>
  <c r="R844" i="10"/>
  <c r="S848" i="10"/>
  <c r="R312" i="10"/>
  <c r="R504" i="10"/>
  <c r="T491" i="10"/>
  <c r="T605" i="10"/>
  <c r="S129" i="10"/>
  <c r="S481" i="10"/>
  <c r="S146" i="10"/>
  <c r="S350" i="10"/>
  <c r="T772" i="10"/>
  <c r="S404" i="10"/>
  <c r="S573" i="10"/>
  <c r="S127" i="10"/>
  <c r="S400" i="10"/>
  <c r="S570" i="10"/>
  <c r="S698" i="10"/>
  <c r="S826" i="10"/>
  <c r="S179" i="10"/>
  <c r="S652" i="10"/>
  <c r="S764" i="10"/>
  <c r="R54" i="10"/>
  <c r="R157" i="10"/>
  <c r="R241" i="10"/>
  <c r="R325" i="10"/>
  <c r="R413" i="10"/>
  <c r="S195" i="10"/>
  <c r="S603" i="10"/>
  <c r="S712" i="10"/>
  <c r="S797" i="10"/>
  <c r="R66" i="10"/>
  <c r="R142" i="10"/>
  <c r="R206" i="10"/>
  <c r="R270" i="10"/>
  <c r="R334" i="10"/>
  <c r="R386" i="10"/>
  <c r="R418" i="10"/>
  <c r="R450" i="10"/>
  <c r="S147" i="10"/>
  <c r="S407" i="10"/>
  <c r="S575" i="10"/>
  <c r="S660" i="10"/>
  <c r="S703" i="10"/>
  <c r="S745" i="10"/>
  <c r="S788" i="10"/>
  <c r="S831" i="10"/>
  <c r="R57" i="10"/>
  <c r="R99" i="10"/>
  <c r="R135" i="10"/>
  <c r="R167" i="10"/>
  <c r="R199" i="10"/>
  <c r="R231" i="10"/>
  <c r="R263" i="10"/>
  <c r="R295" i="10"/>
  <c r="R327" i="10"/>
  <c r="R359" i="10"/>
  <c r="R391" i="10"/>
  <c r="R423" i="10"/>
  <c r="R455" i="10"/>
  <c r="R487" i="10"/>
  <c r="R519" i="10"/>
  <c r="R551" i="10"/>
  <c r="R583" i="10"/>
  <c r="R615" i="10"/>
  <c r="R647" i="10"/>
  <c r="R679" i="10"/>
  <c r="R711" i="10"/>
  <c r="R743" i="10"/>
  <c r="R775" i="10"/>
  <c r="R807" i="10"/>
  <c r="R839" i="10"/>
  <c r="T814" i="10"/>
  <c r="S370" i="10"/>
  <c r="S540" i="10"/>
  <c r="S768" i="10"/>
  <c r="R124" i="10"/>
  <c r="R252" i="10"/>
  <c r="R380" i="10"/>
  <c r="R484" i="10"/>
  <c r="R526" i="10"/>
  <c r="R569" i="10"/>
  <c r="R612" i="10"/>
  <c r="R654" i="10"/>
  <c r="R697" i="10"/>
  <c r="R740" i="10"/>
  <c r="R782" i="10"/>
  <c r="R825" i="10"/>
  <c r="R832" i="10"/>
  <c r="S595" i="10"/>
  <c r="S795" i="10"/>
  <c r="R144" i="10"/>
  <c r="R272" i="10"/>
  <c r="R400" i="10"/>
  <c r="R490" i="10"/>
  <c r="R533" i="10"/>
  <c r="R576" i="10"/>
  <c r="R618" i="10"/>
  <c r="R661" i="10"/>
  <c r="R704" i="10"/>
  <c r="R746" i="10"/>
  <c r="R789" i="10"/>
  <c r="R837" i="10"/>
  <c r="S651" i="10"/>
  <c r="S821" i="10"/>
  <c r="R148" i="10"/>
  <c r="R276" i="10"/>
  <c r="R404" i="10"/>
  <c r="R492" i="10"/>
  <c r="R534" i="10"/>
  <c r="R577" i="10"/>
  <c r="R620" i="10"/>
  <c r="R662" i="10"/>
  <c r="R705" i="10"/>
  <c r="R742" i="10"/>
  <c r="R769" i="10"/>
  <c r="R801" i="10"/>
  <c r="R828" i="10"/>
  <c r="R854" i="10"/>
  <c r="S677" i="10"/>
  <c r="S784" i="10"/>
  <c r="R79" i="10"/>
  <c r="R184" i="10"/>
  <c r="R264" i="10"/>
  <c r="R344" i="10"/>
  <c r="R440" i="10"/>
  <c r="R488" i="10"/>
  <c r="R514" i="10"/>
  <c r="R546" i="10"/>
  <c r="R573" i="10"/>
  <c r="R600" i="10"/>
  <c r="R632" i="10"/>
  <c r="R658" i="10"/>
  <c r="R685" i="10"/>
  <c r="R717" i="10"/>
  <c r="R744" i="10"/>
  <c r="R770" i="10"/>
  <c r="R824" i="10"/>
  <c r="T747" i="10"/>
  <c r="S84" i="10"/>
  <c r="S225" i="10"/>
  <c r="T237" i="10"/>
  <c r="S230" i="10"/>
  <c r="S435" i="10"/>
  <c r="S251" i="10"/>
  <c r="S447" i="10"/>
  <c r="S605" i="10"/>
  <c r="S255" i="10"/>
  <c r="S443" i="10"/>
  <c r="S602" i="10"/>
  <c r="S730" i="10"/>
  <c r="S858" i="10"/>
  <c r="S375" i="10"/>
  <c r="S679" i="10"/>
  <c r="S791" i="10"/>
  <c r="R86" i="10"/>
  <c r="R177" i="10"/>
  <c r="R261" i="10"/>
  <c r="R349" i="10"/>
  <c r="R433" i="10"/>
  <c r="S359" i="10"/>
  <c r="S648" i="10"/>
  <c r="S733" i="10"/>
  <c r="S819" i="10"/>
  <c r="R87" i="10"/>
  <c r="R158" i="10"/>
  <c r="R222" i="10"/>
  <c r="R286" i="10"/>
  <c r="R350" i="10"/>
  <c r="R398" i="10"/>
  <c r="R430" i="10"/>
  <c r="R462" i="10"/>
  <c r="S300" i="10"/>
  <c r="S471" i="10"/>
  <c r="S623" i="10"/>
  <c r="S676" i="10"/>
  <c r="S719" i="10"/>
  <c r="S761" i="10"/>
  <c r="S804" i="10"/>
  <c r="S847" i="10"/>
  <c r="R73" i="10"/>
  <c r="R115" i="10"/>
  <c r="R147" i="10"/>
  <c r="R179" i="10"/>
  <c r="R211" i="10"/>
  <c r="R243" i="10"/>
  <c r="R275" i="10"/>
  <c r="R307" i="10"/>
  <c r="R339" i="10"/>
  <c r="R371" i="10"/>
  <c r="R403" i="10"/>
  <c r="R435" i="10"/>
  <c r="R467" i="10"/>
  <c r="R499" i="10"/>
  <c r="R531" i="10"/>
  <c r="R563" i="10"/>
  <c r="R595" i="10"/>
  <c r="R627" i="10"/>
  <c r="R659" i="10"/>
  <c r="R691" i="10"/>
  <c r="R723" i="10"/>
  <c r="R755" i="10"/>
  <c r="R787" i="10"/>
  <c r="R819" i="10"/>
  <c r="R851" i="10"/>
  <c r="S227" i="10"/>
  <c r="S434" i="10"/>
  <c r="S661" i="10"/>
  <c r="S832" i="10"/>
  <c r="R172" i="10"/>
  <c r="R300" i="10"/>
  <c r="R428" i="10"/>
  <c r="R500" i="10"/>
  <c r="R542" i="10"/>
  <c r="R585" i="10"/>
  <c r="R628" i="10"/>
  <c r="R670" i="10"/>
  <c r="R713" i="10"/>
  <c r="R798" i="10"/>
  <c r="R841" i="10"/>
  <c r="R864" i="10"/>
  <c r="S688" i="10"/>
  <c r="S859" i="10"/>
  <c r="R192" i="10"/>
  <c r="R320" i="10"/>
  <c r="R506" i="10"/>
  <c r="R592" i="10"/>
  <c r="R634" i="10"/>
  <c r="R677" i="10"/>
  <c r="R762" i="10"/>
  <c r="R805" i="10"/>
  <c r="S715" i="10"/>
  <c r="R53" i="10"/>
  <c r="R324" i="10"/>
  <c r="R508" i="10"/>
  <c r="R550" i="10"/>
  <c r="R636" i="10"/>
  <c r="R678" i="10"/>
  <c r="R748" i="10"/>
  <c r="R806" i="10"/>
  <c r="R833" i="10"/>
  <c r="S699" i="10"/>
  <c r="S805" i="10"/>
  <c r="R200" i="10"/>
  <c r="R280" i="10"/>
  <c r="R456" i="10"/>
  <c r="R493" i="10"/>
  <c r="R552" i="10"/>
  <c r="R610" i="10"/>
  <c r="R637" i="10"/>
  <c r="R664" i="10"/>
  <c r="R722" i="10"/>
  <c r="R749" i="10"/>
  <c r="R840" i="10"/>
  <c r="R590" i="10"/>
  <c r="R676" i="10"/>
  <c r="R718" i="10"/>
  <c r="R761" i="10"/>
  <c r="R804" i="10"/>
  <c r="R846" i="10"/>
  <c r="R797" i="10"/>
  <c r="S709" i="10"/>
  <c r="R208" i="10"/>
  <c r="R336" i="10"/>
  <c r="R512" i="10"/>
  <c r="R554" i="10"/>
  <c r="R640" i="10"/>
  <c r="R682" i="10"/>
  <c r="R768" i="10"/>
  <c r="R810" i="10"/>
  <c r="S736" i="10"/>
  <c r="R74" i="10"/>
  <c r="R340" i="10"/>
  <c r="R468" i="10"/>
  <c r="R556" i="10"/>
  <c r="R598" i="10"/>
  <c r="R684" i="10"/>
  <c r="R726" i="10"/>
  <c r="R785" i="10"/>
  <c r="R812" i="10"/>
  <c r="S562" i="10"/>
  <c r="S720" i="10"/>
  <c r="R136" i="10"/>
  <c r="R216" i="10"/>
  <c r="R392" i="10"/>
  <c r="R470" i="10"/>
  <c r="R530" i="10"/>
  <c r="R557" i="10"/>
  <c r="R589" i="10"/>
  <c r="R616" i="10"/>
  <c r="R642" i="10"/>
  <c r="R674" i="10"/>
  <c r="R701" i="10"/>
  <c r="R728" i="10"/>
  <c r="R760" i="10"/>
  <c r="R792" i="10"/>
  <c r="R845" i="10"/>
  <c r="T271" i="10"/>
  <c r="S252" i="10"/>
  <c r="S313" i="10"/>
  <c r="T742" i="10"/>
  <c r="T765" i="10"/>
  <c r="S520" i="10"/>
  <c r="S319" i="10"/>
  <c r="S490" i="10"/>
  <c r="S637" i="10"/>
  <c r="S315" i="10"/>
  <c r="S486" i="10"/>
  <c r="S634" i="10"/>
  <c r="S762" i="10"/>
  <c r="R68" i="10"/>
  <c r="S482" i="10"/>
  <c r="S705" i="10"/>
  <c r="S823" i="10"/>
  <c r="R113" i="10"/>
  <c r="R197" i="10"/>
  <c r="R285" i="10"/>
  <c r="R369" i="10"/>
  <c r="R453" i="10"/>
  <c r="S444" i="10"/>
  <c r="S669" i="10"/>
  <c r="S755" i="10"/>
  <c r="S840" i="10"/>
  <c r="R109" i="10"/>
  <c r="R174" i="10"/>
  <c r="R238" i="10"/>
  <c r="R302" i="10"/>
  <c r="R366" i="10"/>
  <c r="R402" i="10"/>
  <c r="R434" i="10"/>
  <c r="R466" i="10"/>
  <c r="S322" i="10"/>
  <c r="S492" i="10"/>
  <c r="S636" i="10"/>
  <c r="S681" i="10"/>
  <c r="S724" i="10"/>
  <c r="S767" i="10"/>
  <c r="S809" i="10"/>
  <c r="S852" i="10"/>
  <c r="R78" i="10"/>
  <c r="R119" i="10"/>
  <c r="R151" i="10"/>
  <c r="R183" i="10"/>
  <c r="R215" i="10"/>
  <c r="R247" i="10"/>
  <c r="R279" i="10"/>
  <c r="R311" i="10"/>
  <c r="R343" i="10"/>
  <c r="R375" i="10"/>
  <c r="R407" i="10"/>
  <c r="R439" i="10"/>
  <c r="R471" i="10"/>
  <c r="R503" i="10"/>
  <c r="R535" i="10"/>
  <c r="R567" i="10"/>
  <c r="R599" i="10"/>
  <c r="R631" i="10"/>
  <c r="R663" i="10"/>
  <c r="R695" i="10"/>
  <c r="R727" i="10"/>
  <c r="R759" i="10"/>
  <c r="R791" i="10"/>
  <c r="R823" i="10"/>
  <c r="R855" i="10"/>
  <c r="S284" i="10"/>
  <c r="S455" i="10"/>
  <c r="S683" i="10"/>
  <c r="S853" i="10"/>
  <c r="R188" i="10"/>
  <c r="R316" i="10"/>
  <c r="R444" i="10"/>
  <c r="R505" i="10"/>
  <c r="R548" i="10"/>
  <c r="P65" i="10"/>
  <c r="P69" i="10"/>
  <c r="P73" i="10"/>
  <c r="P77" i="10"/>
  <c r="P66" i="10"/>
  <c r="P70" i="10"/>
  <c r="P74" i="10"/>
  <c r="P78" i="10"/>
  <c r="P82" i="10"/>
  <c r="P86" i="10"/>
  <c r="P90" i="10"/>
  <c r="P94" i="10"/>
  <c r="P98" i="10"/>
  <c r="P102" i="10"/>
  <c r="P106" i="10"/>
  <c r="P110" i="10"/>
  <c r="P114" i="10"/>
  <c r="P118" i="10"/>
  <c r="P122" i="10"/>
  <c r="P126" i="10"/>
  <c r="P130" i="10"/>
  <c r="P134" i="10"/>
  <c r="P138" i="10"/>
  <c r="P142" i="10"/>
  <c r="P146" i="10"/>
  <c r="P150" i="10"/>
  <c r="P154" i="10"/>
  <c r="P158" i="10"/>
  <c r="P162" i="10"/>
  <c r="P166" i="10"/>
  <c r="P170" i="10"/>
  <c r="P174" i="10"/>
  <c r="P178" i="10"/>
  <c r="P182" i="10"/>
  <c r="P186" i="10"/>
  <c r="P190" i="10"/>
  <c r="P194" i="10"/>
  <c r="P198" i="10"/>
  <c r="P202" i="10"/>
  <c r="P206" i="10"/>
  <c r="P210" i="10"/>
  <c r="P214" i="10"/>
  <c r="P218" i="10"/>
  <c r="P222" i="10"/>
  <c r="P226" i="10"/>
  <c r="P230" i="10"/>
  <c r="P234" i="10"/>
  <c r="P238" i="10"/>
  <c r="P242" i="10"/>
  <c r="P246" i="10"/>
  <c r="P250" i="10"/>
  <c r="P254" i="10"/>
  <c r="P258" i="10"/>
  <c r="P262" i="10"/>
  <c r="P266" i="10"/>
  <c r="P270" i="10"/>
  <c r="P274" i="10"/>
  <c r="P278" i="10"/>
  <c r="P282" i="10"/>
  <c r="P286" i="10"/>
  <c r="P290" i="10"/>
  <c r="P294" i="10"/>
  <c r="P298" i="10"/>
  <c r="P302" i="10"/>
  <c r="P306" i="10"/>
  <c r="P310" i="10"/>
  <c r="P314" i="10"/>
  <c r="P318" i="10"/>
  <c r="P322" i="10"/>
  <c r="P326" i="10"/>
  <c r="P330" i="10"/>
  <c r="P334" i="10"/>
  <c r="P338" i="10"/>
  <c r="P342" i="10"/>
  <c r="P346" i="10"/>
  <c r="P350" i="10"/>
  <c r="P354" i="10"/>
  <c r="P358" i="10"/>
  <c r="P67" i="10"/>
  <c r="P71" i="10"/>
  <c r="P75" i="10"/>
  <c r="P79" i="10"/>
  <c r="P83" i="10"/>
  <c r="P87" i="10"/>
  <c r="P91" i="10"/>
  <c r="P95" i="10"/>
  <c r="P99" i="10"/>
  <c r="P103" i="10"/>
  <c r="P107" i="10"/>
  <c r="P111" i="10"/>
  <c r="P115" i="10"/>
  <c r="P119" i="10"/>
  <c r="P123" i="10"/>
  <c r="P127" i="10"/>
  <c r="P131" i="10"/>
  <c r="P135" i="10"/>
  <c r="P139" i="10"/>
  <c r="P143" i="10"/>
  <c r="P147" i="10"/>
  <c r="P151" i="10"/>
  <c r="P155" i="10"/>
  <c r="P159" i="10"/>
  <c r="P163" i="10"/>
  <c r="P167" i="10"/>
  <c r="P171" i="10"/>
  <c r="P175" i="10"/>
  <c r="P179" i="10"/>
  <c r="P183" i="10"/>
  <c r="P187" i="10"/>
  <c r="P191" i="10"/>
  <c r="P195" i="10"/>
  <c r="P199" i="10"/>
  <c r="P203" i="10"/>
  <c r="P207" i="10"/>
  <c r="P211" i="10"/>
  <c r="P215" i="10"/>
  <c r="P219" i="10"/>
  <c r="P223" i="10"/>
  <c r="P227" i="10"/>
  <c r="P231" i="10"/>
  <c r="P235" i="10"/>
  <c r="P239" i="10"/>
  <c r="P243" i="10"/>
  <c r="P247" i="10"/>
  <c r="P251" i="10"/>
  <c r="P255" i="10"/>
  <c r="P259" i="10"/>
  <c r="P263" i="10"/>
  <c r="P267" i="10"/>
  <c r="P271" i="10"/>
  <c r="P275" i="10"/>
  <c r="P279" i="10"/>
  <c r="P283" i="10"/>
  <c r="P287" i="10"/>
  <c r="P291" i="10"/>
  <c r="P295" i="10"/>
  <c r="P299" i="10"/>
  <c r="P303" i="10"/>
  <c r="P76" i="10"/>
  <c r="P85" i="10"/>
  <c r="P93" i="10"/>
  <c r="P101" i="10"/>
  <c r="P109" i="10"/>
  <c r="P117" i="10"/>
  <c r="P125" i="10"/>
  <c r="P133" i="10"/>
  <c r="P141" i="10"/>
  <c r="P149" i="10"/>
  <c r="P157" i="10"/>
  <c r="P165" i="10"/>
  <c r="P173" i="10"/>
  <c r="P181" i="10"/>
  <c r="P189" i="10"/>
  <c r="P197" i="10"/>
  <c r="P205" i="10"/>
  <c r="P213" i="10"/>
  <c r="P221" i="10"/>
  <c r="P229" i="10"/>
  <c r="P237" i="10"/>
  <c r="P245" i="10"/>
  <c r="P253" i="10"/>
  <c r="P261" i="10"/>
  <c r="P269" i="10"/>
  <c r="P277" i="10"/>
  <c r="P285" i="10"/>
  <c r="P293" i="10"/>
  <c r="P301" i="10"/>
  <c r="P308" i="10"/>
  <c r="P313" i="10"/>
  <c r="P319" i="10"/>
  <c r="P324" i="10"/>
  <c r="P329" i="10"/>
  <c r="P335" i="10"/>
  <c r="P340" i="10"/>
  <c r="P345" i="10"/>
  <c r="P351" i="10"/>
  <c r="P356" i="10"/>
  <c r="P361" i="10"/>
  <c r="P365" i="10"/>
  <c r="P369" i="10"/>
  <c r="P373" i="10"/>
  <c r="P377" i="10"/>
  <c r="P381" i="10"/>
  <c r="P385" i="10"/>
  <c r="P389" i="10"/>
  <c r="P393" i="10"/>
  <c r="P397" i="10"/>
  <c r="P401" i="10"/>
  <c r="P405" i="10"/>
  <c r="P409" i="10"/>
  <c r="P413" i="10"/>
  <c r="P417" i="10"/>
  <c r="P421" i="10"/>
  <c r="P425" i="10"/>
  <c r="P429" i="10"/>
  <c r="P433" i="10"/>
  <c r="P437" i="10"/>
  <c r="P441" i="10"/>
  <c r="P445" i="10"/>
  <c r="P449" i="10"/>
  <c r="P453" i="10"/>
  <c r="P457" i="10"/>
  <c r="P461" i="10"/>
  <c r="P465" i="10"/>
  <c r="P469" i="10"/>
  <c r="P473" i="10"/>
  <c r="P477" i="10"/>
  <c r="P481" i="10"/>
  <c r="P485" i="10"/>
  <c r="P489" i="10"/>
  <c r="P493" i="10"/>
  <c r="P497" i="10"/>
  <c r="P501" i="10"/>
  <c r="P505" i="10"/>
  <c r="P509" i="10"/>
  <c r="P513" i="10"/>
  <c r="P517" i="10"/>
  <c r="P521" i="10"/>
  <c r="P525" i="10"/>
  <c r="P529" i="10"/>
  <c r="P64" i="10"/>
  <c r="P80" i="10"/>
  <c r="P88" i="10"/>
  <c r="P96" i="10"/>
  <c r="P104" i="10"/>
  <c r="P112" i="10"/>
  <c r="P120" i="10"/>
  <c r="P128" i="10"/>
  <c r="P136" i="10"/>
  <c r="P144" i="10"/>
  <c r="P152" i="10"/>
  <c r="P160" i="10"/>
  <c r="P168" i="10"/>
  <c r="P176" i="10"/>
  <c r="P184" i="10"/>
  <c r="P192" i="10"/>
  <c r="P200" i="10"/>
  <c r="P208" i="10"/>
  <c r="P216" i="10"/>
  <c r="P224" i="10"/>
  <c r="P232" i="10"/>
  <c r="P240" i="10"/>
  <c r="P248" i="10"/>
  <c r="P256" i="10"/>
  <c r="P264" i="10"/>
  <c r="P272" i="10"/>
  <c r="P280" i="10"/>
  <c r="P288" i="10"/>
  <c r="P296" i="10"/>
  <c r="P304" i="10"/>
  <c r="P309" i="10"/>
  <c r="P315" i="10"/>
  <c r="P320" i="10"/>
  <c r="P325" i="10"/>
  <c r="P331" i="10"/>
  <c r="P336" i="10"/>
  <c r="P341" i="10"/>
  <c r="P347" i="10"/>
  <c r="P352" i="10"/>
  <c r="P357" i="10"/>
  <c r="P362" i="10"/>
  <c r="P366" i="10"/>
  <c r="P370" i="10"/>
  <c r="P374" i="10"/>
  <c r="P378" i="10"/>
  <c r="P382" i="10"/>
  <c r="P386" i="10"/>
  <c r="P390" i="10"/>
  <c r="P394" i="10"/>
  <c r="P398" i="10"/>
  <c r="P402" i="10"/>
  <c r="P406" i="10"/>
  <c r="P410" i="10"/>
  <c r="P414" i="10"/>
  <c r="P418" i="10"/>
  <c r="P422" i="10"/>
  <c r="P426" i="10"/>
  <c r="P430" i="10"/>
  <c r="P434" i="10"/>
  <c r="P438" i="10"/>
  <c r="P442" i="10"/>
  <c r="P446" i="10"/>
  <c r="P450" i="10"/>
  <c r="P454" i="10"/>
  <c r="P458" i="10"/>
  <c r="P462" i="10"/>
  <c r="P466" i="10"/>
  <c r="P470" i="10"/>
  <c r="P474" i="10"/>
  <c r="P478" i="10"/>
  <c r="P482" i="10"/>
  <c r="P486" i="10"/>
  <c r="P490" i="10"/>
  <c r="P494" i="10"/>
  <c r="P498" i="10"/>
  <c r="P502" i="10"/>
  <c r="P506" i="10"/>
  <c r="P510" i="10"/>
  <c r="P514" i="10"/>
  <c r="P518" i="10"/>
  <c r="P522" i="10"/>
  <c r="P526" i="10"/>
  <c r="P530" i="10"/>
  <c r="P534" i="10"/>
  <c r="P538" i="10"/>
  <c r="P542" i="10"/>
  <c r="P546" i="10"/>
  <c r="P550" i="10"/>
  <c r="P554" i="10"/>
  <c r="P558" i="10"/>
  <c r="P562" i="10"/>
  <c r="P566" i="10"/>
  <c r="P570" i="10"/>
  <c r="P574" i="10"/>
  <c r="P578" i="10"/>
  <c r="P582" i="10"/>
  <c r="P586" i="10"/>
  <c r="P590" i="10"/>
  <c r="P594" i="10"/>
  <c r="P72" i="10"/>
  <c r="P84" i="10"/>
  <c r="P92" i="10"/>
  <c r="P100" i="10"/>
  <c r="P108" i="10"/>
  <c r="P116" i="10"/>
  <c r="P124" i="10"/>
  <c r="P132" i="10"/>
  <c r="P140" i="10"/>
  <c r="P148" i="10"/>
  <c r="P156" i="10"/>
  <c r="P164" i="10"/>
  <c r="P172" i="10"/>
  <c r="P180" i="10"/>
  <c r="P188" i="10"/>
  <c r="P196" i="10"/>
  <c r="P204" i="10"/>
  <c r="P212" i="10"/>
  <c r="P220" i="10"/>
  <c r="P228" i="10"/>
  <c r="P236" i="10"/>
  <c r="P244" i="10"/>
  <c r="P252" i="10"/>
  <c r="P260" i="10"/>
  <c r="P268" i="10"/>
  <c r="P276" i="10"/>
  <c r="P284" i="10"/>
  <c r="P292" i="10"/>
  <c r="P300" i="10"/>
  <c r="P307" i="10"/>
  <c r="P312" i="10"/>
  <c r="P317" i="10"/>
  <c r="P323" i="10"/>
  <c r="P328" i="10"/>
  <c r="P333" i="10"/>
  <c r="P339" i="10"/>
  <c r="P344" i="10"/>
  <c r="P349" i="10"/>
  <c r="P355" i="10"/>
  <c r="P360" i="10"/>
  <c r="P364" i="10"/>
  <c r="P368" i="10"/>
  <c r="P372" i="10"/>
  <c r="P376" i="10"/>
  <c r="P380" i="10"/>
  <c r="P384" i="10"/>
  <c r="P388" i="10"/>
  <c r="P392" i="10"/>
  <c r="P396" i="10"/>
  <c r="P400" i="10"/>
  <c r="P404" i="10"/>
  <c r="P408" i="10"/>
  <c r="P412" i="10"/>
  <c r="P416" i="10"/>
  <c r="P420" i="10"/>
  <c r="P424" i="10"/>
  <c r="P428" i="10"/>
  <c r="P432" i="10"/>
  <c r="P436" i="10"/>
  <c r="P440" i="10"/>
  <c r="P444" i="10"/>
  <c r="P448" i="10"/>
  <c r="P452" i="10"/>
  <c r="P456" i="10"/>
  <c r="P460" i="10"/>
  <c r="P464" i="10"/>
  <c r="P468" i="10"/>
  <c r="P472" i="10"/>
  <c r="P476" i="10"/>
  <c r="P480" i="10"/>
  <c r="P484" i="10"/>
  <c r="P488" i="10"/>
  <c r="P492" i="10"/>
  <c r="P496" i="10"/>
  <c r="P500" i="10"/>
  <c r="P504" i="10"/>
  <c r="P508" i="10"/>
  <c r="P512" i="10"/>
  <c r="P516" i="10"/>
  <c r="P520" i="10"/>
  <c r="P524" i="10"/>
  <c r="P528" i="10"/>
  <c r="P97" i="10"/>
  <c r="P129" i="10"/>
  <c r="P161" i="10"/>
  <c r="P193" i="10"/>
  <c r="P225" i="10"/>
  <c r="P257" i="10"/>
  <c r="P289" i="10"/>
  <c r="P316" i="10"/>
  <c r="P337" i="10"/>
  <c r="P359" i="10"/>
  <c r="P375" i="10"/>
  <c r="P391" i="10"/>
  <c r="P407" i="10"/>
  <c r="P423" i="10"/>
  <c r="P439" i="10"/>
  <c r="P455" i="10"/>
  <c r="P471" i="10"/>
  <c r="P487" i="10"/>
  <c r="P503" i="10"/>
  <c r="P519" i="10"/>
  <c r="P532" i="10"/>
  <c r="P537" i="10"/>
  <c r="P543" i="10"/>
  <c r="P548" i="10"/>
  <c r="P553" i="10"/>
  <c r="P559" i="10"/>
  <c r="P564" i="10"/>
  <c r="P569" i="10"/>
  <c r="P575" i="10"/>
  <c r="P580" i="10"/>
  <c r="P585" i="10"/>
  <c r="P591" i="10"/>
  <c r="P596" i="10"/>
  <c r="P600" i="10"/>
  <c r="P604" i="10"/>
  <c r="P608" i="10"/>
  <c r="P612" i="10"/>
  <c r="P616" i="10"/>
  <c r="P620" i="10"/>
  <c r="P624" i="10"/>
  <c r="P628" i="10"/>
  <c r="P632" i="10"/>
  <c r="P636" i="10"/>
  <c r="P640" i="10"/>
  <c r="P644" i="10"/>
  <c r="P648" i="10"/>
  <c r="P652" i="10"/>
  <c r="P656" i="10"/>
  <c r="P660" i="10"/>
  <c r="P664" i="10"/>
  <c r="P668" i="10"/>
  <c r="P672" i="10"/>
  <c r="P676" i="10"/>
  <c r="P680" i="10"/>
  <c r="P684" i="10"/>
  <c r="P688" i="10"/>
  <c r="P692" i="10"/>
  <c r="P696" i="10"/>
  <c r="P700" i="10"/>
  <c r="P704" i="10"/>
  <c r="P708" i="10"/>
  <c r="P712" i="10"/>
  <c r="P716" i="10"/>
  <c r="P720" i="10"/>
  <c r="P724" i="10"/>
  <c r="P728" i="10"/>
  <c r="P732" i="10"/>
  <c r="P736" i="10"/>
  <c r="P740" i="10"/>
  <c r="P744" i="10"/>
  <c r="P68" i="10"/>
  <c r="P105" i="10"/>
  <c r="P137" i="10"/>
  <c r="P169" i="10"/>
  <c r="P201" i="10"/>
  <c r="P233" i="10"/>
  <c r="P265" i="10"/>
  <c r="P297" i="10"/>
  <c r="P321" i="10"/>
  <c r="P343" i="10"/>
  <c r="P363" i="10"/>
  <c r="P379" i="10"/>
  <c r="P395" i="10"/>
  <c r="P411" i="10"/>
  <c r="P427" i="10"/>
  <c r="P443" i="10"/>
  <c r="P459" i="10"/>
  <c r="P475" i="10"/>
  <c r="P491" i="10"/>
  <c r="P507" i="10"/>
  <c r="P523" i="10"/>
  <c r="P533" i="10"/>
  <c r="P539" i="10"/>
  <c r="P544" i="10"/>
  <c r="P549" i="10"/>
  <c r="P555" i="10"/>
  <c r="P560" i="10"/>
  <c r="P565" i="10"/>
  <c r="P571" i="10"/>
  <c r="P576" i="10"/>
  <c r="P581" i="10"/>
  <c r="P587" i="10"/>
  <c r="P592" i="10"/>
  <c r="P597" i="10"/>
  <c r="P601" i="10"/>
  <c r="P605" i="10"/>
  <c r="P609" i="10"/>
  <c r="P613" i="10"/>
  <c r="P617" i="10"/>
  <c r="P621" i="10"/>
  <c r="P625" i="10"/>
  <c r="P629" i="10"/>
  <c r="P633" i="10"/>
  <c r="P637" i="10"/>
  <c r="P641" i="10"/>
  <c r="P645" i="10"/>
  <c r="P649" i="10"/>
  <c r="P653" i="10"/>
  <c r="P657" i="10"/>
  <c r="P661" i="10"/>
  <c r="P665" i="10"/>
  <c r="P669" i="10"/>
  <c r="P673" i="10"/>
  <c r="P677" i="10"/>
  <c r="P681" i="10"/>
  <c r="P685" i="10"/>
  <c r="P689" i="10"/>
  <c r="P693" i="10"/>
  <c r="P697" i="10"/>
  <c r="P701" i="10"/>
  <c r="P705" i="10"/>
  <c r="P709" i="10"/>
  <c r="P713" i="10"/>
  <c r="P717" i="10"/>
  <c r="P721" i="10"/>
  <c r="P725" i="10"/>
  <c r="P729" i="10"/>
  <c r="P733" i="10"/>
  <c r="P737" i="10"/>
  <c r="P741" i="10"/>
  <c r="P745" i="10"/>
  <c r="P749" i="10"/>
  <c r="P753" i="10"/>
  <c r="P757" i="10"/>
  <c r="P761" i="10"/>
  <c r="P765" i="10"/>
  <c r="P769" i="10"/>
  <c r="P773" i="10"/>
  <c r="P777" i="10"/>
  <c r="P781" i="10"/>
  <c r="P785" i="10"/>
  <c r="P789" i="10"/>
  <c r="P793" i="10"/>
  <c r="P797" i="10"/>
  <c r="P801" i="10"/>
  <c r="P805" i="10"/>
  <c r="P809" i="10"/>
  <c r="P813" i="10"/>
  <c r="P817" i="10"/>
  <c r="P821" i="10"/>
  <c r="P825" i="10"/>
  <c r="P829" i="10"/>
  <c r="P833" i="10"/>
  <c r="P837" i="10"/>
  <c r="P841" i="10"/>
  <c r="P845" i="10"/>
  <c r="P849" i="10"/>
  <c r="P853" i="10"/>
  <c r="P857" i="10"/>
  <c r="P861" i="10"/>
  <c r="P865" i="10"/>
  <c r="P36" i="10"/>
  <c r="P40" i="10"/>
  <c r="P44" i="10"/>
  <c r="P48" i="10"/>
  <c r="P52" i="10"/>
  <c r="P56" i="10"/>
  <c r="P60" i="10"/>
  <c r="P33" i="10"/>
  <c r="P81" i="10"/>
  <c r="P113" i="10"/>
  <c r="P145" i="10"/>
  <c r="P177" i="10"/>
  <c r="P209" i="10"/>
  <c r="P241" i="10"/>
  <c r="P273" i="10"/>
  <c r="P305" i="10"/>
  <c r="P327" i="10"/>
  <c r="P348" i="10"/>
  <c r="P367" i="10"/>
  <c r="P383" i="10"/>
  <c r="P399" i="10"/>
  <c r="P415" i="10"/>
  <c r="P431" i="10"/>
  <c r="P447" i="10"/>
  <c r="P463" i="10"/>
  <c r="P479" i="10"/>
  <c r="P495" i="10"/>
  <c r="P511" i="10"/>
  <c r="P527" i="10"/>
  <c r="P535" i="10"/>
  <c r="P540" i="10"/>
  <c r="P545" i="10"/>
  <c r="P551" i="10"/>
  <c r="P556" i="10"/>
  <c r="P561" i="10"/>
  <c r="P567" i="10"/>
  <c r="P572" i="10"/>
  <c r="P577" i="10"/>
  <c r="P583" i="10"/>
  <c r="P588" i="10"/>
  <c r="P593" i="10"/>
  <c r="P598" i="10"/>
  <c r="P602" i="10"/>
  <c r="P606" i="10"/>
  <c r="P610" i="10"/>
  <c r="P614" i="10"/>
  <c r="P618" i="10"/>
  <c r="P622" i="10"/>
  <c r="P626" i="10"/>
  <c r="P630" i="10"/>
  <c r="P634" i="10"/>
  <c r="P638" i="10"/>
  <c r="P642" i="10"/>
  <c r="P646" i="10"/>
  <c r="P650" i="10"/>
  <c r="P654" i="10"/>
  <c r="P658" i="10"/>
  <c r="P662" i="10"/>
  <c r="P666" i="10"/>
  <c r="P670" i="10"/>
  <c r="P674" i="10"/>
  <c r="P678" i="10"/>
  <c r="P682" i="10"/>
  <c r="P686" i="10"/>
  <c r="P690" i="10"/>
  <c r="P694" i="10"/>
  <c r="P698" i="10"/>
  <c r="P702" i="10"/>
  <c r="P121" i="10"/>
  <c r="P249" i="10"/>
  <c r="P353" i="10"/>
  <c r="P419" i="10"/>
  <c r="P483" i="10"/>
  <c r="P536" i="10"/>
  <c r="P557" i="10"/>
  <c r="P579" i="10"/>
  <c r="P599" i="10"/>
  <c r="P615" i="10"/>
  <c r="P631" i="10"/>
  <c r="P647" i="10"/>
  <c r="P663" i="10"/>
  <c r="P679" i="10"/>
  <c r="P695" i="10"/>
  <c r="P707" i="10"/>
  <c r="P715" i="10"/>
  <c r="P723" i="10"/>
  <c r="P731" i="10"/>
  <c r="P739" i="10"/>
  <c r="P747" i="10"/>
  <c r="P752" i="10"/>
  <c r="P758" i="10"/>
  <c r="P763" i="10"/>
  <c r="P768" i="10"/>
  <c r="P774" i="10"/>
  <c r="P779" i="10"/>
  <c r="P784" i="10"/>
  <c r="P790" i="10"/>
  <c r="P795" i="10"/>
  <c r="P800" i="10"/>
  <c r="P806" i="10"/>
  <c r="P811" i="10"/>
  <c r="P816" i="10"/>
  <c r="P822" i="10"/>
  <c r="P827" i="10"/>
  <c r="P832" i="10"/>
  <c r="P838" i="10"/>
  <c r="P843" i="10"/>
  <c r="P848" i="10"/>
  <c r="P854" i="10"/>
  <c r="P859" i="10"/>
  <c r="P864" i="10"/>
  <c r="P37" i="10"/>
  <c r="P42" i="10"/>
  <c r="P47" i="10"/>
  <c r="P53" i="10"/>
  <c r="P58" i="10"/>
  <c r="P63" i="10"/>
  <c r="P743" i="10"/>
  <c r="P771" i="10"/>
  <c r="P787" i="10"/>
  <c r="P798" i="10"/>
  <c r="P814" i="10"/>
  <c r="P830" i="10"/>
  <c r="P846" i="10"/>
  <c r="P856" i="10"/>
  <c r="P39" i="10"/>
  <c r="P50" i="10"/>
  <c r="P217" i="10"/>
  <c r="P794" i="10"/>
  <c r="P826" i="10"/>
  <c r="P847" i="10"/>
  <c r="P863" i="10"/>
  <c r="P51" i="10"/>
  <c r="P153" i="10"/>
  <c r="P281" i="10"/>
  <c r="P371" i="10"/>
  <c r="P435" i="10"/>
  <c r="P499" i="10"/>
  <c r="P541" i="10"/>
  <c r="P563" i="10"/>
  <c r="P584" i="10"/>
  <c r="P603" i="10"/>
  <c r="P619" i="10"/>
  <c r="P635" i="10"/>
  <c r="P651" i="10"/>
  <c r="P667" i="10"/>
  <c r="P683" i="10"/>
  <c r="P699" i="10"/>
  <c r="P710" i="10"/>
  <c r="P718" i="10"/>
  <c r="P726" i="10"/>
  <c r="P734" i="10"/>
  <c r="P742" i="10"/>
  <c r="P748" i="10"/>
  <c r="P754" i="10"/>
  <c r="P759" i="10"/>
  <c r="P764" i="10"/>
  <c r="P770" i="10"/>
  <c r="P775" i="10"/>
  <c r="P780" i="10"/>
  <c r="P786" i="10"/>
  <c r="P791" i="10"/>
  <c r="P796" i="10"/>
  <c r="P802" i="10"/>
  <c r="P807" i="10"/>
  <c r="P812" i="10"/>
  <c r="P818" i="10"/>
  <c r="P823" i="10"/>
  <c r="P828" i="10"/>
  <c r="P834" i="10"/>
  <c r="P839" i="10"/>
  <c r="P844" i="10"/>
  <c r="P850" i="10"/>
  <c r="P855" i="10"/>
  <c r="P860" i="10"/>
  <c r="P866" i="10"/>
  <c r="P38" i="10"/>
  <c r="P43" i="10"/>
  <c r="P49" i="10"/>
  <c r="P54" i="10"/>
  <c r="P59" i="10"/>
  <c r="P185" i="10"/>
  <c r="P311" i="10"/>
  <c r="P387" i="10"/>
  <c r="P451" i="10"/>
  <c r="P515" i="10"/>
  <c r="P547" i="10"/>
  <c r="P568" i="10"/>
  <c r="P589" i="10"/>
  <c r="P607" i="10"/>
  <c r="P623" i="10"/>
  <c r="P639" i="10"/>
  <c r="P655" i="10"/>
  <c r="P671" i="10"/>
  <c r="P687" i="10"/>
  <c r="P703" i="10"/>
  <c r="P711" i="10"/>
  <c r="P719" i="10"/>
  <c r="P727" i="10"/>
  <c r="P735" i="10"/>
  <c r="P750" i="10"/>
  <c r="P755" i="10"/>
  <c r="P760" i="10"/>
  <c r="P766" i="10"/>
  <c r="P776" i="10"/>
  <c r="P782" i="10"/>
  <c r="P792" i="10"/>
  <c r="P803" i="10"/>
  <c r="P808" i="10"/>
  <c r="P819" i="10"/>
  <c r="P824" i="10"/>
  <c r="P835" i="10"/>
  <c r="P840" i="10"/>
  <c r="P851" i="10"/>
  <c r="P862" i="10"/>
  <c r="P34" i="10"/>
  <c r="P45" i="10"/>
  <c r="P55" i="10"/>
  <c r="P61" i="10"/>
  <c r="P332" i="10"/>
  <c r="P403" i="10"/>
  <c r="P467" i="10"/>
  <c r="P531" i="10"/>
  <c r="P552" i="10"/>
  <c r="P573" i="10"/>
  <c r="P595" i="10"/>
  <c r="P611" i="10"/>
  <c r="P627" i="10"/>
  <c r="P643" i="10"/>
  <c r="P659" i="10"/>
  <c r="P675" i="10"/>
  <c r="P691" i="10"/>
  <c r="P706" i="10"/>
  <c r="P714" i="10"/>
  <c r="P730" i="10"/>
  <c r="P738" i="10"/>
  <c r="P746" i="10"/>
  <c r="P751" i="10"/>
  <c r="P756" i="10"/>
  <c r="P762" i="10"/>
  <c r="P767" i="10"/>
  <c r="P772" i="10"/>
  <c r="P783" i="10"/>
  <c r="P788" i="10"/>
  <c r="P799" i="10"/>
  <c r="P810" i="10"/>
  <c r="P820" i="10"/>
  <c r="P831" i="10"/>
  <c r="P842" i="10"/>
  <c r="P852" i="10"/>
  <c r="P35" i="10"/>
  <c r="P41" i="10"/>
  <c r="P57" i="10"/>
  <c r="P62" i="10"/>
  <c r="P89" i="10"/>
  <c r="P722" i="10"/>
  <c r="P778" i="10"/>
  <c r="P804" i="10"/>
  <c r="P815" i="10"/>
  <c r="P836" i="10"/>
  <c r="P858" i="10"/>
  <c r="P46" i="10"/>
  <c r="B19" i="4"/>
  <c r="B22" i="4"/>
  <c r="H22" i="4" s="1"/>
  <c r="K16" i="4"/>
  <c r="K22" i="4"/>
  <c r="O19" i="4"/>
  <c r="K19" i="4"/>
  <c r="J34" i="10"/>
  <c r="J38" i="10"/>
  <c r="J42" i="10"/>
  <c r="J46" i="10"/>
  <c r="J50" i="10"/>
  <c r="J54" i="10"/>
  <c r="J58" i="10"/>
  <c r="J62" i="10"/>
  <c r="J66" i="10"/>
  <c r="J70" i="10"/>
  <c r="J74" i="10"/>
  <c r="J78" i="10"/>
  <c r="J82" i="10"/>
  <c r="J86" i="10"/>
  <c r="J90" i="10"/>
  <c r="J94" i="10"/>
  <c r="J98" i="10"/>
  <c r="J102" i="10"/>
  <c r="J106" i="10"/>
  <c r="J110" i="10"/>
  <c r="J114" i="10"/>
  <c r="J118" i="10"/>
  <c r="J122" i="10"/>
  <c r="J126" i="10"/>
  <c r="J130" i="10"/>
  <c r="J134" i="10"/>
  <c r="J138" i="10"/>
  <c r="J142" i="10"/>
  <c r="J146" i="10"/>
  <c r="J150" i="10"/>
  <c r="J154" i="10"/>
  <c r="J158" i="10"/>
  <c r="J162" i="10"/>
  <c r="J166" i="10"/>
  <c r="J170" i="10"/>
  <c r="J174" i="10"/>
  <c r="J178" i="10"/>
  <c r="J182" i="10"/>
  <c r="J186" i="10"/>
  <c r="J190" i="10"/>
  <c r="J194" i="10"/>
  <c r="J198" i="10"/>
  <c r="J202" i="10"/>
  <c r="J206" i="10"/>
  <c r="J210" i="10"/>
  <c r="J214" i="10"/>
  <c r="J218" i="10"/>
  <c r="J222" i="10"/>
  <c r="J226" i="10"/>
  <c r="J230" i="10"/>
  <c r="J234" i="10"/>
  <c r="J238" i="10"/>
  <c r="J242" i="10"/>
  <c r="J246" i="10"/>
  <c r="J250" i="10"/>
  <c r="J254" i="10"/>
  <c r="J258" i="10"/>
  <c r="J262" i="10"/>
  <c r="J266" i="10"/>
  <c r="J270" i="10"/>
  <c r="J274" i="10"/>
  <c r="J278" i="10"/>
  <c r="J282" i="10"/>
  <c r="J286" i="10"/>
  <c r="J290" i="10"/>
  <c r="J294" i="10"/>
  <c r="J298" i="10"/>
  <c r="J302" i="10"/>
  <c r="J306" i="10"/>
  <c r="J310" i="10"/>
  <c r="J314" i="10"/>
  <c r="J318" i="10"/>
  <c r="J322" i="10"/>
  <c r="J326" i="10"/>
  <c r="J330" i="10"/>
  <c r="J334" i="10"/>
  <c r="J338" i="10"/>
  <c r="J342" i="10"/>
  <c r="J346" i="10"/>
  <c r="J350" i="10"/>
  <c r="J354" i="10"/>
  <c r="J358" i="10"/>
  <c r="J362" i="10"/>
  <c r="J366" i="10"/>
  <c r="J370" i="10"/>
  <c r="J374" i="10"/>
  <c r="J378" i="10"/>
  <c r="J382" i="10"/>
  <c r="J386" i="10"/>
  <c r="J390" i="10"/>
  <c r="J394" i="10"/>
  <c r="J398" i="10"/>
  <c r="J402" i="10"/>
  <c r="J406" i="10"/>
  <c r="J410" i="10"/>
  <c r="J414" i="10"/>
  <c r="J418" i="10"/>
  <c r="J422" i="10"/>
  <c r="J426" i="10"/>
  <c r="J430" i="10"/>
  <c r="J434" i="10"/>
  <c r="J438" i="10"/>
  <c r="J442" i="10"/>
  <c r="J446" i="10"/>
  <c r="J450" i="10"/>
  <c r="J454" i="10"/>
  <c r="J458" i="10"/>
  <c r="J462" i="10"/>
  <c r="J466" i="10"/>
  <c r="J470" i="10"/>
  <c r="J474" i="10"/>
  <c r="J478" i="10"/>
  <c r="J482" i="10"/>
  <c r="J486" i="10"/>
  <c r="J490" i="10"/>
  <c r="J494" i="10"/>
  <c r="J498" i="10"/>
  <c r="J502" i="10"/>
  <c r="J506" i="10"/>
  <c r="J510" i="10"/>
  <c r="J514" i="10"/>
  <c r="J518" i="10"/>
  <c r="J522" i="10"/>
  <c r="J526" i="10"/>
  <c r="J530" i="10"/>
  <c r="J534" i="10"/>
  <c r="J538" i="10"/>
  <c r="J542" i="10"/>
  <c r="J546" i="10"/>
  <c r="J550" i="10"/>
  <c r="J554" i="10"/>
  <c r="J558" i="10"/>
  <c r="J562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J614" i="10"/>
  <c r="J618" i="10"/>
  <c r="J622" i="10"/>
  <c r="J626" i="10"/>
  <c r="J630" i="10"/>
  <c r="J634" i="10"/>
  <c r="J638" i="10"/>
  <c r="J642" i="10"/>
  <c r="J646" i="10"/>
  <c r="J650" i="10"/>
  <c r="J654" i="10"/>
  <c r="J658" i="10"/>
  <c r="J662" i="10"/>
  <c r="J666" i="10"/>
  <c r="J670" i="10"/>
  <c r="J674" i="10"/>
  <c r="J678" i="10"/>
  <c r="J682" i="10"/>
  <c r="J686" i="10"/>
  <c r="J690" i="10"/>
  <c r="J694" i="10"/>
  <c r="J698" i="10"/>
  <c r="J702" i="10"/>
  <c r="J706" i="10"/>
  <c r="J710" i="10"/>
  <c r="J35" i="10"/>
  <c r="J40" i="10"/>
  <c r="J45" i="10"/>
  <c r="J51" i="10"/>
  <c r="J56" i="10"/>
  <c r="J61" i="10"/>
  <c r="J67" i="10"/>
  <c r="J72" i="10"/>
  <c r="J77" i="10"/>
  <c r="J83" i="10"/>
  <c r="J88" i="10"/>
  <c r="J93" i="10"/>
  <c r="J99" i="10"/>
  <c r="J104" i="10"/>
  <c r="J109" i="10"/>
  <c r="J115" i="10"/>
  <c r="J120" i="10"/>
  <c r="J125" i="10"/>
  <c r="J131" i="10"/>
  <c r="J136" i="10"/>
  <c r="J141" i="10"/>
  <c r="J147" i="10"/>
  <c r="J152" i="10"/>
  <c r="J157" i="10"/>
  <c r="J163" i="10"/>
  <c r="J168" i="10"/>
  <c r="J173" i="10"/>
  <c r="J179" i="10"/>
  <c r="J184" i="10"/>
  <c r="J189" i="10"/>
  <c r="J195" i="10"/>
  <c r="J200" i="10"/>
  <c r="J205" i="10"/>
  <c r="J211" i="10"/>
  <c r="J216" i="10"/>
  <c r="J221" i="10"/>
  <c r="J227" i="10"/>
  <c r="J232" i="10"/>
  <c r="J237" i="10"/>
  <c r="J243" i="10"/>
  <c r="J248" i="10"/>
  <c r="J253" i="10"/>
  <c r="J259" i="10"/>
  <c r="J264" i="10"/>
  <c r="J269" i="10"/>
  <c r="J275" i="10"/>
  <c r="J280" i="10"/>
  <c r="J285" i="10"/>
  <c r="J291" i="10"/>
  <c r="J296" i="10"/>
  <c r="J301" i="10"/>
  <c r="J307" i="10"/>
  <c r="J312" i="10"/>
  <c r="J317" i="10"/>
  <c r="J323" i="10"/>
  <c r="J328" i="10"/>
  <c r="J333" i="10"/>
  <c r="J339" i="10"/>
  <c r="J344" i="10"/>
  <c r="J349" i="10"/>
  <c r="J355" i="10"/>
  <c r="J360" i="10"/>
  <c r="J365" i="10"/>
  <c r="J371" i="10"/>
  <c r="J376" i="10"/>
  <c r="J381" i="10"/>
  <c r="J387" i="10"/>
  <c r="J392" i="10"/>
  <c r="J397" i="10"/>
  <c r="J403" i="10"/>
  <c r="J408" i="10"/>
  <c r="J413" i="10"/>
  <c r="J419" i="10"/>
  <c r="J424" i="10"/>
  <c r="J429" i="10"/>
  <c r="J435" i="10"/>
  <c r="J440" i="10"/>
  <c r="J445" i="10"/>
  <c r="J451" i="10"/>
  <c r="J456" i="10"/>
  <c r="J461" i="10"/>
  <c r="J467" i="10"/>
  <c r="J472" i="10"/>
  <c r="J477" i="10"/>
  <c r="J483" i="10"/>
  <c r="J488" i="10"/>
  <c r="J493" i="10"/>
  <c r="J499" i="10"/>
  <c r="J504" i="10"/>
  <c r="J509" i="10"/>
  <c r="J515" i="10"/>
  <c r="J520" i="10"/>
  <c r="J525" i="10"/>
  <c r="J531" i="10"/>
  <c r="J536" i="10"/>
  <c r="J541" i="10"/>
  <c r="J547" i="10"/>
  <c r="J552" i="10"/>
  <c r="J557" i="10"/>
  <c r="J563" i="10"/>
  <c r="J568" i="10"/>
  <c r="J573" i="10"/>
  <c r="J579" i="10"/>
  <c r="J584" i="10"/>
  <c r="J589" i="10"/>
  <c r="J595" i="10"/>
  <c r="J600" i="10"/>
  <c r="J605" i="10"/>
  <c r="J611" i="10"/>
  <c r="J616" i="10"/>
  <c r="J621" i="10"/>
  <c r="J627" i="10"/>
  <c r="J632" i="10"/>
  <c r="J637" i="10"/>
  <c r="J643" i="10"/>
  <c r="J648" i="10"/>
  <c r="J653" i="10"/>
  <c r="J659" i="10"/>
  <c r="J664" i="10"/>
  <c r="J669" i="10"/>
  <c r="J675" i="10"/>
  <c r="J680" i="10"/>
  <c r="J685" i="10"/>
  <c r="J691" i="10"/>
  <c r="J696" i="10"/>
  <c r="J701" i="10"/>
  <c r="J707" i="10"/>
  <c r="J712" i="10"/>
  <c r="J716" i="10"/>
  <c r="J720" i="10"/>
  <c r="J724" i="10"/>
  <c r="J728" i="10"/>
  <c r="J732" i="10"/>
  <c r="J736" i="10"/>
  <c r="J740" i="10"/>
  <c r="J744" i="10"/>
  <c r="J748" i="10"/>
  <c r="J752" i="10"/>
  <c r="J756" i="10"/>
  <c r="J760" i="10"/>
  <c r="J764" i="10"/>
  <c r="J768" i="10"/>
  <c r="J772" i="10"/>
  <c r="J776" i="10"/>
  <c r="J780" i="10"/>
  <c r="J784" i="10"/>
  <c r="J788" i="10"/>
  <c r="J792" i="10"/>
  <c r="J796" i="10"/>
  <c r="J800" i="10"/>
  <c r="J804" i="10"/>
  <c r="J808" i="10"/>
  <c r="J812" i="10"/>
  <c r="J816" i="10"/>
  <c r="J820" i="10"/>
  <c r="J824" i="10"/>
  <c r="J828" i="10"/>
  <c r="J832" i="10"/>
  <c r="J836" i="10"/>
  <c r="J840" i="10"/>
  <c r="J844" i="10"/>
  <c r="J848" i="10"/>
  <c r="J852" i="10"/>
  <c r="J856" i="10"/>
  <c r="J860" i="10"/>
  <c r="J864" i="10"/>
  <c r="I35" i="10"/>
  <c r="I39" i="10"/>
  <c r="I43" i="10"/>
  <c r="I47" i="10"/>
  <c r="I51" i="10"/>
  <c r="I55" i="10"/>
  <c r="I59" i="10"/>
  <c r="I63" i="10"/>
  <c r="I67" i="10"/>
  <c r="I71" i="10"/>
  <c r="I75" i="10"/>
  <c r="I79" i="10"/>
  <c r="I83" i="10"/>
  <c r="I87" i="10"/>
  <c r="I91" i="10"/>
  <c r="I95" i="10"/>
  <c r="I99" i="10"/>
  <c r="I103" i="10"/>
  <c r="I107" i="10"/>
  <c r="I111" i="10"/>
  <c r="I115" i="10"/>
  <c r="I119" i="10"/>
  <c r="I123" i="10"/>
  <c r="I127" i="10"/>
  <c r="I131" i="10"/>
  <c r="I135" i="10"/>
  <c r="I139" i="10"/>
  <c r="I143" i="10"/>
  <c r="I147" i="10"/>
  <c r="I151" i="10"/>
  <c r="I155" i="10"/>
  <c r="I159" i="10"/>
  <c r="I163" i="10"/>
  <c r="I167" i="10"/>
  <c r="I171" i="10"/>
  <c r="I175" i="10"/>
  <c r="I179" i="10"/>
  <c r="I183" i="10"/>
  <c r="I187" i="10"/>
  <c r="I191" i="10"/>
  <c r="I195" i="10"/>
  <c r="I199" i="10"/>
  <c r="I203" i="10"/>
  <c r="I207" i="10"/>
  <c r="I211" i="10"/>
  <c r="I215" i="10"/>
  <c r="I219" i="10"/>
  <c r="I223" i="10"/>
  <c r="I227" i="10"/>
  <c r="I231" i="10"/>
  <c r="I235" i="10"/>
  <c r="I239" i="10"/>
  <c r="I243" i="10"/>
  <c r="I247" i="10"/>
  <c r="I251" i="10"/>
  <c r="I255" i="10"/>
  <c r="I259" i="10"/>
  <c r="I263" i="10"/>
  <c r="I267" i="10"/>
  <c r="I271" i="10"/>
  <c r="I275" i="10"/>
  <c r="I279" i="10"/>
  <c r="I283" i="10"/>
  <c r="I287" i="10"/>
  <c r="I291" i="10"/>
  <c r="I295" i="10"/>
  <c r="I299" i="10"/>
  <c r="I303" i="10"/>
  <c r="I307" i="10"/>
  <c r="I311" i="10"/>
  <c r="I315" i="10"/>
  <c r="I319" i="10"/>
  <c r="I323" i="10"/>
  <c r="I327" i="10"/>
  <c r="I331" i="10"/>
  <c r="I335" i="10"/>
  <c r="I339" i="10"/>
  <c r="I343" i="10"/>
  <c r="I347" i="10"/>
  <c r="I351" i="10"/>
  <c r="I355" i="10"/>
  <c r="I359" i="10"/>
  <c r="I363" i="10"/>
  <c r="I367" i="10"/>
  <c r="I371" i="10"/>
  <c r="I375" i="10"/>
  <c r="I379" i="10"/>
  <c r="I383" i="10"/>
  <c r="I387" i="10"/>
  <c r="I391" i="10"/>
  <c r="I395" i="10"/>
  <c r="I399" i="10"/>
  <c r="I403" i="10"/>
  <c r="I407" i="10"/>
  <c r="I411" i="10"/>
  <c r="I415" i="10"/>
  <c r="I419" i="10"/>
  <c r="I423" i="10"/>
  <c r="I427" i="10"/>
  <c r="I431" i="10"/>
  <c r="I435" i="10"/>
  <c r="I439" i="10"/>
  <c r="I443" i="10"/>
  <c r="I447" i="10"/>
  <c r="I451" i="10"/>
  <c r="I455" i="10"/>
  <c r="I459" i="10"/>
  <c r="I463" i="10"/>
  <c r="I467" i="10"/>
  <c r="I471" i="10"/>
  <c r="I475" i="10"/>
  <c r="I479" i="10"/>
  <c r="I483" i="10"/>
  <c r="I487" i="10"/>
  <c r="I491" i="10"/>
  <c r="I495" i="10"/>
  <c r="I499" i="10"/>
  <c r="I503" i="10"/>
  <c r="I507" i="10"/>
  <c r="I511" i="10"/>
  <c r="I515" i="10"/>
  <c r="I519" i="10"/>
  <c r="I523" i="10"/>
  <c r="I527" i="10"/>
  <c r="I531" i="10"/>
  <c r="I535" i="10"/>
  <c r="I539" i="10"/>
  <c r="I543" i="10"/>
  <c r="I547" i="10"/>
  <c r="I551" i="10"/>
  <c r="I555" i="10"/>
  <c r="I559" i="10"/>
  <c r="I563" i="10"/>
  <c r="I567" i="10"/>
  <c r="I571" i="10"/>
  <c r="I575" i="10"/>
  <c r="I579" i="10"/>
  <c r="I583" i="10"/>
  <c r="I587" i="10"/>
  <c r="I591" i="10"/>
  <c r="I595" i="10"/>
  <c r="I599" i="10"/>
  <c r="I603" i="10"/>
  <c r="I607" i="10"/>
  <c r="I611" i="10"/>
  <c r="I615" i="10"/>
  <c r="I619" i="10"/>
  <c r="I623" i="10"/>
  <c r="I627" i="10"/>
  <c r="I631" i="10"/>
  <c r="I635" i="10"/>
  <c r="I639" i="10"/>
  <c r="I643" i="10"/>
  <c r="I647" i="10"/>
  <c r="I651" i="10"/>
  <c r="I655" i="10"/>
  <c r="I659" i="10"/>
  <c r="I663" i="10"/>
  <c r="I667" i="10"/>
  <c r="I671" i="10"/>
  <c r="I675" i="10"/>
  <c r="I679" i="10"/>
  <c r="I683" i="10"/>
  <c r="I687" i="10"/>
  <c r="I691" i="10"/>
  <c r="I695" i="10"/>
  <c r="I699" i="10"/>
  <c r="I703" i="10"/>
  <c r="I707" i="10"/>
  <c r="I711" i="10"/>
  <c r="I715" i="10"/>
  <c r="I719" i="10"/>
  <c r="I723" i="10"/>
  <c r="I727" i="10"/>
  <c r="I731" i="10"/>
  <c r="J36" i="10"/>
  <c r="J43" i="10"/>
  <c r="J49" i="10"/>
  <c r="J57" i="10"/>
  <c r="J64" i="10"/>
  <c r="J71" i="10"/>
  <c r="J79" i="10"/>
  <c r="J85" i="10"/>
  <c r="J92" i="10"/>
  <c r="J100" i="10"/>
  <c r="J107" i="10"/>
  <c r="J113" i="10"/>
  <c r="J121" i="10"/>
  <c r="J128" i="10"/>
  <c r="J135" i="10"/>
  <c r="J143" i="10"/>
  <c r="J149" i="10"/>
  <c r="J156" i="10"/>
  <c r="J164" i="10"/>
  <c r="J171" i="10"/>
  <c r="J177" i="10"/>
  <c r="J185" i="10"/>
  <c r="J192" i="10"/>
  <c r="J199" i="10"/>
  <c r="J207" i="10"/>
  <c r="J213" i="10"/>
  <c r="J220" i="10"/>
  <c r="J228" i="10"/>
  <c r="J235" i="10"/>
  <c r="J241" i="10"/>
  <c r="J249" i="10"/>
  <c r="J256" i="10"/>
  <c r="J263" i="10"/>
  <c r="J271" i="10"/>
  <c r="J277" i="10"/>
  <c r="J284" i="10"/>
  <c r="J292" i="10"/>
  <c r="J299" i="10"/>
  <c r="J305" i="10"/>
  <c r="J313" i="10"/>
  <c r="J320" i="10"/>
  <c r="J327" i="10"/>
  <c r="J335" i="10"/>
  <c r="J341" i="10"/>
  <c r="J348" i="10"/>
  <c r="J356" i="10"/>
  <c r="J363" i="10"/>
  <c r="J369" i="10"/>
  <c r="J377" i="10"/>
  <c r="J384" i="10"/>
  <c r="J391" i="10"/>
  <c r="J399" i="10"/>
  <c r="J405" i="10"/>
  <c r="J412" i="10"/>
  <c r="J420" i="10"/>
  <c r="J427" i="10"/>
  <c r="J433" i="10"/>
  <c r="J441" i="10"/>
  <c r="J448" i="10"/>
  <c r="J455" i="10"/>
  <c r="J463" i="10"/>
  <c r="J469" i="10"/>
  <c r="J476" i="10"/>
  <c r="J484" i="10"/>
  <c r="J491" i="10"/>
  <c r="J497" i="10"/>
  <c r="J505" i="10"/>
  <c r="J512" i="10"/>
  <c r="J519" i="10"/>
  <c r="J527" i="10"/>
  <c r="J533" i="10"/>
  <c r="J540" i="10"/>
  <c r="J548" i="10"/>
  <c r="J555" i="10"/>
  <c r="J561" i="10"/>
  <c r="J569" i="10"/>
  <c r="J576" i="10"/>
  <c r="J583" i="10"/>
  <c r="J591" i="10"/>
  <c r="J597" i="10"/>
  <c r="J604" i="10"/>
  <c r="J612" i="10"/>
  <c r="J619" i="10"/>
  <c r="J625" i="10"/>
  <c r="J633" i="10"/>
  <c r="J640" i="10"/>
  <c r="J647" i="10"/>
  <c r="J655" i="10"/>
  <c r="J661" i="10"/>
  <c r="J668" i="10"/>
  <c r="J676" i="10"/>
  <c r="J683" i="10"/>
  <c r="J689" i="10"/>
  <c r="J697" i="10"/>
  <c r="J704" i="10"/>
  <c r="J711" i="10"/>
  <c r="J717" i="10"/>
  <c r="J722" i="10"/>
  <c r="J727" i="10"/>
  <c r="J733" i="10"/>
  <c r="J738" i="10"/>
  <c r="J743" i="10"/>
  <c r="J749" i="10"/>
  <c r="J754" i="10"/>
  <c r="J759" i="10"/>
  <c r="J765" i="10"/>
  <c r="J770" i="10"/>
  <c r="J775" i="10"/>
  <c r="J781" i="10"/>
  <c r="J786" i="10"/>
  <c r="J791" i="10"/>
  <c r="J797" i="10"/>
  <c r="J802" i="10"/>
  <c r="J807" i="10"/>
  <c r="J813" i="10"/>
  <c r="J818" i="10"/>
  <c r="J823" i="10"/>
  <c r="J829" i="10"/>
  <c r="J834" i="10"/>
  <c r="J839" i="10"/>
  <c r="J845" i="10"/>
  <c r="J850" i="10"/>
  <c r="J855" i="10"/>
  <c r="J861" i="10"/>
  <c r="J33" i="10"/>
  <c r="I38" i="10"/>
  <c r="I44" i="10"/>
  <c r="I49" i="10"/>
  <c r="I54" i="10"/>
  <c r="I60" i="10"/>
  <c r="I65" i="10"/>
  <c r="I70" i="10"/>
  <c r="I76" i="10"/>
  <c r="I81" i="10"/>
  <c r="I86" i="10"/>
  <c r="I92" i="10"/>
  <c r="I97" i="10"/>
  <c r="I102" i="10"/>
  <c r="I108" i="10"/>
  <c r="I113" i="10"/>
  <c r="I118" i="10"/>
  <c r="I124" i="10"/>
  <c r="I129" i="10"/>
  <c r="I134" i="10"/>
  <c r="I140" i="10"/>
  <c r="I145" i="10"/>
  <c r="I150" i="10"/>
  <c r="I156" i="10"/>
  <c r="I161" i="10"/>
  <c r="I166" i="10"/>
  <c r="I172" i="10"/>
  <c r="I177" i="10"/>
  <c r="I182" i="10"/>
  <c r="I188" i="10"/>
  <c r="I193" i="10"/>
  <c r="I198" i="10"/>
  <c r="I204" i="10"/>
  <c r="I209" i="10"/>
  <c r="I214" i="10"/>
  <c r="I220" i="10"/>
  <c r="I225" i="10"/>
  <c r="I230" i="10"/>
  <c r="I236" i="10"/>
  <c r="I241" i="10"/>
  <c r="I246" i="10"/>
  <c r="I252" i="10"/>
  <c r="I257" i="10"/>
  <c r="I262" i="10"/>
  <c r="I268" i="10"/>
  <c r="I273" i="10"/>
  <c r="I278" i="10"/>
  <c r="I284" i="10"/>
  <c r="I289" i="10"/>
  <c r="I294" i="10"/>
  <c r="I300" i="10"/>
  <c r="I305" i="10"/>
  <c r="I310" i="10"/>
  <c r="I316" i="10"/>
  <c r="I321" i="10"/>
  <c r="I326" i="10"/>
  <c r="I332" i="10"/>
  <c r="I337" i="10"/>
  <c r="I342" i="10"/>
  <c r="I348" i="10"/>
  <c r="I353" i="10"/>
  <c r="I358" i="10"/>
  <c r="I364" i="10"/>
  <c r="I369" i="10"/>
  <c r="I374" i="10"/>
  <c r="I380" i="10"/>
  <c r="I385" i="10"/>
  <c r="I390" i="10"/>
  <c r="I396" i="10"/>
  <c r="I401" i="10"/>
  <c r="I406" i="10"/>
  <c r="I412" i="10"/>
  <c r="I417" i="10"/>
  <c r="I422" i="10"/>
  <c r="I428" i="10"/>
  <c r="I433" i="10"/>
  <c r="I438" i="10"/>
  <c r="I444" i="10"/>
  <c r="I449" i="10"/>
  <c r="I454" i="10"/>
  <c r="I460" i="10"/>
  <c r="I465" i="10"/>
  <c r="I470" i="10"/>
  <c r="I476" i="10"/>
  <c r="I481" i="10"/>
  <c r="I486" i="10"/>
  <c r="I492" i="10"/>
  <c r="I497" i="10"/>
  <c r="I502" i="10"/>
  <c r="I508" i="10"/>
  <c r="I513" i="10"/>
  <c r="I518" i="10"/>
  <c r="I524" i="10"/>
  <c r="I529" i="10"/>
  <c r="I534" i="10"/>
  <c r="I540" i="10"/>
  <c r="I545" i="10"/>
  <c r="I550" i="10"/>
  <c r="I556" i="10"/>
  <c r="I561" i="10"/>
  <c r="I566" i="10"/>
  <c r="I572" i="10"/>
  <c r="I577" i="10"/>
  <c r="I582" i="10"/>
  <c r="I588" i="10"/>
  <c r="I593" i="10"/>
  <c r="I598" i="10"/>
  <c r="I604" i="10"/>
  <c r="I609" i="10"/>
  <c r="I614" i="10"/>
  <c r="I620" i="10"/>
  <c r="I625" i="10"/>
  <c r="I630" i="10"/>
  <c r="I636" i="10"/>
  <c r="I641" i="10"/>
  <c r="I646" i="10"/>
  <c r="I652" i="10"/>
  <c r="I657" i="10"/>
  <c r="I662" i="10"/>
  <c r="I668" i="10"/>
  <c r="I673" i="10"/>
  <c r="I678" i="10"/>
  <c r="I684" i="10"/>
  <c r="I689" i="10"/>
  <c r="I694" i="10"/>
  <c r="I700" i="10"/>
  <c r="I705" i="10"/>
  <c r="I710" i="10"/>
  <c r="I716" i="10"/>
  <c r="I721" i="10"/>
  <c r="I726" i="10"/>
  <c r="I732" i="10"/>
  <c r="I736" i="10"/>
  <c r="I740" i="10"/>
  <c r="I744" i="10"/>
  <c r="I748" i="10"/>
  <c r="I752" i="10"/>
  <c r="I756" i="10"/>
  <c r="I760" i="10"/>
  <c r="I764" i="10"/>
  <c r="I768" i="10"/>
  <c r="I772" i="10"/>
  <c r="I776" i="10"/>
  <c r="I780" i="10"/>
  <c r="I784" i="10"/>
  <c r="I788" i="10"/>
  <c r="I792" i="10"/>
  <c r="I796" i="10"/>
  <c r="I800" i="10"/>
  <c r="I804" i="10"/>
  <c r="I808" i="10"/>
  <c r="I812" i="10"/>
  <c r="I816" i="10"/>
  <c r="I820" i="10"/>
  <c r="I824" i="10"/>
  <c r="I828" i="10"/>
  <c r="I832" i="10"/>
  <c r="I836" i="10"/>
  <c r="I840" i="10"/>
  <c r="I844" i="10"/>
  <c r="I848" i="10"/>
  <c r="I852" i="10"/>
  <c r="I856" i="10"/>
  <c r="I860" i="10"/>
  <c r="I864" i="10"/>
  <c r="H35" i="10"/>
  <c r="H39" i="10"/>
  <c r="H43" i="10"/>
  <c r="H47" i="10"/>
  <c r="H51" i="10"/>
  <c r="H55" i="10"/>
  <c r="H59" i="10"/>
  <c r="H63" i="10"/>
  <c r="H67" i="10"/>
  <c r="H71" i="10"/>
  <c r="H75" i="10"/>
  <c r="H79" i="10"/>
  <c r="H83" i="10"/>
  <c r="H87" i="10"/>
  <c r="H91" i="10"/>
  <c r="H95" i="10"/>
  <c r="H99" i="10"/>
  <c r="H103" i="10"/>
  <c r="H107" i="10"/>
  <c r="H111" i="10"/>
  <c r="H115" i="10"/>
  <c r="H119" i="10"/>
  <c r="H123" i="10"/>
  <c r="H127" i="10"/>
  <c r="H131" i="10"/>
  <c r="H135" i="10"/>
  <c r="H139" i="10"/>
  <c r="H143" i="10"/>
  <c r="H147" i="10"/>
  <c r="H151" i="10"/>
  <c r="H155" i="10"/>
  <c r="H159" i="10"/>
  <c r="H163" i="10"/>
  <c r="H167" i="10"/>
  <c r="H171" i="10"/>
  <c r="H175" i="10"/>
  <c r="H179" i="10"/>
  <c r="H183" i="10"/>
  <c r="H187" i="10"/>
  <c r="H191" i="10"/>
  <c r="H195" i="10"/>
  <c r="H199" i="10"/>
  <c r="H203" i="10"/>
  <c r="H207" i="10"/>
  <c r="H211" i="10"/>
  <c r="H215" i="10"/>
  <c r="H219" i="10"/>
  <c r="H223" i="10"/>
  <c r="H227" i="10"/>
  <c r="H231" i="10"/>
  <c r="H235" i="10"/>
  <c r="H239" i="10"/>
  <c r="H243" i="10"/>
  <c r="H247" i="10"/>
  <c r="H251" i="10"/>
  <c r="H255" i="10"/>
  <c r="H259" i="10"/>
  <c r="H263" i="10"/>
  <c r="H267" i="10"/>
  <c r="H271" i="10"/>
  <c r="H275" i="10"/>
  <c r="H279" i="10"/>
  <c r="H283" i="10"/>
  <c r="H287" i="10"/>
  <c r="H291" i="10"/>
  <c r="H295" i="10"/>
  <c r="H299" i="10"/>
  <c r="H303" i="10"/>
  <c r="H307" i="10"/>
  <c r="H311" i="10"/>
  <c r="H315" i="10"/>
  <c r="H319" i="10"/>
  <c r="H323" i="10"/>
  <c r="H327" i="10"/>
  <c r="H331" i="10"/>
  <c r="H335" i="10"/>
  <c r="H339" i="10"/>
  <c r="H343" i="10"/>
  <c r="H347" i="10"/>
  <c r="H351" i="10"/>
  <c r="H355" i="10"/>
  <c r="H359" i="10"/>
  <c r="H363" i="10"/>
  <c r="H367" i="10"/>
  <c r="H371" i="10"/>
  <c r="H375" i="10"/>
  <c r="H379" i="10"/>
  <c r="H383" i="10"/>
  <c r="H387" i="10"/>
  <c r="H391" i="10"/>
  <c r="H395" i="10"/>
  <c r="H399" i="10"/>
  <c r="H403" i="10"/>
  <c r="H407" i="10"/>
  <c r="H411" i="10"/>
  <c r="H415" i="10"/>
  <c r="H419" i="10"/>
  <c r="H423" i="10"/>
  <c r="H427" i="10"/>
  <c r="H431" i="10"/>
  <c r="H435" i="10"/>
  <c r="H439" i="10"/>
  <c r="H443" i="10"/>
  <c r="H447" i="10"/>
  <c r="H451" i="10"/>
  <c r="H455" i="10"/>
  <c r="H459" i="10"/>
  <c r="H463" i="10"/>
  <c r="H467" i="10"/>
  <c r="H471" i="10"/>
  <c r="H475" i="10"/>
  <c r="H479" i="10"/>
  <c r="H483" i="10"/>
  <c r="H487" i="10"/>
  <c r="H491" i="10"/>
  <c r="H495" i="10"/>
  <c r="H499" i="10"/>
  <c r="H503" i="10"/>
  <c r="H507" i="10"/>
  <c r="H511" i="10"/>
  <c r="H515" i="10"/>
  <c r="H519" i="10"/>
  <c r="H523" i="10"/>
  <c r="H527" i="10"/>
  <c r="H531" i="10"/>
  <c r="H535" i="10"/>
  <c r="H539" i="10"/>
  <c r="H543" i="10"/>
  <c r="H547" i="10"/>
  <c r="H551" i="10"/>
  <c r="H555" i="10"/>
  <c r="H559" i="10"/>
  <c r="H563" i="10"/>
  <c r="H567" i="10"/>
  <c r="H571" i="10"/>
  <c r="H575" i="10"/>
  <c r="H579" i="10"/>
  <c r="H583" i="10"/>
  <c r="H587" i="10"/>
  <c r="H591" i="10"/>
  <c r="H595" i="10"/>
  <c r="H599" i="10"/>
  <c r="H603" i="10"/>
  <c r="H607" i="10"/>
  <c r="H611" i="10"/>
  <c r="H615" i="10"/>
  <c r="H619" i="10"/>
  <c r="H623" i="10"/>
  <c r="H627" i="10"/>
  <c r="H631" i="10"/>
  <c r="H635" i="10"/>
  <c r="H639" i="10"/>
  <c r="H643" i="10"/>
  <c r="H647" i="10"/>
  <c r="H651" i="10"/>
  <c r="H655" i="10"/>
  <c r="H659" i="10"/>
  <c r="H663" i="10"/>
  <c r="H667" i="10"/>
  <c r="H671" i="10"/>
  <c r="H675" i="10"/>
  <c r="H679" i="10"/>
  <c r="H683" i="10"/>
  <c r="H687" i="10"/>
  <c r="H691" i="10"/>
  <c r="H695" i="10"/>
  <c r="H699" i="10"/>
  <c r="H703" i="10"/>
  <c r="H707" i="10"/>
  <c r="H711" i="10"/>
  <c r="H715" i="10"/>
  <c r="H719" i="10"/>
  <c r="H723" i="10"/>
  <c r="H727" i="10"/>
  <c r="H731" i="10"/>
  <c r="H735" i="10"/>
  <c r="H739" i="10"/>
  <c r="H743" i="10"/>
  <c r="H747" i="10"/>
  <c r="H751" i="10"/>
  <c r="H755" i="10"/>
  <c r="H759" i="10"/>
  <c r="H763" i="10"/>
  <c r="H767" i="10"/>
  <c r="H771" i="10"/>
  <c r="H775" i="10"/>
  <c r="H779" i="10"/>
  <c r="H783" i="10"/>
  <c r="H787" i="10"/>
  <c r="H791" i="10"/>
  <c r="H795" i="10"/>
  <c r="H799" i="10"/>
  <c r="H803" i="10"/>
  <c r="H807" i="10"/>
  <c r="H811" i="10"/>
  <c r="H815" i="10"/>
  <c r="H819" i="10"/>
  <c r="H823" i="10"/>
  <c r="H827" i="10"/>
  <c r="H831" i="10"/>
  <c r="H835" i="10"/>
  <c r="H839" i="10"/>
  <c r="H843" i="10"/>
  <c r="H847" i="10"/>
  <c r="H851" i="10"/>
  <c r="H855" i="10"/>
  <c r="H859" i="10"/>
  <c r="H863" i="10"/>
  <c r="G34" i="10"/>
  <c r="G38" i="10"/>
  <c r="G42" i="10"/>
  <c r="G46" i="10"/>
  <c r="G50" i="10"/>
  <c r="G54" i="10"/>
  <c r="G58" i="10"/>
  <c r="G62" i="10"/>
  <c r="G66" i="10"/>
  <c r="G70" i="10"/>
  <c r="G74" i="10"/>
  <c r="G78" i="10"/>
  <c r="G82" i="10"/>
  <c r="G86" i="10"/>
  <c r="G90" i="10"/>
  <c r="G94" i="10"/>
  <c r="G98" i="10"/>
  <c r="G102" i="10"/>
  <c r="G106" i="10"/>
  <c r="G110" i="10"/>
  <c r="G114" i="10"/>
  <c r="G118" i="10"/>
  <c r="G122" i="10"/>
  <c r="G126" i="10"/>
  <c r="G130" i="10"/>
  <c r="G134" i="10"/>
  <c r="G138" i="10"/>
  <c r="G142" i="10"/>
  <c r="G146" i="10"/>
  <c r="G150" i="10"/>
  <c r="G154" i="10"/>
  <c r="G158" i="10"/>
  <c r="G162" i="10"/>
  <c r="G166" i="10"/>
  <c r="G170" i="10"/>
  <c r="G174" i="10"/>
  <c r="G178" i="10"/>
  <c r="G182" i="10"/>
  <c r="G186" i="10"/>
  <c r="G190" i="10"/>
  <c r="G194" i="10"/>
  <c r="G198" i="10"/>
  <c r="G202" i="10"/>
  <c r="G206" i="10"/>
  <c r="G210" i="10"/>
  <c r="G214" i="10"/>
  <c r="G218" i="10"/>
  <c r="G222" i="10"/>
  <c r="G226" i="10"/>
  <c r="G230" i="10"/>
  <c r="G234" i="10"/>
  <c r="G238" i="10"/>
  <c r="G242" i="10"/>
  <c r="G246" i="10"/>
  <c r="G250" i="10"/>
  <c r="G254" i="10"/>
  <c r="G258" i="10"/>
  <c r="G262" i="10"/>
  <c r="G266" i="10"/>
  <c r="G270" i="10"/>
  <c r="G274" i="10"/>
  <c r="G278" i="10"/>
  <c r="G282" i="10"/>
  <c r="G286" i="10"/>
  <c r="G290" i="10"/>
  <c r="G294" i="10"/>
  <c r="G298" i="10"/>
  <c r="G302" i="10"/>
  <c r="G306" i="10"/>
  <c r="G310" i="10"/>
  <c r="G314" i="10"/>
  <c r="G318" i="10"/>
  <c r="G322" i="10"/>
  <c r="G326" i="10"/>
  <c r="G330" i="10"/>
  <c r="G334" i="10"/>
  <c r="G338" i="10"/>
  <c r="G342" i="10"/>
  <c r="G346" i="10"/>
  <c r="G350" i="10"/>
  <c r="G354" i="10"/>
  <c r="G358" i="10"/>
  <c r="G362" i="10"/>
  <c r="G366" i="10"/>
  <c r="G370" i="10"/>
  <c r="G374" i="10"/>
  <c r="G378" i="10"/>
  <c r="G382" i="10"/>
  <c r="G386" i="10"/>
  <c r="G390" i="10"/>
  <c r="G394" i="10"/>
  <c r="G398" i="10"/>
  <c r="G402" i="10"/>
  <c r="G406" i="10"/>
  <c r="G410" i="10"/>
  <c r="G414" i="10"/>
  <c r="G418" i="10"/>
  <c r="G422" i="10"/>
  <c r="G426" i="10"/>
  <c r="G430" i="10"/>
  <c r="G434" i="10"/>
  <c r="G438" i="10"/>
  <c r="G442" i="10"/>
  <c r="G446" i="10"/>
  <c r="G450" i="10"/>
  <c r="G454" i="10"/>
  <c r="G458" i="10"/>
  <c r="G462" i="10"/>
  <c r="G466" i="10"/>
  <c r="G470" i="10"/>
  <c r="G474" i="10"/>
  <c r="G478" i="10"/>
  <c r="G482" i="10"/>
  <c r="G486" i="10"/>
  <c r="G490" i="10"/>
  <c r="G494" i="10"/>
  <c r="G498" i="10"/>
  <c r="G502" i="10"/>
  <c r="G506" i="10"/>
  <c r="G510" i="10"/>
  <c r="G514" i="10"/>
  <c r="G518" i="10"/>
  <c r="G522" i="10"/>
  <c r="G526" i="10"/>
  <c r="G530" i="10"/>
  <c r="G534" i="10"/>
  <c r="G538" i="10"/>
  <c r="G542" i="10"/>
  <c r="G546" i="10"/>
  <c r="G550" i="10"/>
  <c r="G554" i="10"/>
  <c r="G558" i="10"/>
  <c r="G562" i="10"/>
  <c r="G566" i="10"/>
  <c r="G570" i="10"/>
  <c r="G574" i="10"/>
  <c r="G578" i="10"/>
  <c r="G582" i="10"/>
  <c r="G586" i="10"/>
  <c r="G590" i="10"/>
  <c r="G594" i="10"/>
  <c r="G598" i="10"/>
  <c r="G602" i="10"/>
  <c r="G606" i="10"/>
  <c r="G610" i="10"/>
  <c r="G614" i="10"/>
  <c r="G618" i="10"/>
  <c r="G622" i="10"/>
  <c r="G626" i="10"/>
  <c r="G630" i="10"/>
  <c r="G634" i="10"/>
  <c r="G638" i="10"/>
  <c r="G642" i="10"/>
  <c r="G646" i="10"/>
  <c r="G650" i="10"/>
  <c r="G654" i="10"/>
  <c r="G658" i="10"/>
  <c r="G662" i="10"/>
  <c r="G666" i="10"/>
  <c r="G670" i="10"/>
  <c r="G674" i="10"/>
  <c r="G678" i="10"/>
  <c r="G682" i="10"/>
  <c r="G686" i="10"/>
  <c r="G690" i="10"/>
  <c r="G694" i="10"/>
  <c r="G698" i="10"/>
  <c r="G702" i="10"/>
  <c r="G706" i="10"/>
  <c r="G710" i="10"/>
  <c r="G714" i="10"/>
  <c r="G718" i="10"/>
  <c r="G722" i="10"/>
  <c r="G726" i="10"/>
  <c r="G730" i="10"/>
  <c r="G734" i="10"/>
  <c r="G738" i="10"/>
  <c r="G742" i="10"/>
  <c r="G746" i="10"/>
  <c r="G750" i="10"/>
  <c r="G754" i="10"/>
  <c r="G758" i="10"/>
  <c r="G762" i="10"/>
  <c r="G766" i="10"/>
  <c r="G770" i="10"/>
  <c r="J37" i="10"/>
  <c r="J47" i="10"/>
  <c r="J55" i="10"/>
  <c r="J65" i="10"/>
  <c r="J75" i="10"/>
  <c r="J84" i="10"/>
  <c r="J95" i="10"/>
  <c r="J103" i="10"/>
  <c r="J112" i="10"/>
  <c r="J123" i="10"/>
  <c r="J132" i="10"/>
  <c r="J140" i="10"/>
  <c r="J151" i="10"/>
  <c r="J160" i="10"/>
  <c r="J169" i="10"/>
  <c r="J180" i="10"/>
  <c r="J188" i="10"/>
  <c r="J197" i="10"/>
  <c r="J208" i="10"/>
  <c r="J217" i="10"/>
  <c r="J225" i="10"/>
  <c r="J236" i="10"/>
  <c r="J245" i="10"/>
  <c r="J255" i="10"/>
  <c r="J265" i="10"/>
  <c r="J273" i="10"/>
  <c r="J283" i="10"/>
  <c r="J293" i="10"/>
  <c r="J303" i="10"/>
  <c r="J311" i="10"/>
  <c r="J321" i="10"/>
  <c r="J331" i="10"/>
  <c r="J340" i="10"/>
  <c r="J351" i="10"/>
  <c r="J359" i="10"/>
  <c r="J368" i="10"/>
  <c r="J379" i="10"/>
  <c r="J388" i="10"/>
  <c r="J396" i="10"/>
  <c r="J407" i="10"/>
  <c r="J416" i="10"/>
  <c r="J425" i="10"/>
  <c r="J436" i="10"/>
  <c r="J444" i="10"/>
  <c r="J453" i="10"/>
  <c r="J464" i="10"/>
  <c r="J473" i="10"/>
  <c r="J481" i="10"/>
  <c r="J492" i="10"/>
  <c r="J501" i="10"/>
  <c r="J511" i="10"/>
  <c r="J521" i="10"/>
  <c r="J529" i="10"/>
  <c r="J539" i="10"/>
  <c r="J549" i="10"/>
  <c r="J559" i="10"/>
  <c r="J567" i="10"/>
  <c r="J577" i="10"/>
  <c r="J587" i="10"/>
  <c r="J596" i="10"/>
  <c r="J607" i="10"/>
  <c r="J615" i="10"/>
  <c r="J624" i="10"/>
  <c r="J635" i="10"/>
  <c r="J644" i="10"/>
  <c r="J652" i="10"/>
  <c r="J663" i="10"/>
  <c r="J672" i="10"/>
  <c r="J681" i="10"/>
  <c r="J692" i="10"/>
  <c r="J700" i="10"/>
  <c r="J709" i="10"/>
  <c r="J718" i="10"/>
  <c r="J725" i="10"/>
  <c r="J731" i="10"/>
  <c r="J739" i="10"/>
  <c r="J746" i="10"/>
  <c r="J753" i="10"/>
  <c r="J761" i="10"/>
  <c r="J767" i="10"/>
  <c r="J774" i="10"/>
  <c r="J782" i="10"/>
  <c r="J789" i="10"/>
  <c r="J795" i="10"/>
  <c r="J803" i="10"/>
  <c r="J810" i="10"/>
  <c r="J817" i="10"/>
  <c r="J825" i="10"/>
  <c r="J831" i="10"/>
  <c r="J838" i="10"/>
  <c r="J846" i="10"/>
  <c r="J853" i="10"/>
  <c r="J859" i="10"/>
  <c r="I34" i="10"/>
  <c r="I41" i="10"/>
  <c r="I48" i="10"/>
  <c r="I56" i="10"/>
  <c r="I62" i="10"/>
  <c r="I69" i="10"/>
  <c r="I77" i="10"/>
  <c r="I84" i="10"/>
  <c r="I90" i="10"/>
  <c r="I98" i="10"/>
  <c r="I105" i="10"/>
  <c r="I112" i="10"/>
  <c r="I120" i="10"/>
  <c r="I126" i="10"/>
  <c r="I133" i="10"/>
  <c r="I141" i="10"/>
  <c r="I148" i="10"/>
  <c r="I154" i="10"/>
  <c r="I162" i="10"/>
  <c r="I169" i="10"/>
  <c r="I176" i="10"/>
  <c r="I184" i="10"/>
  <c r="I190" i="10"/>
  <c r="I197" i="10"/>
  <c r="I205" i="10"/>
  <c r="I212" i="10"/>
  <c r="I218" i="10"/>
  <c r="I226" i="10"/>
  <c r="I233" i="10"/>
  <c r="I240" i="10"/>
  <c r="I248" i="10"/>
  <c r="I254" i="10"/>
  <c r="I261" i="10"/>
  <c r="I269" i="10"/>
  <c r="I276" i="10"/>
  <c r="I282" i="10"/>
  <c r="I290" i="10"/>
  <c r="I297" i="10"/>
  <c r="I304" i="10"/>
  <c r="I312" i="10"/>
  <c r="I318" i="10"/>
  <c r="I325" i="10"/>
  <c r="I333" i="10"/>
  <c r="I340" i="10"/>
  <c r="I346" i="10"/>
  <c r="I354" i="10"/>
  <c r="I361" i="10"/>
  <c r="I368" i="10"/>
  <c r="I376" i="10"/>
  <c r="I382" i="10"/>
  <c r="I389" i="10"/>
  <c r="I397" i="10"/>
  <c r="I404" i="10"/>
  <c r="I410" i="10"/>
  <c r="I418" i="10"/>
  <c r="I425" i="10"/>
  <c r="I432" i="10"/>
  <c r="I440" i="10"/>
  <c r="I446" i="10"/>
  <c r="I453" i="10"/>
  <c r="I461" i="10"/>
  <c r="I468" i="10"/>
  <c r="I474" i="10"/>
  <c r="I482" i="10"/>
  <c r="J44" i="10"/>
  <c r="J53" i="10"/>
  <c r="J63" i="10"/>
  <c r="J73" i="10"/>
  <c r="J81" i="10"/>
  <c r="J91" i="10"/>
  <c r="J101" i="10"/>
  <c r="J111" i="10"/>
  <c r="J119" i="10"/>
  <c r="J129" i="10"/>
  <c r="J139" i="10"/>
  <c r="J148" i="10"/>
  <c r="J159" i="10"/>
  <c r="J167" i="10"/>
  <c r="J176" i="10"/>
  <c r="J187" i="10"/>
  <c r="J196" i="10"/>
  <c r="J204" i="10"/>
  <c r="J215" i="10"/>
  <c r="J224" i="10"/>
  <c r="J233" i="10"/>
  <c r="J244" i="10"/>
  <c r="J252" i="10"/>
  <c r="J261" i="10"/>
  <c r="J272" i="10"/>
  <c r="J281" i="10"/>
  <c r="J289" i="10"/>
  <c r="J300" i="10"/>
  <c r="J309" i="10"/>
  <c r="J319" i="10"/>
  <c r="J329" i="10"/>
  <c r="J337" i="10"/>
  <c r="J347" i="10"/>
  <c r="J357" i="10"/>
  <c r="J367" i="10"/>
  <c r="J375" i="10"/>
  <c r="J385" i="10"/>
  <c r="J395" i="10"/>
  <c r="J404" i="10"/>
  <c r="J415" i="10"/>
  <c r="J423" i="10"/>
  <c r="J432" i="10"/>
  <c r="J443" i="10"/>
  <c r="J452" i="10"/>
  <c r="J460" i="10"/>
  <c r="J471" i="10"/>
  <c r="J480" i="10"/>
  <c r="J489" i="10"/>
  <c r="J500" i="10"/>
  <c r="J508" i="10"/>
  <c r="J517" i="10"/>
  <c r="J528" i="10"/>
  <c r="J537" i="10"/>
  <c r="J545" i="10"/>
  <c r="J556" i="10"/>
  <c r="J565" i="10"/>
  <c r="J575" i="10"/>
  <c r="J585" i="10"/>
  <c r="J593" i="10"/>
  <c r="J603" i="10"/>
  <c r="J613" i="10"/>
  <c r="J623" i="10"/>
  <c r="J631" i="10"/>
  <c r="J641" i="10"/>
  <c r="J651" i="10"/>
  <c r="J660" i="10"/>
  <c r="J671" i="10"/>
  <c r="J679" i="10"/>
  <c r="J688" i="10"/>
  <c r="J699" i="10"/>
  <c r="J708" i="10"/>
  <c r="J715" i="10"/>
  <c r="J723" i="10"/>
  <c r="J730" i="10"/>
  <c r="J737" i="10"/>
  <c r="J745" i="10"/>
  <c r="J751" i="10"/>
  <c r="J758" i="10"/>
  <c r="J766" i="10"/>
  <c r="J773" i="10"/>
  <c r="J779" i="10"/>
  <c r="J787" i="10"/>
  <c r="J794" i="10"/>
  <c r="J801" i="10"/>
  <c r="J809" i="10"/>
  <c r="J815" i="10"/>
  <c r="J822" i="10"/>
  <c r="J830" i="10"/>
  <c r="J837" i="10"/>
  <c r="J843" i="10"/>
  <c r="J851" i="10"/>
  <c r="J858" i="10"/>
  <c r="J865" i="10"/>
  <c r="I40" i="10"/>
  <c r="I46" i="10"/>
  <c r="I53" i="10"/>
  <c r="I61" i="10"/>
  <c r="I68" i="10"/>
  <c r="I74" i="10"/>
  <c r="I82" i="10"/>
  <c r="I89" i="10"/>
  <c r="I96" i="10"/>
  <c r="I104" i="10"/>
  <c r="I110" i="10"/>
  <c r="I117" i="10"/>
  <c r="I125" i="10"/>
  <c r="I132" i="10"/>
  <c r="I138" i="10"/>
  <c r="I146" i="10"/>
  <c r="I153" i="10"/>
  <c r="I160" i="10"/>
  <c r="I168" i="10"/>
  <c r="I174" i="10"/>
  <c r="I181" i="10"/>
  <c r="I189" i="10"/>
  <c r="I196" i="10"/>
  <c r="I202" i="10"/>
  <c r="I210" i="10"/>
  <c r="I217" i="10"/>
  <c r="I224" i="10"/>
  <c r="I232" i="10"/>
  <c r="I238" i="10"/>
  <c r="I245" i="10"/>
  <c r="I253" i="10"/>
  <c r="I260" i="10"/>
  <c r="I266" i="10"/>
  <c r="I274" i="10"/>
  <c r="I281" i="10"/>
  <c r="I288" i="10"/>
  <c r="I296" i="10"/>
  <c r="I302" i="10"/>
  <c r="I309" i="10"/>
  <c r="I317" i="10"/>
  <c r="I324" i="10"/>
  <c r="I330" i="10"/>
  <c r="I338" i="10"/>
  <c r="I345" i="10"/>
  <c r="I352" i="10"/>
  <c r="I360" i="10"/>
  <c r="I366" i="10"/>
  <c r="I373" i="10"/>
  <c r="I381" i="10"/>
  <c r="I388" i="10"/>
  <c r="I394" i="10"/>
  <c r="I402" i="10"/>
  <c r="I409" i="10"/>
  <c r="I416" i="10"/>
  <c r="I424" i="10"/>
  <c r="I430" i="10"/>
  <c r="I437" i="10"/>
  <c r="I445" i="10"/>
  <c r="I452" i="10"/>
  <c r="I458" i="10"/>
  <c r="I466" i="10"/>
  <c r="I473" i="10"/>
  <c r="I480" i="10"/>
  <c r="I488" i="10"/>
  <c r="I494" i="10"/>
  <c r="I501" i="10"/>
  <c r="I509" i="10"/>
  <c r="I516" i="10"/>
  <c r="I522" i="10"/>
  <c r="I530" i="10"/>
  <c r="I537" i="10"/>
  <c r="I544" i="10"/>
  <c r="I552" i="10"/>
  <c r="I558" i="10"/>
  <c r="I565" i="10"/>
  <c r="I573" i="10"/>
  <c r="I580" i="10"/>
  <c r="J39" i="10"/>
  <c r="J59" i="10"/>
  <c r="J76" i="10"/>
  <c r="J96" i="10"/>
  <c r="J116" i="10"/>
  <c r="J133" i="10"/>
  <c r="J153" i="10"/>
  <c r="J172" i="10"/>
  <c r="J191" i="10"/>
  <c r="J209" i="10"/>
  <c r="J229" i="10"/>
  <c r="J247" i="10"/>
  <c r="J267" i="10"/>
  <c r="J287" i="10"/>
  <c r="J304" i="10"/>
  <c r="J324" i="10"/>
  <c r="J343" i="10"/>
  <c r="J361" i="10"/>
  <c r="J380" i="10"/>
  <c r="J400" i="10"/>
  <c r="J417" i="10"/>
  <c r="J437" i="10"/>
  <c r="J457" i="10"/>
  <c r="J475" i="10"/>
  <c r="J495" i="10"/>
  <c r="J513" i="10"/>
  <c r="J532" i="10"/>
  <c r="J551" i="10"/>
  <c r="J571" i="10"/>
  <c r="J588" i="10"/>
  <c r="J608" i="10"/>
  <c r="J628" i="10"/>
  <c r="J645" i="10"/>
  <c r="J665" i="10"/>
  <c r="J684" i="10"/>
  <c r="J703" i="10"/>
  <c r="J719" i="10"/>
  <c r="J734" i="10"/>
  <c r="J747" i="10"/>
  <c r="J762" i="10"/>
  <c r="J777" i="10"/>
  <c r="J790" i="10"/>
  <c r="J805" i="10"/>
  <c r="J819" i="10"/>
  <c r="J833" i="10"/>
  <c r="J847" i="10"/>
  <c r="J862" i="10"/>
  <c r="I42" i="10"/>
  <c r="I57" i="10"/>
  <c r="I72" i="10"/>
  <c r="I85" i="10"/>
  <c r="I100" i="10"/>
  <c r="I114" i="10"/>
  <c r="I128" i="10"/>
  <c r="I142" i="10"/>
  <c r="I157" i="10"/>
  <c r="I170" i="10"/>
  <c r="I185" i="10"/>
  <c r="I200" i="10"/>
  <c r="I213" i="10"/>
  <c r="I228" i="10"/>
  <c r="I242" i="10"/>
  <c r="I256" i="10"/>
  <c r="I270" i="10"/>
  <c r="I285" i="10"/>
  <c r="I298" i="10"/>
  <c r="I313" i="10"/>
  <c r="I328" i="10"/>
  <c r="I341" i="10"/>
  <c r="I356" i="10"/>
  <c r="I370" i="10"/>
  <c r="I384" i="10"/>
  <c r="I398" i="10"/>
  <c r="I413" i="10"/>
  <c r="I426" i="10"/>
  <c r="I441" i="10"/>
  <c r="I456" i="10"/>
  <c r="I469" i="10"/>
  <c r="I484" i="10"/>
  <c r="I493" i="10"/>
  <c r="I504" i="10"/>
  <c r="I512" i="10"/>
  <c r="I521" i="10"/>
  <c r="I532" i="10"/>
  <c r="I541" i="10"/>
  <c r="I549" i="10"/>
  <c r="I560" i="10"/>
  <c r="I569" i="10"/>
  <c r="I578" i="10"/>
  <c r="I586" i="10"/>
  <c r="I594" i="10"/>
  <c r="I601" i="10"/>
  <c r="I608" i="10"/>
  <c r="I616" i="10"/>
  <c r="I622" i="10"/>
  <c r="I629" i="10"/>
  <c r="I637" i="10"/>
  <c r="I644" i="10"/>
  <c r="I650" i="10"/>
  <c r="I658" i="10"/>
  <c r="I665" i="10"/>
  <c r="I672" i="10"/>
  <c r="I680" i="10"/>
  <c r="I686" i="10"/>
  <c r="I693" i="10"/>
  <c r="I701" i="10"/>
  <c r="I708" i="10"/>
  <c r="I714" i="10"/>
  <c r="I722" i="10"/>
  <c r="I729" i="10"/>
  <c r="I735" i="10"/>
  <c r="I741" i="10"/>
  <c r="I746" i="10"/>
  <c r="I751" i="10"/>
  <c r="I757" i="10"/>
  <c r="I762" i="10"/>
  <c r="I767" i="10"/>
  <c r="I773" i="10"/>
  <c r="I778" i="10"/>
  <c r="I783" i="10"/>
  <c r="I789" i="10"/>
  <c r="I794" i="10"/>
  <c r="I799" i="10"/>
  <c r="I805" i="10"/>
  <c r="I810" i="10"/>
  <c r="I815" i="10"/>
  <c r="I821" i="10"/>
  <c r="I826" i="10"/>
  <c r="I831" i="10"/>
  <c r="I837" i="10"/>
  <c r="I842" i="10"/>
  <c r="I847" i="10"/>
  <c r="I853" i="10"/>
  <c r="I858" i="10"/>
  <c r="I863" i="10"/>
  <c r="H36" i="10"/>
  <c r="H41" i="10"/>
  <c r="H46" i="10"/>
  <c r="H52" i="10"/>
  <c r="H57" i="10"/>
  <c r="H62" i="10"/>
  <c r="H68" i="10"/>
  <c r="H73" i="10"/>
  <c r="H78" i="10"/>
  <c r="H84" i="10"/>
  <c r="H89" i="10"/>
  <c r="H94" i="10"/>
  <c r="H100" i="10"/>
  <c r="H105" i="10"/>
  <c r="H110" i="10"/>
  <c r="H116" i="10"/>
  <c r="H121" i="10"/>
  <c r="H126" i="10"/>
  <c r="H132" i="10"/>
  <c r="H137" i="10"/>
  <c r="H142" i="10"/>
  <c r="H148" i="10"/>
  <c r="H153" i="10"/>
  <c r="H158" i="10"/>
  <c r="H164" i="10"/>
  <c r="H169" i="10"/>
  <c r="H174" i="10"/>
  <c r="H180" i="10"/>
  <c r="H185" i="10"/>
  <c r="H190" i="10"/>
  <c r="H196" i="10"/>
  <c r="H201" i="10"/>
  <c r="H206" i="10"/>
  <c r="H212" i="10"/>
  <c r="H217" i="10"/>
  <c r="H222" i="10"/>
  <c r="H228" i="10"/>
  <c r="H233" i="10"/>
  <c r="H238" i="10"/>
  <c r="H244" i="10"/>
  <c r="H249" i="10"/>
  <c r="H254" i="10"/>
  <c r="H260" i="10"/>
  <c r="H265" i="10"/>
  <c r="H270" i="10"/>
  <c r="H276" i="10"/>
  <c r="H281" i="10"/>
  <c r="H286" i="10"/>
  <c r="H292" i="10"/>
  <c r="H297" i="10"/>
  <c r="H302" i="10"/>
  <c r="H308" i="10"/>
  <c r="H313" i="10"/>
  <c r="H318" i="10"/>
  <c r="H324" i="10"/>
  <c r="H329" i="10"/>
  <c r="H334" i="10"/>
  <c r="H340" i="10"/>
  <c r="H345" i="10"/>
  <c r="H350" i="10"/>
  <c r="H356" i="10"/>
  <c r="H361" i="10"/>
  <c r="H366" i="10"/>
  <c r="H372" i="10"/>
  <c r="H377" i="10"/>
  <c r="H382" i="10"/>
  <c r="H388" i="10"/>
  <c r="H393" i="10"/>
  <c r="H398" i="10"/>
  <c r="H404" i="10"/>
  <c r="H409" i="10"/>
  <c r="H414" i="10"/>
  <c r="H420" i="10"/>
  <c r="H425" i="10"/>
  <c r="H430" i="10"/>
  <c r="H436" i="10"/>
  <c r="H441" i="10"/>
  <c r="H446" i="10"/>
  <c r="H452" i="10"/>
  <c r="H457" i="10"/>
  <c r="H462" i="10"/>
  <c r="H468" i="10"/>
  <c r="H473" i="10"/>
  <c r="H478" i="10"/>
  <c r="H484" i="10"/>
  <c r="H489" i="10"/>
  <c r="H494" i="10"/>
  <c r="H500" i="10"/>
  <c r="H505" i="10"/>
  <c r="H510" i="10"/>
  <c r="H516" i="10"/>
  <c r="H521" i="10"/>
  <c r="H526" i="10"/>
  <c r="H532" i="10"/>
  <c r="H537" i="10"/>
  <c r="H542" i="10"/>
  <c r="H548" i="10"/>
  <c r="H553" i="10"/>
  <c r="H558" i="10"/>
  <c r="H564" i="10"/>
  <c r="H569" i="10"/>
  <c r="H574" i="10"/>
  <c r="H580" i="10"/>
  <c r="H585" i="10"/>
  <c r="H590" i="10"/>
  <c r="H596" i="10"/>
  <c r="H601" i="10"/>
  <c r="H606" i="10"/>
  <c r="H612" i="10"/>
  <c r="H617" i="10"/>
  <c r="H622" i="10"/>
  <c r="H628" i="10"/>
  <c r="H633" i="10"/>
  <c r="H638" i="10"/>
  <c r="H644" i="10"/>
  <c r="H649" i="10"/>
  <c r="H654" i="10"/>
  <c r="H660" i="10"/>
  <c r="H665" i="10"/>
  <c r="H670" i="10"/>
  <c r="H676" i="10"/>
  <c r="H681" i="10"/>
  <c r="H686" i="10"/>
  <c r="H692" i="10"/>
  <c r="H697" i="10"/>
  <c r="H702" i="10"/>
  <c r="H708" i="10"/>
  <c r="H713" i="10"/>
  <c r="H718" i="10"/>
  <c r="H724" i="10"/>
  <c r="H729" i="10"/>
  <c r="H734" i="10"/>
  <c r="H740" i="10"/>
  <c r="H745" i="10"/>
  <c r="H750" i="10"/>
  <c r="H756" i="10"/>
  <c r="H761" i="10"/>
  <c r="H766" i="10"/>
  <c r="H772" i="10"/>
  <c r="H777" i="10"/>
  <c r="H782" i="10"/>
  <c r="H788" i="10"/>
  <c r="H793" i="10"/>
  <c r="H798" i="10"/>
  <c r="H804" i="10"/>
  <c r="H809" i="10"/>
  <c r="H814" i="10"/>
  <c r="H820" i="10"/>
  <c r="H825" i="10"/>
  <c r="H830" i="10"/>
  <c r="H836" i="10"/>
  <c r="H841" i="10"/>
  <c r="H846" i="10"/>
  <c r="H852" i="10"/>
  <c r="H857" i="10"/>
  <c r="H862" i="10"/>
  <c r="G35" i="10"/>
  <c r="G40" i="10"/>
  <c r="G45" i="10"/>
  <c r="G51" i="10"/>
  <c r="G56" i="10"/>
  <c r="G61" i="10"/>
  <c r="G67" i="10"/>
  <c r="G72" i="10"/>
  <c r="G77" i="10"/>
  <c r="G83" i="10"/>
  <c r="G88" i="10"/>
  <c r="G93" i="10"/>
  <c r="G99" i="10"/>
  <c r="G104" i="10"/>
  <c r="G109" i="10"/>
  <c r="G115" i="10"/>
  <c r="G120" i="10"/>
  <c r="G125" i="10"/>
  <c r="G131" i="10"/>
  <c r="G136" i="10"/>
  <c r="G141" i="10"/>
  <c r="G147" i="10"/>
  <c r="G152" i="10"/>
  <c r="G157" i="10"/>
  <c r="G163" i="10"/>
  <c r="G168" i="10"/>
  <c r="G173" i="10"/>
  <c r="G179" i="10"/>
  <c r="G184" i="10"/>
  <c r="G189" i="10"/>
  <c r="G195" i="10"/>
  <c r="G200" i="10"/>
  <c r="G205" i="10"/>
  <c r="G211" i="10"/>
  <c r="G216" i="10"/>
  <c r="G221" i="10"/>
  <c r="G227" i="10"/>
  <c r="G232" i="10"/>
  <c r="G237" i="10"/>
  <c r="G243" i="10"/>
  <c r="G248" i="10"/>
  <c r="G253" i="10"/>
  <c r="G259" i="10"/>
  <c r="G264" i="10"/>
  <c r="G269" i="10"/>
  <c r="G275" i="10"/>
  <c r="G280" i="10"/>
  <c r="G285" i="10"/>
  <c r="G291" i="10"/>
  <c r="G296" i="10"/>
  <c r="G301" i="10"/>
  <c r="J52" i="10"/>
  <c r="J69" i="10"/>
  <c r="J89" i="10"/>
  <c r="J108" i="10"/>
  <c r="J127" i="10"/>
  <c r="J145" i="10"/>
  <c r="J165" i="10"/>
  <c r="J183" i="10"/>
  <c r="J203" i="10"/>
  <c r="J223" i="10"/>
  <c r="J240" i="10"/>
  <c r="J260" i="10"/>
  <c r="J279" i="10"/>
  <c r="J297" i="10"/>
  <c r="J316" i="10"/>
  <c r="J336" i="10"/>
  <c r="J353" i="10"/>
  <c r="J373" i="10"/>
  <c r="J393" i="10"/>
  <c r="J411" i="10"/>
  <c r="J431" i="10"/>
  <c r="J449" i="10"/>
  <c r="J468" i="10"/>
  <c r="J487" i="10"/>
  <c r="J507" i="10"/>
  <c r="J524" i="10"/>
  <c r="J544" i="10"/>
  <c r="J564" i="10"/>
  <c r="J581" i="10"/>
  <c r="J601" i="10"/>
  <c r="J620" i="10"/>
  <c r="J639" i="10"/>
  <c r="J657" i="10"/>
  <c r="J677" i="10"/>
  <c r="J695" i="10"/>
  <c r="J714" i="10"/>
  <c r="J729" i="10"/>
  <c r="J742" i="10"/>
  <c r="J757" i="10"/>
  <c r="J771" i="10"/>
  <c r="J785" i="10"/>
  <c r="J799" i="10"/>
  <c r="J814" i="10"/>
  <c r="J827" i="10"/>
  <c r="J842" i="10"/>
  <c r="J857" i="10"/>
  <c r="I37" i="10"/>
  <c r="I52" i="10"/>
  <c r="I66" i="10"/>
  <c r="I80" i="10"/>
  <c r="I94" i="10"/>
  <c r="I109" i="10"/>
  <c r="I122" i="10"/>
  <c r="I137" i="10"/>
  <c r="I152" i="10"/>
  <c r="I165" i="10"/>
  <c r="I180" i="10"/>
  <c r="I194" i="10"/>
  <c r="I208" i="10"/>
  <c r="I222" i="10"/>
  <c r="I237" i="10"/>
  <c r="I250" i="10"/>
  <c r="I265" i="10"/>
  <c r="I280" i="10"/>
  <c r="I293" i="10"/>
  <c r="I308" i="10"/>
  <c r="I322" i="10"/>
  <c r="I336" i="10"/>
  <c r="I350" i="10"/>
  <c r="I365" i="10"/>
  <c r="I378" i="10"/>
  <c r="I393" i="10"/>
  <c r="I408" i="10"/>
  <c r="I421" i="10"/>
  <c r="I436" i="10"/>
  <c r="I450" i="10"/>
  <c r="I464" i="10"/>
  <c r="I478" i="10"/>
  <c r="I490" i="10"/>
  <c r="I500" i="10"/>
  <c r="I510" i="10"/>
  <c r="I520" i="10"/>
  <c r="I528" i="10"/>
  <c r="I538" i="10"/>
  <c r="I548" i="10"/>
  <c r="I557" i="10"/>
  <c r="I568" i="10"/>
  <c r="I576" i="10"/>
  <c r="I585" i="10"/>
  <c r="I592" i="10"/>
  <c r="I600" i="10"/>
  <c r="I606" i="10"/>
  <c r="I613" i="10"/>
  <c r="I621" i="10"/>
  <c r="I628" i="10"/>
  <c r="I634" i="10"/>
  <c r="I642" i="10"/>
  <c r="I649" i="10"/>
  <c r="I656" i="10"/>
  <c r="I664" i="10"/>
  <c r="I670" i="10"/>
  <c r="I677" i="10"/>
  <c r="I685" i="10"/>
  <c r="I692" i="10"/>
  <c r="I698" i="10"/>
  <c r="I706" i="10"/>
  <c r="I713" i="10"/>
  <c r="I720" i="10"/>
  <c r="I728" i="10"/>
  <c r="I734" i="10"/>
  <c r="I739" i="10"/>
  <c r="I745" i="10"/>
  <c r="I750" i="10"/>
  <c r="I755" i="10"/>
  <c r="I761" i="10"/>
  <c r="I766" i="10"/>
  <c r="I771" i="10"/>
  <c r="I777" i="10"/>
  <c r="I782" i="10"/>
  <c r="I787" i="10"/>
  <c r="I793" i="10"/>
  <c r="I798" i="10"/>
  <c r="I803" i="10"/>
  <c r="I809" i="10"/>
  <c r="I814" i="10"/>
  <c r="I819" i="10"/>
  <c r="I825" i="10"/>
  <c r="I830" i="10"/>
  <c r="I835" i="10"/>
  <c r="I841" i="10"/>
  <c r="I846" i="10"/>
  <c r="I851" i="10"/>
  <c r="I857" i="10"/>
  <c r="I862" i="10"/>
  <c r="H34" i="10"/>
  <c r="H40" i="10"/>
  <c r="H45" i="10"/>
  <c r="H50" i="10"/>
  <c r="H56" i="10"/>
  <c r="H61" i="10"/>
  <c r="H66" i="10"/>
  <c r="H72" i="10"/>
  <c r="H77" i="10"/>
  <c r="H82" i="10"/>
  <c r="H88" i="10"/>
  <c r="H93" i="10"/>
  <c r="H98" i="10"/>
  <c r="H104" i="10"/>
  <c r="H109" i="10"/>
  <c r="H114" i="10"/>
  <c r="H120" i="10"/>
  <c r="H125" i="10"/>
  <c r="H130" i="10"/>
  <c r="H136" i="10"/>
  <c r="H141" i="10"/>
  <c r="H146" i="10"/>
  <c r="H152" i="10"/>
  <c r="H157" i="10"/>
  <c r="H162" i="10"/>
  <c r="H168" i="10"/>
  <c r="H173" i="10"/>
  <c r="H178" i="10"/>
  <c r="H184" i="10"/>
  <c r="H189" i="10"/>
  <c r="H194" i="10"/>
  <c r="H200" i="10"/>
  <c r="H205" i="10"/>
  <c r="H210" i="10"/>
  <c r="H216" i="10"/>
  <c r="H221" i="10"/>
  <c r="H226" i="10"/>
  <c r="H232" i="10"/>
  <c r="H237" i="10"/>
  <c r="H242" i="10"/>
  <c r="H248" i="10"/>
  <c r="H253" i="10"/>
  <c r="H258" i="10"/>
  <c r="H264" i="10"/>
  <c r="H269" i="10"/>
  <c r="H274" i="10"/>
  <c r="H280" i="10"/>
  <c r="H285" i="10"/>
  <c r="H290" i="10"/>
  <c r="H296" i="10"/>
  <c r="H301" i="10"/>
  <c r="H306" i="10"/>
  <c r="H312" i="10"/>
  <c r="H317" i="10"/>
  <c r="H322" i="10"/>
  <c r="H328" i="10"/>
  <c r="H333" i="10"/>
  <c r="H338" i="10"/>
  <c r="H344" i="10"/>
  <c r="H349" i="10"/>
  <c r="H354" i="10"/>
  <c r="H360" i="10"/>
  <c r="H365" i="10"/>
  <c r="H370" i="10"/>
  <c r="H376" i="10"/>
  <c r="H381" i="10"/>
  <c r="H386" i="10"/>
  <c r="H392" i="10"/>
  <c r="H397" i="10"/>
  <c r="H402" i="10"/>
  <c r="H408" i="10"/>
  <c r="H413" i="10"/>
  <c r="H418" i="10"/>
  <c r="H424" i="10"/>
  <c r="H429" i="10"/>
  <c r="H434" i="10"/>
  <c r="H440" i="10"/>
  <c r="H445" i="10"/>
  <c r="H450" i="10"/>
  <c r="H456" i="10"/>
  <c r="H461" i="10"/>
  <c r="H466" i="10"/>
  <c r="H472" i="10"/>
  <c r="H477" i="10"/>
  <c r="H482" i="10"/>
  <c r="H488" i="10"/>
  <c r="H493" i="10"/>
  <c r="H498" i="10"/>
  <c r="H504" i="10"/>
  <c r="H509" i="10"/>
  <c r="H514" i="10"/>
  <c r="H520" i="10"/>
  <c r="H525" i="10"/>
  <c r="H530" i="10"/>
  <c r="H536" i="10"/>
  <c r="H541" i="10"/>
  <c r="H546" i="10"/>
  <c r="H552" i="10"/>
  <c r="H557" i="10"/>
  <c r="H562" i="10"/>
  <c r="H568" i="10"/>
  <c r="H573" i="10"/>
  <c r="H578" i="10"/>
  <c r="H584" i="10"/>
  <c r="H589" i="10"/>
  <c r="H594" i="10"/>
  <c r="H600" i="10"/>
  <c r="H605" i="10"/>
  <c r="H610" i="10"/>
  <c r="H616" i="10"/>
  <c r="H621" i="10"/>
  <c r="H626" i="10"/>
  <c r="H632" i="10"/>
  <c r="H637" i="10"/>
  <c r="H642" i="10"/>
  <c r="H648" i="10"/>
  <c r="H653" i="10"/>
  <c r="H658" i="10"/>
  <c r="H664" i="10"/>
  <c r="H669" i="10"/>
  <c r="H674" i="10"/>
  <c r="H680" i="10"/>
  <c r="H685" i="10"/>
  <c r="H690" i="10"/>
  <c r="H696" i="10"/>
  <c r="H701" i="10"/>
  <c r="H706" i="10"/>
  <c r="H712" i="10"/>
  <c r="H717" i="10"/>
  <c r="H722" i="10"/>
  <c r="H728" i="10"/>
  <c r="H733" i="10"/>
  <c r="H738" i="10"/>
  <c r="H744" i="10"/>
  <c r="H749" i="10"/>
  <c r="H754" i="10"/>
  <c r="H760" i="10"/>
  <c r="H765" i="10"/>
  <c r="H770" i="10"/>
  <c r="H776" i="10"/>
  <c r="H781" i="10"/>
  <c r="H786" i="10"/>
  <c r="H792" i="10"/>
  <c r="H797" i="10"/>
  <c r="H802" i="10"/>
  <c r="H808" i="10"/>
  <c r="H813" i="10"/>
  <c r="H818" i="10"/>
  <c r="H824" i="10"/>
  <c r="H829" i="10"/>
  <c r="H834" i="10"/>
  <c r="H840" i="10"/>
  <c r="H845" i="10"/>
  <c r="H850" i="10"/>
  <c r="H856" i="10"/>
  <c r="H861" i="10"/>
  <c r="H33" i="10"/>
  <c r="G39" i="10"/>
  <c r="G44" i="10"/>
  <c r="G49" i="10"/>
  <c r="G55" i="10"/>
  <c r="G60" i="10"/>
  <c r="G65" i="10"/>
  <c r="G71" i="10"/>
  <c r="G76" i="10"/>
  <c r="G81" i="10"/>
  <c r="G87" i="10"/>
  <c r="G92" i="10"/>
  <c r="G97" i="10"/>
  <c r="G103" i="10"/>
  <c r="G108" i="10"/>
  <c r="G113" i="10"/>
  <c r="G119" i="10"/>
  <c r="G124" i="10"/>
  <c r="G129" i="10"/>
  <c r="G135" i="10"/>
  <c r="G140" i="10"/>
  <c r="G145" i="10"/>
  <c r="G151" i="10"/>
  <c r="G156" i="10"/>
  <c r="G161" i="10"/>
  <c r="G167" i="10"/>
  <c r="G172" i="10"/>
  <c r="G177" i="10"/>
  <c r="G183" i="10"/>
  <c r="G188" i="10"/>
  <c r="G193" i="10"/>
  <c r="G199" i="10"/>
  <c r="G204" i="10"/>
  <c r="G209" i="10"/>
  <c r="G215" i="10"/>
  <c r="G220" i="10"/>
  <c r="G225" i="10"/>
  <c r="G231" i="10"/>
  <c r="G236" i="10"/>
  <c r="G241" i="10"/>
  <c r="G247" i="10"/>
  <c r="G252" i="10"/>
  <c r="G257" i="10"/>
  <c r="G263" i="10"/>
  <c r="G268" i="10"/>
  <c r="G273" i="10"/>
  <c r="G279" i="10"/>
  <c r="G284" i="10"/>
  <c r="G289" i="10"/>
  <c r="G295" i="10"/>
  <c r="G300" i="10"/>
  <c r="J41" i="10"/>
  <c r="J80" i="10"/>
  <c r="J117" i="10"/>
  <c r="J155" i="10"/>
  <c r="J193" i="10"/>
  <c r="J231" i="10"/>
  <c r="J268" i="10"/>
  <c r="J308" i="10"/>
  <c r="J345" i="10"/>
  <c r="J383" i="10"/>
  <c r="J421" i="10"/>
  <c r="J459" i="10"/>
  <c r="J496" i="10"/>
  <c r="J535" i="10"/>
  <c r="J572" i="10"/>
  <c r="J609" i="10"/>
  <c r="J649" i="10"/>
  <c r="J687" i="10"/>
  <c r="J721" i="10"/>
  <c r="J750" i="10"/>
  <c r="J778" i="10"/>
  <c r="J806" i="10"/>
  <c r="J835" i="10"/>
  <c r="J863" i="10"/>
  <c r="I58" i="10"/>
  <c r="I88" i="10"/>
  <c r="I116" i="10"/>
  <c r="I144" i="10"/>
  <c r="I173" i="10"/>
  <c r="I201" i="10"/>
  <c r="I229" i="10"/>
  <c r="I258" i="10"/>
  <c r="I286" i="10"/>
  <c r="I314" i="10"/>
  <c r="I344" i="10"/>
  <c r="I372" i="10"/>
  <c r="I400" i="10"/>
  <c r="I429" i="10"/>
  <c r="I457" i="10"/>
  <c r="I485" i="10"/>
  <c r="I505" i="10"/>
  <c r="I525" i="10"/>
  <c r="I542" i="10"/>
  <c r="I562" i="10"/>
  <c r="I581" i="10"/>
  <c r="I596" i="10"/>
  <c r="I610" i="10"/>
  <c r="I624" i="10"/>
  <c r="I638" i="10"/>
  <c r="I653" i="10"/>
  <c r="I666" i="10"/>
  <c r="I681" i="10"/>
  <c r="I696" i="10"/>
  <c r="I709" i="10"/>
  <c r="I724" i="10"/>
  <c r="I737" i="10"/>
  <c r="I747" i="10"/>
  <c r="I758" i="10"/>
  <c r="I769" i="10"/>
  <c r="I779" i="10"/>
  <c r="I790" i="10"/>
  <c r="I801" i="10"/>
  <c r="I811" i="10"/>
  <c r="I822" i="10"/>
  <c r="I833" i="10"/>
  <c r="I843" i="10"/>
  <c r="I854" i="10"/>
  <c r="I865" i="10"/>
  <c r="H42" i="10"/>
  <c r="H53" i="10"/>
  <c r="H64" i="10"/>
  <c r="H74" i="10"/>
  <c r="H85" i="10"/>
  <c r="H96" i="10"/>
  <c r="H106" i="10"/>
  <c r="H117" i="10"/>
  <c r="H128" i="10"/>
  <c r="H138" i="10"/>
  <c r="H149" i="10"/>
  <c r="H160" i="10"/>
  <c r="H170" i="10"/>
  <c r="H181" i="10"/>
  <c r="H192" i="10"/>
  <c r="H202" i="10"/>
  <c r="H213" i="10"/>
  <c r="H224" i="10"/>
  <c r="H234" i="10"/>
  <c r="H245" i="10"/>
  <c r="H256" i="10"/>
  <c r="H266" i="10"/>
  <c r="H277" i="10"/>
  <c r="H288" i="10"/>
  <c r="H298" i="10"/>
  <c r="H309" i="10"/>
  <c r="H320" i="10"/>
  <c r="H330" i="10"/>
  <c r="H341" i="10"/>
  <c r="H352" i="10"/>
  <c r="H362" i="10"/>
  <c r="H373" i="10"/>
  <c r="H384" i="10"/>
  <c r="H394" i="10"/>
  <c r="H405" i="10"/>
  <c r="H416" i="10"/>
  <c r="H426" i="10"/>
  <c r="H437" i="10"/>
  <c r="H448" i="10"/>
  <c r="H458" i="10"/>
  <c r="H469" i="10"/>
  <c r="H480" i="10"/>
  <c r="H490" i="10"/>
  <c r="H501" i="10"/>
  <c r="H512" i="10"/>
  <c r="H522" i="10"/>
  <c r="H533" i="10"/>
  <c r="H544" i="10"/>
  <c r="H554" i="10"/>
  <c r="H565" i="10"/>
  <c r="H576" i="10"/>
  <c r="H586" i="10"/>
  <c r="H597" i="10"/>
  <c r="H608" i="10"/>
  <c r="H618" i="10"/>
  <c r="H629" i="10"/>
  <c r="H640" i="10"/>
  <c r="H650" i="10"/>
  <c r="H661" i="10"/>
  <c r="H672" i="10"/>
  <c r="H682" i="10"/>
  <c r="H693" i="10"/>
  <c r="H704" i="10"/>
  <c r="H714" i="10"/>
  <c r="H725" i="10"/>
  <c r="H736" i="10"/>
  <c r="H746" i="10"/>
  <c r="H757" i="10"/>
  <c r="H768" i="10"/>
  <c r="H778" i="10"/>
  <c r="H789" i="10"/>
  <c r="H800" i="10"/>
  <c r="H810" i="10"/>
  <c r="H821" i="10"/>
  <c r="H832" i="10"/>
  <c r="H842" i="10"/>
  <c r="H853" i="10"/>
  <c r="H864" i="10"/>
  <c r="G41" i="10"/>
  <c r="G52" i="10"/>
  <c r="G63" i="10"/>
  <c r="G73" i="10"/>
  <c r="G84" i="10"/>
  <c r="G95" i="10"/>
  <c r="G105" i="10"/>
  <c r="G116" i="10"/>
  <c r="G127" i="10"/>
  <c r="G137" i="10"/>
  <c r="G148" i="10"/>
  <c r="G159" i="10"/>
  <c r="G169" i="10"/>
  <c r="G180" i="10"/>
  <c r="G191" i="10"/>
  <c r="G201" i="10"/>
  <c r="G212" i="10"/>
  <c r="G223" i="10"/>
  <c r="G233" i="10"/>
  <c r="G244" i="10"/>
  <c r="G255" i="10"/>
  <c r="G265" i="10"/>
  <c r="G276" i="10"/>
  <c r="G287" i="10"/>
  <c r="G297" i="10"/>
  <c r="G305" i="10"/>
  <c r="G311" i="10"/>
  <c r="G316" i="10"/>
  <c r="G321" i="10"/>
  <c r="G327" i="10"/>
  <c r="G332" i="10"/>
  <c r="G337" i="10"/>
  <c r="G343" i="10"/>
  <c r="G348" i="10"/>
  <c r="G353" i="10"/>
  <c r="G359" i="10"/>
  <c r="G364" i="10"/>
  <c r="G369" i="10"/>
  <c r="G375" i="10"/>
  <c r="G380" i="10"/>
  <c r="G385" i="10"/>
  <c r="G391" i="10"/>
  <c r="G396" i="10"/>
  <c r="G401" i="10"/>
  <c r="G407" i="10"/>
  <c r="G412" i="10"/>
  <c r="G417" i="10"/>
  <c r="G423" i="10"/>
  <c r="G428" i="10"/>
  <c r="G433" i="10"/>
  <c r="G439" i="10"/>
  <c r="G444" i="10"/>
  <c r="G449" i="10"/>
  <c r="G455" i="10"/>
  <c r="G460" i="10"/>
  <c r="G465" i="10"/>
  <c r="G471" i="10"/>
  <c r="G476" i="10"/>
  <c r="G481" i="10"/>
  <c r="G487" i="10"/>
  <c r="G492" i="10"/>
  <c r="G497" i="10"/>
  <c r="G503" i="10"/>
  <c r="G508" i="10"/>
  <c r="G513" i="10"/>
  <c r="G519" i="10"/>
  <c r="G524" i="10"/>
  <c r="G529" i="10"/>
  <c r="G535" i="10"/>
  <c r="G540" i="10"/>
  <c r="G545" i="10"/>
  <c r="G551" i="10"/>
  <c r="G556" i="10"/>
  <c r="G561" i="10"/>
  <c r="G567" i="10"/>
  <c r="G572" i="10"/>
  <c r="G577" i="10"/>
  <c r="G583" i="10"/>
  <c r="G588" i="10"/>
  <c r="G593" i="10"/>
  <c r="G599" i="10"/>
  <c r="G604" i="10"/>
  <c r="G609" i="10"/>
  <c r="G615" i="10"/>
  <c r="G620" i="10"/>
  <c r="G625" i="10"/>
  <c r="G631" i="10"/>
  <c r="G636" i="10"/>
  <c r="G641" i="10"/>
  <c r="G647" i="10"/>
  <c r="G652" i="10"/>
  <c r="G657" i="10"/>
  <c r="G663" i="10"/>
  <c r="G668" i="10"/>
  <c r="G673" i="10"/>
  <c r="G679" i="10"/>
  <c r="G684" i="10"/>
  <c r="G689" i="10"/>
  <c r="G695" i="10"/>
  <c r="G700" i="10"/>
  <c r="G705" i="10"/>
  <c r="G711" i="10"/>
  <c r="G716" i="10"/>
  <c r="G721" i="10"/>
  <c r="G727" i="10"/>
  <c r="G732" i="10"/>
  <c r="G737" i="10"/>
  <c r="G743" i="10"/>
  <c r="G748" i="10"/>
  <c r="G753" i="10"/>
  <c r="G759" i="10"/>
  <c r="G764" i="10"/>
  <c r="G769" i="10"/>
  <c r="G774" i="10"/>
  <c r="G778" i="10"/>
  <c r="G782" i="10"/>
  <c r="G786" i="10"/>
  <c r="G790" i="10"/>
  <c r="G794" i="10"/>
  <c r="G798" i="10"/>
  <c r="G802" i="10"/>
  <c r="G806" i="10"/>
  <c r="G810" i="10"/>
  <c r="G814" i="10"/>
  <c r="G818" i="10"/>
  <c r="G822" i="10"/>
  <c r="G826" i="10"/>
  <c r="G830" i="10"/>
  <c r="G834" i="10"/>
  <c r="G838" i="10"/>
  <c r="G842" i="10"/>
  <c r="G846" i="10"/>
  <c r="G850" i="10"/>
  <c r="G854" i="10"/>
  <c r="G858" i="10"/>
  <c r="G862" i="10"/>
  <c r="G33" i="10"/>
  <c r="E37" i="10"/>
  <c r="E41" i="10"/>
  <c r="E45" i="10"/>
  <c r="E49" i="10"/>
  <c r="E53" i="10"/>
  <c r="E57" i="10"/>
  <c r="E61" i="10"/>
  <c r="E65" i="10"/>
  <c r="E69" i="10"/>
  <c r="E73" i="10"/>
  <c r="E77" i="10"/>
  <c r="E81" i="10"/>
  <c r="E85" i="10"/>
  <c r="E89" i="10"/>
  <c r="E93" i="10"/>
  <c r="E97" i="10"/>
  <c r="E101" i="10"/>
  <c r="E105" i="10"/>
  <c r="E109" i="10"/>
  <c r="E113" i="10"/>
  <c r="E117" i="10"/>
  <c r="E121" i="10"/>
  <c r="E125" i="10"/>
  <c r="E129" i="10"/>
  <c r="E133" i="10"/>
  <c r="E137" i="10"/>
  <c r="E141" i="10"/>
  <c r="E145" i="10"/>
  <c r="E149" i="10"/>
  <c r="E153" i="10"/>
  <c r="E157" i="10"/>
  <c r="E161" i="10"/>
  <c r="E165" i="10"/>
  <c r="E169" i="10"/>
  <c r="E173" i="10"/>
  <c r="E177" i="10"/>
  <c r="E181" i="10"/>
  <c r="E185" i="10"/>
  <c r="E189" i="10"/>
  <c r="E193" i="10"/>
  <c r="E197" i="10"/>
  <c r="E201" i="10"/>
  <c r="E205" i="10"/>
  <c r="E209" i="10"/>
  <c r="E213" i="10"/>
  <c r="E217" i="10"/>
  <c r="E221" i="10"/>
  <c r="E225" i="10"/>
  <c r="E229" i="10"/>
  <c r="E233" i="10"/>
  <c r="E237" i="10"/>
  <c r="E241" i="10"/>
  <c r="E245" i="10"/>
  <c r="E249" i="10"/>
  <c r="E253" i="10"/>
  <c r="E257" i="10"/>
  <c r="E261" i="10"/>
  <c r="E265" i="10"/>
  <c r="E269" i="10"/>
  <c r="E273" i="10"/>
  <c r="E277" i="10"/>
  <c r="E281" i="10"/>
  <c r="E285" i="10"/>
  <c r="E289" i="10"/>
  <c r="E293" i="10"/>
  <c r="E297" i="10"/>
  <c r="E301" i="10"/>
  <c r="E305" i="10"/>
  <c r="E309" i="10"/>
  <c r="E313" i="10"/>
  <c r="E317" i="10"/>
  <c r="E321" i="10"/>
  <c r="E325" i="10"/>
  <c r="E329" i="10"/>
  <c r="E333" i="10"/>
  <c r="E337" i="10"/>
  <c r="E341" i="10"/>
  <c r="E345" i="10"/>
  <c r="E349" i="10"/>
  <c r="E353" i="10"/>
  <c r="E357" i="10"/>
  <c r="E361" i="10"/>
  <c r="E365" i="10"/>
  <c r="E369" i="10"/>
  <c r="E373" i="10"/>
  <c r="E377" i="10"/>
  <c r="E381" i="10"/>
  <c r="E385" i="10"/>
  <c r="E389" i="10"/>
  <c r="E393" i="10"/>
  <c r="E397" i="10"/>
  <c r="E401" i="10"/>
  <c r="E405" i="10"/>
  <c r="E409" i="10"/>
  <c r="E413" i="10"/>
  <c r="E417" i="10"/>
  <c r="E421" i="10"/>
  <c r="E425" i="10"/>
  <c r="E429" i="10"/>
  <c r="E433" i="10"/>
  <c r="E437" i="10"/>
  <c r="E441" i="10"/>
  <c r="E445" i="10"/>
  <c r="E449" i="10"/>
  <c r="E453" i="10"/>
  <c r="E457" i="10"/>
  <c r="E461" i="10"/>
  <c r="E465" i="10"/>
  <c r="E469" i="10"/>
  <c r="E473" i="10"/>
  <c r="E477" i="10"/>
  <c r="E481" i="10"/>
  <c r="E485" i="10"/>
  <c r="E489" i="10"/>
  <c r="E493" i="10"/>
  <c r="E497" i="10"/>
  <c r="E501" i="10"/>
  <c r="E505" i="10"/>
  <c r="E509" i="10"/>
  <c r="E513" i="10"/>
  <c r="E517" i="10"/>
  <c r="E521" i="10"/>
  <c r="E525" i="10"/>
  <c r="E529" i="10"/>
  <c r="E533" i="10"/>
  <c r="E537" i="10"/>
  <c r="E541" i="10"/>
  <c r="E545" i="10"/>
  <c r="E549" i="10"/>
  <c r="E553" i="10"/>
  <c r="E557" i="10"/>
  <c r="E561" i="10"/>
  <c r="E565" i="10"/>
  <c r="E569" i="10"/>
  <c r="E573" i="10"/>
  <c r="E577" i="10"/>
  <c r="E581" i="10"/>
  <c r="E585" i="10"/>
  <c r="E589" i="10"/>
  <c r="E593" i="10"/>
  <c r="E597" i="10"/>
  <c r="E601" i="10"/>
  <c r="E605" i="10"/>
  <c r="E609" i="10"/>
  <c r="E613" i="10"/>
  <c r="E617" i="10"/>
  <c r="E621" i="10"/>
  <c r="E625" i="10"/>
  <c r="E629" i="10"/>
  <c r="E633" i="10"/>
  <c r="E637" i="10"/>
  <c r="E641" i="10"/>
  <c r="E645" i="10"/>
  <c r="E649" i="10"/>
  <c r="E653" i="10"/>
  <c r="E657" i="10"/>
  <c r="E661" i="10"/>
  <c r="E665" i="10"/>
  <c r="E669" i="10"/>
  <c r="E673" i="10"/>
  <c r="E677" i="10"/>
  <c r="E681" i="10"/>
  <c r="E685" i="10"/>
  <c r="E689" i="10"/>
  <c r="E693" i="10"/>
  <c r="E697" i="10"/>
  <c r="E701" i="10"/>
  <c r="E705" i="10"/>
  <c r="E709" i="10"/>
  <c r="E713" i="10"/>
  <c r="E717" i="10"/>
  <c r="E721" i="10"/>
  <c r="E725" i="10"/>
  <c r="E729" i="10"/>
  <c r="E733" i="10"/>
  <c r="E737" i="10"/>
  <c r="E741" i="10"/>
  <c r="E745" i="10"/>
  <c r="E749" i="10"/>
  <c r="E753" i="10"/>
  <c r="E757" i="10"/>
  <c r="E761" i="10"/>
  <c r="E765" i="10"/>
  <c r="E769" i="10"/>
  <c r="E773" i="10"/>
  <c r="E777" i="10"/>
  <c r="E781" i="10"/>
  <c r="E785" i="10"/>
  <c r="E789" i="10"/>
  <c r="E793" i="10"/>
  <c r="E797" i="10"/>
  <c r="E801" i="10"/>
  <c r="E805" i="10"/>
  <c r="E809" i="10"/>
  <c r="E813" i="10"/>
  <c r="E817" i="10"/>
  <c r="E821" i="10"/>
  <c r="E825" i="10"/>
  <c r="E829" i="10"/>
  <c r="E833" i="10"/>
  <c r="E837" i="10"/>
  <c r="E841" i="10"/>
  <c r="E845" i="10"/>
  <c r="E849" i="10"/>
  <c r="E853" i="10"/>
  <c r="E857" i="10"/>
  <c r="E861" i="10"/>
  <c r="E865" i="10"/>
  <c r="J48" i="10"/>
  <c r="J161" i="10"/>
  <c r="J239" i="10"/>
  <c r="J315" i="10"/>
  <c r="J389" i="10"/>
  <c r="J465" i="10"/>
  <c r="J543" i="10"/>
  <c r="J617" i="10"/>
  <c r="J693" i="10"/>
  <c r="J755" i="10"/>
  <c r="J783" i="10"/>
  <c r="J841" i="10"/>
  <c r="I64" i="10"/>
  <c r="I121" i="10"/>
  <c r="I206" i="10"/>
  <c r="I234" i="10"/>
  <c r="I292" i="10"/>
  <c r="I377" i="10"/>
  <c r="I434" i="10"/>
  <c r="I489" i="10"/>
  <c r="I526" i="10"/>
  <c r="I564" i="10"/>
  <c r="I584" i="10"/>
  <c r="I612" i="10"/>
  <c r="I640" i="10"/>
  <c r="I669" i="10"/>
  <c r="I712" i="10"/>
  <c r="I738" i="10"/>
  <c r="I759" i="10"/>
  <c r="I781" i="10"/>
  <c r="I802" i="10"/>
  <c r="I823" i="10"/>
  <c r="I845" i="10"/>
  <c r="I33" i="10"/>
  <c r="H54" i="10"/>
  <c r="H76" i="10"/>
  <c r="H108" i="10"/>
  <c r="H118" i="10"/>
  <c r="H150" i="10"/>
  <c r="H172" i="10"/>
  <c r="H193" i="10"/>
  <c r="H214" i="10"/>
  <c r="H225" i="10"/>
  <c r="H257" i="10"/>
  <c r="H278" i="10"/>
  <c r="H300" i="10"/>
  <c r="H321" i="10"/>
  <c r="H332" i="10"/>
  <c r="H353" i="10"/>
  <c r="H374" i="10"/>
  <c r="H396" i="10"/>
  <c r="H417" i="10"/>
  <c r="H438" i="10"/>
  <c r="H460" i="10"/>
  <c r="H481" i="10"/>
  <c r="H492" i="10"/>
  <c r="H513" i="10"/>
  <c r="H534" i="10"/>
  <c r="H566" i="10"/>
  <c r="H588" i="10"/>
  <c r="H609" i="10"/>
  <c r="H630" i="10"/>
  <c r="H652" i="10"/>
  <c r="H673" i="10"/>
  <c r="H694" i="10"/>
  <c r="H726" i="10"/>
  <c r="H758" i="10"/>
  <c r="H780" i="10"/>
  <c r="H801" i="10"/>
  <c r="H822" i="10"/>
  <c r="H844" i="10"/>
  <c r="H865" i="10"/>
  <c r="G53" i="10"/>
  <c r="G75" i="10"/>
  <c r="G96" i="10"/>
  <c r="G117" i="10"/>
  <c r="G139" i="10"/>
  <c r="G149" i="10"/>
  <c r="G171" i="10"/>
  <c r="G192" i="10"/>
  <c r="G213" i="10"/>
  <c r="G235" i="10"/>
  <c r="G256" i="10"/>
  <c r="G277" i="10"/>
  <c r="G299" i="10"/>
  <c r="G312" i="10"/>
  <c r="G323" i="10"/>
  <c r="G333" i="10"/>
  <c r="G344" i="10"/>
  <c r="G355" i="10"/>
  <c r="G365" i="10"/>
  <c r="G376" i="10"/>
  <c r="G381" i="10"/>
  <c r="G392" i="10"/>
  <c r="G403" i="10"/>
  <c r="G413" i="10"/>
  <c r="G424" i="10"/>
  <c r="G429" i="10"/>
  <c r="G440" i="10"/>
  <c r="G451" i="10"/>
  <c r="G461" i="10"/>
  <c r="G472" i="10"/>
  <c r="G483" i="10"/>
  <c r="G493" i="10"/>
  <c r="G504" i="10"/>
  <c r="G509" i="10"/>
  <c r="G520" i="10"/>
  <c r="G531" i="10"/>
  <c r="G541" i="10"/>
  <c r="G552" i="10"/>
  <c r="G557" i="10"/>
  <c r="G568" i="10"/>
  <c r="G579" i="10"/>
  <c r="G589" i="10"/>
  <c r="G600" i="10"/>
  <c r="G611" i="10"/>
  <c r="G621" i="10"/>
  <c r="G632" i="10"/>
  <c r="G643" i="10"/>
  <c r="G653" i="10"/>
  <c r="G664" i="10"/>
  <c r="G675" i="10"/>
  <c r="G685" i="10"/>
  <c r="G696" i="10"/>
  <c r="G701" i="10"/>
  <c r="G712" i="10"/>
  <c r="G723" i="10"/>
  <c r="G733" i="10"/>
  <c r="G744" i="10"/>
  <c r="G749" i="10"/>
  <c r="G760" i="10"/>
  <c r="G771" i="10"/>
  <c r="G779" i="10"/>
  <c r="G787" i="10"/>
  <c r="G795" i="10"/>
  <c r="G803" i="10"/>
  <c r="G811" i="10"/>
  <c r="G819" i="10"/>
  <c r="G827" i="10"/>
  <c r="G835" i="10"/>
  <c r="G843" i="10"/>
  <c r="G851" i="10"/>
  <c r="G863" i="10"/>
  <c r="E38" i="10"/>
  <c r="E46" i="10"/>
  <c r="E50" i="10"/>
  <c r="E58" i="10"/>
  <c r="E66" i="10"/>
  <c r="E74" i="10"/>
  <c r="E82" i="10"/>
  <c r="E90" i="10"/>
  <c r="E98" i="10"/>
  <c r="E106" i="10"/>
  <c r="E114" i="10"/>
  <c r="E122" i="10"/>
  <c r="E130" i="10"/>
  <c r="E138" i="10"/>
  <c r="E146" i="10"/>
  <c r="E154" i="10"/>
  <c r="E162" i="10"/>
  <c r="E170" i="10"/>
  <c r="E178" i="10"/>
  <c r="E186" i="10"/>
  <c r="E194" i="10"/>
  <c r="E202" i="10"/>
  <c r="E210" i="10"/>
  <c r="E218" i="10"/>
  <c r="E226" i="10"/>
  <c r="E234" i="10"/>
  <c r="E242" i="10"/>
  <c r="E250" i="10"/>
  <c r="E258" i="10"/>
  <c r="E266" i="10"/>
  <c r="E274" i="10"/>
  <c r="E282" i="10"/>
  <c r="E290" i="10"/>
  <c r="E298" i="10"/>
  <c r="E306" i="10"/>
  <c r="E314" i="10"/>
  <c r="E322" i="10"/>
  <c r="E330" i="10"/>
  <c r="E338" i="10"/>
  <c r="E350" i="10"/>
  <c r="E358" i="10"/>
  <c r="E366" i="10"/>
  <c r="E374" i="10"/>
  <c r="E382" i="10"/>
  <c r="E386" i="10"/>
  <c r="E394" i="10"/>
  <c r="E402" i="10"/>
  <c r="E410" i="10"/>
  <c r="E418" i="10"/>
  <c r="E422" i="10"/>
  <c r="E434" i="10"/>
  <c r="E442" i="10"/>
  <c r="E450" i="10"/>
  <c r="E454" i="10"/>
  <c r="E462" i="10"/>
  <c r="E466" i="10"/>
  <c r="J68" i="10"/>
  <c r="J105" i="10"/>
  <c r="J144" i="10"/>
  <c r="J181" i="10"/>
  <c r="J219" i="10"/>
  <c r="J257" i="10"/>
  <c r="J295" i="10"/>
  <c r="J332" i="10"/>
  <c r="J372" i="10"/>
  <c r="J409" i="10"/>
  <c r="J447" i="10"/>
  <c r="J485" i="10"/>
  <c r="J523" i="10"/>
  <c r="J560" i="10"/>
  <c r="J599" i="10"/>
  <c r="J636" i="10"/>
  <c r="J673" i="10"/>
  <c r="J713" i="10"/>
  <c r="J741" i="10"/>
  <c r="J769" i="10"/>
  <c r="J798" i="10"/>
  <c r="J826" i="10"/>
  <c r="J854" i="10"/>
  <c r="I50" i="10"/>
  <c r="I78" i="10"/>
  <c r="I106" i="10"/>
  <c r="I136" i="10"/>
  <c r="I164" i="10"/>
  <c r="I192" i="10"/>
  <c r="I221" i="10"/>
  <c r="I249" i="10"/>
  <c r="I277" i="10"/>
  <c r="I306" i="10"/>
  <c r="I334" i="10"/>
  <c r="I362" i="10"/>
  <c r="I392" i="10"/>
  <c r="I420" i="10"/>
  <c r="I448" i="10"/>
  <c r="I477" i="10"/>
  <c r="I498" i="10"/>
  <c r="I517" i="10"/>
  <c r="I536" i="10"/>
  <c r="I554" i="10"/>
  <c r="I574" i="10"/>
  <c r="I590" i="10"/>
  <c r="I605" i="10"/>
  <c r="I618" i="10"/>
  <c r="I633" i="10"/>
  <c r="I648" i="10"/>
  <c r="I661" i="10"/>
  <c r="I676" i="10"/>
  <c r="I690" i="10"/>
  <c r="I704" i="10"/>
  <c r="I718" i="10"/>
  <c r="I733" i="10"/>
  <c r="I743" i="10"/>
  <c r="I754" i="10"/>
  <c r="I765" i="10"/>
  <c r="I775" i="10"/>
  <c r="I786" i="10"/>
  <c r="I797" i="10"/>
  <c r="I807" i="10"/>
  <c r="I818" i="10"/>
  <c r="I829" i="10"/>
  <c r="I839" i="10"/>
  <c r="I850" i="10"/>
  <c r="I861" i="10"/>
  <c r="H38" i="10"/>
  <c r="H49" i="10"/>
  <c r="H60" i="10"/>
  <c r="H70" i="10"/>
  <c r="H81" i="10"/>
  <c r="H92" i="10"/>
  <c r="H102" i="10"/>
  <c r="H113" i="10"/>
  <c r="H124" i="10"/>
  <c r="H134" i="10"/>
  <c r="H145" i="10"/>
  <c r="H156" i="10"/>
  <c r="H166" i="10"/>
  <c r="H177" i="10"/>
  <c r="H188" i="10"/>
  <c r="H198" i="10"/>
  <c r="H209" i="10"/>
  <c r="H220" i="10"/>
  <c r="H230" i="10"/>
  <c r="H241" i="10"/>
  <c r="H252" i="10"/>
  <c r="H262" i="10"/>
  <c r="H273" i="10"/>
  <c r="H284" i="10"/>
  <c r="H294" i="10"/>
  <c r="H305" i="10"/>
  <c r="H316" i="10"/>
  <c r="H326" i="10"/>
  <c r="H337" i="10"/>
  <c r="H348" i="10"/>
  <c r="H358" i="10"/>
  <c r="H369" i="10"/>
  <c r="H380" i="10"/>
  <c r="H390" i="10"/>
  <c r="H401" i="10"/>
  <c r="H412" i="10"/>
  <c r="H422" i="10"/>
  <c r="H433" i="10"/>
  <c r="H444" i="10"/>
  <c r="H454" i="10"/>
  <c r="H465" i="10"/>
  <c r="H476" i="10"/>
  <c r="H486" i="10"/>
  <c r="H497" i="10"/>
  <c r="H508" i="10"/>
  <c r="H518" i="10"/>
  <c r="H529" i="10"/>
  <c r="H540" i="10"/>
  <c r="H550" i="10"/>
  <c r="H561" i="10"/>
  <c r="H572" i="10"/>
  <c r="H582" i="10"/>
  <c r="H593" i="10"/>
  <c r="H604" i="10"/>
  <c r="H614" i="10"/>
  <c r="H625" i="10"/>
  <c r="H636" i="10"/>
  <c r="H646" i="10"/>
  <c r="H657" i="10"/>
  <c r="H668" i="10"/>
  <c r="H678" i="10"/>
  <c r="H689" i="10"/>
  <c r="H700" i="10"/>
  <c r="H710" i="10"/>
  <c r="H721" i="10"/>
  <c r="H732" i="10"/>
  <c r="H742" i="10"/>
  <c r="H753" i="10"/>
  <c r="H764" i="10"/>
  <c r="H774" i="10"/>
  <c r="H785" i="10"/>
  <c r="H796" i="10"/>
  <c r="H806" i="10"/>
  <c r="H817" i="10"/>
  <c r="H828" i="10"/>
  <c r="H838" i="10"/>
  <c r="H849" i="10"/>
  <c r="H860" i="10"/>
  <c r="G37" i="10"/>
  <c r="G48" i="10"/>
  <c r="G59" i="10"/>
  <c r="G69" i="10"/>
  <c r="G80" i="10"/>
  <c r="G91" i="10"/>
  <c r="G101" i="10"/>
  <c r="G112" i="10"/>
  <c r="G123" i="10"/>
  <c r="G133" i="10"/>
  <c r="G144" i="10"/>
  <c r="G155" i="10"/>
  <c r="G165" i="10"/>
  <c r="G176" i="10"/>
  <c r="G187" i="10"/>
  <c r="G197" i="10"/>
  <c r="G208" i="10"/>
  <c r="G219" i="10"/>
  <c r="G229" i="10"/>
  <c r="G240" i="10"/>
  <c r="G251" i="10"/>
  <c r="G261" i="10"/>
  <c r="G272" i="10"/>
  <c r="G283" i="10"/>
  <c r="G293" i="10"/>
  <c r="G304" i="10"/>
  <c r="G309" i="10"/>
  <c r="G315" i="10"/>
  <c r="G320" i="10"/>
  <c r="G325" i="10"/>
  <c r="G331" i="10"/>
  <c r="G336" i="10"/>
  <c r="G341" i="10"/>
  <c r="G347" i="10"/>
  <c r="G352" i="10"/>
  <c r="G357" i="10"/>
  <c r="G363" i="10"/>
  <c r="G368" i="10"/>
  <c r="G373" i="10"/>
  <c r="G379" i="10"/>
  <c r="G384" i="10"/>
  <c r="G389" i="10"/>
  <c r="G395" i="10"/>
  <c r="G400" i="10"/>
  <c r="G405" i="10"/>
  <c r="G411" i="10"/>
  <c r="G416" i="10"/>
  <c r="G421" i="10"/>
  <c r="G427" i="10"/>
  <c r="G432" i="10"/>
  <c r="G437" i="10"/>
  <c r="G443" i="10"/>
  <c r="G448" i="10"/>
  <c r="G453" i="10"/>
  <c r="G459" i="10"/>
  <c r="G464" i="10"/>
  <c r="G469" i="10"/>
  <c r="G475" i="10"/>
  <c r="G480" i="10"/>
  <c r="G485" i="10"/>
  <c r="G491" i="10"/>
  <c r="G496" i="10"/>
  <c r="G501" i="10"/>
  <c r="G507" i="10"/>
  <c r="G512" i="10"/>
  <c r="G517" i="10"/>
  <c r="G523" i="10"/>
  <c r="G528" i="10"/>
  <c r="G533" i="10"/>
  <c r="G539" i="10"/>
  <c r="G544" i="10"/>
  <c r="G549" i="10"/>
  <c r="G555" i="10"/>
  <c r="G560" i="10"/>
  <c r="G565" i="10"/>
  <c r="G571" i="10"/>
  <c r="G576" i="10"/>
  <c r="G581" i="10"/>
  <c r="G587" i="10"/>
  <c r="G592" i="10"/>
  <c r="G597" i="10"/>
  <c r="G603" i="10"/>
  <c r="G608" i="10"/>
  <c r="G613" i="10"/>
  <c r="G619" i="10"/>
  <c r="G624" i="10"/>
  <c r="G629" i="10"/>
  <c r="G635" i="10"/>
  <c r="G640" i="10"/>
  <c r="G645" i="10"/>
  <c r="G651" i="10"/>
  <c r="G656" i="10"/>
  <c r="G661" i="10"/>
  <c r="G667" i="10"/>
  <c r="G672" i="10"/>
  <c r="G677" i="10"/>
  <c r="G683" i="10"/>
  <c r="G688" i="10"/>
  <c r="G693" i="10"/>
  <c r="G699" i="10"/>
  <c r="G704" i="10"/>
  <c r="G709" i="10"/>
  <c r="G715" i="10"/>
  <c r="G720" i="10"/>
  <c r="G725" i="10"/>
  <c r="G731" i="10"/>
  <c r="G736" i="10"/>
  <c r="G741" i="10"/>
  <c r="G747" i="10"/>
  <c r="G752" i="10"/>
  <c r="G757" i="10"/>
  <c r="G763" i="10"/>
  <c r="G768" i="10"/>
  <c r="G773" i="10"/>
  <c r="G777" i="10"/>
  <c r="G781" i="10"/>
  <c r="G785" i="10"/>
  <c r="G789" i="10"/>
  <c r="G793" i="10"/>
  <c r="G797" i="10"/>
  <c r="G801" i="10"/>
  <c r="G805" i="10"/>
  <c r="G809" i="10"/>
  <c r="G813" i="10"/>
  <c r="G817" i="10"/>
  <c r="G821" i="10"/>
  <c r="G825" i="10"/>
  <c r="G829" i="10"/>
  <c r="G833" i="10"/>
  <c r="G837" i="10"/>
  <c r="G841" i="10"/>
  <c r="G845" i="10"/>
  <c r="G849" i="10"/>
  <c r="G853" i="10"/>
  <c r="G857" i="10"/>
  <c r="G861" i="10"/>
  <c r="G865" i="10"/>
  <c r="E36" i="10"/>
  <c r="E40" i="10"/>
  <c r="E44" i="10"/>
  <c r="E48" i="10"/>
  <c r="E52" i="10"/>
  <c r="E56" i="10"/>
  <c r="E60" i="10"/>
  <c r="E64" i="10"/>
  <c r="E68" i="10"/>
  <c r="E72" i="10"/>
  <c r="E76" i="10"/>
  <c r="E80" i="10"/>
  <c r="E84" i="10"/>
  <c r="E88" i="10"/>
  <c r="E92" i="10"/>
  <c r="E96" i="10"/>
  <c r="E100" i="10"/>
  <c r="E104" i="10"/>
  <c r="E108" i="10"/>
  <c r="E112" i="10"/>
  <c r="E116" i="10"/>
  <c r="E120" i="10"/>
  <c r="E124" i="10"/>
  <c r="E128" i="10"/>
  <c r="E132" i="10"/>
  <c r="E136" i="10"/>
  <c r="E140" i="10"/>
  <c r="E144" i="10"/>
  <c r="E148" i="10"/>
  <c r="E152" i="10"/>
  <c r="E156" i="10"/>
  <c r="E160" i="10"/>
  <c r="E164" i="10"/>
  <c r="E168" i="10"/>
  <c r="E172" i="10"/>
  <c r="E176" i="10"/>
  <c r="E180" i="10"/>
  <c r="E184" i="10"/>
  <c r="E188" i="10"/>
  <c r="E192" i="10"/>
  <c r="E196" i="10"/>
  <c r="E200" i="10"/>
  <c r="E204" i="10"/>
  <c r="E208" i="10"/>
  <c r="E212" i="10"/>
  <c r="E216" i="10"/>
  <c r="E220" i="10"/>
  <c r="E224" i="10"/>
  <c r="E228" i="10"/>
  <c r="E232" i="10"/>
  <c r="E236" i="10"/>
  <c r="E240" i="10"/>
  <c r="E244" i="10"/>
  <c r="E248" i="10"/>
  <c r="E252" i="10"/>
  <c r="E256" i="10"/>
  <c r="E260" i="10"/>
  <c r="E264" i="10"/>
  <c r="E268" i="10"/>
  <c r="E272" i="10"/>
  <c r="E276" i="10"/>
  <c r="E280" i="10"/>
  <c r="E284" i="10"/>
  <c r="E288" i="10"/>
  <c r="E292" i="10"/>
  <c r="E296" i="10"/>
  <c r="E300" i="10"/>
  <c r="E304" i="10"/>
  <c r="E308" i="10"/>
  <c r="E312" i="10"/>
  <c r="E316" i="10"/>
  <c r="E320" i="10"/>
  <c r="E324" i="10"/>
  <c r="E328" i="10"/>
  <c r="E332" i="10"/>
  <c r="E336" i="10"/>
  <c r="E340" i="10"/>
  <c r="E344" i="10"/>
  <c r="E348" i="10"/>
  <c r="E352" i="10"/>
  <c r="E356" i="10"/>
  <c r="E360" i="10"/>
  <c r="E364" i="10"/>
  <c r="E368" i="10"/>
  <c r="E372" i="10"/>
  <c r="E376" i="10"/>
  <c r="E380" i="10"/>
  <c r="E384" i="10"/>
  <c r="E388" i="10"/>
  <c r="E392" i="10"/>
  <c r="E396" i="10"/>
  <c r="E400" i="10"/>
  <c r="E404" i="10"/>
  <c r="E408" i="10"/>
  <c r="E412" i="10"/>
  <c r="E416" i="10"/>
  <c r="E420" i="10"/>
  <c r="E424" i="10"/>
  <c r="E428" i="10"/>
  <c r="E432" i="10"/>
  <c r="E436" i="10"/>
  <c r="E440" i="10"/>
  <c r="E444" i="10"/>
  <c r="E448" i="10"/>
  <c r="E452" i="10"/>
  <c r="E456" i="10"/>
  <c r="E460" i="10"/>
  <c r="E464" i="10"/>
  <c r="E468" i="10"/>
  <c r="E472" i="10"/>
  <c r="E476" i="10"/>
  <c r="E480" i="10"/>
  <c r="E484" i="10"/>
  <c r="E488" i="10"/>
  <c r="E492" i="10"/>
  <c r="E496" i="10"/>
  <c r="E500" i="10"/>
  <c r="E504" i="10"/>
  <c r="E508" i="10"/>
  <c r="E512" i="10"/>
  <c r="E516" i="10"/>
  <c r="E520" i="10"/>
  <c r="E524" i="10"/>
  <c r="E528" i="10"/>
  <c r="E532" i="10"/>
  <c r="E536" i="10"/>
  <c r="E540" i="10"/>
  <c r="E544" i="10"/>
  <c r="E548" i="10"/>
  <c r="E552" i="10"/>
  <c r="E556" i="10"/>
  <c r="E560" i="10"/>
  <c r="E564" i="10"/>
  <c r="E568" i="10"/>
  <c r="E572" i="10"/>
  <c r="E576" i="10"/>
  <c r="E580" i="10"/>
  <c r="E584" i="10"/>
  <c r="E588" i="10"/>
  <c r="E592" i="10"/>
  <c r="E596" i="10"/>
  <c r="E600" i="10"/>
  <c r="E604" i="10"/>
  <c r="E608" i="10"/>
  <c r="E612" i="10"/>
  <c r="E616" i="10"/>
  <c r="E620" i="10"/>
  <c r="E624" i="10"/>
  <c r="E628" i="10"/>
  <c r="E632" i="10"/>
  <c r="E636" i="10"/>
  <c r="E640" i="10"/>
  <c r="E644" i="10"/>
  <c r="E648" i="10"/>
  <c r="E652" i="10"/>
  <c r="E656" i="10"/>
  <c r="E660" i="10"/>
  <c r="E664" i="10"/>
  <c r="E668" i="10"/>
  <c r="E672" i="10"/>
  <c r="E676" i="10"/>
  <c r="E680" i="10"/>
  <c r="E684" i="10"/>
  <c r="E688" i="10"/>
  <c r="E692" i="10"/>
  <c r="E696" i="10"/>
  <c r="E700" i="10"/>
  <c r="E704" i="10"/>
  <c r="E708" i="10"/>
  <c r="E712" i="10"/>
  <c r="E716" i="10"/>
  <c r="E720" i="10"/>
  <c r="E724" i="10"/>
  <c r="E728" i="10"/>
  <c r="E732" i="10"/>
  <c r="E736" i="10"/>
  <c r="E740" i="10"/>
  <c r="E744" i="10"/>
  <c r="E748" i="10"/>
  <c r="E752" i="10"/>
  <c r="E756" i="10"/>
  <c r="E760" i="10"/>
  <c r="E764" i="10"/>
  <c r="E768" i="10"/>
  <c r="E772" i="10"/>
  <c r="E776" i="10"/>
  <c r="E780" i="10"/>
  <c r="E784" i="10"/>
  <c r="E788" i="10"/>
  <c r="E792" i="10"/>
  <c r="E796" i="10"/>
  <c r="E800" i="10"/>
  <c r="E804" i="10"/>
  <c r="E808" i="10"/>
  <c r="E812" i="10"/>
  <c r="E816" i="10"/>
  <c r="E820" i="10"/>
  <c r="E824" i="10"/>
  <c r="E828" i="10"/>
  <c r="E832" i="10"/>
  <c r="E836" i="10"/>
  <c r="E840" i="10"/>
  <c r="E844" i="10"/>
  <c r="E848" i="10"/>
  <c r="E852" i="10"/>
  <c r="E856" i="10"/>
  <c r="E860" i="10"/>
  <c r="E864" i="10"/>
  <c r="J87" i="10"/>
  <c r="J124" i="10"/>
  <c r="J201" i="10"/>
  <c r="J276" i="10"/>
  <c r="J352" i="10"/>
  <c r="J428" i="10"/>
  <c r="J503" i="10"/>
  <c r="J580" i="10"/>
  <c r="J656" i="10"/>
  <c r="J726" i="10"/>
  <c r="J811" i="10"/>
  <c r="I36" i="10"/>
  <c r="I93" i="10"/>
  <c r="I149" i="10"/>
  <c r="I178" i="10"/>
  <c r="I264" i="10"/>
  <c r="I320" i="10"/>
  <c r="I349" i="10"/>
  <c r="I405" i="10"/>
  <c r="I462" i="10"/>
  <c r="I506" i="10"/>
  <c r="I546" i="10"/>
  <c r="I597" i="10"/>
  <c r="I626" i="10"/>
  <c r="I654" i="10"/>
  <c r="I682" i="10"/>
  <c r="I697" i="10"/>
  <c r="I725" i="10"/>
  <c r="I749" i="10"/>
  <c r="I770" i="10"/>
  <c r="I791" i="10"/>
  <c r="I813" i="10"/>
  <c r="I834" i="10"/>
  <c r="I855" i="10"/>
  <c r="H44" i="10"/>
  <c r="H65" i="10"/>
  <c r="H86" i="10"/>
  <c r="H97" i="10"/>
  <c r="H129" i="10"/>
  <c r="H140" i="10"/>
  <c r="H161" i="10"/>
  <c r="H182" i="10"/>
  <c r="H204" i="10"/>
  <c r="H236" i="10"/>
  <c r="H246" i="10"/>
  <c r="H268" i="10"/>
  <c r="H289" i="10"/>
  <c r="H310" i="10"/>
  <c r="H342" i="10"/>
  <c r="H364" i="10"/>
  <c r="H385" i="10"/>
  <c r="H406" i="10"/>
  <c r="H428" i="10"/>
  <c r="H449" i="10"/>
  <c r="H470" i="10"/>
  <c r="H502" i="10"/>
  <c r="H524" i="10"/>
  <c r="H545" i="10"/>
  <c r="H556" i="10"/>
  <c r="H577" i="10"/>
  <c r="H598" i="10"/>
  <c r="H620" i="10"/>
  <c r="H641" i="10"/>
  <c r="H662" i="10"/>
  <c r="H684" i="10"/>
  <c r="H705" i="10"/>
  <c r="H716" i="10"/>
  <c r="H737" i="10"/>
  <c r="H748" i="10"/>
  <c r="H769" i="10"/>
  <c r="H790" i="10"/>
  <c r="H812" i="10"/>
  <c r="H833" i="10"/>
  <c r="H854" i="10"/>
  <c r="G43" i="10"/>
  <c r="G64" i="10"/>
  <c r="G85" i="10"/>
  <c r="G107" i="10"/>
  <c r="G128" i="10"/>
  <c r="G160" i="10"/>
  <c r="G181" i="10"/>
  <c r="G203" i="10"/>
  <c r="G224" i="10"/>
  <c r="G245" i="10"/>
  <c r="G267" i="10"/>
  <c r="G288" i="10"/>
  <c r="G307" i="10"/>
  <c r="G317" i="10"/>
  <c r="G328" i="10"/>
  <c r="G339" i="10"/>
  <c r="G349" i="10"/>
  <c r="G360" i="10"/>
  <c r="G371" i="10"/>
  <c r="G387" i="10"/>
  <c r="G397" i="10"/>
  <c r="G408" i="10"/>
  <c r="G419" i="10"/>
  <c r="G435" i="10"/>
  <c r="G445" i="10"/>
  <c r="G456" i="10"/>
  <c r="G467" i="10"/>
  <c r="G477" i="10"/>
  <c r="G488" i="10"/>
  <c r="G499" i="10"/>
  <c r="G515" i="10"/>
  <c r="G525" i="10"/>
  <c r="G536" i="10"/>
  <c r="G547" i="10"/>
  <c r="G563" i="10"/>
  <c r="G573" i="10"/>
  <c r="G584" i="10"/>
  <c r="G595" i="10"/>
  <c r="G605" i="10"/>
  <c r="G616" i="10"/>
  <c r="G627" i="10"/>
  <c r="G637" i="10"/>
  <c r="G648" i="10"/>
  <c r="G659" i="10"/>
  <c r="G669" i="10"/>
  <c r="G680" i="10"/>
  <c r="G691" i="10"/>
  <c r="G707" i="10"/>
  <c r="G717" i="10"/>
  <c r="G728" i="10"/>
  <c r="G739" i="10"/>
  <c r="G755" i="10"/>
  <c r="G765" i="10"/>
  <c r="G775" i="10"/>
  <c r="G783" i="10"/>
  <c r="G791" i="10"/>
  <c r="G799" i="10"/>
  <c r="G807" i="10"/>
  <c r="G815" i="10"/>
  <c r="G823" i="10"/>
  <c r="G831" i="10"/>
  <c r="G839" i="10"/>
  <c r="G847" i="10"/>
  <c r="G855" i="10"/>
  <c r="G859" i="10"/>
  <c r="E34" i="10"/>
  <c r="E42" i="10"/>
  <c r="E54" i="10"/>
  <c r="E62" i="10"/>
  <c r="E70" i="10"/>
  <c r="E78" i="10"/>
  <c r="E86" i="10"/>
  <c r="E94" i="10"/>
  <c r="E102" i="10"/>
  <c r="E110" i="10"/>
  <c r="E118" i="10"/>
  <c r="E126" i="10"/>
  <c r="E134" i="10"/>
  <c r="E142" i="10"/>
  <c r="E150" i="10"/>
  <c r="E158" i="10"/>
  <c r="E166" i="10"/>
  <c r="E174" i="10"/>
  <c r="E182" i="10"/>
  <c r="E190" i="10"/>
  <c r="E198" i="10"/>
  <c r="E206" i="10"/>
  <c r="E214" i="10"/>
  <c r="E222" i="10"/>
  <c r="E230" i="10"/>
  <c r="E238" i="10"/>
  <c r="E246" i="10"/>
  <c r="E254" i="10"/>
  <c r="E262" i="10"/>
  <c r="E270" i="10"/>
  <c r="E278" i="10"/>
  <c r="E286" i="10"/>
  <c r="E294" i="10"/>
  <c r="E302" i="10"/>
  <c r="E310" i="10"/>
  <c r="E318" i="10"/>
  <c r="E326" i="10"/>
  <c r="E334" i="10"/>
  <c r="E342" i="10"/>
  <c r="E346" i="10"/>
  <c r="E354" i="10"/>
  <c r="E362" i="10"/>
  <c r="E370" i="10"/>
  <c r="E378" i="10"/>
  <c r="E390" i="10"/>
  <c r="E398" i="10"/>
  <c r="E406" i="10"/>
  <c r="E414" i="10"/>
  <c r="E426" i="10"/>
  <c r="E430" i="10"/>
  <c r="E438" i="10"/>
  <c r="E446" i="10"/>
  <c r="E458" i="10"/>
  <c r="J60" i="10"/>
  <c r="J212" i="10"/>
  <c r="J364" i="10"/>
  <c r="J516" i="10"/>
  <c r="J667" i="10"/>
  <c r="J793" i="10"/>
  <c r="I73" i="10"/>
  <c r="I186" i="10"/>
  <c r="I301" i="10"/>
  <c r="I414" i="10"/>
  <c r="I514" i="10"/>
  <c r="I589" i="10"/>
  <c r="I645" i="10"/>
  <c r="I702" i="10"/>
  <c r="I753" i="10"/>
  <c r="I795" i="10"/>
  <c r="I838" i="10"/>
  <c r="H48" i="10"/>
  <c r="H90" i="10"/>
  <c r="H133" i="10"/>
  <c r="H176" i="10"/>
  <c r="H218" i="10"/>
  <c r="H261" i="10"/>
  <c r="H304" i="10"/>
  <c r="H346" i="10"/>
  <c r="H389" i="10"/>
  <c r="H432" i="10"/>
  <c r="H474" i="10"/>
  <c r="H517" i="10"/>
  <c r="H560" i="10"/>
  <c r="H602" i="10"/>
  <c r="H645" i="10"/>
  <c r="H688" i="10"/>
  <c r="H730" i="10"/>
  <c r="H773" i="10"/>
  <c r="H816" i="10"/>
  <c r="H858" i="10"/>
  <c r="G68" i="10"/>
  <c r="G111" i="10"/>
  <c r="G153" i="10"/>
  <c r="G196" i="10"/>
  <c r="G239" i="10"/>
  <c r="G281" i="10"/>
  <c r="G313" i="10"/>
  <c r="G335" i="10"/>
  <c r="G356" i="10"/>
  <c r="G377" i="10"/>
  <c r="G399" i="10"/>
  <c r="G420" i="10"/>
  <c r="G441" i="10"/>
  <c r="G463" i="10"/>
  <c r="G484" i="10"/>
  <c r="G505" i="10"/>
  <c r="G527" i="10"/>
  <c r="G548" i="10"/>
  <c r="G569" i="10"/>
  <c r="G591" i="10"/>
  <c r="G612" i="10"/>
  <c r="G633" i="10"/>
  <c r="G655" i="10"/>
  <c r="G676" i="10"/>
  <c r="G697" i="10"/>
  <c r="G719" i="10"/>
  <c r="G740" i="10"/>
  <c r="G761" i="10"/>
  <c r="G780" i="10"/>
  <c r="G796" i="10"/>
  <c r="G812" i="10"/>
  <c r="G828" i="10"/>
  <c r="G844" i="10"/>
  <c r="G860" i="10"/>
  <c r="E43" i="10"/>
  <c r="E59" i="10"/>
  <c r="E75" i="10"/>
  <c r="E91" i="10"/>
  <c r="E107" i="10"/>
  <c r="E123" i="10"/>
  <c r="E139" i="10"/>
  <c r="E155" i="10"/>
  <c r="E171" i="10"/>
  <c r="E187" i="10"/>
  <c r="E203" i="10"/>
  <c r="E219" i="10"/>
  <c r="E235" i="10"/>
  <c r="E251" i="10"/>
  <c r="E267" i="10"/>
  <c r="E283" i="10"/>
  <c r="E299" i="10"/>
  <c r="E315" i="10"/>
  <c r="E331" i="10"/>
  <c r="E347" i="10"/>
  <c r="E363" i="10"/>
  <c r="E379" i="10"/>
  <c r="E395" i="10"/>
  <c r="E411" i="10"/>
  <c r="E427" i="10"/>
  <c r="E443" i="10"/>
  <c r="E459" i="10"/>
  <c r="E471" i="10"/>
  <c r="E479" i="10"/>
  <c r="E487" i="10"/>
  <c r="E495" i="10"/>
  <c r="E503" i="10"/>
  <c r="E511" i="10"/>
  <c r="E519" i="10"/>
  <c r="E527" i="10"/>
  <c r="E535" i="10"/>
  <c r="E543" i="10"/>
  <c r="E551" i="10"/>
  <c r="E559" i="10"/>
  <c r="E567" i="10"/>
  <c r="E575" i="10"/>
  <c r="E583" i="10"/>
  <c r="E591" i="10"/>
  <c r="E599" i="10"/>
  <c r="E607" i="10"/>
  <c r="E615" i="10"/>
  <c r="E623" i="10"/>
  <c r="E631" i="10"/>
  <c r="E639" i="10"/>
  <c r="E647" i="10"/>
  <c r="E655" i="10"/>
  <c r="E663" i="10"/>
  <c r="E671" i="10"/>
  <c r="E679" i="10"/>
  <c r="E687" i="10"/>
  <c r="E695" i="10"/>
  <c r="E703" i="10"/>
  <c r="E711" i="10"/>
  <c r="E719" i="10"/>
  <c r="E727" i="10"/>
  <c r="E735" i="10"/>
  <c r="E743" i="10"/>
  <c r="E751" i="10"/>
  <c r="E759" i="10"/>
  <c r="E767" i="10"/>
  <c r="E775" i="10"/>
  <c r="E783" i="10"/>
  <c r="E791" i="10"/>
  <c r="E799" i="10"/>
  <c r="E807" i="10"/>
  <c r="E815" i="10"/>
  <c r="E823" i="10"/>
  <c r="E831" i="10"/>
  <c r="E839" i="10"/>
  <c r="E847" i="10"/>
  <c r="E855" i="10"/>
  <c r="E863" i="10"/>
  <c r="J97" i="10"/>
  <c r="J251" i="10"/>
  <c r="J401" i="10"/>
  <c r="J553" i="10"/>
  <c r="J705" i="10"/>
  <c r="J821" i="10"/>
  <c r="I101" i="10"/>
  <c r="I216" i="10"/>
  <c r="I329" i="10"/>
  <c r="I442" i="10"/>
  <c r="I533" i="10"/>
  <c r="I602" i="10"/>
  <c r="I660" i="10"/>
  <c r="I717" i="10"/>
  <c r="I763" i="10"/>
  <c r="I806" i="10"/>
  <c r="I849" i="10"/>
  <c r="H58" i="10"/>
  <c r="H101" i="10"/>
  <c r="H144" i="10"/>
  <c r="H186" i="10"/>
  <c r="H229" i="10"/>
  <c r="H272" i="10"/>
  <c r="H314" i="10"/>
  <c r="H357" i="10"/>
  <c r="H400" i="10"/>
  <c r="H442" i="10"/>
  <c r="H485" i="10"/>
  <c r="H528" i="10"/>
  <c r="H570" i="10"/>
  <c r="H613" i="10"/>
  <c r="H656" i="10"/>
  <c r="H698" i="10"/>
  <c r="H741" i="10"/>
  <c r="H784" i="10"/>
  <c r="H826" i="10"/>
  <c r="G36" i="10"/>
  <c r="G79" i="10"/>
  <c r="G121" i="10"/>
  <c r="G164" i="10"/>
  <c r="G207" i="10"/>
  <c r="G249" i="10"/>
  <c r="G292" i="10"/>
  <c r="G319" i="10"/>
  <c r="G340" i="10"/>
  <c r="G361" i="10"/>
  <c r="G383" i="10"/>
  <c r="G404" i="10"/>
  <c r="G425" i="10"/>
  <c r="G447" i="10"/>
  <c r="G468" i="10"/>
  <c r="G489" i="10"/>
  <c r="G511" i="10"/>
  <c r="G532" i="10"/>
  <c r="G553" i="10"/>
  <c r="G575" i="10"/>
  <c r="G596" i="10"/>
  <c r="G617" i="10"/>
  <c r="G639" i="10"/>
  <c r="G660" i="10"/>
  <c r="G681" i="10"/>
  <c r="G703" i="10"/>
  <c r="G724" i="10"/>
  <c r="G745" i="10"/>
  <c r="G767" i="10"/>
  <c r="G784" i="10"/>
  <c r="G800" i="10"/>
  <c r="G816" i="10"/>
  <c r="G832" i="10"/>
  <c r="G848" i="10"/>
  <c r="G864" i="10"/>
  <c r="E47" i="10"/>
  <c r="E63" i="10"/>
  <c r="E79" i="10"/>
  <c r="E95" i="10"/>
  <c r="E111" i="10"/>
  <c r="E127" i="10"/>
  <c r="E143" i="10"/>
  <c r="E159" i="10"/>
  <c r="E175" i="10"/>
  <c r="E191" i="10"/>
  <c r="E207" i="10"/>
  <c r="E223" i="10"/>
  <c r="E239" i="10"/>
  <c r="E255" i="10"/>
  <c r="E271" i="10"/>
  <c r="E287" i="10"/>
  <c r="E303" i="10"/>
  <c r="E319" i="10"/>
  <c r="E335" i="10"/>
  <c r="E351" i="10"/>
  <c r="E367" i="10"/>
  <c r="E383" i="10"/>
  <c r="E399" i="10"/>
  <c r="E415" i="10"/>
  <c r="E431" i="10"/>
  <c r="E447" i="10"/>
  <c r="E463" i="10"/>
  <c r="E474" i="10"/>
  <c r="E482" i="10"/>
  <c r="E490" i="10"/>
  <c r="E498" i="10"/>
  <c r="E506" i="10"/>
  <c r="E514" i="10"/>
  <c r="E522" i="10"/>
  <c r="E530" i="10"/>
  <c r="E538" i="10"/>
  <c r="E546" i="10"/>
  <c r="E554" i="10"/>
  <c r="E562" i="10"/>
  <c r="E570" i="10"/>
  <c r="E578" i="10"/>
  <c r="E586" i="10"/>
  <c r="E594" i="10"/>
  <c r="E602" i="10"/>
  <c r="E610" i="10"/>
  <c r="E618" i="10"/>
  <c r="E626" i="10"/>
  <c r="E634" i="10"/>
  <c r="E642" i="10"/>
  <c r="E650" i="10"/>
  <c r="E658" i="10"/>
  <c r="E666" i="10"/>
  <c r="E674" i="10"/>
  <c r="E682" i="10"/>
  <c r="E690" i="10"/>
  <c r="E698" i="10"/>
  <c r="E706" i="10"/>
  <c r="E714" i="10"/>
  <c r="E722" i="10"/>
  <c r="E730" i="10"/>
  <c r="E738" i="10"/>
  <c r="E746" i="10"/>
  <c r="E754" i="10"/>
  <c r="E762" i="10"/>
  <c r="E770" i="10"/>
  <c r="E778" i="10"/>
  <c r="E786" i="10"/>
  <c r="E794" i="10"/>
  <c r="E802" i="10"/>
  <c r="E810" i="10"/>
  <c r="E818" i="10"/>
  <c r="E826" i="10"/>
  <c r="E834" i="10"/>
  <c r="E842" i="10"/>
  <c r="E850" i="10"/>
  <c r="E858" i="10"/>
  <c r="E33" i="10"/>
  <c r="J137" i="10"/>
  <c r="J288" i="10"/>
  <c r="J439" i="10"/>
  <c r="J592" i="10"/>
  <c r="J735" i="10"/>
  <c r="J849" i="10"/>
  <c r="I130" i="10"/>
  <c r="I244" i="10"/>
  <c r="I357" i="10"/>
  <c r="I472" i="10"/>
  <c r="I553" i="10"/>
  <c r="I617" i="10"/>
  <c r="I674" i="10"/>
  <c r="I730" i="10"/>
  <c r="I774" i="10"/>
  <c r="I817" i="10"/>
  <c r="I859" i="10"/>
  <c r="H69" i="10"/>
  <c r="H112" i="10"/>
  <c r="H154" i="10"/>
  <c r="H197" i="10"/>
  <c r="H240" i="10"/>
  <c r="H282" i="10"/>
  <c r="H325" i="10"/>
  <c r="H368" i="10"/>
  <c r="H410" i="10"/>
  <c r="H453" i="10"/>
  <c r="H496" i="10"/>
  <c r="H538" i="10"/>
  <c r="H581" i="10"/>
  <c r="H624" i="10"/>
  <c r="H666" i="10"/>
  <c r="H709" i="10"/>
  <c r="H752" i="10"/>
  <c r="H794" i="10"/>
  <c r="H837" i="10"/>
  <c r="G47" i="10"/>
  <c r="G89" i="10"/>
  <c r="G132" i="10"/>
  <c r="G175" i="10"/>
  <c r="G217" i="10"/>
  <c r="G260" i="10"/>
  <c r="G303" i="10"/>
  <c r="G324" i="10"/>
  <c r="G345" i="10"/>
  <c r="G367" i="10"/>
  <c r="G388" i="10"/>
  <c r="G409" i="10"/>
  <c r="G431" i="10"/>
  <c r="G452" i="10"/>
  <c r="G473" i="10"/>
  <c r="G495" i="10"/>
  <c r="G516" i="10"/>
  <c r="G537" i="10"/>
  <c r="G559" i="10"/>
  <c r="G580" i="10"/>
  <c r="G601" i="10"/>
  <c r="G623" i="10"/>
  <c r="G644" i="10"/>
  <c r="G665" i="10"/>
  <c r="G687" i="10"/>
  <c r="G708" i="10"/>
  <c r="G729" i="10"/>
  <c r="G751" i="10"/>
  <c r="G772" i="10"/>
  <c r="G788" i="10"/>
  <c r="G804" i="10"/>
  <c r="G820" i="10"/>
  <c r="G836" i="10"/>
  <c r="G852" i="10"/>
  <c r="E35" i="10"/>
  <c r="E51" i="10"/>
  <c r="E67" i="10"/>
  <c r="E83" i="10"/>
  <c r="E99" i="10"/>
  <c r="E115" i="10"/>
  <c r="E131" i="10"/>
  <c r="E147" i="10"/>
  <c r="E163" i="10"/>
  <c r="E179" i="10"/>
  <c r="E195" i="10"/>
  <c r="E211" i="10"/>
  <c r="E227" i="10"/>
  <c r="E243" i="10"/>
  <c r="E259" i="10"/>
  <c r="E275" i="10"/>
  <c r="E291" i="10"/>
  <c r="E307" i="10"/>
  <c r="E323" i="10"/>
  <c r="E339" i="10"/>
  <c r="E355" i="10"/>
  <c r="E371" i="10"/>
  <c r="E387" i="10"/>
  <c r="E403" i="10"/>
  <c r="E419" i="10"/>
  <c r="E435" i="10"/>
  <c r="E451" i="10"/>
  <c r="E467" i="10"/>
  <c r="E475" i="10"/>
  <c r="E483" i="10"/>
  <c r="E491" i="10"/>
  <c r="E499" i="10"/>
  <c r="E507" i="10"/>
  <c r="E515" i="10"/>
  <c r="E523" i="10"/>
  <c r="E531" i="10"/>
  <c r="E539" i="10"/>
  <c r="E547" i="10"/>
  <c r="E555" i="10"/>
  <c r="E563" i="10"/>
  <c r="E571" i="10"/>
  <c r="E579" i="10"/>
  <c r="E587" i="10"/>
  <c r="E595" i="10"/>
  <c r="E603" i="10"/>
  <c r="E611" i="10"/>
  <c r="E619" i="10"/>
  <c r="E627" i="10"/>
  <c r="E635" i="10"/>
  <c r="E643" i="10"/>
  <c r="E651" i="10"/>
  <c r="E659" i="10"/>
  <c r="E667" i="10"/>
  <c r="E675" i="10"/>
  <c r="E683" i="10"/>
  <c r="E691" i="10"/>
  <c r="E699" i="10"/>
  <c r="E707" i="10"/>
  <c r="E715" i="10"/>
  <c r="E723" i="10"/>
  <c r="E731" i="10"/>
  <c r="E739" i="10"/>
  <c r="E747" i="10"/>
  <c r="E755" i="10"/>
  <c r="E763" i="10"/>
  <c r="E771" i="10"/>
  <c r="E779" i="10"/>
  <c r="E787" i="10"/>
  <c r="E795" i="10"/>
  <c r="E803" i="10"/>
  <c r="E811" i="10"/>
  <c r="E819" i="10"/>
  <c r="E827" i="10"/>
  <c r="E835" i="10"/>
  <c r="E843" i="10"/>
  <c r="E851" i="10"/>
  <c r="E859" i="10"/>
  <c r="J175" i="10"/>
  <c r="J325" i="10"/>
  <c r="J479" i="10"/>
  <c r="J629" i="10"/>
  <c r="J763" i="10"/>
  <c r="I45" i="10"/>
  <c r="I158" i="10"/>
  <c r="I272" i="10"/>
  <c r="I386" i="10"/>
  <c r="I496" i="10"/>
  <c r="I570" i="10"/>
  <c r="I632" i="10"/>
  <c r="I688" i="10"/>
  <c r="I742" i="10"/>
  <c r="I785" i="10"/>
  <c r="I827" i="10"/>
  <c r="H37" i="10"/>
  <c r="H80" i="10"/>
  <c r="H122" i="10"/>
  <c r="H165" i="10"/>
  <c r="H208" i="10"/>
  <c r="H250" i="10"/>
  <c r="H293" i="10"/>
  <c r="H336" i="10"/>
  <c r="H378" i="10"/>
  <c r="H421" i="10"/>
  <c r="H464" i="10"/>
  <c r="H506" i="10"/>
  <c r="H549" i="10"/>
  <c r="H592" i="10"/>
  <c r="H634" i="10"/>
  <c r="H677" i="10"/>
  <c r="H720" i="10"/>
  <c r="H762" i="10"/>
  <c r="H805" i="10"/>
  <c r="H848" i="10"/>
  <c r="G57" i="10"/>
  <c r="G100" i="10"/>
  <c r="G143" i="10"/>
  <c r="G185" i="10"/>
  <c r="G228" i="10"/>
  <c r="G271" i="10"/>
  <c r="G308" i="10"/>
  <c r="G329" i="10"/>
  <c r="G351" i="10"/>
  <c r="G372" i="10"/>
  <c r="G393" i="10"/>
  <c r="G415" i="10"/>
  <c r="G436" i="10"/>
  <c r="G457" i="10"/>
  <c r="G479" i="10"/>
  <c r="G500" i="10"/>
  <c r="G521" i="10"/>
  <c r="G543" i="10"/>
  <c r="G564" i="10"/>
  <c r="G585" i="10"/>
  <c r="G607" i="10"/>
  <c r="G628" i="10"/>
  <c r="G649" i="10"/>
  <c r="G671" i="10"/>
  <c r="G692" i="10"/>
  <c r="G713" i="10"/>
  <c r="G735" i="10"/>
  <c r="G756" i="10"/>
  <c r="G776" i="10"/>
  <c r="G792" i="10"/>
  <c r="G808" i="10"/>
  <c r="G824" i="10"/>
  <c r="G840" i="10"/>
  <c r="G856" i="10"/>
  <c r="E39" i="10"/>
  <c r="E55" i="10"/>
  <c r="E71" i="10"/>
  <c r="E87" i="10"/>
  <c r="E103" i="10"/>
  <c r="E119" i="10"/>
  <c r="E135" i="10"/>
  <c r="E151" i="10"/>
  <c r="E167" i="10"/>
  <c r="E183" i="10"/>
  <c r="E199" i="10"/>
  <c r="E215" i="10"/>
  <c r="E231" i="10"/>
  <c r="E247" i="10"/>
  <c r="E263" i="10"/>
  <c r="E279" i="10"/>
  <c r="E295" i="10"/>
  <c r="E311" i="10"/>
  <c r="E327" i="10"/>
  <c r="E343" i="10"/>
  <c r="E359" i="10"/>
  <c r="E375" i="10"/>
  <c r="E391" i="10"/>
  <c r="E407" i="10"/>
  <c r="E423" i="10"/>
  <c r="E439" i="10"/>
  <c r="E455" i="10"/>
  <c r="E470" i="10"/>
  <c r="E478" i="10"/>
  <c r="E486" i="10"/>
  <c r="E494" i="10"/>
  <c r="E502" i="10"/>
  <c r="E510" i="10"/>
  <c r="E518" i="10"/>
  <c r="E526" i="10"/>
  <c r="E534" i="10"/>
  <c r="E542" i="10"/>
  <c r="E550" i="10"/>
  <c r="E558" i="10"/>
  <c r="E566" i="10"/>
  <c r="E574" i="10"/>
  <c r="E582" i="10"/>
  <c r="E590" i="10"/>
  <c r="E598" i="10"/>
  <c r="E606" i="10"/>
  <c r="E614" i="10"/>
  <c r="E622" i="10"/>
  <c r="E630" i="10"/>
  <c r="E638" i="10"/>
  <c r="E646" i="10"/>
  <c r="E654" i="10"/>
  <c r="E662" i="10"/>
  <c r="E670" i="10"/>
  <c r="E678" i="10"/>
  <c r="E686" i="10"/>
  <c r="E694" i="10"/>
  <c r="E702" i="10"/>
  <c r="E710" i="10"/>
  <c r="E718" i="10"/>
  <c r="E726" i="10"/>
  <c r="E734" i="10"/>
  <c r="E742" i="10"/>
  <c r="E750" i="10"/>
  <c r="E758" i="10"/>
  <c r="E766" i="10"/>
  <c r="E774" i="10"/>
  <c r="E782" i="10"/>
  <c r="E790" i="10"/>
  <c r="E798" i="10"/>
  <c r="E806" i="10"/>
  <c r="E814" i="10"/>
  <c r="E822" i="10"/>
  <c r="E830" i="10"/>
  <c r="E838" i="10"/>
  <c r="E846" i="10"/>
  <c r="E854" i="10"/>
  <c r="E862" i="10"/>
  <c r="C2" i="2"/>
  <c r="A42" i="13"/>
  <c r="B559" i="10" a="1"/>
  <c r="B559" i="10" s="1"/>
  <c r="M16" i="8"/>
  <c r="M12" i="8"/>
  <c r="M17" i="8"/>
  <c r="M8" i="8"/>
  <c r="M4" i="8"/>
  <c r="B566" i="10" a="1"/>
  <c r="B566" i="10" s="1"/>
  <c r="B460" i="10" a="1"/>
  <c r="B460" i="10" s="1"/>
  <c r="A3" i="14"/>
  <c r="A10" i="14"/>
  <c r="M9" i="8"/>
  <c r="M15" i="8"/>
  <c r="M19" i="8"/>
  <c r="M6" i="8"/>
  <c r="M3" i="8"/>
  <c r="B585" i="10" a="1"/>
  <c r="B585" i="10" s="1"/>
  <c r="M10" i="8"/>
  <c r="M13" i="8"/>
  <c r="M20" i="8"/>
  <c r="M5" i="8"/>
  <c r="A12" i="14"/>
  <c r="B300" i="10" a="1"/>
  <c r="B300" i="10" s="1"/>
  <c r="B584" i="10" a="1"/>
  <c r="B584" i="10" s="1"/>
  <c r="M11" i="8"/>
  <c r="M14" i="8"/>
  <c r="M18" i="8"/>
  <c r="M21" i="8"/>
  <c r="M7" i="8"/>
  <c r="M2" i="8"/>
  <c r="B421" i="10" l="1" a="1"/>
  <c r="B421" i="10" s="1"/>
  <c r="B333" i="10" a="1"/>
  <c r="B333" i="10" s="1"/>
  <c r="B468" i="10" a="1"/>
  <c r="B468" i="10" s="1"/>
  <c r="B441" i="10" a="1"/>
  <c r="B441" i="10" s="1"/>
  <c r="B340" i="10" a="1"/>
  <c r="B340" i="10" s="1"/>
  <c r="B438" i="10" a="1"/>
  <c r="B438" i="10" s="1"/>
  <c r="B569" i="10" a="1"/>
  <c r="B569" i="10" s="1"/>
  <c r="B377" i="10" a="1"/>
  <c r="B377" i="10" s="1"/>
  <c r="B243" i="10" a="1"/>
  <c r="B243" i="10" s="1"/>
  <c r="A17" i="13"/>
  <c r="B579" i="10" a="1"/>
  <c r="B579" i="10" s="1"/>
  <c r="A11" i="14"/>
  <c r="A22" i="14"/>
  <c r="B167" i="10" a="1"/>
  <c r="B167" i="10" s="1"/>
  <c r="B599" i="10" a="1"/>
  <c r="B599" i="10" s="1"/>
  <c r="A85" i="14"/>
  <c r="A69" i="14"/>
  <c r="Y40" i="10" s="1" a="1"/>
  <c r="Y40" i="10" s="1"/>
  <c r="B400" i="10" a="1"/>
  <c r="B400" i="10" s="1"/>
  <c r="B390" i="10" a="1"/>
  <c r="B390" i="10" s="1"/>
  <c r="B383" i="10" a="1"/>
  <c r="B383" i="10" s="1"/>
  <c r="B385" i="10" a="1"/>
  <c r="B385" i="10" s="1"/>
  <c r="B345" i="10" a="1"/>
  <c r="B345" i="10" s="1"/>
  <c r="B437" i="10" a="1"/>
  <c r="B437" i="10" s="1"/>
  <c r="B403" i="10" a="1"/>
  <c r="B403" i="10" s="1"/>
  <c r="B324" i="10" a="1"/>
  <c r="B324" i="10" s="1"/>
  <c r="B375" i="10" a="1"/>
  <c r="B375" i="10" s="1"/>
  <c r="B361" i="10" a="1"/>
  <c r="B361" i="10" s="1"/>
  <c r="B198" i="10" a="1"/>
  <c r="B198" i="10" s="1"/>
  <c r="B417" i="10" a="1"/>
  <c r="B417" i="10" s="1"/>
  <c r="B380" i="10" a="1"/>
  <c r="B380" i="10" s="1"/>
  <c r="B409" i="10" a="1"/>
  <c r="B409" i="10" s="1"/>
  <c r="B425" i="10" a="1"/>
  <c r="B425" i="10" s="1"/>
  <c r="B455" i="10" a="1"/>
  <c r="B455" i="10" s="1"/>
  <c r="A5" i="14"/>
  <c r="B408" i="10" a="1"/>
  <c r="B408" i="10" s="1"/>
  <c r="B413" i="10" a="1"/>
  <c r="B413" i="10" s="1"/>
  <c r="B453" i="10" a="1"/>
  <c r="B453" i="10" s="1"/>
  <c r="B434" i="10" a="1"/>
  <c r="B434" i="10" s="1"/>
  <c r="B404" i="10" a="1"/>
  <c r="B404" i="10" s="1"/>
  <c r="B299" i="10" a="1"/>
  <c r="B299" i="10" s="1"/>
  <c r="B316" i="10" a="1"/>
  <c r="B316" i="10" s="1"/>
  <c r="B394" i="10" a="1"/>
  <c r="B394" i="10" s="1"/>
  <c r="B414" i="10" a="1"/>
  <c r="B414" i="10" s="1"/>
  <c r="B442" i="10" a="1"/>
  <c r="B442" i="10" s="1"/>
  <c r="B427" i="10" a="1"/>
  <c r="B427" i="10" s="1"/>
  <c r="B451" i="10" a="1"/>
  <c r="B451" i="10" s="1"/>
  <c r="B203" i="10" a="1"/>
  <c r="B203" i="10" s="1"/>
  <c r="B362" i="10" a="1"/>
  <c r="B362" i="10" s="1"/>
  <c r="B374" i="10" a="1"/>
  <c r="B374" i="10" s="1"/>
  <c r="B446" i="10" a="1"/>
  <c r="B446" i="10" s="1"/>
  <c r="B424" i="10" a="1"/>
  <c r="B424" i="10" s="1"/>
  <c r="B246" i="10" a="1"/>
  <c r="B246" i="10" s="1"/>
  <c r="B395" i="10" a="1"/>
  <c r="B395" i="10" s="1"/>
  <c r="B381" i="10" a="1"/>
  <c r="B381" i="10" s="1"/>
  <c r="B331" i="10" a="1"/>
  <c r="B331" i="10" s="1"/>
  <c r="B411" i="10" a="1"/>
  <c r="B411" i="10" s="1"/>
  <c r="B216" i="10" a="1"/>
  <c r="B216" i="10" s="1"/>
  <c r="B263" i="10" a="1"/>
  <c r="B263" i="10" s="1"/>
  <c r="B452" i="10" a="1"/>
  <c r="B452" i="10" s="1"/>
  <c r="B134" i="10" a="1"/>
  <c r="B134" i="10" s="1"/>
  <c r="B626" i="10" a="1"/>
  <c r="B626" i="10" s="1"/>
  <c r="B645" i="10" a="1"/>
  <c r="B645" i="10" s="1"/>
  <c r="B575" i="10" a="1"/>
  <c r="B575" i="10" s="1"/>
  <c r="B373" i="10" a="1"/>
  <c r="B373" i="10" s="1"/>
  <c r="B523" i="10" a="1"/>
  <c r="B523" i="10" s="1"/>
  <c r="B463" i="10" a="1"/>
  <c r="B463" i="10" s="1"/>
  <c r="B543" i="10" a="1"/>
  <c r="B543" i="10" s="1"/>
  <c r="B206" i="10" a="1"/>
  <c r="B206" i="10" s="1"/>
  <c r="B379" i="10" a="1"/>
  <c r="B379" i="10" s="1"/>
  <c r="B475" i="10" a="1"/>
  <c r="B475" i="10" s="1"/>
  <c r="B644" i="10" a="1"/>
  <c r="B644" i="10" s="1"/>
  <c r="B462" i="10" a="1"/>
  <c r="B462" i="10" s="1"/>
  <c r="B484" i="10" a="1"/>
  <c r="B484" i="10" s="1"/>
  <c r="B497" i="10" a="1"/>
  <c r="B497" i="10" s="1"/>
  <c r="B502" i="10" a="1"/>
  <c r="B502" i="10" s="1"/>
  <c r="B617" i="10" a="1"/>
  <c r="B617" i="10" s="1"/>
  <c r="B625" i="10" a="1"/>
  <c r="B625" i="10" s="1"/>
  <c r="B606" i="10" a="1"/>
  <c r="B606" i="10" s="1"/>
  <c r="B458" i="10" a="1"/>
  <c r="B458" i="10" s="1"/>
  <c r="A21" i="14"/>
  <c r="A110" i="14"/>
  <c r="B572" i="10" a="1"/>
  <c r="B572" i="10" s="1"/>
  <c r="A106" i="14"/>
  <c r="B628" i="10" a="1"/>
  <c r="B628" i="10" s="1"/>
  <c r="B648" i="10" a="1"/>
  <c r="B648" i="10" s="1"/>
  <c r="B608" i="10" a="1"/>
  <c r="B608" i="10" s="1"/>
  <c r="B397" i="10" a="1"/>
  <c r="B397" i="10" s="1"/>
  <c r="B613" i="10" a="1"/>
  <c r="B613" i="10" s="1"/>
  <c r="B444" i="10" a="1"/>
  <c r="B444" i="10" s="1"/>
  <c r="B488" i="10" a="1"/>
  <c r="B488" i="10" s="1"/>
  <c r="B365" i="10" a="1"/>
  <c r="B365" i="10" s="1"/>
  <c r="B433" i="10" a="1"/>
  <c r="B433" i="10" s="1"/>
  <c r="B386" i="10" a="1"/>
  <c r="B386" i="10" s="1"/>
  <c r="B419" i="10" a="1"/>
  <c r="B419" i="10" s="1"/>
  <c r="B443" i="10" a="1"/>
  <c r="B443" i="10" s="1"/>
  <c r="B474" i="10" a="1"/>
  <c r="B474" i="10" s="1"/>
  <c r="B511" i="10" a="1"/>
  <c r="B511" i="10" s="1"/>
  <c r="A108" i="14"/>
  <c r="B542" i="10" a="1"/>
  <c r="B542" i="10" s="1"/>
  <c r="B574" i="10" a="1"/>
  <c r="B574" i="10" s="1"/>
  <c r="B602" i="10" a="1"/>
  <c r="B602" i="10" s="1"/>
  <c r="B640" i="10" a="1"/>
  <c r="B640" i="10" s="1"/>
  <c r="B368" i="10" a="1"/>
  <c r="B368" i="10" s="1"/>
  <c r="B516" i="10" a="1"/>
  <c r="B516" i="10" s="1"/>
  <c r="B399" i="10" a="1"/>
  <c r="B399" i="10" s="1"/>
  <c r="B552" i="10" a="1"/>
  <c r="B552" i="10" s="1"/>
  <c r="B295" i="10" a="1"/>
  <c r="B295" i="10" s="1"/>
  <c r="B630" i="10" a="1"/>
  <c r="B630" i="10" s="1"/>
  <c r="B638" i="10" a="1"/>
  <c r="B638" i="10" s="1"/>
  <c r="B580" i="10" a="1"/>
  <c r="B580" i="10" s="1"/>
  <c r="B651" i="10" a="1"/>
  <c r="B651" i="10" s="1"/>
  <c r="B592" i="10" a="1"/>
  <c r="B592" i="10" s="1"/>
  <c r="B597" i="10" a="1"/>
  <c r="B597" i="10" s="1"/>
  <c r="B620" i="10" a="1"/>
  <c r="B620" i="10" s="1"/>
  <c r="B485" i="10" a="1"/>
  <c r="B485" i="10" s="1"/>
  <c r="B483" i="10" a="1"/>
  <c r="B483" i="10" s="1"/>
  <c r="B528" i="10" a="1"/>
  <c r="B528" i="10" s="1"/>
  <c r="B367" i="10" a="1"/>
  <c r="B367" i="10" s="1"/>
  <c r="B611" i="10" a="1"/>
  <c r="B611" i="10" s="1"/>
  <c r="A112" i="14"/>
  <c r="B456" i="10" a="1"/>
  <c r="B456" i="10" s="1"/>
  <c r="B465" i="10" a="1"/>
  <c r="B465" i="10" s="1"/>
  <c r="B489" i="10" a="1"/>
  <c r="B489" i="10" s="1"/>
  <c r="B482" i="10" a="1"/>
  <c r="B482" i="10" s="1"/>
  <c r="B506" i="10" a="1"/>
  <c r="B506" i="10" s="1"/>
  <c r="B522" i="10" a="1"/>
  <c r="B522" i="10" s="1"/>
  <c r="B407" i="10" a="1"/>
  <c r="B407" i="10" s="1"/>
  <c r="B594" i="10" a="1"/>
  <c r="B594" i="10" s="1"/>
  <c r="B464" i="10" a="1"/>
  <c r="B464" i="10" s="1"/>
  <c r="B480" i="10" a="1"/>
  <c r="B480" i="10" s="1"/>
  <c r="B536" i="10" a="1"/>
  <c r="B536" i="10" s="1"/>
  <c r="B499" i="10" a="1"/>
  <c r="B499" i="10" s="1"/>
  <c r="B422" i="10" a="1"/>
  <c r="B422" i="10" s="1"/>
  <c r="B519" i="10" a="1"/>
  <c r="B519" i="10" s="1"/>
  <c r="B426" i="10" a="1"/>
  <c r="B426" i="10" s="1"/>
  <c r="B223" i="10" a="1"/>
  <c r="B223" i="10" s="1"/>
  <c r="B493" i="10" a="1"/>
  <c r="B493" i="10" s="1"/>
  <c r="B553" i="10" a="1"/>
  <c r="B553" i="10" s="1"/>
  <c r="B637" i="10" a="1"/>
  <c r="B637" i="10" s="1"/>
  <c r="B598" i="10" a="1"/>
  <c r="B598" i="10" s="1"/>
  <c r="B624" i="10" a="1"/>
  <c r="B624" i="10" s="1"/>
  <c r="B396" i="10" a="1"/>
  <c r="B396" i="10" s="1"/>
  <c r="B428" i="10" a="1"/>
  <c r="B428" i="10" s="1"/>
  <c r="B508" i="10" a="1"/>
  <c r="B508" i="10" s="1"/>
  <c r="B469" i="10" a="1"/>
  <c r="B469" i="10" s="1"/>
  <c r="B539" i="10" a="1"/>
  <c r="B539" i="10" s="1"/>
  <c r="B526" i="10" a="1"/>
  <c r="B526" i="10" s="1"/>
  <c r="B251" i="10" a="1"/>
  <c r="B251" i="10" s="1"/>
  <c r="B269" i="10" a="1"/>
  <c r="B269" i="10" s="1"/>
  <c r="B305" i="10" a="1"/>
  <c r="B305" i="10" s="1"/>
  <c r="B621" i="10" a="1"/>
  <c r="B621" i="10" s="1"/>
  <c r="B595" i="10" a="1"/>
  <c r="B595" i="10" s="1"/>
  <c r="B647" i="10" a="1"/>
  <c r="B647" i="10" s="1"/>
  <c r="B578" i="10" a="1"/>
  <c r="B578" i="10" s="1"/>
  <c r="B320" i="10" a="1"/>
  <c r="B320" i="10" s="1"/>
  <c r="B392" i="10" a="1"/>
  <c r="B392" i="10" s="1"/>
  <c r="B521" i="10" a="1"/>
  <c r="B521" i="10" s="1"/>
  <c r="B549" i="10" a="1"/>
  <c r="B549" i="10" s="1"/>
  <c r="B494" i="10" a="1"/>
  <c r="B494" i="10" s="1"/>
  <c r="B534" i="10" a="1"/>
  <c r="B534" i="10" s="1"/>
  <c r="B423" i="10" a="1"/>
  <c r="B423" i="10" s="1"/>
  <c r="B439" i="10" a="1"/>
  <c r="B439" i="10" s="1"/>
  <c r="B479" i="10" a="1"/>
  <c r="B479" i="10" s="1"/>
  <c r="B57" i="10" a="1"/>
  <c r="B57" i="10" s="1"/>
  <c r="B440" i="10" a="1"/>
  <c r="B440" i="10" s="1"/>
  <c r="B525" i="10" a="1"/>
  <c r="B525" i="10" s="1"/>
  <c r="B447" i="10" a="1"/>
  <c r="B447" i="10" s="1"/>
  <c r="A105" i="14"/>
  <c r="B378" i="10" a="1"/>
  <c r="B378" i="10" s="1"/>
  <c r="B370" i="10" a="1"/>
  <c r="B370" i="10" s="1"/>
  <c r="B387" i="10" a="1"/>
  <c r="B387" i="10" s="1"/>
  <c r="A25" i="14"/>
  <c r="B356" i="10" a="1"/>
  <c r="B356" i="10" s="1"/>
  <c r="B589" i="10" a="1"/>
  <c r="B589" i="10" s="1"/>
  <c r="B412" i="10" a="1"/>
  <c r="B412" i="10" s="1"/>
  <c r="B355" i="10" a="1"/>
  <c r="B355" i="10" s="1"/>
  <c r="B576" i="10" a="1"/>
  <c r="B576" i="10" s="1"/>
  <c r="B612" i="10" a="1"/>
  <c r="B612" i="10" s="1"/>
  <c r="B364" i="10" a="1"/>
  <c r="B364" i="10" s="1"/>
  <c r="B389" i="10" a="1"/>
  <c r="B389" i="10" s="1"/>
  <c r="B545" i="10" a="1"/>
  <c r="B545" i="10" s="1"/>
  <c r="B491" i="10" a="1"/>
  <c r="B491" i="10" s="1"/>
  <c r="B471" i="10" a="1"/>
  <c r="B471" i="10" s="1"/>
  <c r="B430" i="10" a="1"/>
  <c r="B430" i="10" s="1"/>
  <c r="B234" i="10" a="1"/>
  <c r="B234" i="10" s="1"/>
  <c r="B448" i="10" a="1"/>
  <c r="B448" i="10" s="1"/>
  <c r="A102" i="14"/>
  <c r="A103" i="14"/>
  <c r="B565" i="10" a="1"/>
  <c r="B565" i="10" s="1"/>
  <c r="B619" i="10" a="1"/>
  <c r="B619" i="10" s="1"/>
  <c r="B527" i="10" a="1"/>
  <c r="B527" i="10" s="1"/>
  <c r="B603" i="10" a="1"/>
  <c r="B603" i="10" s="1"/>
  <c r="B581" i="10" a="1"/>
  <c r="B581" i="10" s="1"/>
  <c r="B590" i="10" a="1"/>
  <c r="B590" i="10" s="1"/>
  <c r="B436" i="10" a="1"/>
  <c r="B436" i="10" s="1"/>
  <c r="B476" i="10" a="1"/>
  <c r="B476" i="10" s="1"/>
  <c r="B461" i="10" a="1"/>
  <c r="B461" i="10" s="1"/>
  <c r="B537" i="10" a="1"/>
  <c r="B537" i="10" s="1"/>
  <c r="B550" i="10" a="1"/>
  <c r="B550" i="10" s="1"/>
  <c r="B498" i="10" a="1"/>
  <c r="B498" i="10" s="1"/>
  <c r="B293" i="10" a="1"/>
  <c r="B293" i="10" s="1"/>
  <c r="B548" i="10" a="1"/>
  <c r="B548" i="10" s="1"/>
  <c r="B292" i="10" a="1"/>
  <c r="B292" i="10" s="1"/>
  <c r="B560" i="10" a="1"/>
  <c r="B560" i="10" s="1"/>
  <c r="B312" i="10" a="1"/>
  <c r="B312" i="10" s="1"/>
  <c r="B420" i="10" a="1"/>
  <c r="B420" i="10" s="1"/>
  <c r="B472" i="10" a="1"/>
  <c r="B472" i="10" s="1"/>
  <c r="B532" i="10" a="1"/>
  <c r="B532" i="10" s="1"/>
  <c r="B429" i="10" a="1"/>
  <c r="B429" i="10" s="1"/>
  <c r="B541" i="10" a="1"/>
  <c r="B541" i="10" s="1"/>
  <c r="B341" i="10" a="1"/>
  <c r="B341" i="10" s="1"/>
  <c r="B490" i="10" a="1"/>
  <c r="B490" i="10" s="1"/>
  <c r="B510" i="10" a="1"/>
  <c r="B510" i="10" s="1"/>
  <c r="B363" i="10" a="1"/>
  <c r="B363" i="10" s="1"/>
  <c r="B233" i="10" a="1"/>
  <c r="B233" i="10" s="1"/>
  <c r="B253" i="10" a="1"/>
  <c r="B253" i="10" s="1"/>
  <c r="B284" i="10" a="1"/>
  <c r="B284" i="10" s="1"/>
  <c r="B199" i="10" a="1"/>
  <c r="B199" i="10" s="1"/>
  <c r="A87" i="14"/>
  <c r="B641" i="10" a="1"/>
  <c r="B641" i="10" s="1"/>
  <c r="B622" i="10" a="1"/>
  <c r="B622" i="10" s="1"/>
  <c r="B329" i="10" a="1"/>
  <c r="B329" i="10" s="1"/>
  <c r="B605" i="10" a="1"/>
  <c r="B605" i="10" s="1"/>
  <c r="B631" i="10" a="1"/>
  <c r="B631" i="10" s="1"/>
  <c r="B623" i="10" a="1"/>
  <c r="B623" i="10" s="1"/>
  <c r="B567" i="10" a="1"/>
  <c r="B567" i="10" s="1"/>
  <c r="B586" i="10" a="1"/>
  <c r="B586" i="10" s="1"/>
  <c r="B556" i="10" a="1"/>
  <c r="B556" i="10" s="1"/>
  <c r="B610" i="10" a="1"/>
  <c r="B610" i="10" s="1"/>
  <c r="B570" i="10" a="1"/>
  <c r="B570" i="10" s="1"/>
  <c r="B366" i="10" a="1"/>
  <c r="B366" i="10" s="1"/>
  <c r="B501" i="10" a="1"/>
  <c r="B501" i="10" s="1"/>
  <c r="B509" i="10" a="1"/>
  <c r="B509" i="10" s="1"/>
  <c r="B538" i="10" a="1"/>
  <c r="B538" i="10" s="1"/>
  <c r="B109" i="10" a="1"/>
  <c r="B109" i="10" s="1"/>
  <c r="B244" i="10" a="1"/>
  <c r="B244" i="10" s="1"/>
  <c r="B252" i="10" a="1"/>
  <c r="B252" i="10" s="1"/>
  <c r="B343" i="10" a="1"/>
  <c r="B343" i="10" s="1"/>
  <c r="B577" i="10" a="1"/>
  <c r="B577" i="10" s="1"/>
  <c r="B360" i="10" a="1"/>
  <c r="B360" i="10" s="1"/>
  <c r="B388" i="10" a="1"/>
  <c r="B388" i="10" s="1"/>
  <c r="B405" i="10" a="1"/>
  <c r="B405" i="10" s="1"/>
  <c r="B457" i="10" a="1"/>
  <c r="B457" i="10" s="1"/>
  <c r="B418" i="10" a="1"/>
  <c r="B418" i="10" s="1"/>
  <c r="B495" i="10" a="1"/>
  <c r="B495" i="10" s="1"/>
  <c r="B518" i="10" a="1"/>
  <c r="B518" i="10" s="1"/>
  <c r="B431" i="10" a="1"/>
  <c r="B431" i="10" s="1"/>
  <c r="B85" i="10" a="1"/>
  <c r="B85" i="10" s="1"/>
  <c r="B261" i="10" a="1"/>
  <c r="B261" i="10" s="1"/>
  <c r="B449" i="10" a="1"/>
  <c r="B449" i="10" s="1"/>
  <c r="B642" i="10" a="1"/>
  <c r="B642" i="10" s="1"/>
  <c r="B384" i="10" a="1"/>
  <c r="B384" i="10" s="1"/>
  <c r="B416" i="10" a="1"/>
  <c r="B416" i="10" s="1"/>
  <c r="B496" i="10" a="1"/>
  <c r="B496" i="10" s="1"/>
  <c r="B369" i="10" a="1"/>
  <c r="B369" i="10" s="1"/>
  <c r="B402" i="10" a="1"/>
  <c r="B402" i="10" s="1"/>
  <c r="B410" i="10" a="1"/>
  <c r="B410" i="10" s="1"/>
  <c r="B435" i="10" a="1"/>
  <c r="B435" i="10" s="1"/>
  <c r="B515" i="10" a="1"/>
  <c r="B515" i="10" s="1"/>
  <c r="B531" i="10" a="1"/>
  <c r="B531" i="10" s="1"/>
  <c r="B454" i="10" a="1"/>
  <c r="B454" i="10" s="1"/>
  <c r="B470" i="10" a="1"/>
  <c r="B470" i="10" s="1"/>
  <c r="B239" i="10" a="1"/>
  <c r="B239" i="10" s="1"/>
  <c r="B197" i="10" a="1"/>
  <c r="B197" i="10" s="1"/>
  <c r="B52" i="10" a="1"/>
  <c r="B52" i="10" s="1"/>
  <c r="B88" i="10" a="1"/>
  <c r="B88" i="10" s="1"/>
  <c r="B168" i="10" a="1"/>
  <c r="B168" i="10" s="1"/>
  <c r="B276" i="10" a="1"/>
  <c r="B276" i="10" s="1"/>
  <c r="B245" i="10" a="1"/>
  <c r="B245" i="10" s="1"/>
  <c r="B289" i="10" a="1"/>
  <c r="B289" i="10" s="1"/>
  <c r="B334" i="10" a="1"/>
  <c r="B334" i="10" s="1"/>
  <c r="B254" i="10" a="1"/>
  <c r="B254" i="10" s="1"/>
  <c r="B314" i="10" a="1"/>
  <c r="B314" i="10" s="1"/>
  <c r="B344" i="10" a="1"/>
  <c r="B344" i="10" s="1"/>
  <c r="B110" i="10" a="1"/>
  <c r="B110" i="10" s="1"/>
  <c r="B326" i="10" a="1"/>
  <c r="B326" i="10" s="1"/>
  <c r="B77" i="10" a="1"/>
  <c r="B77" i="10" s="1"/>
  <c r="B327" i="10" a="1"/>
  <c r="B327" i="10" s="1"/>
  <c r="B286" i="10" a="1"/>
  <c r="B286" i="10" s="1"/>
  <c r="B347" i="10" a="1"/>
  <c r="B347" i="10" s="1"/>
  <c r="A24" i="14"/>
  <c r="B136" i="10" a="1"/>
  <c r="B136" i="10" s="1"/>
  <c r="B346" i="10" a="1"/>
  <c r="B346" i="10" s="1"/>
  <c r="B147" i="10" a="1"/>
  <c r="B147" i="10" s="1"/>
  <c r="B183" i="10" a="1"/>
  <c r="B183" i="10" s="1"/>
  <c r="B121" i="10" a="1"/>
  <c r="B121" i="10" s="1"/>
  <c r="B288" i="10" a="1"/>
  <c r="B288" i="10" s="1"/>
  <c r="B271" i="10" a="1"/>
  <c r="B271" i="10" s="1"/>
  <c r="B268" i="10" a="1"/>
  <c r="B268" i="10" s="1"/>
  <c r="B281" i="10" a="1"/>
  <c r="B281" i="10" s="1"/>
  <c r="B291" i="10" a="1"/>
  <c r="B291" i="10" s="1"/>
  <c r="B332" i="10" a="1"/>
  <c r="B332" i="10" s="1"/>
  <c r="B318" i="10" a="1"/>
  <c r="B318" i="10" s="1"/>
  <c r="B352" i="10" a="1"/>
  <c r="B352" i="10" s="1"/>
  <c r="B69" i="10" a="1"/>
  <c r="B69" i="10" s="1"/>
  <c r="B272" i="10" a="1"/>
  <c r="B272" i="10" s="1"/>
  <c r="B350" i="10" a="1"/>
  <c r="B350" i="10" s="1"/>
  <c r="B166" i="10" a="1"/>
  <c r="B166" i="10" s="1"/>
  <c r="B240" i="10" a="1"/>
  <c r="B240" i="10" s="1"/>
  <c r="B325" i="10" a="1"/>
  <c r="B325" i="10" s="1"/>
  <c r="B303" i="10" a="1"/>
  <c r="B303" i="10" s="1"/>
  <c r="B315" i="10" a="1"/>
  <c r="B315" i="10" s="1"/>
  <c r="B266" i="10" a="1"/>
  <c r="B266" i="10" s="1"/>
  <c r="B290" i="10" a="1"/>
  <c r="B290" i="10" s="1"/>
  <c r="B348" i="10" a="1"/>
  <c r="B348" i="10" s="1"/>
  <c r="B89" i="10" a="1"/>
  <c r="B89" i="10" s="1"/>
  <c r="B256" i="10" a="1"/>
  <c r="B256" i="10" s="1"/>
  <c r="B238" i="10" a="1"/>
  <c r="B238" i="10" s="1"/>
  <c r="B58" i="10" a="1"/>
  <c r="B58" i="10" s="1"/>
  <c r="B51" i="10" a="1"/>
  <c r="B51" i="10" s="1"/>
  <c r="B321" i="10" a="1"/>
  <c r="B321" i="10" s="1"/>
  <c r="B330" i="10" a="1"/>
  <c r="B330" i="10" s="1"/>
  <c r="B351" i="10" a="1"/>
  <c r="B351" i="10" s="1"/>
  <c r="B265" i="10" a="1"/>
  <c r="B265" i="10" s="1"/>
  <c r="B285" i="10" a="1"/>
  <c r="B285" i="10" s="1"/>
  <c r="B250" i="10" a="1"/>
  <c r="B250" i="10" s="1"/>
  <c r="B282" i="10" a="1"/>
  <c r="B282" i="10" s="1"/>
  <c r="B236" i="10" a="1"/>
  <c r="B236" i="10" s="1"/>
  <c r="B107" i="10" a="1"/>
  <c r="B107" i="10" s="1"/>
  <c r="B241" i="10" a="1"/>
  <c r="B241" i="10" s="1"/>
  <c r="B257" i="10" a="1"/>
  <c r="B257" i="10" s="1"/>
  <c r="B273" i="10" a="1"/>
  <c r="B273" i="10" s="1"/>
  <c r="B277" i="10" a="1"/>
  <c r="B277" i="10" s="1"/>
  <c r="B302" i="10" a="1"/>
  <c r="B302" i="10" s="1"/>
  <c r="B155" i="10" a="1"/>
  <c r="B155" i="10" s="1"/>
  <c r="B172" i="10" a="1"/>
  <c r="B172" i="10" s="1"/>
  <c r="B264" i="10" a="1"/>
  <c r="B264" i="10" s="1"/>
  <c r="B249" i="10" a="1"/>
  <c r="B249" i="10" s="1"/>
  <c r="B313" i="10" a="1"/>
  <c r="B313" i="10" s="1"/>
  <c r="B342" i="10" a="1"/>
  <c r="B342" i="10" s="1"/>
  <c r="B298" i="10" a="1"/>
  <c r="B298" i="10" s="1"/>
  <c r="B287" i="10" a="1"/>
  <c r="B287" i="10" s="1"/>
  <c r="B323" i="10" a="1"/>
  <c r="B323" i="10" s="1"/>
  <c r="B104" i="10" a="1"/>
  <c r="B104" i="10" s="1"/>
  <c r="B304" i="10" a="1"/>
  <c r="B304" i="10" s="1"/>
  <c r="B335" i="10" a="1"/>
  <c r="B335" i="10" s="1"/>
  <c r="B66" i="10" a="1"/>
  <c r="B66" i="10" s="1"/>
  <c r="B280" i="10" a="1"/>
  <c r="B280" i="10" s="1"/>
  <c r="B259" i="10" a="1"/>
  <c r="B259" i="10" s="1"/>
  <c r="B267" i="10" a="1"/>
  <c r="B267" i="10" s="1"/>
  <c r="B301" i="10" a="1"/>
  <c r="B301" i="10" s="1"/>
  <c r="B248" i="10" a="1"/>
  <c r="B248" i="10" s="1"/>
  <c r="B274" i="10" a="1"/>
  <c r="B274" i="10" s="1"/>
  <c r="B237" i="10" a="1"/>
  <c r="B237" i="10" s="1"/>
  <c r="B128" i="10" a="1"/>
  <c r="B128" i="10" s="1"/>
  <c r="B152" i="10" a="1"/>
  <c r="B152" i="10" s="1"/>
  <c r="B92" i="10" a="1"/>
  <c r="B92" i="10" s="1"/>
  <c r="B354" i="10" a="1"/>
  <c r="B354" i="10" s="1"/>
  <c r="B319" i="10" a="1"/>
  <c r="B319" i="10" s="1"/>
  <c r="B294" i="10" a="1"/>
  <c r="B294" i="10" s="1"/>
  <c r="B339" i="10" a="1"/>
  <c r="B339" i="10" s="1"/>
  <c r="B307" i="10" a="1"/>
  <c r="B307" i="10" s="1"/>
  <c r="B114" i="10" a="1"/>
  <c r="B114" i="10" s="1"/>
  <c r="B116" i="10" a="1"/>
  <c r="B116" i="10" s="1"/>
  <c r="B337" i="10" a="1"/>
  <c r="B337" i="10" s="1"/>
  <c r="B178" i="10" a="1"/>
  <c r="B178" i="10" s="1"/>
  <c r="B156" i="10" a="1"/>
  <c r="B156" i="10" s="1"/>
  <c r="B148" i="10" a="1"/>
  <c r="B148" i="10" s="1"/>
  <c r="B94" i="10" a="1"/>
  <c r="B94" i="10" s="1"/>
  <c r="B163" i="10" a="1"/>
  <c r="B163" i="10" s="1"/>
  <c r="B149" i="10" a="1"/>
  <c r="B149" i="10" s="1"/>
  <c r="B76" i="10" a="1"/>
  <c r="B76" i="10" s="1"/>
  <c r="B296" i="10" a="1"/>
  <c r="B296" i="10" s="1"/>
  <c r="B349" i="10" a="1"/>
  <c r="B349" i="10" s="1"/>
  <c r="B317" i="10" a="1"/>
  <c r="B317" i="10" s="1"/>
  <c r="B255" i="10" a="1"/>
  <c r="B255" i="10" s="1"/>
  <c r="B336" i="10" a="1"/>
  <c r="B336" i="10" s="1"/>
  <c r="B242" i="10" a="1"/>
  <c r="B242" i="10" s="1"/>
  <c r="B278" i="10" a="1"/>
  <c r="B278" i="10" s="1"/>
  <c r="B306" i="10" a="1"/>
  <c r="B306" i="10" s="1"/>
  <c r="B247" i="10" a="1"/>
  <c r="B247" i="10" s="1"/>
  <c r="B275" i="10" a="1"/>
  <c r="B275" i="10" s="1"/>
  <c r="L26" i="10"/>
  <c r="B127" i="10" a="1"/>
  <c r="B127" i="10" s="1"/>
  <c r="B131" i="10" a="1"/>
  <c r="B131" i="10" s="1"/>
  <c r="B187" i="10" a="1"/>
  <c r="B187" i="10" s="1"/>
  <c r="B53" i="10" a="1"/>
  <c r="B53" i="10" s="1"/>
  <c r="B353" i="10" a="1"/>
  <c r="B353" i="10" s="1"/>
  <c r="B297" i="10" a="1"/>
  <c r="B297" i="10" s="1"/>
  <c r="B338" i="10" a="1"/>
  <c r="B338" i="10" s="1"/>
  <c r="B279" i="10" a="1"/>
  <c r="B279" i="10" s="1"/>
  <c r="B270" i="10" a="1"/>
  <c r="B270" i="10" s="1"/>
  <c r="B262" i="10" a="1"/>
  <c r="B262" i="10" s="1"/>
  <c r="B141" i="10" a="1"/>
  <c r="B141" i="10" s="1"/>
  <c r="B235" i="10" a="1"/>
  <c r="B235" i="10" s="1"/>
  <c r="B229" i="10" a="1"/>
  <c r="B229" i="10" s="1"/>
  <c r="B211" i="10" a="1"/>
  <c r="B211" i="10" s="1"/>
  <c r="B139" i="10" a="1"/>
  <c r="B139" i="10" s="1"/>
  <c r="A100" i="14"/>
  <c r="A14" i="14"/>
  <c r="A53" i="14"/>
  <c r="A39" i="14"/>
  <c r="B115" i="10" a="1"/>
  <c r="B115" i="10" s="1"/>
  <c r="B74" i="10" a="1"/>
  <c r="B74" i="10" s="1"/>
  <c r="A4" i="14"/>
  <c r="B213" i="10" a="1"/>
  <c r="B213" i="10" s="1"/>
  <c r="B222" i="10" a="1"/>
  <c r="B222" i="10" s="1"/>
  <c r="B71" i="10" a="1"/>
  <c r="B71" i="10" s="1"/>
  <c r="B103" i="10" a="1"/>
  <c r="B103" i="10" s="1"/>
  <c r="A37" i="14"/>
  <c r="B160" i="10" a="1"/>
  <c r="B160" i="10" s="1"/>
  <c r="B226" i="10" a="1"/>
  <c r="B226" i="10" s="1"/>
  <c r="B179" i="10" a="1"/>
  <c r="B179" i="10" s="1"/>
  <c r="B207" i="10" a="1"/>
  <c r="B207" i="10" s="1"/>
  <c r="B194" i="10" a="1"/>
  <c r="B194" i="10" s="1"/>
  <c r="B214" i="10" a="1"/>
  <c r="B214" i="10" s="1"/>
  <c r="B224" i="10" a="1"/>
  <c r="B224" i="10" s="1"/>
  <c r="B84" i="10" a="1"/>
  <c r="B84" i="10" s="1"/>
  <c r="B140" i="10" a="1"/>
  <c r="B140" i="10" s="1"/>
  <c r="A42" i="14"/>
  <c r="A20" i="14"/>
  <c r="A98" i="14"/>
  <c r="A99" i="14"/>
  <c r="A43" i="14"/>
  <c r="B189" i="10" a="1"/>
  <c r="B189" i="10" s="1"/>
  <c r="B219" i="10" a="1"/>
  <c r="B219" i="10" s="1"/>
  <c r="A19" i="14"/>
  <c r="A82" i="14"/>
  <c r="A83" i="14"/>
  <c r="A63" i="14"/>
  <c r="Y34" i="10" s="1" a="1"/>
  <c r="Y34" i="10" s="1"/>
  <c r="A88" i="14"/>
  <c r="A84" i="14"/>
  <c r="B228" i="10" a="1"/>
  <c r="B228" i="10" s="1"/>
  <c r="B124" i="10" a="1"/>
  <c r="B124" i="10" s="1"/>
  <c r="B186" i="10" a="1"/>
  <c r="B186" i="10" s="1"/>
  <c r="B230" i="10" a="1"/>
  <c r="B230" i="10" s="1"/>
  <c r="B212" i="10" a="1"/>
  <c r="B212" i="10" s="1"/>
  <c r="B126" i="10" a="1"/>
  <c r="B126" i="10" s="1"/>
  <c r="A71" i="14"/>
  <c r="Y42" i="10" s="1" a="1"/>
  <c r="Y42" i="10" s="1"/>
  <c r="A27" i="14"/>
  <c r="A94" i="14"/>
  <c r="A78" i="14"/>
  <c r="A38" i="14"/>
  <c r="A91" i="14"/>
  <c r="A59" i="14"/>
  <c r="A52" i="14"/>
  <c r="B225" i="10" a="1"/>
  <c r="B225" i="10" s="1"/>
  <c r="B217" i="10" a="1"/>
  <c r="B217" i="10" s="1"/>
  <c r="B195" i="10" a="1"/>
  <c r="B195" i="10" s="1"/>
  <c r="B210" i="10" a="1"/>
  <c r="B210" i="10" s="1"/>
  <c r="B83" i="10" a="1"/>
  <c r="B83" i="10" s="1"/>
  <c r="B54" i="10" a="1"/>
  <c r="B54" i="10" s="1"/>
  <c r="B70" i="10" a="1"/>
  <c r="B70" i="10" s="1"/>
  <c r="B220" i="10" a="1"/>
  <c r="B220" i="10" s="1"/>
  <c r="B204" i="10" a="1"/>
  <c r="B204" i="10" s="1"/>
  <c r="B68" i="10" a="1"/>
  <c r="B68" i="10" s="1"/>
  <c r="B56" i="10" a="1"/>
  <c r="B56" i="10" s="1"/>
  <c r="B93" i="10" a="1"/>
  <c r="B93" i="10" s="1"/>
  <c r="A86" i="14"/>
  <c r="A70" i="14"/>
  <c r="Y41" i="10" s="1" a="1"/>
  <c r="Y41" i="10" s="1"/>
  <c r="A62" i="14"/>
  <c r="Y33" i="10" s="1" a="1"/>
  <c r="Y33" i="10" s="1"/>
  <c r="A51" i="14"/>
  <c r="A48" i="14"/>
  <c r="A44" i="14"/>
  <c r="B193" i="10" a="1"/>
  <c r="B193" i="10" s="1"/>
  <c r="B231" i="10" a="1"/>
  <c r="B231" i="10" s="1"/>
  <c r="B215" i="10" a="1"/>
  <c r="B215" i="10" s="1"/>
  <c r="B143" i="10" a="1"/>
  <c r="B143" i="10" s="1"/>
  <c r="A101" i="14"/>
  <c r="B208" i="10" a="1"/>
  <c r="B208" i="10" s="1"/>
  <c r="B201" i="10" a="1"/>
  <c r="B201" i="10" s="1"/>
  <c r="B174" i="10" a="1"/>
  <c r="B174" i="10" s="1"/>
  <c r="B218" i="10" a="1"/>
  <c r="B218" i="10" s="1"/>
  <c r="B200" i="10" a="1"/>
  <c r="B200" i="10" s="1"/>
  <c r="B87" i="10" a="1"/>
  <c r="B87" i="10" s="1"/>
  <c r="B102" i="10" a="1"/>
  <c r="B102" i="10" s="1"/>
  <c r="B118" i="10" a="1"/>
  <c r="B118" i="10" s="1"/>
  <c r="B90" i="10" a="1"/>
  <c r="B90" i="10" s="1"/>
  <c r="A73" i="14"/>
  <c r="Y44" i="10" s="1" a="1"/>
  <c r="Y44" i="10" s="1"/>
  <c r="B221" i="10" a="1"/>
  <c r="B221" i="10" s="1"/>
  <c r="B209" i="10" a="1"/>
  <c r="B209" i="10" s="1"/>
  <c r="B162" i="10" a="1"/>
  <c r="B162" i="10" s="1"/>
  <c r="B64" i="10" a="1"/>
  <c r="B64" i="10" s="1"/>
  <c r="B72" i="10" a="1"/>
  <c r="B72" i="10" s="1"/>
  <c r="A45" i="14"/>
  <c r="A74" i="14"/>
  <c r="Y45" i="10" s="1" a="1"/>
  <c r="Y45" i="10" s="1"/>
  <c r="A16" i="14"/>
  <c r="A65" i="14"/>
  <c r="Y36" i="10" s="1" a="1"/>
  <c r="Y36" i="10" s="1"/>
  <c r="A58" i="14"/>
  <c r="A76" i="14"/>
  <c r="A23" i="14"/>
  <c r="A36" i="14"/>
  <c r="A29" i="14"/>
  <c r="A95" i="14"/>
  <c r="A90" i="14"/>
  <c r="A92" i="14"/>
  <c r="B205" i="10" a="1"/>
  <c r="B205" i="10" s="1"/>
  <c r="A50" i="14"/>
  <c r="B55" i="10" a="1"/>
  <c r="B55" i="10" s="1"/>
  <c r="B133" i="10" a="1"/>
  <c r="B133" i="10" s="1"/>
  <c r="A46" i="14"/>
  <c r="B232" i="10" a="1"/>
  <c r="B232" i="10" s="1"/>
  <c r="A49" i="14"/>
  <c r="A93" i="14"/>
  <c r="E868" i="10"/>
  <c r="E869" i="10"/>
  <c r="L11" i="10"/>
  <c r="L13" i="10"/>
  <c r="L12" i="10"/>
  <c r="Y47" i="10" l="1" a="1"/>
  <c r="Y47" i="10" s="1"/>
  <c r="Y62" i="10" a="1"/>
  <c r="Y62" i="10" s="1"/>
  <c r="Y49" i="10" a="1"/>
  <c r="Y49" i="10" s="1"/>
  <c r="Y64" i="10" a="1"/>
  <c r="Y64" i="10" s="1"/>
  <c r="Y56" i="10" a="1"/>
  <c r="Y56" i="10" s="1"/>
  <c r="Y71" i="10" a="1"/>
  <c r="Y71" i="10" s="1"/>
  <c r="Y54" i="10" a="1"/>
  <c r="Y54" i="10" s="1"/>
  <c r="Y69" i="10" a="1"/>
  <c r="Y69" i="10" s="1"/>
  <c r="Y55" i="10" a="1"/>
  <c r="Y55" i="10" s="1"/>
  <c r="Y70" i="10" a="1"/>
  <c r="Y70" i="10" s="1"/>
  <c r="Y53" i="10" a="1"/>
  <c r="Y53" i="10" s="1"/>
  <c r="Y68" i="10" a="1"/>
  <c r="Y68" i="10" s="1"/>
  <c r="Y57" i="10" a="1"/>
  <c r="Y57" i="10" s="1"/>
  <c r="Y72" i="10" a="1"/>
  <c r="Y72" i="10" s="1"/>
  <c r="B260" i="10" a="1"/>
  <c r="B260" i="10" s="1"/>
  <c r="B202" i="10" a="1"/>
  <c r="B202" i="10" s="1"/>
  <c r="B176" i="10" a="1"/>
  <c r="B176" i="10" s="1"/>
  <c r="B47" i="10" a="1"/>
  <c r="B47" i="10" s="1"/>
  <c r="B175" i="10" a="1"/>
  <c r="B175" i="10" s="1"/>
  <c r="B61" i="10" a="1"/>
  <c r="B61" i="10" s="1"/>
  <c r="B310" i="10" a="1"/>
  <c r="B310" i="10" s="1"/>
  <c r="B432" i="10" a="1"/>
  <c r="B432" i="10" s="1"/>
  <c r="B151" i="10" a="1"/>
  <c r="B151" i="10" s="1"/>
  <c r="B308" i="10" a="1"/>
  <c r="B308" i="10" s="1"/>
  <c r="B196" i="10" a="1"/>
  <c r="B196" i="10" s="1"/>
  <c r="B450" i="10" a="1"/>
  <c r="B450" i="10" s="1"/>
  <c r="B328" i="10" a="1"/>
  <c r="B328" i="10" s="1"/>
  <c r="B123" i="10" a="1"/>
  <c r="B123" i="10" s="1"/>
  <c r="B445" i="10" a="1"/>
  <c r="B445" i="10" s="1"/>
  <c r="B97" i="10" a="1"/>
  <c r="B97" i="10" s="1"/>
  <c r="B406" i="10" a="1"/>
  <c r="B406" i="10" s="1"/>
  <c r="B393" i="10" a="1"/>
  <c r="B393" i="10" s="1"/>
  <c r="B376" i="10" a="1"/>
  <c r="B376" i="10" s="1"/>
  <c r="B322" i="10" a="1"/>
  <c r="B322" i="10" s="1"/>
  <c r="B415" i="10" a="1"/>
  <c r="B415" i="10" s="1"/>
  <c r="B311" i="10" a="1"/>
  <c r="B311" i="10" s="1"/>
  <c r="B357" i="10" a="1"/>
  <c r="B357" i="10" s="1"/>
  <c r="B358" i="10" a="1"/>
  <c r="B358" i="10" s="1"/>
  <c r="B227" i="10" a="1"/>
  <c r="B227" i="10" s="1"/>
  <c r="B75" i="10" a="1"/>
  <c r="B75" i="10" s="1"/>
  <c r="B258" i="10" a="1"/>
  <c r="B258" i="10" s="1"/>
  <c r="B161" i="10" a="1"/>
  <c r="B161" i="10" s="1"/>
  <c r="B129" i="10" a="1"/>
  <c r="B129" i="10" s="1"/>
  <c r="B79" i="10" a="1"/>
  <c r="B79" i="10" s="1"/>
  <c r="B96" i="10" a="1"/>
  <c r="B96" i="10" s="1"/>
  <c r="B125" i="10" a="1"/>
  <c r="B125" i="10" s="1"/>
  <c r="B188" i="10" a="1"/>
  <c r="B188" i="10" s="1"/>
  <c r="B46" i="10" a="1"/>
  <c r="B46" i="10" s="1"/>
  <c r="B106" i="10" a="1"/>
  <c r="B106" i="10" s="1"/>
  <c r="B101" i="10" a="1"/>
  <c r="B101" i="10" s="1"/>
  <c r="B105" i="10" a="1"/>
  <c r="B105" i="10" s="1"/>
  <c r="B86" i="10" a="1"/>
  <c r="B86" i="10" s="1"/>
  <c r="B132" i="10" a="1"/>
  <c r="B132" i="10" s="1"/>
  <c r="B91" i="10" a="1"/>
  <c r="B91" i="10" s="1"/>
  <c r="B192" i="10" a="1"/>
  <c r="B192" i="10" s="1"/>
  <c r="B182" i="10" a="1"/>
  <c r="B182" i="10" s="1"/>
  <c r="B50" i="10" a="1"/>
  <c r="B50" i="10" s="1"/>
  <c r="B135" i="10" a="1"/>
  <c r="B135" i="10" s="1"/>
  <c r="B159" i="10" a="1"/>
  <c r="B159" i="10" s="1"/>
  <c r="B181" i="10" a="1"/>
  <c r="B181" i="10" s="1"/>
  <c r="B99" i="10" a="1"/>
  <c r="B99" i="10" s="1"/>
  <c r="B180" i="10" a="1"/>
  <c r="B180" i="10" s="1"/>
  <c r="B80" i="10" a="1"/>
  <c r="B80" i="10" s="1"/>
  <c r="B165" i="10" a="1"/>
  <c r="B165" i="10" s="1"/>
  <c r="B153" i="10" a="1"/>
  <c r="B153" i="10" s="1"/>
  <c r="B130" i="10" a="1"/>
  <c r="B130" i="10" s="1"/>
  <c r="B184" i="10" a="1"/>
  <c r="B184" i="10" s="1"/>
  <c r="B142" i="10" a="1"/>
  <c r="B142" i="10" s="1"/>
  <c r="B63" i="10" a="1"/>
  <c r="B63" i="10" s="1"/>
  <c r="B59" i="10" a="1"/>
  <c r="B59" i="10" s="1"/>
  <c r="B191" i="10" a="1"/>
  <c r="B191" i="10" s="1"/>
  <c r="B169" i="10" a="1"/>
  <c r="B169" i="10" s="1"/>
  <c r="B67" i="10" a="1"/>
  <c r="B67" i="10" s="1"/>
  <c r="B170" i="10" a="1"/>
  <c r="B170" i="10" s="1"/>
  <c r="B138" i="10" a="1"/>
  <c r="B138" i="10" s="1"/>
  <c r="B164" i="10" a="1"/>
  <c r="B164" i="10" s="1"/>
  <c r="B177" i="10" a="1"/>
  <c r="B177" i="10" s="1"/>
  <c r="B117" i="10" a="1"/>
  <c r="B117" i="10" s="1"/>
  <c r="B98" i="10" a="1"/>
  <c r="B98" i="10" s="1"/>
  <c r="B171" i="10" a="1"/>
  <c r="B171" i="10" s="1"/>
  <c r="B111" i="10" a="1"/>
  <c r="B111" i="10" s="1"/>
  <c r="B82" i="10" a="1"/>
  <c r="B82" i="10" s="1"/>
  <c r="B120" i="10" a="1"/>
  <c r="B120" i="10" s="1"/>
  <c r="B73" i="10" a="1"/>
  <c r="B73" i="10" s="1"/>
  <c r="B190" i="10" a="1"/>
  <c r="B190" i="10" s="1"/>
  <c r="B60" i="10" a="1"/>
  <c r="B60" i="10" s="1"/>
  <c r="B145" i="10" a="1"/>
  <c r="B145" i="10" s="1"/>
  <c r="B144" i="10" a="1"/>
  <c r="B144" i="10" s="1"/>
  <c r="B78" i="10" a="1"/>
  <c r="B78" i="10" s="1"/>
  <c r="B113" i="10" a="1"/>
  <c r="B113" i="10" s="1"/>
  <c r="B150" i="10" a="1"/>
  <c r="B150" i="10" s="1"/>
  <c r="B108" i="10" a="1"/>
  <c r="B108" i="10" s="1"/>
  <c r="B122" i="10" a="1"/>
  <c r="B122" i="10" s="1"/>
  <c r="B112" i="10" a="1"/>
  <c r="B112" i="10" s="1"/>
  <c r="B173" i="10" a="1"/>
  <c r="B173" i="10" s="1"/>
  <c r="B137" i="10" a="1"/>
  <c r="B137" i="10" s="1"/>
  <c r="B49" i="10" a="1"/>
  <c r="B49" i="10" s="1"/>
  <c r="B62" i="10" a="1"/>
  <c r="B62" i="10" s="1"/>
  <c r="B119" i="10" a="1"/>
  <c r="B119" i="10" s="1"/>
  <c r="B95" i="10" a="1"/>
  <c r="B95" i="10" s="1"/>
  <c r="B81" i="10" a="1"/>
  <c r="B81" i="10" s="1"/>
  <c r="B65" i="10" a="1"/>
  <c r="B65" i="10" s="1"/>
  <c r="B154" i="10" a="1"/>
  <c r="B154" i="10" s="1"/>
  <c r="B158" i="10" a="1"/>
  <c r="B158" i="10" s="1"/>
  <c r="B157" i="10" a="1"/>
  <c r="B157" i="10" s="1"/>
  <c r="B48" i="10" a="1"/>
  <c r="B48" i="10" s="1"/>
  <c r="B185" i="10" a="1"/>
  <c r="B185" i="10" s="1"/>
  <c r="B146" i="10" a="1"/>
  <c r="B146" i="10" s="1"/>
  <c r="U41" i="10" l="1"/>
  <c r="V33" i="10"/>
  <c r="Q35" i="10"/>
  <c r="U38" i="10"/>
  <c r="U35" i="10"/>
  <c r="V35" i="10"/>
  <c r="V38" i="10"/>
  <c r="Q38" i="10"/>
  <c r="Q42" i="10"/>
  <c r="U40" i="10"/>
  <c r="U33" i="10"/>
  <c r="U42" i="10"/>
  <c r="V41" i="10"/>
  <c r="V40" i="10"/>
  <c r="V42" i="10"/>
  <c r="Q40" i="10"/>
  <c r="Q33" i="10"/>
  <c r="Q41" i="10"/>
  <c r="U43" i="10"/>
  <c r="V43" i="10"/>
  <c r="Q43" i="10"/>
  <c r="U39" i="10"/>
  <c r="Q39" i="10"/>
  <c r="V39" i="10"/>
  <c r="V37" i="10"/>
  <c r="Q37" i="10"/>
  <c r="U37" i="10"/>
  <c r="W272" i="10"/>
  <c r="W129" i="10"/>
  <c r="W363" i="10"/>
  <c r="W529" i="10"/>
  <c r="W705" i="10"/>
  <c r="W167" i="10"/>
  <c r="W435" i="10"/>
  <c r="W116" i="10"/>
  <c r="W292" i="10"/>
  <c r="W134" i="10"/>
  <c r="W369" i="10"/>
  <c r="W549" i="10"/>
  <c r="W709" i="10"/>
  <c r="W174" i="10"/>
  <c r="W462" i="10"/>
  <c r="W120" i="10"/>
  <c r="W296" i="10"/>
  <c r="W161" i="10"/>
  <c r="W374" i="10"/>
  <c r="W553" i="10"/>
  <c r="W729" i="10"/>
  <c r="W181" i="10"/>
  <c r="W467" i="10"/>
  <c r="W140" i="10"/>
  <c r="W300" i="10"/>
  <c r="W166" i="10"/>
  <c r="W397" i="10"/>
  <c r="W557" i="10"/>
  <c r="W733" i="10"/>
  <c r="W217" i="10"/>
  <c r="W472" i="10"/>
  <c r="W165" i="10"/>
  <c r="W448" i="10"/>
  <c r="W652" i="10"/>
  <c r="W820" i="10"/>
  <c r="V102" i="10"/>
  <c r="W57" i="10"/>
  <c r="W361" i="10"/>
  <c r="W591" i="10"/>
  <c r="W762" i="10"/>
  <c r="V152" i="10"/>
  <c r="W175" i="10"/>
  <c r="W455" i="10"/>
  <c r="W658" i="10"/>
  <c r="W824" i="10"/>
  <c r="V106" i="10"/>
  <c r="W66" i="10"/>
  <c r="W370" i="10"/>
  <c r="W596" i="10"/>
  <c r="W767" i="10"/>
  <c r="V60" i="10"/>
  <c r="V188" i="10"/>
  <c r="W298" i="10"/>
  <c r="W548" i="10"/>
  <c r="W727" i="10"/>
  <c r="W39" i="10"/>
  <c r="V158" i="10"/>
  <c r="W190" i="10"/>
  <c r="W466" i="10"/>
  <c r="W666" i="10"/>
  <c r="W830" i="10"/>
  <c r="V112" i="10"/>
  <c r="W119" i="10"/>
  <c r="W412" i="10"/>
  <c r="W626" i="10"/>
  <c r="W732" i="10"/>
  <c r="W832" i="10"/>
  <c r="V82" i="10"/>
  <c r="V162" i="10"/>
  <c r="W85" i="10"/>
  <c r="W313" i="10"/>
  <c r="W474" i="10"/>
  <c r="W607" i="10"/>
  <c r="W735" i="10"/>
  <c r="W834" i="10"/>
  <c r="V68" i="10"/>
  <c r="V164" i="10"/>
  <c r="W135" i="10"/>
  <c r="W482" i="10"/>
  <c r="W763" i="10"/>
  <c r="V89" i="10"/>
  <c r="V235" i="10"/>
  <c r="V331" i="10"/>
  <c r="V411" i="10"/>
  <c r="V491" i="10"/>
  <c r="V587" i="10"/>
  <c r="V667" i="10"/>
  <c r="V747" i="10"/>
  <c r="V843" i="10"/>
  <c r="U120" i="10"/>
  <c r="U200" i="10"/>
  <c r="U296" i="10"/>
  <c r="U376" i="10"/>
  <c r="U440" i="10"/>
  <c r="W306" i="10"/>
  <c r="W554" i="10"/>
  <c r="W731" i="10"/>
  <c r="W33" i="10"/>
  <c r="V161" i="10"/>
  <c r="V255" i="10"/>
  <c r="V319" i="10"/>
  <c r="V383" i="10"/>
  <c r="V447" i="10"/>
  <c r="V511" i="10"/>
  <c r="V575" i="10"/>
  <c r="V639" i="10"/>
  <c r="V703" i="10"/>
  <c r="V767" i="10"/>
  <c r="V831" i="10"/>
  <c r="U92" i="10"/>
  <c r="U156" i="10"/>
  <c r="U220" i="10"/>
  <c r="U284" i="10"/>
  <c r="U348" i="10"/>
  <c r="U412" i="10"/>
  <c r="W173" i="10"/>
  <c r="W454" i="10"/>
  <c r="W656" i="10"/>
  <c r="W823" i="10"/>
  <c r="V105" i="10"/>
  <c r="V227" i="10"/>
  <c r="V291" i="10"/>
  <c r="V355" i="10"/>
  <c r="V419" i="10"/>
  <c r="V483" i="10"/>
  <c r="V547" i="10"/>
  <c r="V611" i="10"/>
  <c r="V675" i="10"/>
  <c r="V739" i="10"/>
  <c r="V803" i="10"/>
  <c r="U128" i="10"/>
  <c r="U192" i="10"/>
  <c r="U256" i="10"/>
  <c r="U320" i="10"/>
  <c r="U384" i="10"/>
  <c r="W115" i="10"/>
  <c r="W411" i="10"/>
  <c r="W624" i="10"/>
  <c r="W795" i="10"/>
  <c r="V81" i="10"/>
  <c r="V209" i="10"/>
  <c r="V279" i="10"/>
  <c r="V343" i="10"/>
  <c r="V407" i="10"/>
  <c r="V471" i="10"/>
  <c r="V535" i="10"/>
  <c r="V599" i="10"/>
  <c r="V663" i="10"/>
  <c r="V727" i="10"/>
  <c r="W320" i="10"/>
  <c r="W193" i="10"/>
  <c r="W401" i="10"/>
  <c r="W577" i="10"/>
  <c r="W753" i="10"/>
  <c r="W223" i="10"/>
  <c r="W499" i="10"/>
  <c r="W164" i="10"/>
  <c r="W324" i="10"/>
  <c r="W198" i="10"/>
  <c r="W421" i="10"/>
  <c r="W581" i="10"/>
  <c r="W757" i="10"/>
  <c r="W259" i="10"/>
  <c r="W504" i="10"/>
  <c r="W168" i="10"/>
  <c r="W344" i="10"/>
  <c r="W203" i="10"/>
  <c r="W425" i="10"/>
  <c r="W601" i="10"/>
  <c r="W761" i="10"/>
  <c r="W266" i="10"/>
  <c r="W531" i="10"/>
  <c r="W172" i="10"/>
  <c r="W348" i="10"/>
  <c r="W230" i="10"/>
  <c r="W429" i="10"/>
  <c r="W605" i="10"/>
  <c r="W781" i="10"/>
  <c r="W274" i="10"/>
  <c r="W536" i="10"/>
  <c r="W242" i="10"/>
  <c r="W506" i="10"/>
  <c r="W695" i="10"/>
  <c r="W852" i="10"/>
  <c r="V134" i="10"/>
  <c r="W133" i="10"/>
  <c r="W423" i="10"/>
  <c r="W634" i="10"/>
  <c r="W804" i="10"/>
  <c r="V56" i="10"/>
  <c r="V184" i="10"/>
  <c r="W250" i="10"/>
  <c r="W512" i="10"/>
  <c r="W700" i="10"/>
  <c r="W856" i="10"/>
  <c r="V138" i="10"/>
  <c r="W142" i="10"/>
  <c r="W431" i="10"/>
  <c r="W639" i="10"/>
  <c r="W810" i="10"/>
  <c r="V92" i="10"/>
  <c r="W71" i="10"/>
  <c r="W375" i="10"/>
  <c r="W599" i="10"/>
  <c r="W770" i="10"/>
  <c r="V62" i="10"/>
  <c r="V190" i="10"/>
  <c r="W265" i="10"/>
  <c r="W523" i="10"/>
  <c r="W708" i="10"/>
  <c r="W862" i="10"/>
  <c r="V144" i="10"/>
  <c r="W194" i="10"/>
  <c r="W470" i="10"/>
  <c r="W647" i="10"/>
  <c r="W754" i="10"/>
  <c r="W864" i="10"/>
  <c r="V98" i="10"/>
  <c r="V178" i="10"/>
  <c r="W162" i="10"/>
  <c r="W350" i="10"/>
  <c r="W502" i="10"/>
  <c r="W650" i="10"/>
  <c r="W756" i="10"/>
  <c r="W850" i="10"/>
  <c r="V100" i="10"/>
  <c r="V180" i="10"/>
  <c r="W211" i="10"/>
  <c r="W592" i="10"/>
  <c r="W806" i="10"/>
  <c r="V121" i="10"/>
  <c r="V267" i="10"/>
  <c r="V347" i="10"/>
  <c r="V427" i="10"/>
  <c r="V523" i="10"/>
  <c r="V603" i="10"/>
  <c r="V683" i="10"/>
  <c r="V779" i="10"/>
  <c r="V859" i="10"/>
  <c r="U136" i="10"/>
  <c r="U232" i="10"/>
  <c r="U312" i="10"/>
  <c r="U392" i="10"/>
  <c r="W78" i="10"/>
  <c r="W382" i="10"/>
  <c r="W603" i="10"/>
  <c r="W774" i="10"/>
  <c r="V65" i="10"/>
  <c r="V193" i="10"/>
  <c r="V271" i="10"/>
  <c r="V335" i="10"/>
  <c r="V399" i="10"/>
  <c r="V463" i="10"/>
  <c r="V527" i="10"/>
  <c r="V591" i="10"/>
  <c r="V655" i="10"/>
  <c r="V719" i="10"/>
  <c r="V783" i="10"/>
  <c r="V847" i="10"/>
  <c r="U108" i="10"/>
  <c r="U172" i="10"/>
  <c r="U236" i="10"/>
  <c r="U300" i="10"/>
  <c r="U364" i="10"/>
  <c r="U428" i="10"/>
  <c r="W249" i="10"/>
  <c r="W511" i="10"/>
  <c r="W699" i="10"/>
  <c r="W855" i="10"/>
  <c r="V137" i="10"/>
  <c r="V243" i="10"/>
  <c r="V307" i="10"/>
  <c r="V371" i="10"/>
  <c r="V435" i="10"/>
  <c r="V499" i="10"/>
  <c r="V563" i="10"/>
  <c r="V627" i="10"/>
  <c r="V691" i="10"/>
  <c r="V755" i="10"/>
  <c r="V819" i="10"/>
  <c r="U80" i="10"/>
  <c r="U144" i="10"/>
  <c r="U208" i="10"/>
  <c r="U272" i="10"/>
  <c r="U336" i="10"/>
  <c r="U400" i="10"/>
  <c r="W191" i="10"/>
  <c r="W468" i="10"/>
  <c r="W667" i="10"/>
  <c r="W831" i="10"/>
  <c r="V113" i="10"/>
  <c r="V231" i="10"/>
  <c r="V295" i="10"/>
  <c r="V359" i="10"/>
  <c r="V423" i="10"/>
  <c r="V487" i="10"/>
  <c r="V551" i="10"/>
  <c r="V615" i="10"/>
  <c r="V679" i="10"/>
  <c r="V743" i="10"/>
  <c r="V807" i="10"/>
  <c r="U68" i="10"/>
  <c r="W192" i="10"/>
  <c r="W368" i="10"/>
  <c r="W235" i="10"/>
  <c r="W449" i="10"/>
  <c r="W625" i="10"/>
  <c r="W785" i="10"/>
  <c r="W309" i="10"/>
  <c r="W563" i="10"/>
  <c r="W196" i="10"/>
  <c r="W372" i="10"/>
  <c r="W262" i="10"/>
  <c r="W453" i="10"/>
  <c r="W629" i="10"/>
  <c r="W805" i="10"/>
  <c r="W317" i="10"/>
  <c r="W568" i="10"/>
  <c r="W216" i="10"/>
  <c r="W376" i="10"/>
  <c r="W267" i="10"/>
  <c r="W473" i="10"/>
  <c r="W633" i="10"/>
  <c r="W809" i="10"/>
  <c r="W351" i="10"/>
  <c r="W574" i="10"/>
  <c r="W220" i="10"/>
  <c r="W59" i="10"/>
  <c r="W273" i="10"/>
  <c r="W477" i="10"/>
  <c r="W653" i="10"/>
  <c r="W46" i="10"/>
  <c r="W359" i="10"/>
  <c r="W579" i="10"/>
  <c r="W318" i="10"/>
  <c r="W562" i="10"/>
  <c r="W738" i="10"/>
  <c r="V166" i="10"/>
  <c r="W207" i="10"/>
  <c r="W480" i="10"/>
  <c r="W676" i="10"/>
  <c r="W838" i="10"/>
  <c r="V88" i="10"/>
  <c r="V216" i="10"/>
  <c r="W327" i="10"/>
  <c r="W570" i="10"/>
  <c r="W743" i="10"/>
  <c r="V170" i="10"/>
  <c r="W218" i="10"/>
  <c r="W487" i="10"/>
  <c r="W682" i="10"/>
  <c r="W842" i="10"/>
  <c r="V124" i="10"/>
  <c r="W147" i="10"/>
  <c r="W434" i="10"/>
  <c r="W642" i="10"/>
  <c r="W812" i="10"/>
  <c r="V94" i="10"/>
  <c r="V222" i="10"/>
  <c r="W341" i="10"/>
  <c r="W580" i="10"/>
  <c r="W751" i="10"/>
  <c r="V48" i="10"/>
  <c r="V176" i="10"/>
  <c r="W270" i="10"/>
  <c r="W527" i="10"/>
  <c r="W668" i="10"/>
  <c r="W796" i="10"/>
  <c r="V34" i="10"/>
  <c r="V114" i="10"/>
  <c r="V210" i="10"/>
  <c r="W199" i="10"/>
  <c r="W388" i="10"/>
  <c r="W559" i="10"/>
  <c r="W671" i="10"/>
  <c r="W778" i="10"/>
  <c r="V36" i="10"/>
  <c r="V116" i="10"/>
  <c r="V196" i="10"/>
  <c r="W362" i="10"/>
  <c r="W635" i="10"/>
  <c r="W839" i="10"/>
  <c r="V185" i="10"/>
  <c r="V283" i="10"/>
  <c r="V363" i="10"/>
  <c r="V459" i="10"/>
  <c r="W240" i="10"/>
  <c r="W65" i="10"/>
  <c r="W299" i="10"/>
  <c r="W497" i="10"/>
  <c r="W657" i="10"/>
  <c r="W82" i="10"/>
  <c r="W392" i="10"/>
  <c r="W68" i="10"/>
  <c r="W244" i="10"/>
  <c r="W91" i="10"/>
  <c r="W305" i="10"/>
  <c r="W501" i="10"/>
  <c r="W677" i="10"/>
  <c r="W89" i="10"/>
  <c r="W398" i="10"/>
  <c r="W88" i="10"/>
  <c r="W248" i="10"/>
  <c r="W97" i="10"/>
  <c r="W331" i="10"/>
  <c r="W505" i="10"/>
  <c r="W681" i="10"/>
  <c r="W125" i="10"/>
  <c r="W403" i="10"/>
  <c r="W92" i="10"/>
  <c r="W268" i="10"/>
  <c r="W102" i="10"/>
  <c r="W337" i="10"/>
  <c r="W525" i="10"/>
  <c r="W685" i="10"/>
  <c r="W131" i="10"/>
  <c r="W430" i="10"/>
  <c r="W90" i="10"/>
  <c r="W391" i="10"/>
  <c r="W610" i="10"/>
  <c r="W780" i="10"/>
  <c r="V70" i="10"/>
  <c r="V198" i="10"/>
  <c r="W285" i="10"/>
  <c r="W538" i="10"/>
  <c r="W719" i="10"/>
  <c r="W45" i="10"/>
  <c r="V120" i="10"/>
  <c r="W99" i="10"/>
  <c r="W399" i="10"/>
  <c r="W615" i="10"/>
  <c r="W786" i="10"/>
  <c r="V74" i="10"/>
  <c r="V202" i="10"/>
  <c r="W293" i="10"/>
  <c r="W544" i="10"/>
  <c r="W724" i="10"/>
  <c r="W37" i="10"/>
  <c r="V156" i="10"/>
  <c r="W222" i="10"/>
  <c r="W491" i="10"/>
  <c r="W684" i="10"/>
  <c r="W844" i="10"/>
  <c r="V126" i="10"/>
  <c r="W114" i="10"/>
  <c r="W410" i="10"/>
  <c r="W623" i="10"/>
  <c r="W794" i="10"/>
  <c r="V80" i="10"/>
  <c r="V208" i="10"/>
  <c r="W346" i="10"/>
  <c r="W583" i="10"/>
  <c r="W711" i="10"/>
  <c r="W816" i="10"/>
  <c r="V50" i="10"/>
  <c r="V146" i="10"/>
  <c r="W47" i="10"/>
  <c r="W237" i="10"/>
  <c r="W444" i="10"/>
  <c r="W586" i="10"/>
  <c r="W692" i="10"/>
  <c r="W818" i="10"/>
  <c r="V52" i="10"/>
  <c r="V132" i="10"/>
  <c r="W58" i="10"/>
  <c r="W426" i="10"/>
  <c r="W678" i="10"/>
  <c r="V57" i="10"/>
  <c r="V217" i="10"/>
  <c r="V299" i="10"/>
  <c r="V395" i="10"/>
  <c r="V475" i="10"/>
  <c r="V555" i="10"/>
  <c r="V651" i="10"/>
  <c r="V731" i="10"/>
  <c r="V811" i="10"/>
  <c r="U104" i="10"/>
  <c r="U184" i="10"/>
  <c r="U264" i="10"/>
  <c r="U360" i="10"/>
  <c r="U424" i="10"/>
  <c r="W229" i="10"/>
  <c r="W496" i="10"/>
  <c r="W688" i="10"/>
  <c r="W847" i="10"/>
  <c r="V129" i="10"/>
  <c r="V239" i="10"/>
  <c r="V303" i="10"/>
  <c r="V367" i="10"/>
  <c r="V431" i="10"/>
  <c r="V495" i="10"/>
  <c r="V559" i="10"/>
  <c r="V623" i="10"/>
  <c r="V687" i="10"/>
  <c r="V751" i="10"/>
  <c r="V815" i="10"/>
  <c r="U76" i="10"/>
  <c r="U140" i="10"/>
  <c r="U204" i="10"/>
  <c r="U268" i="10"/>
  <c r="U332" i="10"/>
  <c r="U396" i="10"/>
  <c r="W98" i="10"/>
  <c r="W396" i="10"/>
  <c r="W614" i="10"/>
  <c r="W784" i="10"/>
  <c r="V73" i="10"/>
  <c r="V201" i="10"/>
  <c r="V275" i="10"/>
  <c r="V339" i="10"/>
  <c r="V403" i="10"/>
  <c r="V467" i="10"/>
  <c r="V531" i="10"/>
  <c r="V595" i="10"/>
  <c r="V659" i="10"/>
  <c r="V723" i="10"/>
  <c r="V787" i="10"/>
  <c r="V851" i="10"/>
  <c r="U112" i="10"/>
  <c r="U176" i="10"/>
  <c r="U240" i="10"/>
  <c r="U304" i="10"/>
  <c r="U368" i="10"/>
  <c r="U432" i="10"/>
  <c r="W343" i="10"/>
  <c r="W582" i="10"/>
  <c r="W752" i="10"/>
  <c r="V49" i="10"/>
  <c r="V177" i="10"/>
  <c r="V263" i="10"/>
  <c r="V327" i="10"/>
  <c r="V391" i="10"/>
  <c r="V455" i="10"/>
  <c r="V519" i="10"/>
  <c r="V583" i="10"/>
  <c r="V647" i="10"/>
  <c r="V711" i="10"/>
  <c r="V775" i="10"/>
  <c r="V839" i="10"/>
  <c r="U100" i="10"/>
  <c r="V715" i="10"/>
  <c r="U248" i="10"/>
  <c r="W439" i="10"/>
  <c r="V223" i="10"/>
  <c r="V479" i="10"/>
  <c r="V735" i="10"/>
  <c r="U188" i="10"/>
  <c r="W50" i="10"/>
  <c r="V387" i="10"/>
  <c r="V643" i="10"/>
  <c r="U288" i="10"/>
  <c r="W524" i="10"/>
  <c r="V247" i="10"/>
  <c r="V503" i="10"/>
  <c r="V759" i="10"/>
  <c r="U84" i="10"/>
  <c r="U164" i="10"/>
  <c r="U228" i="10"/>
  <c r="U292" i="10"/>
  <c r="U356" i="10"/>
  <c r="U420" i="10"/>
  <c r="W221" i="10"/>
  <c r="W490" i="10"/>
  <c r="W683" i="10"/>
  <c r="W843" i="10"/>
  <c r="V125" i="10"/>
  <c r="V237" i="10"/>
  <c r="V301" i="10"/>
  <c r="V365" i="10"/>
  <c r="V429" i="10"/>
  <c r="V493" i="10"/>
  <c r="V557" i="10"/>
  <c r="V621" i="10"/>
  <c r="V685" i="10"/>
  <c r="V749" i="10"/>
  <c r="V813" i="10"/>
  <c r="U74" i="10"/>
  <c r="U138" i="10"/>
  <c r="U202" i="10"/>
  <c r="U266" i="10"/>
  <c r="U330" i="10"/>
  <c r="U394" i="10"/>
  <c r="W87" i="10"/>
  <c r="W390" i="10"/>
  <c r="W608" i="10"/>
  <c r="W779" i="10"/>
  <c r="V69" i="10"/>
  <c r="V197" i="10"/>
  <c r="V273" i="10"/>
  <c r="V337" i="10"/>
  <c r="V401" i="10"/>
  <c r="V465" i="10"/>
  <c r="V529" i="10"/>
  <c r="V593" i="10"/>
  <c r="V657" i="10"/>
  <c r="V721" i="10"/>
  <c r="V785" i="10"/>
  <c r="V849" i="10"/>
  <c r="U110" i="10"/>
  <c r="U174" i="10"/>
  <c r="U238" i="10"/>
  <c r="U302" i="10"/>
  <c r="U366" i="10"/>
  <c r="U430" i="10"/>
  <c r="W258" i="10"/>
  <c r="W518" i="10"/>
  <c r="W704" i="10"/>
  <c r="W859" i="10"/>
  <c r="V141" i="10"/>
  <c r="V245" i="10"/>
  <c r="V309" i="10"/>
  <c r="V373" i="10"/>
  <c r="V437" i="10"/>
  <c r="V501" i="10"/>
  <c r="V565" i="10"/>
  <c r="V629" i="10"/>
  <c r="V693" i="10"/>
  <c r="V757" i="10"/>
  <c r="V821" i="10"/>
  <c r="U82" i="10"/>
  <c r="U146" i="10"/>
  <c r="U210" i="10"/>
  <c r="U274" i="10"/>
  <c r="U338" i="10"/>
  <c r="U402" i="10"/>
  <c r="W126" i="10"/>
  <c r="W418" i="10"/>
  <c r="W630" i="10"/>
  <c r="W800" i="10"/>
  <c r="V85" i="10"/>
  <c r="V213" i="10"/>
  <c r="V281" i="10"/>
  <c r="V345" i="10"/>
  <c r="V409" i="10"/>
  <c r="V473" i="10"/>
  <c r="V537" i="10"/>
  <c r="V601" i="10"/>
  <c r="V665" i="10"/>
  <c r="V729" i="10"/>
  <c r="V793" i="10"/>
  <c r="V857" i="10"/>
  <c r="U118" i="10"/>
  <c r="U182" i="10"/>
  <c r="U246" i="10"/>
  <c r="U310" i="10"/>
  <c r="U374" i="10"/>
  <c r="U438" i="10"/>
  <c r="W578" i="10"/>
  <c r="V47" i="10"/>
  <c r="V262" i="10"/>
  <c r="V390" i="10"/>
  <c r="V518" i="10"/>
  <c r="V646" i="10"/>
  <c r="V774" i="10"/>
  <c r="U99" i="10"/>
  <c r="U227" i="10"/>
  <c r="U355" i="10"/>
  <c r="U462" i="10"/>
  <c r="U526" i="10"/>
  <c r="U590" i="10"/>
  <c r="U654" i="10"/>
  <c r="U718" i="10"/>
  <c r="U782" i="10"/>
  <c r="U846" i="10"/>
  <c r="Q107" i="10"/>
  <c r="Q171" i="10"/>
  <c r="Q235" i="10"/>
  <c r="W422" i="10"/>
  <c r="W803" i="10"/>
  <c r="V215" i="10"/>
  <c r="V346" i="10"/>
  <c r="V474" i="10"/>
  <c r="V602" i="10"/>
  <c r="V730" i="10"/>
  <c r="V858" i="10"/>
  <c r="U183" i="10"/>
  <c r="U311" i="10"/>
  <c r="U439" i="10"/>
  <c r="U504" i="10"/>
  <c r="U568" i="10"/>
  <c r="U632" i="10"/>
  <c r="U696" i="10"/>
  <c r="U760" i="10"/>
  <c r="U824" i="10"/>
  <c r="U55" i="10"/>
  <c r="W825" i="10"/>
  <c r="V356" i="10"/>
  <c r="V612" i="10"/>
  <c r="W377" i="10"/>
  <c r="W771" i="10"/>
  <c r="V191" i="10"/>
  <c r="V334" i="10"/>
  <c r="V462" i="10"/>
  <c r="V590" i="10"/>
  <c r="V718" i="10"/>
  <c r="V846" i="10"/>
  <c r="U171" i="10"/>
  <c r="U299" i="10"/>
  <c r="U427" i="10"/>
  <c r="U498" i="10"/>
  <c r="U562" i="10"/>
  <c r="U626" i="10"/>
  <c r="U690" i="10"/>
  <c r="U754" i="10"/>
  <c r="U818" i="10"/>
  <c r="U49" i="10"/>
  <c r="V795" i="10"/>
  <c r="U328" i="10"/>
  <c r="W646" i="10"/>
  <c r="V287" i="10"/>
  <c r="V543" i="10"/>
  <c r="V799" i="10"/>
  <c r="U252" i="10"/>
  <c r="W325" i="10"/>
  <c r="V169" i="10"/>
  <c r="V451" i="10"/>
  <c r="V707" i="10"/>
  <c r="U96" i="10"/>
  <c r="U352" i="10"/>
  <c r="W710" i="10"/>
  <c r="V311" i="10"/>
  <c r="V567" i="10"/>
  <c r="V791" i="10"/>
  <c r="U116" i="10"/>
  <c r="U180" i="10"/>
  <c r="U244" i="10"/>
  <c r="U308" i="10"/>
  <c r="U372" i="10"/>
  <c r="U436" i="10"/>
  <c r="W297" i="10"/>
  <c r="W546" i="10"/>
  <c r="W726" i="10"/>
  <c r="W38" i="10"/>
  <c r="V157" i="10"/>
  <c r="V253" i="10"/>
  <c r="V317" i="10"/>
  <c r="V381" i="10"/>
  <c r="V445" i="10"/>
  <c r="V509" i="10"/>
  <c r="V573" i="10"/>
  <c r="V637" i="10"/>
  <c r="V701" i="10"/>
  <c r="V765" i="10"/>
  <c r="V829" i="10"/>
  <c r="U90" i="10"/>
  <c r="U154" i="10"/>
  <c r="U218" i="10"/>
  <c r="U282" i="10"/>
  <c r="U346" i="10"/>
  <c r="U410" i="10"/>
  <c r="W163" i="10"/>
  <c r="W447" i="10"/>
  <c r="W651" i="10"/>
  <c r="W819" i="10"/>
  <c r="V101" i="10"/>
  <c r="V225" i="10"/>
  <c r="V289" i="10"/>
  <c r="V353" i="10"/>
  <c r="V417" i="10"/>
  <c r="V481" i="10"/>
  <c r="V545" i="10"/>
  <c r="V609" i="10"/>
  <c r="V673" i="10"/>
  <c r="V737" i="10"/>
  <c r="V801" i="10"/>
  <c r="V865" i="10"/>
  <c r="U126" i="10"/>
  <c r="U190" i="10"/>
  <c r="U254" i="10"/>
  <c r="U318" i="10"/>
  <c r="U382" i="10"/>
  <c r="W111" i="10"/>
  <c r="W334" i="10"/>
  <c r="W575" i="10"/>
  <c r="W747" i="10"/>
  <c r="V45" i="10"/>
  <c r="V173" i="10"/>
  <c r="V261" i="10"/>
  <c r="V325" i="10"/>
  <c r="V389" i="10"/>
  <c r="V453" i="10"/>
  <c r="V517" i="10"/>
  <c r="V581" i="10"/>
  <c r="V645" i="10"/>
  <c r="V709" i="10"/>
  <c r="V773" i="10"/>
  <c r="V837" i="10"/>
  <c r="U98" i="10"/>
  <c r="U162" i="10"/>
  <c r="U226" i="10"/>
  <c r="U290" i="10"/>
  <c r="U354" i="10"/>
  <c r="U418" i="10"/>
  <c r="W201" i="10"/>
  <c r="W475" i="10"/>
  <c r="W672" i="10"/>
  <c r="W835" i="10"/>
  <c r="V117" i="10"/>
  <c r="V233" i="10"/>
  <c r="V297" i="10"/>
  <c r="V361" i="10"/>
  <c r="V425" i="10"/>
  <c r="V489" i="10"/>
  <c r="V553" i="10"/>
  <c r="V617" i="10"/>
  <c r="V681" i="10"/>
  <c r="V745" i="10"/>
  <c r="V809" i="10"/>
  <c r="U70" i="10"/>
  <c r="U134" i="10"/>
  <c r="U198" i="10"/>
  <c r="U262" i="10"/>
  <c r="U326" i="10"/>
  <c r="U390" i="10"/>
  <c r="W186" i="10"/>
  <c r="W664" i="10"/>
  <c r="V111" i="10"/>
  <c r="V294" i="10"/>
  <c r="V422" i="10"/>
  <c r="V550" i="10"/>
  <c r="V678" i="10"/>
  <c r="V806" i="10"/>
  <c r="U131" i="10"/>
  <c r="U259" i="10"/>
  <c r="U387" i="10"/>
  <c r="U478" i="10"/>
  <c r="U542" i="10"/>
  <c r="U606" i="10"/>
  <c r="U670" i="10"/>
  <c r="U734" i="10"/>
  <c r="U798" i="10"/>
  <c r="U862" i="10"/>
  <c r="Q59" i="10"/>
  <c r="Q123" i="10"/>
  <c r="Q187" i="10"/>
  <c r="Q251" i="10"/>
  <c r="W535" i="10"/>
  <c r="W44" i="10"/>
  <c r="V250" i="10"/>
  <c r="V378" i="10"/>
  <c r="V506" i="10"/>
  <c r="V634" i="10"/>
  <c r="V762" i="10"/>
  <c r="U87" i="10"/>
  <c r="U215" i="10"/>
  <c r="U343" i="10"/>
  <c r="U456" i="10"/>
  <c r="U520" i="10"/>
  <c r="U584" i="10"/>
  <c r="U648" i="10"/>
  <c r="U712" i="10"/>
  <c r="U776" i="10"/>
  <c r="U840" i="10"/>
  <c r="W178" i="10"/>
  <c r="V107" i="10"/>
  <c r="V420" i="10"/>
  <c r="V676" i="10"/>
  <c r="W492" i="10"/>
  <c r="W845" i="10"/>
  <c r="V238" i="10"/>
  <c r="V366" i="10"/>
  <c r="V494" i="10"/>
  <c r="V622" i="10"/>
  <c r="V750" i="10"/>
  <c r="U75" i="10"/>
  <c r="U203" i="10"/>
  <c r="U331" i="10"/>
  <c r="U450" i="10"/>
  <c r="U514" i="10"/>
  <c r="U578" i="10"/>
  <c r="U642" i="10"/>
  <c r="U706" i="10"/>
  <c r="U770" i="10"/>
  <c r="U834" i="10"/>
  <c r="V539" i="10"/>
  <c r="U72" i="10"/>
  <c r="U408" i="10"/>
  <c r="W815" i="10"/>
  <c r="V351" i="10"/>
  <c r="V607" i="10"/>
  <c r="V863" i="10"/>
  <c r="U316" i="10"/>
  <c r="W567" i="10"/>
  <c r="V259" i="10"/>
  <c r="V515" i="10"/>
  <c r="V771" i="10"/>
  <c r="U160" i="10"/>
  <c r="U416" i="10"/>
  <c r="W863" i="10"/>
  <c r="V375" i="10"/>
  <c r="V631" i="10"/>
  <c r="V823" i="10"/>
  <c r="U132" i="10"/>
  <c r="U196" i="10"/>
  <c r="U260" i="10"/>
  <c r="U324" i="10"/>
  <c r="U388" i="10"/>
  <c r="W69" i="10"/>
  <c r="W371" i="10"/>
  <c r="W598" i="10"/>
  <c r="W768" i="10"/>
  <c r="V61" i="10"/>
  <c r="V189" i="10"/>
  <c r="V269" i="10"/>
  <c r="V333" i="10"/>
  <c r="V397" i="10"/>
  <c r="V461" i="10"/>
  <c r="V525" i="10"/>
  <c r="V589" i="10"/>
  <c r="V653" i="10"/>
  <c r="V717" i="10"/>
  <c r="V781" i="10"/>
  <c r="V845" i="10"/>
  <c r="U106" i="10"/>
  <c r="U170" i="10"/>
  <c r="U234" i="10"/>
  <c r="U298" i="10"/>
  <c r="U362" i="10"/>
  <c r="U426" i="10"/>
  <c r="W239" i="10"/>
  <c r="W503" i="10"/>
  <c r="W694" i="10"/>
  <c r="W851" i="10"/>
  <c r="V133" i="10"/>
  <c r="V241" i="10"/>
  <c r="V305" i="10"/>
  <c r="V369" i="10"/>
  <c r="V433" i="10"/>
  <c r="V497" i="10"/>
  <c r="V561" i="10"/>
  <c r="V625" i="10"/>
  <c r="V689" i="10"/>
  <c r="V753" i="10"/>
  <c r="V817" i="10"/>
  <c r="U78" i="10"/>
  <c r="U142" i="10"/>
  <c r="U206" i="10"/>
  <c r="U270" i="10"/>
  <c r="U334" i="10"/>
  <c r="U398" i="10"/>
  <c r="W106" i="10"/>
  <c r="W404" i="10"/>
  <c r="W619" i="10"/>
  <c r="W790" i="10"/>
  <c r="V77" i="10"/>
  <c r="V205" i="10"/>
  <c r="V277" i="10"/>
  <c r="V341" i="10"/>
  <c r="V405" i="10"/>
  <c r="V469" i="10"/>
  <c r="V533" i="10"/>
  <c r="V597" i="10"/>
  <c r="V661" i="10"/>
  <c r="V725" i="10"/>
  <c r="V789" i="10"/>
  <c r="V853" i="10"/>
  <c r="U114" i="10"/>
  <c r="U178" i="10"/>
  <c r="U242" i="10"/>
  <c r="U306" i="10"/>
  <c r="U370" i="10"/>
  <c r="U434" i="10"/>
  <c r="W277" i="10"/>
  <c r="W532" i="10"/>
  <c r="W715" i="10"/>
  <c r="W42" i="10"/>
  <c r="V149" i="10"/>
  <c r="V249" i="10"/>
  <c r="V313" i="10"/>
  <c r="V377" i="10"/>
  <c r="V441" i="10"/>
  <c r="V505" i="10"/>
  <c r="V569" i="10"/>
  <c r="V633" i="10"/>
  <c r="V697" i="10"/>
  <c r="V761" i="10"/>
  <c r="V825" i="10"/>
  <c r="U86" i="10"/>
  <c r="U150" i="10"/>
  <c r="U214" i="10"/>
  <c r="U278" i="10"/>
  <c r="U342" i="10"/>
  <c r="U406" i="10"/>
  <c r="W339" i="10"/>
  <c r="W750" i="10"/>
  <c r="V175" i="10"/>
  <c r="V326" i="10"/>
  <c r="V454" i="10"/>
  <c r="V582" i="10"/>
  <c r="V710" i="10"/>
  <c r="V838" i="10"/>
  <c r="U163" i="10"/>
  <c r="U291" i="10"/>
  <c r="U419" i="10"/>
  <c r="U494" i="10"/>
  <c r="U558" i="10"/>
  <c r="U622" i="10"/>
  <c r="U686" i="10"/>
  <c r="U750" i="10"/>
  <c r="U814" i="10"/>
  <c r="U45" i="10"/>
  <c r="Q75" i="10"/>
  <c r="Q139" i="10"/>
  <c r="Q203" i="10"/>
  <c r="W130" i="10"/>
  <c r="W632" i="10"/>
  <c r="V87" i="10"/>
  <c r="V282" i="10"/>
  <c r="V410" i="10"/>
  <c r="V538" i="10"/>
  <c r="V666" i="10"/>
  <c r="V794" i="10"/>
  <c r="U119" i="10"/>
  <c r="U247" i="10"/>
  <c r="U375" i="10"/>
  <c r="U472" i="10"/>
  <c r="U536" i="10"/>
  <c r="U600" i="10"/>
  <c r="U664" i="10"/>
  <c r="U728" i="10"/>
  <c r="U792" i="10"/>
  <c r="U856" i="10"/>
  <c r="W458" i="10"/>
  <c r="V228" i="10"/>
  <c r="V484" i="10"/>
  <c r="V740" i="10"/>
  <c r="W600" i="10"/>
  <c r="V63" i="10"/>
  <c r="V270" i="10"/>
  <c r="V398" i="10"/>
  <c r="V526" i="10"/>
  <c r="V654" i="10"/>
  <c r="V782" i="10"/>
  <c r="U107" i="10"/>
  <c r="U235" i="10"/>
  <c r="U363" i="10"/>
  <c r="U466" i="10"/>
  <c r="U530" i="10"/>
  <c r="U594" i="10"/>
  <c r="U658" i="10"/>
  <c r="U722" i="10"/>
  <c r="U786" i="10"/>
  <c r="U850" i="10"/>
  <c r="W154" i="10"/>
  <c r="U124" i="10"/>
  <c r="V323" i="10"/>
  <c r="U224" i="10"/>
  <c r="V695" i="10"/>
  <c r="U276" i="10"/>
  <c r="W432" i="10"/>
  <c r="V220" i="10"/>
  <c r="V477" i="10"/>
  <c r="V733" i="10"/>
  <c r="U186" i="10"/>
  <c r="W73" i="10"/>
  <c r="V385" i="10"/>
  <c r="V641" i="10"/>
  <c r="U94" i="10"/>
  <c r="U350" i="10"/>
  <c r="W662" i="10"/>
  <c r="V293" i="10"/>
  <c r="V549" i="10"/>
  <c r="V805" i="10"/>
  <c r="U258" i="10"/>
  <c r="W354" i="10"/>
  <c r="V181" i="10"/>
  <c r="V457" i="10"/>
  <c r="V713" i="10"/>
  <c r="U166" i="10"/>
  <c r="U422" i="10"/>
  <c r="V358" i="10"/>
  <c r="U67" i="10"/>
  <c r="U510" i="10"/>
  <c r="U766" i="10"/>
  <c r="Q91" i="10"/>
  <c r="W718" i="10"/>
  <c r="V570" i="10"/>
  <c r="U279" i="10"/>
  <c r="U616" i="10"/>
  <c r="W226" i="10"/>
  <c r="V430" i="10"/>
  <c r="U139" i="10"/>
  <c r="U546" i="10"/>
  <c r="U802" i="10"/>
  <c r="Q63" i="10"/>
  <c r="Q127" i="10"/>
  <c r="Q191" i="10"/>
  <c r="Q255" i="10"/>
  <c r="W564" i="10"/>
  <c r="V258" i="10"/>
  <c r="V386" i="10"/>
  <c r="V514" i="10"/>
  <c r="V642" i="10"/>
  <c r="V770" i="10"/>
  <c r="U95" i="10"/>
  <c r="U223" i="10"/>
  <c r="U351" i="10"/>
  <c r="U460" i="10"/>
  <c r="U524" i="10"/>
  <c r="U588" i="10"/>
  <c r="U652" i="10"/>
  <c r="U716" i="10"/>
  <c r="U780" i="10"/>
  <c r="U844" i="10"/>
  <c r="W254" i="10"/>
  <c r="V139" i="10"/>
  <c r="V436" i="10"/>
  <c r="V692" i="10"/>
  <c r="W522" i="10"/>
  <c r="W861" i="10"/>
  <c r="V246" i="10"/>
  <c r="V374" i="10"/>
  <c r="V502" i="10"/>
  <c r="V630" i="10"/>
  <c r="V758" i="10"/>
  <c r="U83" i="10"/>
  <c r="U211" i="10"/>
  <c r="U339" i="10"/>
  <c r="U454" i="10"/>
  <c r="U518" i="10"/>
  <c r="U582" i="10"/>
  <c r="U646" i="10"/>
  <c r="U710" i="10"/>
  <c r="U774" i="10"/>
  <c r="U838" i="10"/>
  <c r="Q99" i="10"/>
  <c r="Q163" i="10"/>
  <c r="Q227" i="10"/>
  <c r="W357" i="10"/>
  <c r="W760" i="10"/>
  <c r="V183" i="10"/>
  <c r="V330" i="10"/>
  <c r="V458" i="10"/>
  <c r="V586" i="10"/>
  <c r="V714" i="10"/>
  <c r="V842" i="10"/>
  <c r="U167" i="10"/>
  <c r="U295" i="10"/>
  <c r="U423" i="10"/>
  <c r="U496" i="10"/>
  <c r="U560" i="10"/>
  <c r="U624" i="10"/>
  <c r="U688" i="10"/>
  <c r="U752" i="10"/>
  <c r="U816" i="10"/>
  <c r="U47" i="10"/>
  <c r="W744" i="10"/>
  <c r="V324" i="10"/>
  <c r="V580" i="10"/>
  <c r="W301" i="10"/>
  <c r="W728" i="10"/>
  <c r="V159" i="10"/>
  <c r="V318" i="10"/>
  <c r="V446" i="10"/>
  <c r="V574" i="10"/>
  <c r="V702" i="10"/>
  <c r="V830" i="10"/>
  <c r="U155" i="10"/>
  <c r="U283" i="10"/>
  <c r="U411" i="10"/>
  <c r="U490" i="10"/>
  <c r="U554" i="10"/>
  <c r="U618" i="10"/>
  <c r="U682" i="10"/>
  <c r="U746" i="10"/>
  <c r="U810" i="10"/>
  <c r="Q71" i="10"/>
  <c r="Q135" i="10"/>
  <c r="Q199" i="10"/>
  <c r="W93" i="10"/>
  <c r="W611" i="10"/>
  <c r="V71" i="10"/>
  <c r="V274" i="10"/>
  <c r="V402" i="10"/>
  <c r="V530" i="10"/>
  <c r="V658" i="10"/>
  <c r="V786" i="10"/>
  <c r="U111" i="10"/>
  <c r="U239" i="10"/>
  <c r="U367" i="10"/>
  <c r="U468" i="10"/>
  <c r="U532" i="10"/>
  <c r="U596" i="10"/>
  <c r="U660" i="10"/>
  <c r="U724" i="10"/>
  <c r="U788" i="10"/>
  <c r="U852" i="10"/>
  <c r="W400" i="10"/>
  <c r="V203" i="10"/>
  <c r="V468" i="10"/>
  <c r="V724" i="10"/>
  <c r="U129" i="10"/>
  <c r="U385" i="10"/>
  <c r="U541" i="10"/>
  <c r="U669" i="10"/>
  <c r="U797" i="10"/>
  <c r="Q54" i="10"/>
  <c r="Q140" i="10"/>
  <c r="Q225" i="10"/>
  <c r="Q297" i="10"/>
  <c r="Q361" i="10"/>
  <c r="Q425" i="10"/>
  <c r="Q489" i="10"/>
  <c r="Q553" i="10"/>
  <c r="Q617" i="10"/>
  <c r="Q681" i="10"/>
  <c r="Q745" i="10"/>
  <c r="Q809" i="10"/>
  <c r="W197" i="10"/>
  <c r="V115" i="10"/>
  <c r="V424" i="10"/>
  <c r="V97" i="10"/>
  <c r="U380" i="10"/>
  <c r="V579" i="10"/>
  <c r="W269" i="10"/>
  <c r="V855" i="10"/>
  <c r="U340" i="10"/>
  <c r="W640" i="10"/>
  <c r="V285" i="10"/>
  <c r="V541" i="10"/>
  <c r="V797" i="10"/>
  <c r="U250" i="10"/>
  <c r="W314" i="10"/>
  <c r="V165" i="10"/>
  <c r="V449" i="10"/>
  <c r="V705" i="10"/>
  <c r="U158" i="10"/>
  <c r="U414" i="10"/>
  <c r="W827" i="10"/>
  <c r="V357" i="10"/>
  <c r="V613" i="10"/>
  <c r="U66" i="10"/>
  <c r="U322" i="10"/>
  <c r="W587" i="10"/>
  <c r="V265" i="10"/>
  <c r="V521" i="10"/>
  <c r="V777" i="10"/>
  <c r="U230" i="10"/>
  <c r="W464" i="10"/>
  <c r="V486" i="10"/>
  <c r="U195" i="10"/>
  <c r="U574" i="10"/>
  <c r="U830" i="10"/>
  <c r="Q155" i="10"/>
  <c r="V151" i="10"/>
  <c r="V698" i="10"/>
  <c r="U407" i="10"/>
  <c r="U680" i="10"/>
  <c r="W659" i="10"/>
  <c r="W686" i="10"/>
  <c r="V558" i="10"/>
  <c r="U267" i="10"/>
  <c r="U610" i="10"/>
  <c r="U866" i="10"/>
  <c r="Q79" i="10"/>
  <c r="Q143" i="10"/>
  <c r="Q207" i="10"/>
  <c r="W169" i="10"/>
  <c r="W654" i="10"/>
  <c r="V103" i="10"/>
  <c r="V290" i="10"/>
  <c r="V418" i="10"/>
  <c r="V546" i="10"/>
  <c r="V674" i="10"/>
  <c r="V802" i="10"/>
  <c r="U127" i="10"/>
  <c r="U255" i="10"/>
  <c r="U383" i="10"/>
  <c r="U476" i="10"/>
  <c r="U540" i="10"/>
  <c r="U604" i="10"/>
  <c r="U668" i="10"/>
  <c r="U732" i="10"/>
  <c r="U796" i="10"/>
  <c r="U860" i="10"/>
  <c r="W514" i="10"/>
  <c r="V244" i="10"/>
  <c r="V500" i="10"/>
  <c r="V756" i="10"/>
  <c r="W622" i="10"/>
  <c r="V79" i="10"/>
  <c r="V278" i="10"/>
  <c r="V406" i="10"/>
  <c r="V534" i="10"/>
  <c r="V662" i="10"/>
  <c r="V790" i="10"/>
  <c r="U115" i="10"/>
  <c r="U243" i="10"/>
  <c r="U371" i="10"/>
  <c r="U470" i="10"/>
  <c r="U534" i="10"/>
  <c r="U598" i="10"/>
  <c r="U662" i="10"/>
  <c r="U726" i="10"/>
  <c r="U790" i="10"/>
  <c r="U854" i="10"/>
  <c r="Q51" i="10"/>
  <c r="Q115" i="10"/>
  <c r="Q179" i="10"/>
  <c r="Q243" i="10"/>
  <c r="W479" i="10"/>
  <c r="W837" i="10"/>
  <c r="V234" i="10"/>
  <c r="V362" i="10"/>
  <c r="V490" i="10"/>
  <c r="V618" i="10"/>
  <c r="V746" i="10"/>
  <c r="U71" i="10"/>
  <c r="U199" i="10"/>
  <c r="U327" i="10"/>
  <c r="U448" i="10"/>
  <c r="U512" i="10"/>
  <c r="U576" i="10"/>
  <c r="U640" i="10"/>
  <c r="U704" i="10"/>
  <c r="U768" i="10"/>
  <c r="U832" i="10"/>
  <c r="U63" i="10"/>
  <c r="V388" i="10"/>
  <c r="V644" i="10"/>
  <c r="W436" i="10"/>
  <c r="W813" i="10"/>
  <c r="V221" i="10"/>
  <c r="V350" i="10"/>
  <c r="V478" i="10"/>
  <c r="V606" i="10"/>
  <c r="V734" i="10"/>
  <c r="V862" i="10"/>
  <c r="U187" i="10"/>
  <c r="U315" i="10"/>
  <c r="U442" i="10"/>
  <c r="U506" i="10"/>
  <c r="U570" i="10"/>
  <c r="U634" i="10"/>
  <c r="U698" i="10"/>
  <c r="U762" i="10"/>
  <c r="U826" i="10"/>
  <c r="U57" i="10"/>
  <c r="Q87" i="10"/>
  <c r="Q151" i="10"/>
  <c r="Q215" i="10"/>
  <c r="W243" i="10"/>
  <c r="W696" i="10"/>
  <c r="V135" i="10"/>
  <c r="V306" i="10"/>
  <c r="V434" i="10"/>
  <c r="V562" i="10"/>
  <c r="V690" i="10"/>
  <c r="V818" i="10"/>
  <c r="U143" i="10"/>
  <c r="U271" i="10"/>
  <c r="U399" i="10"/>
  <c r="U484" i="10"/>
  <c r="U548" i="10"/>
  <c r="U612" i="10"/>
  <c r="U676" i="10"/>
  <c r="U740" i="10"/>
  <c r="U804" i="10"/>
  <c r="W616" i="10"/>
  <c r="V276" i="10"/>
  <c r="V532" i="10"/>
  <c r="V788" i="10"/>
  <c r="U193" i="10"/>
  <c r="U445" i="10"/>
  <c r="U573" i="10"/>
  <c r="U701" i="10"/>
  <c r="U829" i="10"/>
  <c r="Q76" i="10"/>
  <c r="Q161" i="10"/>
  <c r="Q246" i="10"/>
  <c r="Q313" i="10"/>
  <c r="Q377" i="10"/>
  <c r="Q441" i="10"/>
  <c r="Q505" i="10"/>
  <c r="Q569" i="10"/>
  <c r="Q633" i="10"/>
  <c r="Q697" i="10"/>
  <c r="Q761" i="10"/>
  <c r="Q825" i="10"/>
  <c r="W471" i="10"/>
  <c r="V232" i="10"/>
  <c r="V619" i="10"/>
  <c r="V415" i="10"/>
  <c r="W742" i="10"/>
  <c r="V835" i="10"/>
  <c r="V145" i="10"/>
  <c r="U148" i="10"/>
  <c r="U404" i="10"/>
  <c r="W811" i="10"/>
  <c r="V349" i="10"/>
  <c r="V605" i="10"/>
  <c r="V861" i="10"/>
  <c r="U314" i="10"/>
  <c r="W560" i="10"/>
  <c r="V257" i="10"/>
  <c r="V513" i="10"/>
  <c r="V769" i="10"/>
  <c r="U222" i="10"/>
  <c r="W183" i="10"/>
  <c r="V109" i="10"/>
  <c r="V421" i="10"/>
  <c r="V677" i="10"/>
  <c r="U130" i="10"/>
  <c r="U386" i="10"/>
  <c r="W758" i="10"/>
  <c r="V329" i="10"/>
  <c r="V585" i="10"/>
  <c r="V841" i="10"/>
  <c r="U294" i="10"/>
  <c r="W829" i="10"/>
  <c r="V614" i="10"/>
  <c r="U323" i="10"/>
  <c r="U638" i="10"/>
  <c r="U61" i="10"/>
  <c r="Q219" i="10"/>
  <c r="V314" i="10"/>
  <c r="V826" i="10"/>
  <c r="U488" i="10"/>
  <c r="U744" i="10"/>
  <c r="V292" i="10"/>
  <c r="V127" i="10"/>
  <c r="V686" i="10"/>
  <c r="U395" i="10"/>
  <c r="U674" i="10"/>
  <c r="Q95" i="10"/>
  <c r="Q159" i="10"/>
  <c r="Q223" i="10"/>
  <c r="W319" i="10"/>
  <c r="W739" i="10"/>
  <c r="V167" i="10"/>
  <c r="V322" i="10"/>
  <c r="V450" i="10"/>
  <c r="V578" i="10"/>
  <c r="V706" i="10"/>
  <c r="V834" i="10"/>
  <c r="U159" i="10"/>
  <c r="U287" i="10"/>
  <c r="U415" i="10"/>
  <c r="U492" i="10"/>
  <c r="U556" i="10"/>
  <c r="U620" i="10"/>
  <c r="U684" i="10"/>
  <c r="U748" i="10"/>
  <c r="U812" i="10"/>
  <c r="W702" i="10"/>
  <c r="V308" i="10"/>
  <c r="V564" i="10"/>
  <c r="W263" i="10"/>
  <c r="W707" i="10"/>
  <c r="V143" i="10"/>
  <c r="V310" i="10"/>
  <c r="V438" i="10"/>
  <c r="V566" i="10"/>
  <c r="V694" i="10"/>
  <c r="V822" i="10"/>
  <c r="U147" i="10"/>
  <c r="U275" i="10"/>
  <c r="U403" i="10"/>
  <c r="U486" i="10"/>
  <c r="U550" i="10"/>
  <c r="U614" i="10"/>
  <c r="U678" i="10"/>
  <c r="U742" i="10"/>
  <c r="U806" i="10"/>
  <c r="Q67" i="10"/>
  <c r="Q131" i="10"/>
  <c r="Q195" i="10"/>
  <c r="W55" i="10"/>
  <c r="W590" i="10"/>
  <c r="V55" i="10"/>
  <c r="V266" i="10"/>
  <c r="V394" i="10"/>
  <c r="V522" i="10"/>
  <c r="V650" i="10"/>
  <c r="V778" i="10"/>
  <c r="U103" i="10"/>
  <c r="U231" i="10"/>
  <c r="U359" i="10"/>
  <c r="U464" i="10"/>
  <c r="U528" i="10"/>
  <c r="U592" i="10"/>
  <c r="U656" i="10"/>
  <c r="U720" i="10"/>
  <c r="U784" i="10"/>
  <c r="U848" i="10"/>
  <c r="W329" i="10"/>
  <c r="V171" i="10"/>
  <c r="V452" i="10"/>
  <c r="V708" i="10"/>
  <c r="W550" i="10"/>
  <c r="W40" i="10"/>
  <c r="V254" i="10"/>
  <c r="V382" i="10"/>
  <c r="V510" i="10"/>
  <c r="V638" i="10"/>
  <c r="V766" i="10"/>
  <c r="U91" i="10"/>
  <c r="U219" i="10"/>
  <c r="U347" i="10"/>
  <c r="U458" i="10"/>
  <c r="U522" i="10"/>
  <c r="U586" i="10"/>
  <c r="U650" i="10"/>
  <c r="U714" i="10"/>
  <c r="U778" i="10"/>
  <c r="U842" i="10"/>
  <c r="Q103" i="10"/>
  <c r="Q167" i="10"/>
  <c r="Q231" i="10"/>
  <c r="W394" i="10"/>
  <c r="W782" i="10"/>
  <c r="V199" i="10"/>
  <c r="V338" i="10"/>
  <c r="V466" i="10"/>
  <c r="V594" i="10"/>
  <c r="V722" i="10"/>
  <c r="V850" i="10"/>
  <c r="U175" i="10"/>
  <c r="U303" i="10"/>
  <c r="U431" i="10"/>
  <c r="U500" i="10"/>
  <c r="U564" i="10"/>
  <c r="U628" i="10"/>
  <c r="U692" i="10"/>
  <c r="U756" i="10"/>
  <c r="U820" i="10"/>
  <c r="U51" i="10"/>
  <c r="W787" i="10"/>
  <c r="V340" i="10"/>
  <c r="V596" i="10"/>
  <c r="V804" i="10"/>
  <c r="U257" i="10"/>
  <c r="U477" i="10"/>
  <c r="U605" i="10"/>
  <c r="U733" i="10"/>
  <c r="U861" i="10"/>
  <c r="Q97" i="10"/>
  <c r="Q182" i="10"/>
  <c r="Q265" i="10"/>
  <c r="Q329" i="10"/>
  <c r="Q393" i="10"/>
  <c r="Q457" i="10"/>
  <c r="Q521" i="10"/>
  <c r="Q585" i="10"/>
  <c r="Q649" i="10"/>
  <c r="Q713" i="10"/>
  <c r="Q777" i="10"/>
  <c r="Q841" i="10"/>
  <c r="W670" i="10"/>
  <c r="V296" i="10"/>
  <c r="V552" i="10"/>
  <c r="U168" i="10"/>
  <c r="V671" i="10"/>
  <c r="V439" i="10"/>
  <c r="U212" i="10"/>
  <c r="W143" i="10"/>
  <c r="V93" i="10"/>
  <c r="V413" i="10"/>
  <c r="V669" i="10"/>
  <c r="U122" i="10"/>
  <c r="U378" i="10"/>
  <c r="W736" i="10"/>
  <c r="V321" i="10"/>
  <c r="V577" i="10"/>
  <c r="V833" i="10"/>
  <c r="U286" i="10"/>
  <c r="W460" i="10"/>
  <c r="V229" i="10"/>
  <c r="V485" i="10"/>
  <c r="V741" i="10"/>
  <c r="U194" i="10"/>
  <c r="W149" i="10"/>
  <c r="V53" i="10"/>
  <c r="V393" i="10"/>
  <c r="V649" i="10"/>
  <c r="U102" i="10"/>
  <c r="U358" i="10"/>
  <c r="V230" i="10"/>
  <c r="V742" i="10"/>
  <c r="U446" i="10"/>
  <c r="U702" i="10"/>
  <c r="W282" i="10"/>
  <c r="V442" i="10"/>
  <c r="U151" i="10"/>
  <c r="U552" i="10"/>
  <c r="U808" i="10"/>
  <c r="V548" i="10"/>
  <c r="V302" i="10"/>
  <c r="V814" i="10"/>
  <c r="U482" i="10"/>
  <c r="U738" i="10"/>
  <c r="Q47" i="10"/>
  <c r="Q111" i="10"/>
  <c r="Q175" i="10"/>
  <c r="Q239" i="10"/>
  <c r="W450" i="10"/>
  <c r="W821" i="10"/>
  <c r="V226" i="10"/>
  <c r="V354" i="10"/>
  <c r="V482" i="10"/>
  <c r="V610" i="10"/>
  <c r="V738" i="10"/>
  <c r="V866" i="10"/>
  <c r="U191" i="10"/>
  <c r="U319" i="10"/>
  <c r="U444" i="10"/>
  <c r="U508" i="10"/>
  <c r="U572" i="10"/>
  <c r="U636" i="10"/>
  <c r="U700" i="10"/>
  <c r="U764" i="10"/>
  <c r="U828" i="10"/>
  <c r="U59" i="10"/>
  <c r="W857" i="10"/>
  <c r="V372" i="10"/>
  <c r="V628" i="10"/>
  <c r="W407" i="10"/>
  <c r="W792" i="10"/>
  <c r="V207" i="10"/>
  <c r="V342" i="10"/>
  <c r="V470" i="10"/>
  <c r="V598" i="10"/>
  <c r="V726" i="10"/>
  <c r="V854" i="10"/>
  <c r="U179" i="10"/>
  <c r="U307" i="10"/>
  <c r="U435" i="10"/>
  <c r="U502" i="10"/>
  <c r="U566" i="10"/>
  <c r="U630" i="10"/>
  <c r="U694" i="10"/>
  <c r="U758" i="10"/>
  <c r="U822" i="10"/>
  <c r="U53" i="10"/>
  <c r="Q83" i="10"/>
  <c r="Q147" i="10"/>
  <c r="Q211" i="10"/>
  <c r="W206" i="10"/>
  <c r="W675" i="10"/>
  <c r="V119" i="10"/>
  <c r="V298" i="10"/>
  <c r="V426" i="10"/>
  <c r="V554" i="10"/>
  <c r="V682" i="10"/>
  <c r="V810" i="10"/>
  <c r="U135" i="10"/>
  <c r="U263" i="10"/>
  <c r="U391" i="10"/>
  <c r="U480" i="10"/>
  <c r="U544" i="10"/>
  <c r="U608" i="10"/>
  <c r="U672" i="10"/>
  <c r="U736" i="10"/>
  <c r="U800" i="10"/>
  <c r="U864" i="10"/>
  <c r="W571" i="10"/>
  <c r="V260" i="10"/>
  <c r="V516" i="10"/>
  <c r="V772" i="10"/>
  <c r="W643" i="10"/>
  <c r="V95" i="10"/>
  <c r="V286" i="10"/>
  <c r="V414" i="10"/>
  <c r="V542" i="10"/>
  <c r="V670" i="10"/>
  <c r="V798" i="10"/>
  <c r="U123" i="10"/>
  <c r="U251" i="10"/>
  <c r="U379" i="10"/>
  <c r="U474" i="10"/>
  <c r="U538" i="10"/>
  <c r="U602" i="10"/>
  <c r="U666" i="10"/>
  <c r="U730" i="10"/>
  <c r="U794" i="10"/>
  <c r="U858" i="10"/>
  <c r="Q55" i="10"/>
  <c r="Q119" i="10"/>
  <c r="Q183" i="10"/>
  <c r="Q247" i="10"/>
  <c r="W507" i="10"/>
  <c r="W853" i="10"/>
  <c r="V242" i="10"/>
  <c r="V370" i="10"/>
  <c r="V498" i="10"/>
  <c r="V626" i="10"/>
  <c r="V754" i="10"/>
  <c r="U79" i="10"/>
  <c r="U207" i="10"/>
  <c r="U335" i="10"/>
  <c r="U452" i="10"/>
  <c r="U516" i="10"/>
  <c r="U580" i="10"/>
  <c r="U644" i="10"/>
  <c r="U708" i="10"/>
  <c r="U772" i="10"/>
  <c r="U836" i="10"/>
  <c r="W101" i="10"/>
  <c r="V75" i="10"/>
  <c r="V404" i="10"/>
  <c r="V660" i="10"/>
  <c r="U65" i="10"/>
  <c r="U321" i="10"/>
  <c r="U509" i="10"/>
  <c r="U637" i="10"/>
  <c r="U765" i="10"/>
  <c r="U60" i="10"/>
  <c r="Q118" i="10"/>
  <c r="Q204" i="10"/>
  <c r="Q281" i="10"/>
  <c r="Q345" i="10"/>
  <c r="Q409" i="10"/>
  <c r="Q473" i="10"/>
  <c r="Q537" i="10"/>
  <c r="Q601" i="10"/>
  <c r="Q665" i="10"/>
  <c r="Q729" i="10"/>
  <c r="Q793" i="10"/>
  <c r="Q857" i="10"/>
  <c r="W833" i="10"/>
  <c r="V360" i="10"/>
  <c r="V488" i="10"/>
  <c r="V808" i="10"/>
  <c r="U261" i="10"/>
  <c r="U479" i="10"/>
  <c r="U607" i="10"/>
  <c r="U735" i="10"/>
  <c r="U863" i="10"/>
  <c r="W723" i="10"/>
  <c r="V316" i="10"/>
  <c r="V572" i="10"/>
  <c r="V828" i="10"/>
  <c r="U281" i="10"/>
  <c r="U489" i="10"/>
  <c r="U617" i="10"/>
  <c r="U745" i="10"/>
  <c r="Q100" i="10"/>
  <c r="Q185" i="10"/>
  <c r="Q267" i="10"/>
  <c r="Q331" i="10"/>
  <c r="Q395" i="10"/>
  <c r="Q459" i="10"/>
  <c r="Q523" i="10"/>
  <c r="U81" i="10"/>
  <c r="U337" i="10"/>
  <c r="U517" i="10"/>
  <c r="U645" i="10"/>
  <c r="U773" i="10"/>
  <c r="Q124" i="10"/>
  <c r="Q209" i="10"/>
  <c r="Q285" i="10"/>
  <c r="Q349" i="10"/>
  <c r="Q413" i="10"/>
  <c r="Q477" i="10"/>
  <c r="Q541" i="10"/>
  <c r="Q605" i="10"/>
  <c r="Q669" i="10"/>
  <c r="Q733" i="10"/>
  <c r="Q797" i="10"/>
  <c r="Q861" i="10"/>
  <c r="W865" i="10"/>
  <c r="V376" i="10"/>
  <c r="V632" i="10"/>
  <c r="U85" i="10"/>
  <c r="U341" i="10"/>
  <c r="U519" i="10"/>
  <c r="U647" i="10"/>
  <c r="U775" i="10"/>
  <c r="W63" i="10"/>
  <c r="V59" i="10"/>
  <c r="V396" i="10"/>
  <c r="V652" i="10"/>
  <c r="U105" i="10"/>
  <c r="U361" i="10"/>
  <c r="U529" i="10"/>
  <c r="U657" i="10"/>
  <c r="U785" i="10"/>
  <c r="Q126" i="10"/>
  <c r="Q212" i="10"/>
  <c r="Q287" i="10"/>
  <c r="Q351" i="10"/>
  <c r="Q415" i="10"/>
  <c r="Q479" i="10"/>
  <c r="Q543" i="10"/>
  <c r="U225" i="10"/>
  <c r="U461" i="10"/>
  <c r="U589" i="10"/>
  <c r="U717" i="10"/>
  <c r="U845" i="10"/>
  <c r="Q86" i="10"/>
  <c r="Q172" i="10"/>
  <c r="Q257" i="10"/>
  <c r="Q321" i="10"/>
  <c r="Q385" i="10"/>
  <c r="Q449" i="10"/>
  <c r="Q513" i="10"/>
  <c r="Q577" i="10"/>
  <c r="Q641" i="10"/>
  <c r="Q705" i="10"/>
  <c r="Q769" i="10"/>
  <c r="Q833" i="10"/>
  <c r="W584" i="10"/>
  <c r="V264" i="10"/>
  <c r="V520" i="10"/>
  <c r="V776" i="10"/>
  <c r="U229" i="10"/>
  <c r="U463" i="10"/>
  <c r="U591" i="10"/>
  <c r="U719" i="10"/>
  <c r="U847" i="10"/>
  <c r="W638" i="10"/>
  <c r="V284" i="10"/>
  <c r="V540" i="10"/>
  <c r="V796" i="10"/>
  <c r="U249" i="10"/>
  <c r="U473" i="10"/>
  <c r="U601" i="10"/>
  <c r="U729" i="10"/>
  <c r="U857" i="10"/>
  <c r="Q89" i="10"/>
  <c r="Q174" i="10"/>
  <c r="Q259" i="10"/>
  <c r="Q323" i="10"/>
  <c r="Q387" i="10"/>
  <c r="Q451" i="10"/>
  <c r="Q515" i="10"/>
  <c r="U113" i="10"/>
  <c r="U369" i="10"/>
  <c r="U533" i="10"/>
  <c r="U661" i="10"/>
  <c r="U789" i="10"/>
  <c r="Q49" i="10"/>
  <c r="Q134" i="10"/>
  <c r="Q220" i="10"/>
  <c r="Q293" i="10"/>
  <c r="Q357" i="10"/>
  <c r="Q421" i="10"/>
  <c r="Q485" i="10"/>
  <c r="Q549" i="10"/>
  <c r="Q613" i="10"/>
  <c r="Q677" i="10"/>
  <c r="Q741" i="10"/>
  <c r="Q805" i="10"/>
  <c r="W121" i="10"/>
  <c r="V83" i="10"/>
  <c r="V408" i="10"/>
  <c r="V664" i="10"/>
  <c r="U117" i="10"/>
  <c r="U373" i="10"/>
  <c r="U535" i="10"/>
  <c r="U663" i="10"/>
  <c r="U791" i="10"/>
  <c r="W215" i="10"/>
  <c r="V123" i="10"/>
  <c r="V428" i="10"/>
  <c r="V684" i="10"/>
  <c r="U137" i="10"/>
  <c r="U393" i="10"/>
  <c r="U545" i="10"/>
  <c r="U673" i="10"/>
  <c r="U801" i="10"/>
  <c r="Q52" i="10"/>
  <c r="Q137" i="10"/>
  <c r="Q222" i="10"/>
  <c r="Q295" i="10"/>
  <c r="Q359" i="10"/>
  <c r="Q423" i="10"/>
  <c r="Q487" i="10"/>
  <c r="Q551" i="10"/>
  <c r="Q607" i="10"/>
  <c r="Q671" i="10"/>
  <c r="Q735" i="10"/>
  <c r="Q799" i="10"/>
  <c r="Q863" i="10"/>
  <c r="W849" i="10"/>
  <c r="V368" i="10"/>
  <c r="V624" i="10"/>
  <c r="U77" i="10"/>
  <c r="U333" i="10"/>
  <c r="U515" i="10"/>
  <c r="U643" i="10"/>
  <c r="U771" i="10"/>
  <c r="Q122" i="10"/>
  <c r="Q208" i="10"/>
  <c r="Q284" i="10"/>
  <c r="Q348" i="10"/>
  <c r="Q412" i="10"/>
  <c r="Q476" i="10"/>
  <c r="Q540" i="10"/>
  <c r="Q604" i="10"/>
  <c r="Q668" i="10"/>
  <c r="V616" i="10"/>
  <c r="U69" i="10"/>
  <c r="U325" i="10"/>
  <c r="U511" i="10"/>
  <c r="U639" i="10"/>
  <c r="U767" i="10"/>
  <c r="U62" i="10"/>
  <c r="W36" i="10"/>
  <c r="V380" i="10"/>
  <c r="V636" i="10"/>
  <c r="U89" i="10"/>
  <c r="U345" i="10"/>
  <c r="U521" i="10"/>
  <c r="U649" i="10"/>
  <c r="U777" i="10"/>
  <c r="Q36" i="10"/>
  <c r="Q121" i="10"/>
  <c r="Q206" i="10"/>
  <c r="Q283" i="10"/>
  <c r="Q347" i="10"/>
  <c r="Q411" i="10"/>
  <c r="Q475" i="10"/>
  <c r="Q539" i="10"/>
  <c r="U145" i="10"/>
  <c r="U401" i="10"/>
  <c r="U549" i="10"/>
  <c r="U677" i="10"/>
  <c r="U805" i="10"/>
  <c r="Q60" i="10"/>
  <c r="Q145" i="10"/>
  <c r="Q230" i="10"/>
  <c r="Q301" i="10"/>
  <c r="Q365" i="10"/>
  <c r="Q429" i="10"/>
  <c r="Q493" i="10"/>
  <c r="Q557" i="10"/>
  <c r="Q621" i="10"/>
  <c r="Q685" i="10"/>
  <c r="Q749" i="10"/>
  <c r="Q813" i="10"/>
  <c r="W271" i="10"/>
  <c r="V147" i="10"/>
  <c r="V440" i="10"/>
  <c r="V696" i="10"/>
  <c r="U149" i="10"/>
  <c r="U405" i="10"/>
  <c r="U551" i="10"/>
  <c r="U679" i="10"/>
  <c r="U807" i="10"/>
  <c r="W367" i="10"/>
  <c r="V187" i="10"/>
  <c r="V460" i="10"/>
  <c r="V716" i="10"/>
  <c r="U169" i="10"/>
  <c r="U425" i="10"/>
  <c r="U561" i="10"/>
  <c r="U689" i="10"/>
  <c r="U817" i="10"/>
  <c r="Q62" i="10"/>
  <c r="Q148" i="10"/>
  <c r="Q233" i="10"/>
  <c r="Q303" i="10"/>
  <c r="Q367" i="10"/>
  <c r="Q431" i="10"/>
  <c r="Q495" i="10"/>
  <c r="V836" i="10"/>
  <c r="U289" i="10"/>
  <c r="U493" i="10"/>
  <c r="U621" i="10"/>
  <c r="U749" i="10"/>
  <c r="U44" i="10"/>
  <c r="Q108" i="10"/>
  <c r="Q193" i="10"/>
  <c r="Q273" i="10"/>
  <c r="Q337" i="10"/>
  <c r="Q401" i="10"/>
  <c r="Q465" i="10"/>
  <c r="Q529" i="10"/>
  <c r="Q593" i="10"/>
  <c r="Q657" i="10"/>
  <c r="Q721" i="10"/>
  <c r="Q785" i="10"/>
  <c r="Q849" i="10"/>
  <c r="W755" i="10"/>
  <c r="V328" i="10"/>
  <c r="V584" i="10"/>
  <c r="V840" i="10"/>
  <c r="U293" i="10"/>
  <c r="U495" i="10"/>
  <c r="U623" i="10"/>
  <c r="U751" i="10"/>
  <c r="U46" i="10"/>
  <c r="W808" i="10"/>
  <c r="V348" i="10"/>
  <c r="V604" i="10"/>
  <c r="V860" i="10"/>
  <c r="U313" i="10"/>
  <c r="U505" i="10"/>
  <c r="U633" i="10"/>
  <c r="U761" i="10"/>
  <c r="U56" i="10"/>
  <c r="Q110" i="10"/>
  <c r="Q196" i="10"/>
  <c r="Q275" i="10"/>
  <c r="Q339" i="10"/>
  <c r="Q403" i="10"/>
  <c r="Q467" i="10"/>
  <c r="Q531" i="10"/>
  <c r="U177" i="10"/>
  <c r="U433" i="10"/>
  <c r="U565" i="10"/>
  <c r="U693" i="10"/>
  <c r="U821" i="10"/>
  <c r="Q70" i="10"/>
  <c r="Q156" i="10"/>
  <c r="Q241" i="10"/>
  <c r="Q309" i="10"/>
  <c r="Q373" i="10"/>
  <c r="Q437" i="10"/>
  <c r="Q501" i="10"/>
  <c r="Q565" i="10"/>
  <c r="Q629" i="10"/>
  <c r="Q693" i="10"/>
  <c r="Q757" i="10"/>
  <c r="Q821" i="10"/>
  <c r="W415" i="10"/>
  <c r="V211" i="10"/>
  <c r="V472" i="10"/>
  <c r="V728" i="10"/>
  <c r="U181" i="10"/>
  <c r="U437" i="10"/>
  <c r="U567" i="10"/>
  <c r="U695" i="10"/>
  <c r="U823" i="10"/>
  <c r="W486" i="10"/>
  <c r="V236" i="10"/>
  <c r="V492" i="10"/>
  <c r="V748" i="10"/>
  <c r="U201" i="10"/>
  <c r="U449" i="10"/>
  <c r="U577" i="10"/>
  <c r="U705" i="10"/>
  <c r="U833" i="10"/>
  <c r="Q73" i="10"/>
  <c r="Q158" i="10"/>
  <c r="Q244" i="10"/>
  <c r="Q311" i="10"/>
  <c r="Q375" i="10"/>
  <c r="Q439" i="10"/>
  <c r="Q503" i="10"/>
  <c r="Q559" i="10"/>
  <c r="Q623" i="10"/>
  <c r="Q687" i="10"/>
  <c r="Q751" i="10"/>
  <c r="Q815" i="10"/>
  <c r="W234" i="10"/>
  <c r="V131" i="10"/>
  <c r="V432" i="10"/>
  <c r="V688" i="10"/>
  <c r="U141" i="10"/>
  <c r="U397" i="10"/>
  <c r="U547" i="10"/>
  <c r="U675" i="10"/>
  <c r="U803" i="10"/>
  <c r="Q58" i="10"/>
  <c r="Q144" i="10"/>
  <c r="Q229" i="10"/>
  <c r="Q300" i="10"/>
  <c r="Q364" i="10"/>
  <c r="Q428" i="10"/>
  <c r="Q492" i="10"/>
  <c r="Q556" i="10"/>
  <c r="Q620" i="10"/>
  <c r="Q684" i="10"/>
  <c r="V680" i="10"/>
  <c r="U133" i="10"/>
  <c r="U389" i="10"/>
  <c r="U543" i="10"/>
  <c r="U671" i="10"/>
  <c r="U799" i="10"/>
  <c r="W291" i="10"/>
  <c r="V155" i="10"/>
  <c r="V444" i="10"/>
  <c r="V700" i="10"/>
  <c r="U153" i="10"/>
  <c r="U409" i="10"/>
  <c r="U553" i="10"/>
  <c r="U681" i="10"/>
  <c r="U809" i="10"/>
  <c r="Q57" i="10"/>
  <c r="Q142" i="10"/>
  <c r="Q228" i="10"/>
  <c r="Q299" i="10"/>
  <c r="Q363" i="10"/>
  <c r="Q427" i="10"/>
  <c r="Q491" i="10"/>
  <c r="Q555" i="10"/>
  <c r="U209" i="10"/>
  <c r="U453" i="10"/>
  <c r="U581" i="10"/>
  <c r="U709" i="10"/>
  <c r="U837" i="10"/>
  <c r="Q81" i="10"/>
  <c r="Q166" i="10"/>
  <c r="Q252" i="10"/>
  <c r="Q317" i="10"/>
  <c r="Q381" i="10"/>
  <c r="Q445" i="10"/>
  <c r="Q509" i="10"/>
  <c r="Q573" i="10"/>
  <c r="Q637" i="10"/>
  <c r="Q701" i="10"/>
  <c r="Q765" i="10"/>
  <c r="Q829" i="10"/>
  <c r="W528" i="10"/>
  <c r="V248" i="10"/>
  <c r="V504" i="10"/>
  <c r="V760" i="10"/>
  <c r="U213" i="10"/>
  <c r="U455" i="10"/>
  <c r="U583" i="10"/>
  <c r="U711" i="10"/>
  <c r="U839" i="10"/>
  <c r="W595" i="10"/>
  <c r="V268" i="10"/>
  <c r="V524" i="10"/>
  <c r="V780" i="10"/>
  <c r="U233" i="10"/>
  <c r="U465" i="10"/>
  <c r="U593" i="10"/>
  <c r="U721" i="10"/>
  <c r="U849" i="10"/>
  <c r="Q84" i="10"/>
  <c r="Q169" i="10"/>
  <c r="Q254" i="10"/>
  <c r="Q319" i="10"/>
  <c r="Q383" i="10"/>
  <c r="Q447" i="10"/>
  <c r="Q511" i="10"/>
  <c r="U97" i="10"/>
  <c r="U353" i="10"/>
  <c r="U525" i="10"/>
  <c r="U653" i="10"/>
  <c r="U781" i="10"/>
  <c r="Q44" i="10"/>
  <c r="Q129" i="10"/>
  <c r="Q214" i="10"/>
  <c r="Q289" i="10"/>
  <c r="Q353" i="10"/>
  <c r="Q417" i="10"/>
  <c r="Q481" i="10"/>
  <c r="Q545" i="10"/>
  <c r="Q609" i="10"/>
  <c r="Q673" i="10"/>
  <c r="Q737" i="10"/>
  <c r="Q801" i="10"/>
  <c r="Q865" i="10"/>
  <c r="V51" i="10"/>
  <c r="V392" i="10"/>
  <c r="V648" i="10"/>
  <c r="U101" i="10"/>
  <c r="U357" i="10"/>
  <c r="U527" i="10"/>
  <c r="U655" i="10"/>
  <c r="U783" i="10"/>
  <c r="W141" i="10"/>
  <c r="V91" i="10"/>
  <c r="V412" i="10"/>
  <c r="V668" i="10"/>
  <c r="U121" i="10"/>
  <c r="U377" i="10"/>
  <c r="U537" i="10"/>
  <c r="U665" i="10"/>
  <c r="U793" i="10"/>
  <c r="Q46" i="10"/>
  <c r="Q132" i="10"/>
  <c r="Q217" i="10"/>
  <c r="Q291" i="10"/>
  <c r="Q355" i="10"/>
  <c r="Q419" i="10"/>
  <c r="Q483" i="10"/>
  <c r="Q547" i="10"/>
  <c r="U241" i="10"/>
  <c r="U469" i="10"/>
  <c r="U597" i="10"/>
  <c r="U725" i="10"/>
  <c r="U853" i="10"/>
  <c r="Q92" i="10"/>
  <c r="Q177" i="10"/>
  <c r="Q261" i="10"/>
  <c r="Q325" i="10"/>
  <c r="Q389" i="10"/>
  <c r="Q453" i="10"/>
  <c r="Q517" i="10"/>
  <c r="Q581" i="10"/>
  <c r="Q645" i="10"/>
  <c r="Q709" i="10"/>
  <c r="Q773" i="10"/>
  <c r="Q837" i="10"/>
  <c r="W627" i="10"/>
  <c r="V280" i="10"/>
  <c r="V536" i="10"/>
  <c r="V792" i="10"/>
  <c r="U245" i="10"/>
  <c r="U471" i="10"/>
  <c r="U599" i="10"/>
  <c r="U727" i="10"/>
  <c r="U855" i="10"/>
  <c r="W680" i="10"/>
  <c r="V300" i="10"/>
  <c r="V556" i="10"/>
  <c r="V812" i="10"/>
  <c r="U265" i="10"/>
  <c r="U481" i="10"/>
  <c r="U609" i="10"/>
  <c r="U737" i="10"/>
  <c r="U865" i="10"/>
  <c r="Q94" i="10"/>
  <c r="Q180" i="10"/>
  <c r="Q263" i="10"/>
  <c r="Q327" i="10"/>
  <c r="Q391" i="10"/>
  <c r="Q455" i="10"/>
  <c r="Q519" i="10"/>
  <c r="Q575" i="10"/>
  <c r="Q639" i="10"/>
  <c r="Q703" i="10"/>
  <c r="Q767" i="10"/>
  <c r="Q831" i="10"/>
  <c r="W500" i="10"/>
  <c r="V240" i="10"/>
  <c r="V496" i="10"/>
  <c r="V752" i="10"/>
  <c r="U205" i="10"/>
  <c r="U451" i="10"/>
  <c r="U579" i="10"/>
  <c r="U707" i="10"/>
  <c r="U835" i="10"/>
  <c r="Q80" i="10"/>
  <c r="Q165" i="10"/>
  <c r="Q250" i="10"/>
  <c r="Q316" i="10"/>
  <c r="Q380" i="10"/>
  <c r="Q444" i="10"/>
  <c r="Q508" i="10"/>
  <c r="Q572" i="10"/>
  <c r="Q636" i="10"/>
  <c r="Q700" i="10"/>
  <c r="V744" i="10"/>
  <c r="U197" i="10"/>
  <c r="U447" i="10"/>
  <c r="U575" i="10"/>
  <c r="U703" i="10"/>
  <c r="U831" i="10"/>
  <c r="W543" i="10"/>
  <c r="V252" i="10"/>
  <c r="V508" i="10"/>
  <c r="V764" i="10"/>
  <c r="U217" i="10"/>
  <c r="U457" i="10"/>
  <c r="U585" i="10"/>
  <c r="U713" i="10"/>
  <c r="U841" i="10"/>
  <c r="Q78" i="10"/>
  <c r="Q164" i="10"/>
  <c r="Q249" i="10"/>
  <c r="Q315" i="10"/>
  <c r="Q379" i="10"/>
  <c r="Q443" i="10"/>
  <c r="Q507" i="10"/>
  <c r="V820" i="10"/>
  <c r="U273" i="10"/>
  <c r="U485" i="10"/>
  <c r="U613" i="10"/>
  <c r="U741" i="10"/>
  <c r="U36" i="10"/>
  <c r="Q102" i="10"/>
  <c r="Q188" i="10"/>
  <c r="Q269" i="10"/>
  <c r="Q333" i="10"/>
  <c r="Q397" i="10"/>
  <c r="Q461" i="10"/>
  <c r="Q525" i="10"/>
  <c r="Q589" i="10"/>
  <c r="Q653" i="10"/>
  <c r="Q717" i="10"/>
  <c r="Q781" i="10"/>
  <c r="Q845" i="10"/>
  <c r="W712" i="10"/>
  <c r="V312" i="10"/>
  <c r="V568" i="10"/>
  <c r="V824" i="10"/>
  <c r="U277" i="10"/>
  <c r="U487" i="10"/>
  <c r="U615" i="10"/>
  <c r="U743" i="10"/>
  <c r="W766" i="10"/>
  <c r="V332" i="10"/>
  <c r="V588" i="10"/>
  <c r="V844" i="10"/>
  <c r="U297" i="10"/>
  <c r="U497" i="10"/>
  <c r="U625" i="10"/>
  <c r="U753" i="10"/>
  <c r="U48" i="10"/>
  <c r="Q105" i="10"/>
  <c r="Q190" i="10"/>
  <c r="Q271" i="10"/>
  <c r="Q335" i="10"/>
  <c r="Q399" i="10"/>
  <c r="Q463" i="10"/>
  <c r="Q527" i="10"/>
  <c r="U161" i="10"/>
  <c r="U417" i="10"/>
  <c r="U557" i="10"/>
  <c r="U685" i="10"/>
  <c r="U813" i="10"/>
  <c r="Q65" i="10"/>
  <c r="Q150" i="10"/>
  <c r="Q236" i="10"/>
  <c r="Q305" i="10"/>
  <c r="Q369" i="10"/>
  <c r="Q433" i="10"/>
  <c r="Q497" i="10"/>
  <c r="Q561" i="10"/>
  <c r="Q625" i="10"/>
  <c r="Q689" i="10"/>
  <c r="Q753" i="10"/>
  <c r="Q817" i="10"/>
  <c r="W349" i="10"/>
  <c r="V179" i="10"/>
  <c r="V456" i="10"/>
  <c r="V712" i="10"/>
  <c r="U165" i="10"/>
  <c r="U421" i="10"/>
  <c r="U559" i="10"/>
  <c r="U687" i="10"/>
  <c r="U815" i="10"/>
  <c r="W428" i="10"/>
  <c r="V219" i="10"/>
  <c r="V476" i="10"/>
  <c r="V732" i="10"/>
  <c r="U185" i="10"/>
  <c r="U441" i="10"/>
  <c r="U569" i="10"/>
  <c r="U697" i="10"/>
  <c r="U825" i="10"/>
  <c r="Q68" i="10"/>
  <c r="Q153" i="10"/>
  <c r="Q238" i="10"/>
  <c r="Q307" i="10"/>
  <c r="Q371" i="10"/>
  <c r="Q435" i="10"/>
  <c r="Q499" i="10"/>
  <c r="V852" i="10"/>
  <c r="U305" i="10"/>
  <c r="U501" i="10"/>
  <c r="U629" i="10"/>
  <c r="U757" i="10"/>
  <c r="U52" i="10"/>
  <c r="Q113" i="10"/>
  <c r="Q198" i="10"/>
  <c r="Q277" i="10"/>
  <c r="Q341" i="10"/>
  <c r="Q405" i="10"/>
  <c r="Q469" i="10"/>
  <c r="Q533" i="10"/>
  <c r="Q597" i="10"/>
  <c r="Q661" i="10"/>
  <c r="Q725" i="10"/>
  <c r="Q789" i="10"/>
  <c r="Q853" i="10"/>
  <c r="W798" i="10"/>
  <c r="V344" i="10"/>
  <c r="V600" i="10"/>
  <c r="V856" i="10"/>
  <c r="U309" i="10"/>
  <c r="U503" i="10"/>
  <c r="U631" i="10"/>
  <c r="U759" i="10"/>
  <c r="U54" i="10"/>
  <c r="W841" i="10"/>
  <c r="V364" i="10"/>
  <c r="V620" i="10"/>
  <c r="U73" i="10"/>
  <c r="U329" i="10"/>
  <c r="U513" i="10"/>
  <c r="U641" i="10"/>
  <c r="U769" i="10"/>
  <c r="U64" i="10"/>
  <c r="Q116" i="10"/>
  <c r="Q201" i="10"/>
  <c r="Q279" i="10"/>
  <c r="Q343" i="10"/>
  <c r="Q407" i="10"/>
  <c r="Q471" i="10"/>
  <c r="Q535" i="10"/>
  <c r="Q591" i="10"/>
  <c r="Q655" i="10"/>
  <c r="Q719" i="10"/>
  <c r="Q783" i="10"/>
  <c r="Q847" i="10"/>
  <c r="W691" i="10"/>
  <c r="V304" i="10"/>
  <c r="V560" i="10"/>
  <c r="V816" i="10"/>
  <c r="U269" i="10"/>
  <c r="U483" i="10"/>
  <c r="U611" i="10"/>
  <c r="U739" i="10"/>
  <c r="U34" i="10"/>
  <c r="Q101" i="10"/>
  <c r="Q186" i="10"/>
  <c r="Q268" i="10"/>
  <c r="Q332" i="10"/>
  <c r="Q396" i="10"/>
  <c r="Q460" i="10"/>
  <c r="Q524" i="10"/>
  <c r="Q588" i="10"/>
  <c r="Q652" i="10"/>
  <c r="Q716" i="10"/>
  <c r="Q780" i="10"/>
  <c r="Q844" i="10"/>
  <c r="Q136" i="10"/>
  <c r="Q422" i="10"/>
  <c r="Q678" i="10"/>
  <c r="Q162" i="10"/>
  <c r="Q442" i="10"/>
  <c r="Q698" i="10"/>
  <c r="Q189" i="10"/>
  <c r="Q462" i="10"/>
  <c r="Q718" i="10"/>
  <c r="Q216" i="10"/>
  <c r="Q482" i="10"/>
  <c r="Q738" i="10"/>
  <c r="Q595" i="10"/>
  <c r="Q659" i="10"/>
  <c r="Q723" i="10"/>
  <c r="Q787" i="10"/>
  <c r="Q851" i="10"/>
  <c r="W734" i="10"/>
  <c r="V320" i="10"/>
  <c r="V576" i="10"/>
  <c r="V832" i="10"/>
  <c r="U285" i="10"/>
  <c r="U491" i="10"/>
  <c r="U619" i="10"/>
  <c r="U747" i="10"/>
  <c r="Q106" i="10"/>
  <c r="Q192" i="10"/>
  <c r="Q272" i="10"/>
  <c r="Q336" i="10"/>
  <c r="Q400" i="10"/>
  <c r="Q464" i="10"/>
  <c r="Q528" i="10"/>
  <c r="Q592" i="10"/>
  <c r="Q656" i="10"/>
  <c r="Q720" i="10"/>
  <c r="Q784" i="10"/>
  <c r="Q848" i="10"/>
  <c r="Q157" i="10"/>
  <c r="Q438" i="10"/>
  <c r="Q694" i="10"/>
  <c r="Q184" i="10"/>
  <c r="Q458" i="10"/>
  <c r="Q714" i="10"/>
  <c r="Q210" i="10"/>
  <c r="Q478" i="10"/>
  <c r="Q734" i="10"/>
  <c r="Q237" i="10"/>
  <c r="Q498" i="10"/>
  <c r="Q754" i="10"/>
  <c r="Q599" i="10"/>
  <c r="Q663" i="10"/>
  <c r="Q727" i="10"/>
  <c r="Q791" i="10"/>
  <c r="Q855" i="10"/>
  <c r="W776" i="10"/>
  <c r="V336" i="10"/>
  <c r="V592" i="10"/>
  <c r="V848" i="10"/>
  <c r="U301" i="10"/>
  <c r="U499" i="10"/>
  <c r="U627" i="10"/>
  <c r="U755" i="10"/>
  <c r="U50" i="10"/>
  <c r="Q112" i="10"/>
  <c r="Q197" i="10"/>
  <c r="Q276" i="10"/>
  <c r="Q340" i="10"/>
  <c r="Q404" i="10"/>
  <c r="Q468" i="10"/>
  <c r="Q532" i="10"/>
  <c r="Q596" i="10"/>
  <c r="Q660" i="10"/>
  <c r="Q724" i="10"/>
  <c r="Q788" i="10"/>
  <c r="Q852" i="10"/>
  <c r="Q178" i="10"/>
  <c r="Q454" i="10"/>
  <c r="Q710" i="10"/>
  <c r="Q205" i="10"/>
  <c r="Q474" i="10"/>
  <c r="Q730" i="10"/>
  <c r="Q232" i="10"/>
  <c r="Q494" i="10"/>
  <c r="Q750" i="10"/>
  <c r="Q258" i="10"/>
  <c r="Q514" i="10"/>
  <c r="Q770" i="10"/>
  <c r="Q603" i="10"/>
  <c r="Q667" i="10"/>
  <c r="Q731" i="10"/>
  <c r="Q795" i="10"/>
  <c r="Q859" i="10"/>
  <c r="W817" i="10"/>
  <c r="V352" i="10"/>
  <c r="V608" i="10"/>
  <c r="V864" i="10"/>
  <c r="U317" i="10"/>
  <c r="U507" i="10"/>
  <c r="U635" i="10"/>
  <c r="U763" i="10"/>
  <c r="U58" i="10"/>
  <c r="Q117" i="10"/>
  <c r="Q202" i="10"/>
  <c r="Q280" i="10"/>
  <c r="Q344" i="10"/>
  <c r="Q408" i="10"/>
  <c r="Q472" i="10"/>
  <c r="Q536" i="10"/>
  <c r="Q600" i="10"/>
  <c r="Q664" i="10"/>
  <c r="Q728" i="10"/>
  <c r="Q792" i="10"/>
  <c r="Q856" i="10"/>
  <c r="Q200" i="10"/>
  <c r="Q470" i="10"/>
  <c r="Q726" i="10"/>
  <c r="Q226" i="10"/>
  <c r="Q490" i="10"/>
  <c r="Q746" i="10"/>
  <c r="Q253" i="10"/>
  <c r="Q510" i="10"/>
  <c r="Q766" i="10"/>
  <c r="Q274" i="10"/>
  <c r="Q530" i="10"/>
  <c r="Q786" i="10"/>
  <c r="Q732" i="10"/>
  <c r="Q796" i="10"/>
  <c r="Q860" i="10"/>
  <c r="Q221" i="10"/>
  <c r="Q486" i="10"/>
  <c r="Q742" i="10"/>
  <c r="Q248" i="10"/>
  <c r="Q506" i="10"/>
  <c r="Q762" i="10"/>
  <c r="Q270" i="10"/>
  <c r="Q526" i="10"/>
  <c r="Q782" i="10"/>
  <c r="Q290" i="10"/>
  <c r="Q546" i="10"/>
  <c r="Q802" i="10"/>
  <c r="Q611" i="10"/>
  <c r="Q675" i="10"/>
  <c r="Q739" i="10"/>
  <c r="Q803" i="10"/>
  <c r="V384" i="10"/>
  <c r="V640" i="10"/>
  <c r="U93" i="10"/>
  <c r="U349" i="10"/>
  <c r="U523" i="10"/>
  <c r="U651" i="10"/>
  <c r="U779" i="10"/>
  <c r="Q128" i="10"/>
  <c r="Q213" i="10"/>
  <c r="Q288" i="10"/>
  <c r="Q352" i="10"/>
  <c r="Q416" i="10"/>
  <c r="Q480" i="10"/>
  <c r="Q544" i="10"/>
  <c r="Q608" i="10"/>
  <c r="Q672" i="10"/>
  <c r="Q736" i="10"/>
  <c r="Q800" i="10"/>
  <c r="Q864" i="10"/>
  <c r="Q242" i="10"/>
  <c r="Q502" i="10"/>
  <c r="Q758" i="10"/>
  <c r="Q266" i="10"/>
  <c r="Q522" i="10"/>
  <c r="Q778" i="10"/>
  <c r="Q286" i="10"/>
  <c r="Q542" i="10"/>
  <c r="Q798" i="10"/>
  <c r="Q306" i="10"/>
  <c r="Q562" i="10"/>
  <c r="Q818" i="10"/>
  <c r="Q615" i="10"/>
  <c r="Q679" i="10"/>
  <c r="Q743" i="10"/>
  <c r="Q807" i="10"/>
  <c r="W83" i="10"/>
  <c r="V67" i="10"/>
  <c r="V400" i="10"/>
  <c r="V656" i="10"/>
  <c r="U109" i="10"/>
  <c r="U365" i="10"/>
  <c r="U531" i="10"/>
  <c r="U659" i="10"/>
  <c r="U787" i="10"/>
  <c r="Q48" i="10"/>
  <c r="Q133" i="10"/>
  <c r="Q218" i="10"/>
  <c r="Q292" i="10"/>
  <c r="Q356" i="10"/>
  <c r="Q420" i="10"/>
  <c r="Q484" i="10"/>
  <c r="Q548" i="10"/>
  <c r="Q612" i="10"/>
  <c r="Q676" i="10"/>
  <c r="Q740" i="10"/>
  <c r="Q804" i="10"/>
  <c r="Q34" i="10"/>
  <c r="Q262" i="10"/>
  <c r="Q518" i="10"/>
  <c r="Q774" i="10"/>
  <c r="Q282" i="10"/>
  <c r="Q538" i="10"/>
  <c r="Q794" i="10"/>
  <c r="Q302" i="10"/>
  <c r="Q558" i="10"/>
  <c r="Q814" i="10"/>
  <c r="Q322" i="10"/>
  <c r="Q578" i="10"/>
  <c r="Q834" i="10"/>
  <c r="Q619" i="10"/>
  <c r="Q683" i="10"/>
  <c r="Q747" i="10"/>
  <c r="Q811" i="10"/>
  <c r="W158" i="10"/>
  <c r="V99" i="10"/>
  <c r="V416" i="10"/>
  <c r="V672" i="10"/>
  <c r="U125" i="10"/>
  <c r="U381" i="10"/>
  <c r="U539" i="10"/>
  <c r="U667" i="10"/>
  <c r="U795" i="10"/>
  <c r="Q53" i="10"/>
  <c r="Q138" i="10"/>
  <c r="Q224" i="10"/>
  <c r="Q296" i="10"/>
  <c r="Q360" i="10"/>
  <c r="Q424" i="10"/>
  <c r="Q488" i="10"/>
  <c r="Q552" i="10"/>
  <c r="Q616" i="10"/>
  <c r="Q680" i="10"/>
  <c r="Q744" i="10"/>
  <c r="Q808" i="10"/>
  <c r="Q278" i="10"/>
  <c r="Q534" i="10"/>
  <c r="Q790" i="10"/>
  <c r="Q298" i="10"/>
  <c r="Q554" i="10"/>
  <c r="Q810" i="10"/>
  <c r="Q318" i="10"/>
  <c r="Q574" i="10"/>
  <c r="Q830" i="10"/>
  <c r="Q338" i="10"/>
  <c r="Q594" i="10"/>
  <c r="Q850" i="10"/>
  <c r="Q748" i="10"/>
  <c r="Q812" i="10"/>
  <c r="Q45" i="10"/>
  <c r="Q294" i="10"/>
  <c r="Q550" i="10"/>
  <c r="Q806" i="10"/>
  <c r="Q314" i="10"/>
  <c r="Q570" i="10"/>
  <c r="Q826" i="10"/>
  <c r="Q334" i="10"/>
  <c r="Q590" i="10"/>
  <c r="Q846" i="10"/>
  <c r="Q354" i="10"/>
  <c r="Q610" i="10"/>
  <c r="Q563" i="10"/>
  <c r="Q627" i="10"/>
  <c r="Q691" i="10"/>
  <c r="Q755" i="10"/>
  <c r="Q819" i="10"/>
  <c r="W311" i="10"/>
  <c r="V163" i="10"/>
  <c r="V448" i="10"/>
  <c r="V704" i="10"/>
  <c r="U157" i="10"/>
  <c r="U413" i="10"/>
  <c r="U555" i="10"/>
  <c r="U683" i="10"/>
  <c r="U811" i="10"/>
  <c r="Q64" i="10"/>
  <c r="Q149" i="10"/>
  <c r="Q234" i="10"/>
  <c r="Q304" i="10"/>
  <c r="Q368" i="10"/>
  <c r="Q432" i="10"/>
  <c r="Q496" i="10"/>
  <c r="Q560" i="10"/>
  <c r="Q624" i="10"/>
  <c r="Q688" i="10"/>
  <c r="Q752" i="10"/>
  <c r="Q816" i="10"/>
  <c r="Q50" i="10"/>
  <c r="Q310" i="10"/>
  <c r="Q566" i="10"/>
  <c r="Q822" i="10"/>
  <c r="Q330" i="10"/>
  <c r="Q586" i="10"/>
  <c r="Q842" i="10"/>
  <c r="Q350" i="10"/>
  <c r="Q606" i="10"/>
  <c r="Q862" i="10"/>
  <c r="Q370" i="10"/>
  <c r="Q626" i="10"/>
  <c r="Q567" i="10"/>
  <c r="Q631" i="10"/>
  <c r="Q695" i="10"/>
  <c r="Q759" i="10"/>
  <c r="Q823" i="10"/>
  <c r="W386" i="10"/>
  <c r="V195" i="10"/>
  <c r="V464" i="10"/>
  <c r="V720" i="10"/>
  <c r="U173" i="10"/>
  <c r="U429" i="10"/>
  <c r="U563" i="10"/>
  <c r="U691" i="10"/>
  <c r="U819" i="10"/>
  <c r="Q69" i="10"/>
  <c r="Q154" i="10"/>
  <c r="Q240" i="10"/>
  <c r="Q308" i="10"/>
  <c r="Q372" i="10"/>
  <c r="Q436" i="10"/>
  <c r="Q500" i="10"/>
  <c r="Q564" i="10"/>
  <c r="Q628" i="10"/>
  <c r="Q692" i="10"/>
  <c r="Q756" i="10"/>
  <c r="Q820" i="10"/>
  <c r="Q56" i="10"/>
  <c r="Q326" i="10"/>
  <c r="Q582" i="10"/>
  <c r="Q838" i="10"/>
  <c r="Q346" i="10"/>
  <c r="Q602" i="10"/>
  <c r="Q858" i="10"/>
  <c r="Q366" i="10"/>
  <c r="Q622" i="10"/>
  <c r="Q88" i="10"/>
  <c r="Q386" i="10"/>
  <c r="Q642" i="10"/>
  <c r="Q571" i="10"/>
  <c r="Q635" i="10"/>
  <c r="Q699" i="10"/>
  <c r="Q763" i="10"/>
  <c r="Q827" i="10"/>
  <c r="W443" i="10"/>
  <c r="V224" i="10"/>
  <c r="V480" i="10"/>
  <c r="V736" i="10"/>
  <c r="U189" i="10"/>
  <c r="U443" i="10"/>
  <c r="U571" i="10"/>
  <c r="U699" i="10"/>
  <c r="U827" i="10"/>
  <c r="Q74" i="10"/>
  <c r="Q160" i="10"/>
  <c r="Q245" i="10"/>
  <c r="Q312" i="10"/>
  <c r="Q376" i="10"/>
  <c r="Q440" i="10"/>
  <c r="Q504" i="10"/>
  <c r="Q568" i="10"/>
  <c r="Q632" i="10"/>
  <c r="Q696" i="10"/>
  <c r="Q760" i="10"/>
  <c r="Q824" i="10"/>
  <c r="Q61" i="10"/>
  <c r="Q342" i="10"/>
  <c r="Q598" i="10"/>
  <c r="Q854" i="10"/>
  <c r="Q362" i="10"/>
  <c r="Q618" i="10"/>
  <c r="Q82" i="10"/>
  <c r="Q382" i="10"/>
  <c r="Q638" i="10"/>
  <c r="Q109" i="10"/>
  <c r="Q402" i="10"/>
  <c r="Q658" i="10"/>
  <c r="Q866" i="10"/>
  <c r="Q764" i="10"/>
  <c r="Q828" i="10"/>
  <c r="Q66" i="10"/>
  <c r="Q358" i="10"/>
  <c r="Q614" i="10"/>
  <c r="Q77" i="10"/>
  <c r="Q378" i="10"/>
  <c r="Q634" i="10"/>
  <c r="Q104" i="10"/>
  <c r="Q398" i="10"/>
  <c r="Q654" i="10"/>
  <c r="Q130" i="10"/>
  <c r="Q418" i="10"/>
  <c r="Q674" i="10"/>
  <c r="Q579" i="10"/>
  <c r="Q643" i="10"/>
  <c r="Q707" i="10"/>
  <c r="Q771" i="10"/>
  <c r="Q835" i="10"/>
  <c r="W556" i="10"/>
  <c r="V256" i="10"/>
  <c r="V512" i="10"/>
  <c r="V768" i="10"/>
  <c r="U221" i="10"/>
  <c r="U459" i="10"/>
  <c r="U587" i="10"/>
  <c r="U715" i="10"/>
  <c r="U843" i="10"/>
  <c r="Q85" i="10"/>
  <c r="Q170" i="10"/>
  <c r="Q256" i="10"/>
  <c r="Q320" i="10"/>
  <c r="Q384" i="10"/>
  <c r="Q448" i="10"/>
  <c r="Q512" i="10"/>
  <c r="Q576" i="10"/>
  <c r="Q640" i="10"/>
  <c r="Q704" i="10"/>
  <c r="Q768" i="10"/>
  <c r="Q832" i="10"/>
  <c r="Q72" i="10"/>
  <c r="Q374" i="10"/>
  <c r="Q630" i="10"/>
  <c r="Q98" i="10"/>
  <c r="Q394" i="10"/>
  <c r="Q650" i="10"/>
  <c r="Q125" i="10"/>
  <c r="Q414" i="10"/>
  <c r="Q670" i="10"/>
  <c r="Q152" i="10"/>
  <c r="Q434" i="10"/>
  <c r="Q690" i="10"/>
  <c r="Q583" i="10"/>
  <c r="Q647" i="10"/>
  <c r="Q711" i="10"/>
  <c r="Q775" i="10"/>
  <c r="Q839" i="10"/>
  <c r="W606" i="10"/>
  <c r="V272" i="10"/>
  <c r="V528" i="10"/>
  <c r="V784" i="10"/>
  <c r="U237" i="10"/>
  <c r="U467" i="10"/>
  <c r="U595" i="10"/>
  <c r="U723" i="10"/>
  <c r="U851" i="10"/>
  <c r="Q90" i="10"/>
  <c r="Q176" i="10"/>
  <c r="Q260" i="10"/>
  <c r="Q324" i="10"/>
  <c r="Q388" i="10"/>
  <c r="Q452" i="10"/>
  <c r="Q516" i="10"/>
  <c r="Q580" i="10"/>
  <c r="Q644" i="10"/>
  <c r="Q708" i="10"/>
  <c r="Q772" i="10"/>
  <c r="Q836" i="10"/>
  <c r="Q93" i="10"/>
  <c r="Q390" i="10"/>
  <c r="Q646" i="10"/>
  <c r="Q120" i="10"/>
  <c r="Q410" i="10"/>
  <c r="Q666" i="10"/>
  <c r="Q146" i="10"/>
  <c r="Q430" i="10"/>
  <c r="Q686" i="10"/>
  <c r="Q173" i="10"/>
  <c r="Q450" i="10"/>
  <c r="Q706" i="10"/>
  <c r="Q587" i="10"/>
  <c r="Q651" i="10"/>
  <c r="Q715" i="10"/>
  <c r="Q779" i="10"/>
  <c r="Q843" i="10"/>
  <c r="W648" i="10"/>
  <c r="V288" i="10"/>
  <c r="V544" i="10"/>
  <c r="V800" i="10"/>
  <c r="U253" i="10"/>
  <c r="U475" i="10"/>
  <c r="U603" i="10"/>
  <c r="U731" i="10"/>
  <c r="U859" i="10"/>
  <c r="Q96" i="10"/>
  <c r="Q181" i="10"/>
  <c r="Q264" i="10"/>
  <c r="Q328" i="10"/>
  <c r="Q392" i="10"/>
  <c r="Q456" i="10"/>
  <c r="Q520" i="10"/>
  <c r="Q584" i="10"/>
  <c r="Q648" i="10"/>
  <c r="Q712" i="10"/>
  <c r="Q776" i="10"/>
  <c r="Q840" i="10"/>
  <c r="Q114" i="10"/>
  <c r="Q406" i="10"/>
  <c r="Q662" i="10"/>
  <c r="Q141" i="10"/>
  <c r="Q426" i="10"/>
  <c r="Q682" i="10"/>
  <c r="Q168" i="10"/>
  <c r="Q446" i="10"/>
  <c r="Q702" i="10"/>
  <c r="Q194" i="10"/>
  <c r="Q466" i="10"/>
  <c r="Q722" i="10"/>
  <c r="W176" i="10"/>
  <c r="W214" i="10"/>
  <c r="W302" i="10"/>
  <c r="W701" i="10"/>
  <c r="W445" i="10"/>
  <c r="W123" i="10"/>
  <c r="W188" i="10"/>
  <c r="W424" i="10"/>
  <c r="W777" i="10"/>
  <c r="W521" i="10"/>
  <c r="W225" i="10"/>
  <c r="W264" i="10"/>
  <c r="W526" i="10"/>
  <c r="W117" i="10"/>
  <c r="W597" i="10"/>
  <c r="W326" i="10"/>
  <c r="W340" i="10"/>
  <c r="W84" i="10"/>
  <c r="W253" i="10"/>
  <c r="W673" i="10"/>
  <c r="W417" i="10"/>
  <c r="W86" i="10"/>
  <c r="W160" i="10"/>
  <c r="W208" i="10"/>
  <c r="W278" i="10"/>
  <c r="W641" i="10"/>
  <c r="W338" i="10"/>
  <c r="W228" i="10"/>
  <c r="W283" i="10"/>
  <c r="W645" i="10"/>
  <c r="W373" i="10"/>
  <c r="W232" i="10"/>
  <c r="W289" i="10"/>
  <c r="W665" i="10"/>
  <c r="W381" i="10"/>
  <c r="W236" i="10"/>
  <c r="W315" i="10"/>
  <c r="W669" i="10"/>
  <c r="W387" i="10"/>
  <c r="W355" i="10"/>
  <c r="W759" i="10"/>
  <c r="U344" i="10"/>
  <c r="U88" i="10"/>
  <c r="V635" i="10"/>
  <c r="V379" i="10"/>
  <c r="W34" i="10"/>
  <c r="V212" i="10"/>
  <c r="W799" i="10"/>
  <c r="W416" i="10"/>
  <c r="V130" i="10"/>
  <c r="W690" i="10"/>
  <c r="W233" i="10"/>
  <c r="W41" i="10"/>
  <c r="W551" i="10"/>
  <c r="V206" i="10"/>
  <c r="W791" i="10"/>
  <c r="W406" i="10"/>
  <c r="V108" i="10"/>
  <c r="W660" i="10"/>
  <c r="W179" i="10"/>
  <c r="W35" i="10"/>
  <c r="W540" i="10"/>
  <c r="V200" i="10"/>
  <c r="W783" i="10"/>
  <c r="W395" i="10"/>
  <c r="V118" i="10"/>
  <c r="W442" i="10"/>
  <c r="V128" i="10"/>
  <c r="W687" i="10"/>
  <c r="W227" i="10"/>
  <c r="V46" i="10"/>
  <c r="W576" i="10"/>
  <c r="V204" i="10"/>
  <c r="W788" i="10"/>
  <c r="W402" i="10"/>
  <c r="V122" i="10"/>
  <c r="W679" i="10"/>
  <c r="W213" i="10"/>
  <c r="W822" i="10"/>
  <c r="W452" i="10"/>
  <c r="V150" i="10"/>
  <c r="W716" i="10"/>
  <c r="W279" i="10"/>
  <c r="W330" i="10"/>
  <c r="W621" i="10"/>
  <c r="W251" i="10"/>
  <c r="W204" i="10"/>
  <c r="W295" i="10"/>
  <c r="W617" i="10"/>
  <c r="W246" i="10"/>
  <c r="W184" i="10"/>
  <c r="W287" i="10"/>
  <c r="W613" i="10"/>
  <c r="W219" i="10"/>
  <c r="W180" i="10"/>
  <c r="W281" i="10"/>
  <c r="W593" i="10"/>
  <c r="W256" i="10"/>
  <c r="W321" i="10"/>
  <c r="W189" i="10"/>
  <c r="W637" i="10"/>
  <c r="W379" i="10"/>
  <c r="W380" i="10"/>
  <c r="W124" i="10"/>
  <c r="W323" i="10"/>
  <c r="W713" i="10"/>
  <c r="W457" i="10"/>
  <c r="W139" i="10"/>
  <c r="W200" i="10"/>
  <c r="W440" i="10"/>
  <c r="W789" i="10"/>
  <c r="W533" i="10"/>
  <c r="W241" i="10"/>
  <c r="W276" i="10"/>
  <c r="W542" i="10"/>
  <c r="W138" i="10"/>
  <c r="W609" i="10"/>
  <c r="W342" i="10"/>
  <c r="W352" i="10"/>
  <c r="W96" i="10"/>
  <c r="W304" i="10"/>
  <c r="W385" i="10"/>
  <c r="W721" i="10"/>
  <c r="W478" i="10"/>
  <c r="W308" i="10"/>
  <c r="W389" i="10"/>
  <c r="W741" i="10"/>
  <c r="W483" i="10"/>
  <c r="W312" i="10"/>
  <c r="W409" i="10"/>
  <c r="W745" i="10"/>
  <c r="W488" i="10"/>
  <c r="W332" i="10"/>
  <c r="W413" i="10"/>
  <c r="W749" i="10"/>
  <c r="W515" i="10"/>
  <c r="W476" i="10"/>
  <c r="W112" i="10"/>
  <c r="U280" i="10"/>
  <c r="V827" i="10"/>
  <c r="V571" i="10"/>
  <c r="V315" i="10"/>
  <c r="W720" i="10"/>
  <c r="V148" i="10"/>
  <c r="W714" i="10"/>
  <c r="W275" i="10"/>
  <c r="V66" i="10"/>
  <c r="W604" i="10"/>
  <c r="W79" i="10"/>
  <c r="W814" i="10"/>
  <c r="W438" i="10"/>
  <c r="V142" i="10"/>
  <c r="W706" i="10"/>
  <c r="W261" i="10"/>
  <c r="V44" i="10"/>
  <c r="W572" i="10"/>
  <c r="V218" i="10"/>
  <c r="W807" i="10"/>
  <c r="W427" i="10"/>
  <c r="V136" i="10"/>
  <c r="W698" i="10"/>
  <c r="W247" i="10"/>
  <c r="V54" i="10"/>
  <c r="W307" i="10"/>
  <c r="V64" i="10"/>
  <c r="W602" i="10"/>
  <c r="W77" i="10"/>
  <c r="W828" i="10"/>
  <c r="W463" i="10"/>
  <c r="V140" i="10"/>
  <c r="W703" i="10"/>
  <c r="W255" i="10"/>
  <c r="V58" i="10"/>
  <c r="W594" i="10"/>
  <c r="W62" i="10"/>
  <c r="W740" i="10"/>
  <c r="W322" i="10"/>
  <c r="V86" i="10"/>
  <c r="W631" i="10"/>
  <c r="W127" i="10"/>
  <c r="W159" i="10"/>
  <c r="W541" i="10"/>
  <c r="W145" i="10"/>
  <c r="W108" i="10"/>
  <c r="W153" i="10"/>
  <c r="W537" i="10"/>
  <c r="W118" i="10"/>
  <c r="W104" i="10"/>
  <c r="W146" i="10"/>
  <c r="W517" i="10"/>
  <c r="W113" i="10"/>
  <c r="W100" i="10"/>
  <c r="W110" i="10"/>
  <c r="W513" i="10"/>
  <c r="W336" i="10"/>
  <c r="W494" i="10"/>
  <c r="W74" i="10"/>
  <c r="W573" i="10"/>
  <c r="W294" i="10"/>
  <c r="W316" i="10"/>
  <c r="W60" i="10"/>
  <c r="W210" i="10"/>
  <c r="W649" i="10"/>
  <c r="W393" i="10"/>
  <c r="W54" i="10"/>
  <c r="W136" i="10"/>
  <c r="W345" i="10"/>
  <c r="W725" i="10"/>
  <c r="W469" i="10"/>
  <c r="W155" i="10"/>
  <c r="W212" i="10"/>
  <c r="W456" i="10"/>
  <c r="W801" i="10"/>
  <c r="W545" i="10"/>
  <c r="W257" i="10"/>
  <c r="W288" i="10"/>
  <c r="L29" i="10"/>
  <c r="W384" i="10"/>
  <c r="W465" i="10"/>
  <c r="W53" i="10"/>
  <c r="W52" i="10"/>
  <c r="W49" i="10"/>
  <c r="W485" i="10"/>
  <c r="W61" i="10"/>
  <c r="W56" i="10"/>
  <c r="W75" i="10"/>
  <c r="W489" i="10"/>
  <c r="W67" i="10"/>
  <c r="W76" i="10"/>
  <c r="W81" i="10"/>
  <c r="W493" i="10"/>
  <c r="W103" i="10"/>
  <c r="W51" i="10"/>
  <c r="W588" i="10"/>
  <c r="W144" i="10"/>
  <c r="U216" i="10"/>
  <c r="V763" i="10"/>
  <c r="V507" i="10"/>
  <c r="V251" i="10"/>
  <c r="W539" i="10"/>
  <c r="V84" i="10"/>
  <c r="W628" i="10"/>
  <c r="W122" i="10"/>
  <c r="W848" i="10"/>
  <c r="W498" i="10"/>
  <c r="V160" i="10"/>
  <c r="W730" i="10"/>
  <c r="W303" i="10"/>
  <c r="V78" i="10"/>
  <c r="W620" i="10"/>
  <c r="W109" i="10"/>
  <c r="W826" i="10"/>
  <c r="W459" i="10"/>
  <c r="V154" i="10"/>
  <c r="W722" i="10"/>
  <c r="W290" i="10"/>
  <c r="V72" i="10"/>
  <c r="W612" i="10"/>
  <c r="W94" i="10"/>
  <c r="W836" i="10"/>
  <c r="W157" i="10"/>
  <c r="W846" i="10"/>
  <c r="W495" i="10"/>
  <c r="V174" i="10"/>
  <c r="W748" i="10"/>
  <c r="W335" i="10"/>
  <c r="V76" i="10"/>
  <c r="W618" i="10"/>
  <c r="W105" i="10"/>
  <c r="W840" i="10"/>
  <c r="W484" i="10"/>
  <c r="V168" i="10"/>
  <c r="W655" i="10"/>
  <c r="W170" i="10"/>
  <c r="W43" i="10"/>
  <c r="W534" i="10"/>
  <c r="W558" i="10"/>
  <c r="W797" i="10"/>
  <c r="W461" i="10"/>
  <c r="W364" i="10"/>
  <c r="W552" i="10"/>
  <c r="W793" i="10"/>
  <c r="W441" i="10"/>
  <c r="W360" i="10"/>
  <c r="W547" i="10"/>
  <c r="W773" i="10"/>
  <c r="W437" i="10"/>
  <c r="W356" i="10"/>
  <c r="W520" i="10"/>
  <c r="W769" i="10"/>
  <c r="W433" i="10"/>
  <c r="W80" i="10"/>
  <c r="W107" i="10"/>
  <c r="W408" i="10"/>
  <c r="W765" i="10"/>
  <c r="W509" i="10"/>
  <c r="W209" i="10"/>
  <c r="W252" i="10"/>
  <c r="W510" i="10"/>
  <c r="W95" i="10"/>
  <c r="W585" i="10"/>
  <c r="W310" i="10"/>
  <c r="W328" i="10"/>
  <c r="W72" i="10"/>
  <c r="W231" i="10"/>
  <c r="W661" i="10"/>
  <c r="W405" i="10"/>
  <c r="W70" i="10"/>
  <c r="W148" i="10"/>
  <c r="W366" i="10"/>
  <c r="W737" i="10"/>
  <c r="W481" i="10"/>
  <c r="W171" i="10"/>
  <c r="W224" i="10"/>
  <c r="W128" i="10"/>
  <c r="W150" i="10"/>
  <c r="W561" i="10"/>
  <c r="W195" i="10"/>
  <c r="W132" i="10"/>
  <c r="W177" i="10"/>
  <c r="W565" i="10"/>
  <c r="W202" i="10"/>
  <c r="W152" i="10"/>
  <c r="W182" i="10"/>
  <c r="W569" i="10"/>
  <c r="W238" i="10"/>
  <c r="W156" i="10"/>
  <c r="W187" i="10"/>
  <c r="W589" i="10"/>
  <c r="W245" i="10"/>
  <c r="W205" i="10"/>
  <c r="W674" i="10"/>
  <c r="W48" i="10"/>
  <c r="U152" i="10"/>
  <c r="V699" i="10"/>
  <c r="V443" i="10"/>
  <c r="V153" i="10"/>
  <c r="W286" i="10"/>
  <c r="W866" i="10"/>
  <c r="W530" i="10"/>
  <c r="V194" i="10"/>
  <c r="W775" i="10"/>
  <c r="W383" i="10"/>
  <c r="V96" i="10"/>
  <c r="W644" i="10"/>
  <c r="W151" i="10"/>
  <c r="W860" i="10"/>
  <c r="W519" i="10"/>
  <c r="V172" i="10"/>
  <c r="W746" i="10"/>
  <c r="W333" i="10"/>
  <c r="V90" i="10"/>
  <c r="W636" i="10"/>
  <c r="W137" i="10"/>
  <c r="W854" i="10"/>
  <c r="W508" i="10"/>
  <c r="V182" i="10"/>
  <c r="W555" i="10"/>
  <c r="V192" i="10"/>
  <c r="W772" i="10"/>
  <c r="W378" i="10"/>
  <c r="V110" i="10"/>
  <c r="W663" i="10"/>
  <c r="W185" i="10"/>
  <c r="W858" i="10"/>
  <c r="W516" i="10"/>
  <c r="V186" i="10"/>
  <c r="W764" i="10"/>
  <c r="W365" i="10"/>
  <c r="V104" i="10"/>
  <c r="W566" i="10"/>
  <c r="V214" i="10"/>
  <c r="W802" i="10"/>
  <c r="W420" i="10"/>
  <c r="W451" i="10"/>
  <c r="W717" i="10"/>
  <c r="W358" i="10"/>
  <c r="W284" i="10"/>
  <c r="W446" i="10"/>
  <c r="W697" i="10"/>
  <c r="W353" i="10"/>
  <c r="W280" i="10"/>
  <c r="W419" i="10"/>
  <c r="W693" i="10"/>
  <c r="W347" i="10"/>
  <c r="W260" i="10"/>
  <c r="W414" i="10"/>
  <c r="W689" i="10"/>
  <c r="W64" i="10"/>
  <c r="A21" i="13"/>
  <c r="A20" i="13"/>
  <c r="A54" i="13"/>
  <c r="A4" i="13"/>
  <c r="A28" i="13"/>
  <c r="A23" i="13"/>
  <c r="A49" i="13"/>
  <c r="A18" i="13"/>
  <c r="A24" i="13"/>
  <c r="A50" i="13"/>
  <c r="A25" i="13"/>
  <c r="A51" i="13"/>
  <c r="A36" i="13"/>
  <c r="A15" i="13"/>
  <c r="A37" i="13"/>
  <c r="A14" i="13"/>
  <c r="A64" i="13"/>
  <c r="A63" i="13"/>
  <c r="B35" i="10" s="1" a="1"/>
  <c r="B35" i="10" s="1"/>
  <c r="A19" i="13"/>
  <c r="A34" i="13"/>
  <c r="A13" i="13"/>
  <c r="A59" i="13"/>
  <c r="A12" i="13"/>
  <c r="A58" i="13"/>
  <c r="A57" i="13"/>
  <c r="A46" i="13"/>
  <c r="A8" i="13"/>
  <c r="A52" i="13"/>
  <c r="A27" i="13"/>
  <c r="A26" i="13"/>
  <c r="A3" i="13"/>
  <c r="A53" i="13"/>
  <c r="A48" i="13"/>
  <c r="A22" i="13"/>
  <c r="A43" i="13"/>
  <c r="A44" i="13"/>
  <c r="A70" i="13"/>
  <c r="B42" i="10" s="1" a="1"/>
  <c r="B42" i="10" s="1"/>
  <c r="A61" i="13"/>
  <c r="B33" i="10" s="1" a="1"/>
  <c r="B33" i="10" s="1"/>
  <c r="A62" i="13"/>
  <c r="B34" i="10" s="1" a="1"/>
  <c r="B34" i="10" s="1"/>
  <c r="A35" i="13"/>
  <c r="A6" i="13"/>
  <c r="B44" i="10" a="1"/>
  <c r="B44" i="10" s="1"/>
  <c r="A33" i="13"/>
  <c r="A32" i="13"/>
  <c r="A16" i="13"/>
  <c r="A47" i="13"/>
  <c r="A39" i="13"/>
  <c r="A38" i="13"/>
  <c r="A65" i="13"/>
  <c r="B37" i="10" s="1" a="1"/>
  <c r="B37" i="10" s="1"/>
  <c r="A66" i="13"/>
  <c r="B38" i="10" s="1" a="1"/>
  <c r="B38" i="10" s="1"/>
  <c r="A7" i="13"/>
  <c r="A11" i="13"/>
  <c r="A10" i="13"/>
  <c r="A55" i="13"/>
  <c r="A29" i="13"/>
  <c r="A5" i="13"/>
  <c r="A56" i="13"/>
  <c r="A9" i="13"/>
  <c r="A31" i="13"/>
  <c r="A30" i="13"/>
  <c r="A2" i="13"/>
  <c r="A67" i="13"/>
  <c r="B39" i="10" s="1" a="1"/>
  <c r="B39" i="10" s="1"/>
  <c r="B40" i="10" a="1"/>
  <c r="B40" i="10" s="1"/>
  <c r="B36" i="10" a="1"/>
  <c r="B36" i="10" s="1"/>
  <c r="B43" i="10" a="1"/>
  <c r="B43" i="10" s="1"/>
  <c r="B45" i="10" a="1"/>
  <c r="B45" i="10" s="1"/>
  <c r="B41" i="10" a="1"/>
  <c r="B41" i="10" s="1"/>
  <c r="L26" i="8" l="1"/>
  <c r="L34" i="8"/>
  <c r="L22" i="8"/>
  <c r="L30" i="8"/>
  <c r="L27" i="8"/>
  <c r="L35" i="8"/>
  <c r="L31" i="8"/>
  <c r="L23" i="8"/>
  <c r="L24" i="8"/>
  <c r="L32" i="8"/>
  <c r="L29" i="8"/>
  <c r="L25" i="8"/>
  <c r="L33" i="8"/>
  <c r="L28" i="8"/>
  <c r="L3" i="8"/>
  <c r="L7" i="8"/>
  <c r="L11" i="8"/>
  <c r="L15" i="8"/>
  <c r="L19" i="8"/>
  <c r="L4" i="8"/>
  <c r="L8" i="8"/>
  <c r="L12" i="8"/>
  <c r="L16" i="8"/>
  <c r="L20" i="8"/>
  <c r="L5" i="8"/>
  <c r="L13" i="8"/>
  <c r="L21" i="8"/>
  <c r="L6" i="8"/>
  <c r="L14" i="8"/>
  <c r="L10" i="8"/>
  <c r="L18" i="8"/>
  <c r="L9" i="8"/>
  <c r="L17" i="8"/>
  <c r="L2" i="8"/>
  <c r="J19" i="10"/>
  <c r="K19" i="10"/>
  <c r="I19" i="10"/>
  <c r="L19" i="10"/>
  <c r="J18" i="10"/>
  <c r="I18" i="10"/>
  <c r="K18" i="10"/>
  <c r="L18" i="10"/>
  <c r="L24" i="10"/>
  <c r="L25" i="10"/>
  <c r="L22" i="10"/>
  <c r="L23" i="10"/>
  <c r="B42" i="4" a="1"/>
  <c r="B42" i="4" s="1"/>
  <c r="B49" i="4" a="1"/>
  <c r="B49" i="4" s="1"/>
  <c r="E46" i="4" a="1"/>
  <c r="E46" i="4" s="1"/>
  <c r="B48" i="4" a="1"/>
  <c r="B48" i="4" s="1"/>
  <c r="B50" i="4" a="1"/>
  <c r="B50" i="4" s="1"/>
  <c r="B51" i="4" a="1"/>
  <c r="B51" i="4" s="1"/>
  <c r="E44" i="4" a="1"/>
  <c r="E44" i="4" s="1"/>
  <c r="E50" i="4" a="1"/>
  <c r="E50" i="4" s="1"/>
  <c r="B44" i="4" a="1"/>
  <c r="B44" i="4" s="1"/>
  <c r="B47" i="4" a="1"/>
  <c r="B47" i="4" s="1"/>
  <c r="E49" i="4" a="1"/>
  <c r="E49" i="4" s="1"/>
  <c r="E43" i="4" a="1"/>
  <c r="E43" i="4" s="1"/>
  <c r="B52" i="4" a="1"/>
  <c r="B52" i="4" s="1"/>
  <c r="B41" i="4" a="1"/>
  <c r="B41" i="4" s="1"/>
  <c r="E45" i="4" a="1"/>
  <c r="E45" i="4" s="1"/>
  <c r="B46" i="4" a="1"/>
  <c r="B46" i="4" s="1"/>
  <c r="E41" i="4" a="1"/>
  <c r="E41" i="4" s="1"/>
  <c r="E48" i="4" a="1"/>
  <c r="E48" i="4" s="1"/>
  <c r="B45" i="4" a="1"/>
  <c r="B45" i="4" s="1"/>
  <c r="B43" i="4" a="1"/>
  <c r="B43" i="4" s="1"/>
  <c r="E42" i="4" a="1"/>
  <c r="E42" i="4" s="1"/>
  <c r="E47" i="4" a="1"/>
  <c r="E47" i="4" s="1"/>
  <c r="G18" i="10" l="1"/>
  <c r="C100" i="10" l="1" a="1"/>
  <c r="C100" i="10" s="1"/>
  <c r="B100" i="10" l="1" a="1"/>
  <c r="B100" i="10" s="1"/>
  <c r="F348" i="10" s="1"/>
  <c r="B228" i="4" a="1"/>
  <c r="B228" i="4" s="1"/>
  <c r="B373" i="4" a="1"/>
  <c r="B373" i="4" s="1"/>
  <c r="B60" i="4" a="1"/>
  <c r="B60" i="4" s="1"/>
  <c r="B232" i="4" a="1"/>
  <c r="B232" i="4" s="1"/>
  <c r="B269" i="4" a="1"/>
  <c r="B269" i="4" s="1"/>
  <c r="B283" i="4" a="1"/>
  <c r="B283" i="4" s="1"/>
  <c r="B128" i="4" a="1"/>
  <c r="B128" i="4" s="1"/>
  <c r="B233" i="4" a="1"/>
  <c r="B233" i="4" s="1"/>
  <c r="B169" i="4" a="1"/>
  <c r="B169" i="4" s="1"/>
  <c r="B323" i="4" a="1"/>
  <c r="B323" i="4" s="1"/>
  <c r="B539" i="4" a="1"/>
  <c r="B539" i="4" s="1"/>
  <c r="B63" i="4" a="1"/>
  <c r="B63" i="4" s="1"/>
  <c r="B591" i="4" a="1"/>
  <c r="B591" i="4" s="1"/>
  <c r="B290" i="4" a="1"/>
  <c r="B290" i="4" s="1"/>
  <c r="B274" i="4" a="1"/>
  <c r="B274" i="4" s="1"/>
  <c r="B260" i="4" a="1"/>
  <c r="B260" i="4" s="1"/>
  <c r="B309" i="4" a="1"/>
  <c r="B309" i="4" s="1"/>
  <c r="B156" i="4" a="1"/>
  <c r="B156" i="4" s="1"/>
  <c r="B176" i="4" a="1"/>
  <c r="B176" i="4" s="1"/>
  <c r="B159" i="4" a="1"/>
  <c r="B159" i="4" s="1"/>
  <c r="B101" i="4" a="1"/>
  <c r="B101" i="4" s="1"/>
  <c r="B141" i="4" a="1"/>
  <c r="B141" i="4" s="1"/>
  <c r="B449" i="4" a="1"/>
  <c r="B449" i="4" s="1"/>
  <c r="B78" i="4" a="1"/>
  <c r="B78" i="4" s="1"/>
  <c r="B532" i="4" a="1"/>
  <c r="B532" i="4" s="1"/>
  <c r="B517" i="4" a="1"/>
  <c r="B517" i="4" s="1"/>
  <c r="B277" i="4" a="1"/>
  <c r="B277" i="4" s="1"/>
  <c r="B103" i="4" a="1"/>
  <c r="B103" i="4" s="1"/>
  <c r="B282" i="4" a="1"/>
  <c r="B282" i="4" s="1"/>
  <c r="B298" i="4" a="1"/>
  <c r="B298" i="4" s="1"/>
  <c r="B592" i="4" a="1"/>
  <c r="B592" i="4" s="1"/>
  <c r="B322" i="4" a="1"/>
  <c r="B322" i="4" s="1"/>
  <c r="B202" i="4" a="1"/>
  <c r="B202" i="4" s="1"/>
  <c r="B417" i="4" a="1"/>
  <c r="B417" i="4" s="1"/>
  <c r="B547" i="4" a="1"/>
  <c r="B547" i="4" s="1"/>
  <c r="B102" i="4" a="1"/>
  <c r="B102" i="4" s="1"/>
  <c r="B346" i="4" a="1"/>
  <c r="B346" i="4" s="1"/>
  <c r="B192" i="4" a="1"/>
  <c r="B192" i="4" s="1"/>
  <c r="B495" i="4" a="1"/>
  <c r="B495" i="4" s="1"/>
  <c r="B92" i="4" a="1"/>
  <c r="B92" i="4" s="1"/>
  <c r="B94" i="4" a="1"/>
  <c r="B94" i="4" s="1"/>
  <c r="B177" i="4" a="1"/>
  <c r="B177" i="4" s="1"/>
  <c r="B209" i="4" a="1"/>
  <c r="B209" i="4" s="1"/>
  <c r="B93" i="4" a="1"/>
  <c r="B93" i="4" s="1"/>
  <c r="B494" i="4" a="1"/>
  <c r="B494" i="4" s="1"/>
  <c r="B151" i="4" a="1"/>
  <c r="B151" i="4" s="1"/>
  <c r="B406" i="4" a="1"/>
  <c r="B406" i="4" s="1"/>
  <c r="B359" i="4" a="1"/>
  <c r="B359" i="4" s="1"/>
  <c r="B423" i="4" a="1"/>
  <c r="B423" i="4" s="1"/>
  <c r="B514" i="4" a="1"/>
  <c r="B514" i="4" s="1"/>
  <c r="B506" i="4" a="1"/>
  <c r="B506" i="4" s="1"/>
  <c r="B146" i="4" a="1"/>
  <c r="B146" i="4" s="1"/>
  <c r="B85" i="4" a="1"/>
  <c r="B85" i="4" s="1"/>
  <c r="B127" i="4" a="1"/>
  <c r="B127" i="4" s="1"/>
  <c r="B126" i="4" a="1"/>
  <c r="B126" i="4" s="1"/>
  <c r="B574" i="4" a="1"/>
  <c r="B574" i="4" s="1"/>
  <c r="B215" i="4" a="1"/>
  <c r="B215" i="4" s="1"/>
  <c r="B200" i="4" a="1"/>
  <c r="B200" i="4" s="1"/>
  <c r="B270" i="4" a="1"/>
  <c r="B270" i="4" s="1"/>
  <c r="B390" i="4" a="1"/>
  <c r="B390" i="4" s="1"/>
  <c r="B504" i="4" a="1"/>
  <c r="B504" i="4" s="1"/>
  <c r="B512" i="4" a="1"/>
  <c r="B512" i="4" s="1"/>
  <c r="B276" i="4" a="1"/>
  <c r="B276" i="4" s="1"/>
  <c r="B75" i="4" a="1"/>
  <c r="B75" i="4" s="1"/>
  <c r="B71" i="4" a="1"/>
  <c r="B71" i="4" s="1"/>
  <c r="B393" i="4" a="1"/>
  <c r="B393" i="4" s="1"/>
  <c r="B450" i="4" a="1"/>
  <c r="B450" i="4" s="1"/>
  <c r="B265" i="4" a="1"/>
  <c r="B265" i="4" s="1"/>
  <c r="B201" i="4" a="1"/>
  <c r="B201" i="4" s="1"/>
  <c r="B216" i="4" a="1"/>
  <c r="B216" i="4" s="1"/>
  <c r="B105" i="4" a="1"/>
  <c r="B105" i="4" s="1"/>
  <c r="B163" i="4" a="1"/>
  <c r="B163" i="4" s="1"/>
  <c r="B100" i="4" a="1"/>
  <c r="B100" i="4" s="1"/>
  <c r="B482" i="4" a="1"/>
  <c r="B482" i="4" s="1"/>
  <c r="B328" i="4" a="1"/>
  <c r="B328" i="4" s="1"/>
  <c r="B118" i="4" a="1"/>
  <c r="B118" i="4" s="1"/>
  <c r="B378" i="4" a="1"/>
  <c r="B378" i="4" s="1"/>
  <c r="B497" i="4" a="1"/>
  <c r="B497" i="4" s="1"/>
  <c r="B544" i="4" a="1"/>
  <c r="B544" i="4" s="1"/>
  <c r="B360" i="4" a="1"/>
  <c r="B360" i="4" s="1"/>
  <c r="B90" i="4" a="1"/>
  <c r="B90" i="4" s="1"/>
  <c r="B241" i="4" a="1"/>
  <c r="B241" i="4" s="1"/>
  <c r="B68" i="4" a="1"/>
  <c r="B68" i="4" s="1"/>
  <c r="B555" i="4" a="1"/>
  <c r="B555" i="4" s="1"/>
  <c r="B210" i="4" a="1"/>
  <c r="B210" i="4" s="1"/>
  <c r="B99" i="4" a="1"/>
  <c r="B99" i="4" s="1"/>
  <c r="B552" i="4" a="1"/>
  <c r="B552" i="4" s="1"/>
  <c r="B219" i="4" a="1"/>
  <c r="B219" i="4" s="1"/>
  <c r="B489" i="4" a="1"/>
  <c r="B489" i="4" s="1"/>
  <c r="B553" i="4" a="1"/>
  <c r="B553" i="4" s="1"/>
  <c r="B573" i="4" a="1"/>
  <c r="B573" i="4" s="1"/>
  <c r="B371" i="4" a="1"/>
  <c r="B371" i="4" s="1"/>
  <c r="B65" i="4" a="1"/>
  <c r="B65" i="4" s="1"/>
  <c r="B83" i="4" a="1"/>
  <c r="B83" i="4" s="1"/>
  <c r="B313" i="4" a="1"/>
  <c r="B313" i="4" s="1"/>
  <c r="B526" i="4" a="1"/>
  <c r="B526" i="4" s="1"/>
  <c r="B416" i="4" a="1"/>
  <c r="B416" i="4" s="1"/>
  <c r="B364" i="4" a="1"/>
  <c r="B364" i="4" s="1"/>
  <c r="B415" i="4" a="1"/>
  <c r="B415" i="4" s="1"/>
  <c r="B576" i="4" a="1"/>
  <c r="B576" i="4" s="1"/>
  <c r="B568" i="4" a="1"/>
  <c r="B568" i="4" s="1"/>
  <c r="B114" i="4" a="1"/>
  <c r="B114" i="4" s="1"/>
  <c r="B279" i="4" a="1"/>
  <c r="B279" i="4" s="1"/>
  <c r="B182" i="4" a="1"/>
  <c r="B182" i="4" s="1"/>
  <c r="B496" i="4" a="1"/>
  <c r="B496" i="4" s="1"/>
  <c r="B262" i="4" a="1"/>
  <c r="B262" i="4" s="1"/>
  <c r="B144" i="4" a="1"/>
  <c r="B144" i="4" s="1"/>
  <c r="B566" i="4" a="1"/>
  <c r="B566" i="4" s="1"/>
  <c r="B541" i="4" a="1"/>
  <c r="B541" i="4" s="1"/>
  <c r="B577" i="4" a="1"/>
  <c r="B577" i="4" s="1"/>
  <c r="B225" i="4" a="1"/>
  <c r="B225" i="4" s="1"/>
  <c r="B565" i="4" a="1"/>
  <c r="B565" i="4" s="1"/>
  <c r="B410" i="4" a="1"/>
  <c r="B410" i="4" s="1"/>
  <c r="B454" i="4" a="1"/>
  <c r="B454" i="4" s="1"/>
  <c r="B84" i="4" a="1"/>
  <c r="B84" i="4" s="1"/>
  <c r="B402" i="4" a="1"/>
  <c r="B402" i="4" s="1"/>
  <c r="B257" i="4" a="1"/>
  <c r="B257" i="4" s="1"/>
  <c r="B235" i="4" a="1"/>
  <c r="B235" i="4" s="1"/>
  <c r="B292" i="4" a="1"/>
  <c r="B292" i="4" s="1"/>
  <c r="B155" i="4" a="1"/>
  <c r="B155" i="4" s="1"/>
  <c r="B486" i="4" a="1"/>
  <c r="B486" i="4" s="1"/>
  <c r="B404" i="4" a="1"/>
  <c r="B404" i="4" s="1"/>
  <c r="B384" i="4" a="1"/>
  <c r="B384" i="4" s="1"/>
  <c r="B280" i="4" a="1"/>
  <c r="B280" i="4" s="1"/>
  <c r="B386" i="4" a="1"/>
  <c r="B386" i="4" s="1"/>
  <c r="B487" i="4" a="1"/>
  <c r="B487" i="4" s="1"/>
  <c r="B444" i="4" a="1"/>
  <c r="B444" i="4" s="1"/>
  <c r="B575" i="4" a="1"/>
  <c r="B575" i="4" s="1"/>
  <c r="B104" i="4" a="1"/>
  <c r="B104" i="4" s="1"/>
  <c r="B196" i="4" a="1"/>
  <c r="B196" i="4" s="1"/>
  <c r="B584" i="4" a="1"/>
  <c r="B584" i="4" s="1"/>
  <c r="B124" i="4" a="1"/>
  <c r="B124" i="4" s="1"/>
  <c r="B301" i="4" a="1"/>
  <c r="B301" i="4" s="1"/>
  <c r="B549" i="4" a="1"/>
  <c r="B549" i="4" s="1"/>
  <c r="B488" i="4" a="1"/>
  <c r="B488" i="4" s="1"/>
  <c r="B507" i="4" a="1"/>
  <c r="B507" i="4" s="1"/>
  <c r="B297" i="4" a="1"/>
  <c r="B297" i="4" s="1"/>
  <c r="B170" i="4" a="1"/>
  <c r="B170" i="4" s="1"/>
  <c r="B443" i="4" a="1"/>
  <c r="B443" i="4" s="1"/>
  <c r="B453" i="4" a="1"/>
  <c r="B453" i="4" s="1"/>
  <c r="B316" i="4" a="1"/>
  <c r="B316" i="4" s="1"/>
  <c r="B376" i="4" a="1"/>
  <c r="B376" i="4" s="1"/>
  <c r="B499" i="4" a="1"/>
  <c r="B499" i="4" s="1"/>
  <c r="B299" i="4" a="1"/>
  <c r="B299" i="4" s="1"/>
  <c r="B148" i="4" a="1"/>
  <c r="B148" i="4" s="1"/>
  <c r="B88" i="4" a="1"/>
  <c r="B88" i="4" s="1"/>
  <c r="B195" i="4" a="1"/>
  <c r="B195" i="4" s="1"/>
  <c r="B447" i="4" a="1"/>
  <c r="B447" i="4" s="1"/>
  <c r="B435" i="4" a="1"/>
  <c r="B435" i="4" s="1"/>
  <c r="B528" i="4" a="1"/>
  <c r="B528" i="4" s="1"/>
  <c r="B188" i="4" a="1"/>
  <c r="B188" i="4" s="1"/>
  <c r="B77" i="4" a="1"/>
  <c r="B77" i="4" s="1"/>
  <c r="B370" i="4" a="1"/>
  <c r="B370" i="4" s="1"/>
  <c r="B212" i="4" a="1"/>
  <c r="B212" i="4" s="1"/>
  <c r="B509" i="4" a="1"/>
  <c r="B509" i="4" s="1"/>
  <c r="B306" i="4" a="1"/>
  <c r="B306" i="4" s="1"/>
  <c r="B320" i="4" a="1"/>
  <c r="B320" i="4" s="1"/>
  <c r="B463" i="4" a="1"/>
  <c r="B463" i="4" s="1"/>
  <c r="B179" i="4" a="1"/>
  <c r="B179" i="4" s="1"/>
  <c r="B425" i="4" a="1"/>
  <c r="B425" i="4" s="1"/>
  <c r="B414" i="4" a="1"/>
  <c r="B414" i="4" s="1"/>
  <c r="B166" i="4" a="1"/>
  <c r="B166" i="4" s="1"/>
  <c r="B467" i="4" a="1"/>
  <c r="B467" i="4" s="1"/>
  <c r="B426" i="4" a="1"/>
  <c r="B426" i="4" s="1"/>
  <c r="B185" i="4" a="1"/>
  <c r="B185" i="4" s="1"/>
  <c r="B271" i="4" a="1"/>
  <c r="B271" i="4" s="1"/>
  <c r="B429" i="4" a="1"/>
  <c r="B429" i="4" s="1"/>
  <c r="B380" i="4" a="1"/>
  <c r="B380" i="4" s="1"/>
  <c r="B247" i="4" a="1"/>
  <c r="B247" i="4" s="1"/>
  <c r="B358" i="4" a="1"/>
  <c r="B358" i="4" s="1"/>
  <c r="B221" i="4" a="1"/>
  <c r="B221" i="4" s="1"/>
  <c r="B536" i="4" a="1"/>
  <c r="B536" i="4" s="1"/>
  <c r="B184" i="4" a="1"/>
  <c r="B184" i="4" s="1"/>
  <c r="B434" i="4" a="1"/>
  <c r="B434" i="4" s="1"/>
  <c r="B476" i="4" a="1"/>
  <c r="B476" i="4" s="1"/>
  <c r="B286" i="4" a="1"/>
  <c r="B286" i="4" s="1"/>
  <c r="B491" i="4" a="1"/>
  <c r="B491" i="4" s="1"/>
  <c r="B152" i="4" a="1"/>
  <c r="B152" i="4" s="1"/>
  <c r="B267" i="4" a="1"/>
  <c r="B267" i="4" s="1"/>
  <c r="B108" i="4" a="1"/>
  <c r="B108" i="4" s="1"/>
  <c r="B249" i="4" a="1"/>
  <c r="B249" i="4" s="1"/>
  <c r="B452" i="4" a="1"/>
  <c r="B452" i="4" s="1"/>
  <c r="B457" i="4" a="1"/>
  <c r="B457" i="4" s="1"/>
  <c r="B460" i="4" a="1"/>
  <c r="B460" i="4" s="1"/>
  <c r="B70" i="4" a="1"/>
  <c r="B70" i="4" s="1"/>
  <c r="B242" i="4" a="1"/>
  <c r="B242" i="4" s="1"/>
  <c r="B347" i="4" a="1"/>
  <c r="B347" i="4" s="1"/>
  <c r="B250" i="4" a="1"/>
  <c r="B250" i="4" s="1"/>
  <c r="B187" i="4" a="1"/>
  <c r="B187" i="4" s="1"/>
  <c r="B191" i="4" a="1"/>
  <c r="B191" i="4" s="1"/>
  <c r="B157" i="4" a="1"/>
  <c r="B157" i="4" s="1"/>
  <c r="B96" i="4" a="1"/>
  <c r="B96" i="4" s="1"/>
  <c r="B120" i="4" a="1"/>
  <c r="B120" i="4" s="1"/>
  <c r="B469" i="4" a="1"/>
  <c r="B469" i="4" s="1"/>
  <c r="B168" i="4" a="1"/>
  <c r="B168" i="4" s="1"/>
  <c r="B239" i="4" a="1"/>
  <c r="B239" i="4" s="1"/>
  <c r="B502" i="4" a="1"/>
  <c r="B502" i="4" s="1"/>
  <c r="B338" i="4" a="1"/>
  <c r="B338" i="4" s="1"/>
  <c r="B289" i="4" a="1"/>
  <c r="B289" i="4" s="1"/>
  <c r="B183" i="4" a="1"/>
  <c r="B183" i="4" s="1"/>
  <c r="B110" i="4" a="1"/>
  <c r="B110" i="4" s="1"/>
  <c r="B421" i="4" a="1"/>
  <c r="B421" i="4" s="1"/>
  <c r="B226" i="4" a="1"/>
  <c r="B226" i="4" s="1"/>
  <c r="B534" i="4" a="1"/>
  <c r="B534" i="4" s="1"/>
  <c r="B254" i="4" a="1"/>
  <c r="B254" i="4" s="1"/>
  <c r="B543" i="4" a="1"/>
  <c r="B543" i="4" s="1"/>
  <c r="B296" i="4" a="1"/>
  <c r="B296" i="4" s="1"/>
  <c r="B408" i="4" a="1"/>
  <c r="B408" i="4" s="1"/>
  <c r="B352" i="4" a="1"/>
  <c r="B352" i="4" s="1"/>
  <c r="B446" i="4" a="1"/>
  <c r="B446" i="4" s="1"/>
  <c r="B420" i="4" a="1"/>
  <c r="B420" i="4" s="1"/>
  <c r="B335" i="4" a="1"/>
  <c r="B335" i="4" s="1"/>
  <c r="B501" i="4" a="1"/>
  <c r="B501" i="4" s="1"/>
  <c r="B238" i="4" a="1"/>
  <c r="B238" i="4" s="1"/>
  <c r="B427" i="4" a="1"/>
  <c r="B427" i="4" s="1"/>
  <c r="B76" i="4" a="1"/>
  <c r="B76" i="4" s="1"/>
  <c r="B493" i="4" a="1"/>
  <c r="B493" i="4" s="1"/>
  <c r="B459" i="4" a="1"/>
  <c r="B459" i="4" s="1"/>
  <c r="B583" i="4" a="1"/>
  <c r="B583" i="4" s="1"/>
  <c r="B540" i="4" a="1"/>
  <c r="B540" i="4" s="1"/>
  <c r="B556" i="4" a="1"/>
  <c r="B556" i="4" s="1"/>
  <c r="B87" i="4" a="1"/>
  <c r="B87" i="4" s="1"/>
  <c r="B461" i="4" a="1"/>
  <c r="B461" i="4" s="1"/>
  <c r="B473" i="4" a="1"/>
  <c r="B473" i="4" s="1"/>
  <c r="B405" i="4" a="1"/>
  <c r="B405" i="4" s="1"/>
  <c r="B353" i="4" a="1"/>
  <c r="B353" i="4" s="1"/>
  <c r="B437" i="4" a="1"/>
  <c r="B437" i="4" s="1"/>
  <c r="B333" i="4" a="1"/>
  <c r="B333" i="4" s="1"/>
  <c r="B400" i="4" a="1"/>
  <c r="B400" i="4" s="1"/>
  <c r="B261" i="4" a="1"/>
  <c r="B261" i="4" s="1"/>
  <c r="B388" i="4" a="1"/>
  <c r="B388" i="4" s="1"/>
  <c r="B542" i="4" a="1"/>
  <c r="B542" i="4" s="1"/>
  <c r="B350" i="4" a="1"/>
  <c r="B350" i="4" s="1"/>
  <c r="B245" i="4" a="1"/>
  <c r="B245" i="4" s="1"/>
  <c r="B198" i="4" a="1"/>
  <c r="B198" i="4" s="1"/>
  <c r="B230" i="4" a="1"/>
  <c r="B230" i="4" s="1"/>
  <c r="B138" i="4" a="1"/>
  <c r="B138" i="4" s="1"/>
  <c r="B304" i="4" a="1"/>
  <c r="B304" i="4" s="1"/>
  <c r="B311" i="4" a="1"/>
  <c r="B311" i="4" s="1"/>
  <c r="B64" i="4" a="1"/>
  <c r="B64" i="4" s="1"/>
  <c r="B465" i="4" a="1"/>
  <c r="B465" i="4" s="1"/>
  <c r="B523" i="4" a="1"/>
  <c r="B523" i="4" s="1"/>
  <c r="B273" i="4" a="1"/>
  <c r="B273" i="4" s="1"/>
  <c r="B337" i="4" a="1"/>
  <c r="B337" i="4" s="1"/>
  <c r="B508" i="4" a="1"/>
  <c r="B508" i="4" s="1"/>
  <c r="B326" i="4" a="1"/>
  <c r="B326" i="4" s="1"/>
  <c r="B529" i="4" a="1"/>
  <c r="B529" i="4" s="1"/>
  <c r="B572" i="4" a="1"/>
  <c r="B572" i="4" s="1"/>
  <c r="B377" i="4" a="1"/>
  <c r="B377" i="4" s="1"/>
  <c r="B349" i="4" a="1"/>
  <c r="B349" i="4" s="1"/>
  <c r="B596" i="4" a="1"/>
  <c r="B596" i="4" s="1"/>
  <c r="B345" i="4" a="1"/>
  <c r="B345" i="4" s="1"/>
  <c r="B368" i="4" a="1"/>
  <c r="B368" i="4" s="1"/>
  <c r="B222" i="4" a="1"/>
  <c r="B222" i="4" s="1"/>
  <c r="B342" i="4" a="1"/>
  <c r="B342" i="4" s="1"/>
  <c r="B411" i="4" a="1"/>
  <c r="B411" i="4" s="1"/>
  <c r="B594" i="4" a="1"/>
  <c r="B594" i="4" s="1"/>
  <c r="B97" i="4" a="1"/>
  <c r="B97" i="4" s="1"/>
  <c r="B372" i="4" a="1"/>
  <c r="B372" i="4" s="1"/>
  <c r="B479" i="4" a="1"/>
  <c r="B479" i="4" s="1"/>
  <c r="B439" i="4" a="1"/>
  <c r="B439" i="4" s="1"/>
  <c r="B424" i="4" a="1"/>
  <c r="B424" i="4" s="1"/>
  <c r="B62" i="4" a="1"/>
  <c r="B62" i="4" s="1"/>
  <c r="B132" i="4" a="1"/>
  <c r="B132" i="4" s="1"/>
  <c r="B227" i="4" a="1"/>
  <c r="B227" i="4" s="1"/>
  <c r="B223" i="4" a="1"/>
  <c r="B223" i="4" s="1"/>
  <c r="B442" i="4" a="1"/>
  <c r="B442" i="4" s="1"/>
  <c r="B139" i="4" a="1"/>
  <c r="B139" i="4" s="1"/>
  <c r="B231" i="4" a="1"/>
  <c r="B231" i="4" s="1"/>
  <c r="B409" i="4" a="1"/>
  <c r="B409" i="4" s="1"/>
  <c r="B140" i="4" a="1"/>
  <c r="B140" i="4" s="1"/>
  <c r="B513" i="4" a="1"/>
  <c r="B513" i="4" s="1"/>
  <c r="B510" i="4" a="1"/>
  <c r="B510" i="4" s="1"/>
  <c r="B432" i="4" a="1"/>
  <c r="B432" i="4" s="1"/>
  <c r="B259" i="4" a="1"/>
  <c r="B259" i="4" s="1"/>
  <c r="B266" i="4" a="1"/>
  <c r="B266" i="4" s="1"/>
  <c r="B369" i="4" a="1"/>
  <c r="B369" i="4" s="1"/>
  <c r="B327" i="4" a="1"/>
  <c r="B327" i="4" s="1"/>
  <c r="B295" i="4" a="1"/>
  <c r="B295" i="4" s="1"/>
  <c r="B464" i="4" a="1"/>
  <c r="B464" i="4" s="1"/>
  <c r="B562" i="4" a="1"/>
  <c r="B562" i="4" s="1"/>
  <c r="B91" i="4" a="1"/>
  <c r="B91" i="4" s="1"/>
  <c r="B586" i="4" a="1"/>
  <c r="B586" i="4" s="1"/>
  <c r="B162" i="4" a="1"/>
  <c r="B162" i="4" s="1"/>
  <c r="B545" i="4" a="1"/>
  <c r="B545" i="4" s="1"/>
  <c r="B67" i="4" a="1"/>
  <c r="B67" i="4" s="1"/>
  <c r="B563" i="4" a="1"/>
  <c r="B563" i="4" s="1"/>
  <c r="B581" i="4" a="1"/>
  <c r="B581" i="4" s="1"/>
  <c r="B470" i="4" a="1"/>
  <c r="B470" i="4" s="1"/>
  <c r="B561" i="4" a="1"/>
  <c r="B561" i="4" s="1"/>
  <c r="B399" i="4" a="1"/>
  <c r="B399" i="4" s="1"/>
  <c r="B433" i="4" a="1"/>
  <c r="B433" i="4" s="1"/>
  <c r="B511" i="4" a="1"/>
  <c r="B511" i="4" s="1"/>
  <c r="B229" i="4" a="1"/>
  <c r="B229" i="4" s="1"/>
  <c r="B589" i="4" a="1"/>
  <c r="B589" i="4" s="1"/>
  <c r="B107" i="4" a="1"/>
  <c r="B107" i="4" s="1"/>
  <c r="B343" i="4" a="1"/>
  <c r="B343" i="4" s="1"/>
  <c r="B407" i="4" a="1"/>
  <c r="B407" i="4" s="1"/>
  <c r="B492" i="4" a="1"/>
  <c r="B492" i="4" s="1"/>
  <c r="B480" i="4" a="1"/>
  <c r="B480" i="4" s="1"/>
  <c r="B206" i="4" a="1"/>
  <c r="B206" i="4" s="1"/>
  <c r="B398" i="4" a="1"/>
  <c r="B398" i="4" s="1"/>
  <c r="B111" i="4" a="1"/>
  <c r="B111" i="4" s="1"/>
  <c r="B329" i="4" a="1"/>
  <c r="B329" i="4" s="1"/>
  <c r="B477" i="4" a="1"/>
  <c r="B477" i="4" s="1"/>
  <c r="B383" i="4" a="1"/>
  <c r="B383" i="4" s="1"/>
  <c r="B318" i="4" a="1"/>
  <c r="B318" i="4" s="1"/>
  <c r="B593" i="4" a="1"/>
  <c r="B593" i="4" s="1"/>
  <c r="B324" i="4" a="1"/>
  <c r="B324" i="4" s="1"/>
  <c r="B106" i="4" a="1"/>
  <c r="B106" i="4" s="1"/>
  <c r="B354" i="4" a="1"/>
  <c r="B354" i="4" s="1"/>
  <c r="B559" i="4" a="1"/>
  <c r="B559" i="4" s="1"/>
  <c r="B61" i="4" a="1"/>
  <c r="B61" i="4" s="1"/>
  <c r="B516" i="4" a="1"/>
  <c r="B516" i="4" s="1"/>
  <c r="B389" i="4" a="1"/>
  <c r="B389" i="4" s="1"/>
  <c r="B293" i="4" a="1"/>
  <c r="B293" i="4" s="1"/>
  <c r="B557" i="4" a="1"/>
  <c r="B557" i="4" s="1"/>
  <c r="B597" i="4" a="1"/>
  <c r="B597" i="4" s="1"/>
  <c r="B478" i="4" a="1"/>
  <c r="B478" i="4" s="1"/>
  <c r="B571" i="4" a="1"/>
  <c r="B571" i="4" s="1"/>
  <c r="B258" i="4" a="1"/>
  <c r="B258" i="4" s="1"/>
  <c r="B190" i="4" a="1"/>
  <c r="B190" i="4" s="1"/>
  <c r="B310" i="4" a="1"/>
  <c r="B310" i="4" s="1"/>
  <c r="B224" i="4" a="1"/>
  <c r="B224" i="4" s="1"/>
  <c r="B475" i="4" a="1"/>
  <c r="B475" i="4" s="1"/>
  <c r="B294" i="4" a="1"/>
  <c r="B294" i="4" s="1"/>
  <c r="B500" i="4" a="1"/>
  <c r="B500" i="4" s="1"/>
  <c r="B538" i="4" a="1"/>
  <c r="B538" i="4" s="1"/>
  <c r="B248" i="4" a="1"/>
  <c r="B248" i="4" s="1"/>
  <c r="B503" i="4" a="1"/>
  <c r="B503" i="4" s="1"/>
  <c r="B173" i="4" a="1"/>
  <c r="B173" i="4" s="1"/>
  <c r="B278" i="4" a="1"/>
  <c r="B278" i="4" s="1"/>
  <c r="B131" i="4" a="1"/>
  <c r="B131" i="4" s="1"/>
  <c r="B456" i="4" a="1"/>
  <c r="B456" i="4" s="1"/>
  <c r="B194" i="4" a="1"/>
  <c r="B194" i="4" s="1"/>
  <c r="B142" i="4" a="1"/>
  <c r="B142" i="4" s="1"/>
  <c r="B381" i="4" a="1"/>
  <c r="B381" i="4" s="1"/>
  <c r="B567" i="4" a="1"/>
  <c r="B567" i="4" s="1"/>
  <c r="B119" i="4" a="1"/>
  <c r="B119" i="4" s="1"/>
  <c r="B458" i="4" a="1"/>
  <c r="B458" i="4" s="1"/>
  <c r="B80" i="4" a="1"/>
  <c r="B80" i="4" s="1"/>
  <c r="B255" i="4" a="1"/>
  <c r="B255" i="4" s="1"/>
  <c r="B588" i="4" a="1"/>
  <c r="B588" i="4" s="1"/>
  <c r="B317" i="4" a="1"/>
  <c r="B317" i="4" s="1"/>
  <c r="B256" i="4" a="1"/>
  <c r="B256" i="4" s="1"/>
  <c r="B149" i="4" a="1"/>
  <c r="B149" i="4" s="1"/>
  <c r="B167" i="4" a="1"/>
  <c r="B167" i="4" s="1"/>
  <c r="B533" i="4" a="1"/>
  <c r="B533" i="4" s="1"/>
  <c r="B86" i="4" a="1"/>
  <c r="B86" i="4" s="1"/>
  <c r="B431" i="4" a="1"/>
  <c r="B431" i="4" s="1"/>
  <c r="B66" i="4" a="1"/>
  <c r="B66" i="4" s="1"/>
  <c r="B130" i="4" a="1"/>
  <c r="B130" i="4" s="1"/>
  <c r="B595" i="4" a="1"/>
  <c r="B595" i="4" s="1"/>
  <c r="B374" i="4" a="1"/>
  <c r="B374" i="4" s="1"/>
  <c r="B599" i="4" a="1"/>
  <c r="B599" i="4" s="1"/>
  <c r="B401" i="4" a="1"/>
  <c r="B401" i="4" s="1"/>
  <c r="B319" i="4" a="1"/>
  <c r="B319" i="4" s="1"/>
  <c r="B312" i="4" a="1"/>
  <c r="B312" i="4" s="1"/>
  <c r="B218" i="4" a="1"/>
  <c r="B218" i="4" s="1"/>
  <c r="B448" i="4" a="1"/>
  <c r="B448" i="4" s="1"/>
  <c r="B569" i="4" a="1"/>
  <c r="B569" i="4" s="1"/>
  <c r="B451" i="4" a="1"/>
  <c r="B451" i="4" s="1"/>
  <c r="B558" i="4" a="1"/>
  <c r="B558" i="4" s="1"/>
  <c r="B123" i="4" a="1"/>
  <c r="B123" i="4" s="1"/>
  <c r="B89" i="4" a="1"/>
  <c r="B89" i="4" s="1"/>
  <c r="B263" i="4" a="1"/>
  <c r="B263" i="4" s="1"/>
  <c r="B204" i="4" a="1"/>
  <c r="B204" i="4" s="1"/>
  <c r="B302" i="4" a="1"/>
  <c r="B302" i="4" s="1"/>
  <c r="B330" i="4" a="1"/>
  <c r="B330" i="4" s="1"/>
  <c r="B251" i="4" a="1"/>
  <c r="B251" i="4" s="1"/>
  <c r="B445" i="4" a="1"/>
  <c r="B445" i="4" s="1"/>
  <c r="B362" i="4" a="1"/>
  <c r="B362" i="4" s="1"/>
  <c r="B367" i="4" a="1"/>
  <c r="B367" i="4" s="1"/>
  <c r="B207" i="4" a="1"/>
  <c r="B207" i="4" s="1"/>
  <c r="B430" i="4" a="1"/>
  <c r="B430" i="4" s="1"/>
  <c r="B391" i="4" a="1"/>
  <c r="B391" i="4" s="1"/>
  <c r="B436" i="4" a="1"/>
  <c r="B436" i="4" s="1"/>
  <c r="B525" i="4" a="1"/>
  <c r="B525" i="4" s="1"/>
  <c r="B428" i="4" a="1"/>
  <c r="B428" i="4" s="1"/>
  <c r="B307" i="4" a="1"/>
  <c r="B307" i="4" s="1"/>
  <c r="B285" i="4" a="1"/>
  <c r="B285" i="4" s="1"/>
  <c r="B332" i="4" a="1"/>
  <c r="B332" i="4" s="1"/>
  <c r="B117" i="4" a="1"/>
  <c r="B117" i="4" s="1"/>
  <c r="B560" i="4" a="1"/>
  <c r="B560" i="4" s="1"/>
  <c r="B203" i="4" a="1"/>
  <c r="B203" i="4" s="1"/>
  <c r="B79" i="4" a="1"/>
  <c r="B79" i="4" s="1"/>
  <c r="B524" i="4" a="1"/>
  <c r="B524" i="4" s="1"/>
  <c r="B288" i="4" a="1"/>
  <c r="B288" i="4" s="1"/>
  <c r="B548" i="4" a="1"/>
  <c r="B548" i="4" s="1"/>
  <c r="B275" i="4" a="1"/>
  <c r="B275" i="4" s="1"/>
  <c r="B578" i="4" a="1"/>
  <c r="B578" i="4" s="1"/>
  <c r="B535" i="4" a="1"/>
  <c r="B535" i="4" s="1"/>
  <c r="B403" i="4" a="1"/>
  <c r="B403" i="4" s="1"/>
  <c r="B186" i="4" a="1"/>
  <c r="B186" i="4" s="1"/>
  <c r="B438" i="4" a="1"/>
  <c r="B438" i="4" s="1"/>
  <c r="B240" i="4" a="1"/>
  <c r="B240" i="4" s="1"/>
  <c r="B537" i="4" a="1"/>
  <c r="B537" i="4" s="1"/>
  <c r="B300" i="4" a="1"/>
  <c r="B300" i="4" s="1"/>
  <c r="B211" i="4" a="1"/>
  <c r="B211" i="4" s="1"/>
  <c r="B334" i="4" a="1"/>
  <c r="B334" i="4" s="1"/>
  <c r="B284" i="4" a="1"/>
  <c r="B284" i="4" s="1"/>
  <c r="B181" i="4" a="1"/>
  <c r="B181" i="4" s="1"/>
  <c r="B355" i="4" a="1"/>
  <c r="B355" i="4" s="1"/>
  <c r="B121" i="4" a="1"/>
  <c r="B121" i="4" s="1"/>
  <c r="B412" i="4" a="1"/>
  <c r="B412" i="4" s="1"/>
  <c r="B208" i="4" a="1"/>
  <c r="B208" i="4" s="1"/>
  <c r="B95" i="4" a="1"/>
  <c r="B95" i="4" s="1"/>
  <c r="B150" i="4" a="1"/>
  <c r="B150" i="4" s="1"/>
  <c r="B392" i="4" a="1"/>
  <c r="B392" i="4" s="1"/>
  <c r="B237" i="4" a="1"/>
  <c r="B237" i="4" s="1"/>
  <c r="B598" i="4" a="1"/>
  <c r="B598" i="4" s="1"/>
  <c r="B382" i="4" a="1"/>
  <c r="B382" i="4" s="1"/>
  <c r="B396" i="4" a="1"/>
  <c r="B396" i="4" s="1"/>
  <c r="B418" i="4" a="1"/>
  <c r="B418" i="4" s="1"/>
  <c r="B485" i="4" a="1"/>
  <c r="B485" i="4" s="1"/>
  <c r="B154" i="4" a="1"/>
  <c r="B154" i="4" s="1"/>
  <c r="B468" i="4" a="1"/>
  <c r="B468" i="4" s="1"/>
  <c r="B72" i="4" a="1"/>
  <c r="B72" i="4" s="1"/>
  <c r="B213" i="4" a="1"/>
  <c r="B213" i="4" s="1"/>
  <c r="B419" i="4" a="1"/>
  <c r="B419" i="4" s="1"/>
  <c r="B357" i="4" a="1"/>
  <c r="B357" i="4" s="1"/>
  <c r="B116" i="4" a="1"/>
  <c r="B116" i="4" s="1"/>
  <c r="B395" i="4" a="1"/>
  <c r="B395" i="4" s="1"/>
  <c r="B272" i="4" a="1"/>
  <c r="B272" i="4" s="1"/>
  <c r="B530" i="4" a="1"/>
  <c r="B530" i="4" s="1"/>
  <c r="B361" i="4" a="1"/>
  <c r="B361" i="4" s="1"/>
  <c r="B474" i="4" a="1"/>
  <c r="B474" i="4" s="1"/>
  <c r="B189" i="4" a="1"/>
  <c r="B189" i="4" s="1"/>
  <c r="B217" i="4" a="1"/>
  <c r="B217" i="4" s="1"/>
  <c r="B365" i="4" a="1"/>
  <c r="B365" i="4" s="1"/>
  <c r="B484" i="4" a="1"/>
  <c r="B484" i="4" s="1"/>
  <c r="B161" i="4" a="1"/>
  <c r="B161" i="4" s="1"/>
  <c r="B125" i="4" a="1"/>
  <c r="B125" i="4" s="1"/>
  <c r="B160" i="4" a="1"/>
  <c r="B160" i="4" s="1"/>
  <c r="B137" i="4" a="1"/>
  <c r="B137" i="4" s="1"/>
  <c r="B236" i="4" a="1"/>
  <c r="B236" i="4" s="1"/>
  <c r="B134" i="4" a="1"/>
  <c r="B134" i="4" s="1"/>
  <c r="B394" i="4" a="1"/>
  <c r="B394" i="4" s="1"/>
  <c r="B268" i="4" a="1"/>
  <c r="B268" i="4" s="1"/>
  <c r="B98" i="4" a="1"/>
  <c r="B98" i="4" s="1"/>
  <c r="B440" i="4" a="1"/>
  <c r="B440" i="4" s="1"/>
  <c r="B520" i="4" a="1"/>
  <c r="B520" i="4" s="1"/>
  <c r="B199" i="4" a="1"/>
  <c r="B199" i="4" s="1"/>
  <c r="B244" i="4" a="1"/>
  <c r="B244" i="4" s="1"/>
  <c r="B550" i="4" a="1"/>
  <c r="B550" i="4" s="1"/>
  <c r="B136" i="4" a="1"/>
  <c r="B136" i="4" s="1"/>
  <c r="B133" i="4" a="1"/>
  <c r="B133" i="4" s="1"/>
  <c r="B348" i="4" a="1"/>
  <c r="B348" i="4" s="1"/>
  <c r="B339" i="4" a="1"/>
  <c r="B339" i="4" s="1"/>
  <c r="B315" i="4" a="1"/>
  <c r="B315" i="4" s="1"/>
  <c r="B600" i="4" a="1"/>
  <c r="B600" i="4" s="1"/>
  <c r="B363" i="4" a="1"/>
  <c r="B363" i="4" s="1"/>
  <c r="B175" i="4" a="1"/>
  <c r="B175" i="4" s="1"/>
  <c r="B387" i="4" a="1"/>
  <c r="B387" i="4" s="1"/>
  <c r="B551" i="4" a="1"/>
  <c r="B551" i="4" s="1"/>
  <c r="B554" i="4" a="1"/>
  <c r="B554" i="4" s="1"/>
  <c r="B234" i="4" a="1"/>
  <c r="B234" i="4" s="1"/>
  <c r="B174" i="4" a="1"/>
  <c r="B174" i="4" s="1"/>
  <c r="B579" i="4" a="1"/>
  <c r="B579" i="4" s="1"/>
  <c r="B305" i="4" a="1"/>
  <c r="B305" i="4" s="1"/>
  <c r="B115" i="4" a="1"/>
  <c r="B115" i="4" s="1"/>
  <c r="B472" i="4" a="1"/>
  <c r="B472" i="4" s="1"/>
  <c r="B165" i="4" a="1"/>
  <c r="B165" i="4" s="1"/>
  <c r="B178" i="4" a="1"/>
  <c r="B178" i="4" s="1"/>
  <c r="B587" i="4" a="1"/>
  <c r="B587" i="4" s="1"/>
  <c r="B26" i="4"/>
  <c r="B252" i="4" a="1"/>
  <c r="B252" i="4" s="1"/>
  <c r="B122" i="4" a="1"/>
  <c r="B122" i="4" s="1"/>
  <c r="B351" i="4" a="1"/>
  <c r="B351" i="4" s="1"/>
  <c r="B135" i="4" a="1"/>
  <c r="B135" i="4" s="1"/>
  <c r="B580" i="4" a="1"/>
  <c r="B580" i="4" s="1"/>
  <c r="B521" i="4" a="1"/>
  <c r="B521" i="4" s="1"/>
  <c r="B220" i="4" a="1"/>
  <c r="B220" i="4" s="1"/>
  <c r="B193" i="4" a="1"/>
  <c r="B193" i="4" s="1"/>
  <c r="B483" i="4" a="1"/>
  <c r="B483" i="4" s="1"/>
  <c r="B422" i="4" a="1"/>
  <c r="B422" i="4" s="1"/>
  <c r="B171" i="4" a="1"/>
  <c r="B171" i="4" s="1"/>
  <c r="B69" i="4" a="1"/>
  <c r="B69" i="4" s="1"/>
  <c r="B582" i="4" a="1"/>
  <c r="B582" i="4" s="1"/>
  <c r="B147" i="4" a="1"/>
  <c r="B147" i="4" s="1"/>
  <c r="B522" i="4" a="1"/>
  <c r="B522" i="4" s="1"/>
  <c r="B246" i="4" a="1"/>
  <c r="B246" i="4" s="1"/>
  <c r="B366" i="4" a="1"/>
  <c r="B366" i="4" s="1"/>
  <c r="B340" i="4" a="1"/>
  <c r="B340" i="4" s="1"/>
  <c r="B253" i="4" a="1"/>
  <c r="B253" i="4" s="1"/>
  <c r="B375" i="4" a="1"/>
  <c r="B375" i="4" s="1"/>
  <c r="B153" i="4" a="1"/>
  <c r="B153" i="4" s="1"/>
  <c r="B158" i="4" a="1"/>
  <c r="B158" i="4" s="1"/>
  <c r="B344" i="4" a="1"/>
  <c r="B344" i="4" s="1"/>
  <c r="B490" i="4" a="1"/>
  <c r="B490" i="4" s="1"/>
  <c r="B455" i="4" a="1"/>
  <c r="B455" i="4" s="1"/>
  <c r="B73" i="4" a="1"/>
  <c r="B73" i="4" s="1"/>
  <c r="B113" i="4" a="1"/>
  <c r="B113" i="4" s="1"/>
  <c r="B112" i="4" a="1"/>
  <c r="B112" i="4" s="1"/>
  <c r="B397" i="4" a="1"/>
  <c r="B397" i="4" s="1"/>
  <c r="B471" i="4" a="1"/>
  <c r="B471" i="4" s="1"/>
  <c r="B570" i="4" a="1"/>
  <c r="B570" i="4" s="1"/>
  <c r="B356" i="4" a="1"/>
  <c r="B356" i="4" s="1"/>
  <c r="B564" i="4" a="1"/>
  <c r="B564" i="4" s="1"/>
  <c r="B498" i="4" a="1"/>
  <c r="B498" i="4" s="1"/>
  <c r="B466" i="4" a="1"/>
  <c r="B466" i="4" s="1"/>
  <c r="B74" i="4" a="1"/>
  <c r="B74" i="4" s="1"/>
  <c r="B379" i="4" a="1"/>
  <c r="B379" i="4" s="1"/>
  <c r="B82" i="4" a="1"/>
  <c r="B82" i="4" s="1"/>
  <c r="B325" i="4" a="1"/>
  <c r="B325" i="4" s="1"/>
  <c r="B164" i="4" a="1"/>
  <c r="B164" i="4" s="1"/>
  <c r="B590" i="4" a="1"/>
  <c r="B590" i="4" s="1"/>
  <c r="B81" i="4" a="1"/>
  <c r="B81" i="4" s="1"/>
  <c r="B145" i="4" a="1"/>
  <c r="B145" i="4" s="1"/>
  <c r="B287" i="4" a="1"/>
  <c r="B287" i="4" s="1"/>
  <c r="B441" i="4" a="1"/>
  <c r="B441" i="4" s="1"/>
  <c r="B303" i="4" a="1"/>
  <c r="B303" i="4" s="1"/>
  <c r="B413" i="4" a="1"/>
  <c r="B413" i="4" s="1"/>
  <c r="B129" i="4" a="1"/>
  <c r="B129" i="4" s="1"/>
  <c r="B481" i="4" a="1"/>
  <c r="B481" i="4" s="1"/>
  <c r="B527" i="4" a="1"/>
  <c r="B527" i="4" s="1"/>
  <c r="B109" i="4" a="1"/>
  <c r="B109" i="4" s="1"/>
  <c r="B243" i="4" a="1"/>
  <c r="B243" i="4" s="1"/>
  <c r="B180" i="4" a="1"/>
  <c r="B180" i="4" s="1"/>
  <c r="B331" i="4" a="1"/>
  <c r="B331" i="4" s="1"/>
  <c r="B462" i="4" a="1"/>
  <c r="B462" i="4" s="1"/>
  <c r="B291" i="4" a="1"/>
  <c r="B291" i="4" s="1"/>
  <c r="B197" i="4" a="1"/>
  <c r="B197" i="4" s="1"/>
  <c r="B519" i="4" a="1"/>
  <c r="B519" i="4" s="1"/>
  <c r="B341" i="4" a="1"/>
  <c r="B341" i="4" s="1"/>
  <c r="B546" i="4" a="1"/>
  <c r="B546" i="4" s="1"/>
  <c r="B585" i="4" a="1"/>
  <c r="B585" i="4" s="1"/>
  <c r="B531" i="4" a="1"/>
  <c r="B531" i="4" s="1"/>
  <c r="B172" i="4" a="1"/>
  <c r="B172" i="4" s="1"/>
  <c r="B308" i="4" a="1"/>
  <c r="B308" i="4" s="1"/>
  <c r="B281" i="4" a="1"/>
  <c r="B281" i="4" s="1"/>
  <c r="B518" i="4" a="1"/>
  <c r="B518" i="4" s="1"/>
  <c r="B385" i="4" a="1"/>
  <c r="B385" i="4" s="1"/>
  <c r="B264" i="4" a="1"/>
  <c r="B264" i="4" s="1"/>
  <c r="B505" i="4" a="1"/>
  <c r="B505" i="4" s="1"/>
  <c r="B143" i="4" a="1"/>
  <c r="B143" i="4" s="1"/>
  <c r="B214" i="4" a="1"/>
  <c r="B214" i="4" s="1"/>
  <c r="B314" i="4" a="1"/>
  <c r="B314" i="4" s="1"/>
  <c r="B336" i="4" a="1"/>
  <c r="B336" i="4" s="1"/>
  <c r="B205" i="4" a="1"/>
  <c r="B205" i="4" s="1"/>
  <c r="B515" i="4" a="1"/>
  <c r="B515" i="4" s="1"/>
  <c r="B321" i="4" a="1"/>
  <c r="B321" i="4" s="1"/>
  <c r="K124" i="10"/>
  <c r="M124" i="10" s="1"/>
  <c r="K416" i="10"/>
  <c r="M416" i="10" s="1"/>
  <c r="K224" i="10"/>
  <c r="M224" i="10" s="1"/>
  <c r="K503" i="10"/>
  <c r="M503" i="10" s="1"/>
  <c r="K498" i="10"/>
  <c r="M498" i="10" s="1"/>
  <c r="K675" i="10"/>
  <c r="M675" i="10" s="1"/>
  <c r="K191" i="10"/>
  <c r="M191" i="10" s="1"/>
  <c r="K644" i="10"/>
  <c r="M644" i="10" s="1"/>
  <c r="K702" i="10"/>
  <c r="M702" i="10" s="1"/>
  <c r="K811" i="10"/>
  <c r="M811" i="10" s="1"/>
  <c r="K115" i="10"/>
  <c r="M115" i="10" s="1"/>
  <c r="K412" i="10"/>
  <c r="M412" i="10" s="1"/>
  <c r="K529" i="10"/>
  <c r="M529" i="10" s="1"/>
  <c r="K414" i="10"/>
  <c r="M414" i="10" s="1"/>
  <c r="K588" i="10"/>
  <c r="M588" i="10" s="1"/>
  <c r="K567" i="10"/>
  <c r="M567" i="10" s="1"/>
  <c r="K274" i="10"/>
  <c r="M274" i="10" s="1"/>
  <c r="K294" i="10"/>
  <c r="M294" i="10" s="1"/>
  <c r="K509" i="10"/>
  <c r="M509" i="10" s="1"/>
  <c r="K387" i="10"/>
  <c r="M387" i="10" s="1"/>
  <c r="K610" i="10"/>
  <c r="M610" i="10" s="1"/>
  <c r="K103" i="10"/>
  <c r="M103" i="10" s="1"/>
  <c r="K544" i="10"/>
  <c r="M544" i="10" s="1"/>
  <c r="K703" i="10"/>
  <c r="M703" i="10" s="1"/>
  <c r="K172" i="10"/>
  <c r="M172" i="10" s="1"/>
  <c r="K369" i="10"/>
  <c r="M369" i="10" s="1"/>
  <c r="K371" i="10"/>
  <c r="M371" i="10" s="1"/>
  <c r="K828" i="10"/>
  <c r="M828" i="10" s="1"/>
  <c r="K658" i="10"/>
  <c r="M658" i="10" s="1"/>
  <c r="K362" i="10"/>
  <c r="M362" i="10" s="1"/>
  <c r="K784" i="10"/>
  <c r="M784" i="10" s="1"/>
  <c r="K403" i="10"/>
  <c r="M403" i="10" s="1"/>
  <c r="K430" i="10"/>
  <c r="M430" i="10" s="1"/>
  <c r="K553" i="10"/>
  <c r="M553" i="10" s="1"/>
  <c r="K764" i="10"/>
  <c r="M764" i="10" s="1"/>
  <c r="K131" i="10"/>
  <c r="M131" i="10" s="1"/>
  <c r="K347" i="10"/>
  <c r="M347" i="10" s="1"/>
  <c r="K88" i="10"/>
  <c r="M88" i="10" s="1"/>
  <c r="K604" i="10"/>
  <c r="M604" i="10" s="1"/>
  <c r="K656" i="10"/>
  <c r="M656" i="10" s="1"/>
  <c r="K726" i="10"/>
  <c r="M726" i="10" s="1"/>
  <c r="K841" i="10"/>
  <c r="M841" i="10" s="1"/>
  <c r="K671" i="10" l="1"/>
  <c r="M671" i="10" s="1"/>
  <c r="K272" i="10"/>
  <c r="M272" i="10" s="1"/>
  <c r="K438" i="10"/>
  <c r="M438" i="10" s="1"/>
  <c r="K181" i="10"/>
  <c r="M181" i="10" s="1"/>
  <c r="K590" i="10"/>
  <c r="M590" i="10" s="1"/>
  <c r="K205" i="10"/>
  <c r="M205" i="10" s="1"/>
  <c r="K709" i="10"/>
  <c r="M709" i="10" s="1"/>
  <c r="K474" i="10"/>
  <c r="M474" i="10" s="1"/>
  <c r="K662" i="10"/>
  <c r="M662" i="10" s="1"/>
  <c r="K767" i="10"/>
  <c r="M767" i="10" s="1"/>
  <c r="K56" i="10"/>
  <c r="M56" i="10" s="1"/>
  <c r="K640" i="10"/>
  <c r="M640" i="10" s="1"/>
  <c r="K499" i="10"/>
  <c r="M499" i="10" s="1"/>
  <c r="K825" i="10"/>
  <c r="M825" i="10" s="1"/>
  <c r="K368" i="10"/>
  <c r="M368" i="10" s="1"/>
  <c r="K608" i="10"/>
  <c r="M608" i="10" s="1"/>
  <c r="K34" i="10"/>
  <c r="M34" i="10" s="1"/>
  <c r="K783" i="10"/>
  <c r="M783" i="10" s="1"/>
  <c r="K698" i="10"/>
  <c r="M698" i="10" s="1"/>
  <c r="K185" i="10"/>
  <c r="M185" i="10" s="1"/>
  <c r="K62" i="10"/>
  <c r="M62" i="10" s="1"/>
  <c r="K589" i="10"/>
  <c r="M589" i="10" s="1"/>
  <c r="K521" i="10"/>
  <c r="M521" i="10" s="1"/>
  <c r="K48" i="10"/>
  <c r="M48" i="10" s="1"/>
  <c r="K38" i="10"/>
  <c r="K327" i="10"/>
  <c r="M327" i="10" s="1"/>
  <c r="K749" i="10"/>
  <c r="M749" i="10" s="1"/>
  <c r="K244" i="10"/>
  <c r="M244" i="10" s="1"/>
  <c r="K776" i="10"/>
  <c r="M776" i="10" s="1"/>
  <c r="K850" i="10"/>
  <c r="M850" i="10" s="1"/>
  <c r="K456" i="10"/>
  <c r="M456" i="10" s="1"/>
  <c r="K353" i="10"/>
  <c r="M353" i="10" s="1"/>
  <c r="K194" i="10"/>
  <c r="M194" i="10" s="1"/>
  <c r="K186" i="10"/>
  <c r="M186" i="10" s="1"/>
  <c r="K649" i="10"/>
  <c r="M649" i="10" s="1"/>
  <c r="K628" i="10"/>
  <c r="M628" i="10" s="1"/>
  <c r="K633" i="10"/>
  <c r="M633" i="10" s="1"/>
  <c r="K670" i="10"/>
  <c r="M670" i="10" s="1"/>
  <c r="K332" i="10"/>
  <c r="M332" i="10" s="1"/>
  <c r="K556" i="10"/>
  <c r="M556" i="10" s="1"/>
  <c r="K437" i="10"/>
  <c r="M437" i="10" s="1"/>
  <c r="K830" i="10"/>
  <c r="M830" i="10" s="1"/>
  <c r="K148" i="10"/>
  <c r="M148" i="10" s="1"/>
  <c r="K262" i="10"/>
  <c r="M262" i="10" s="1"/>
  <c r="K842" i="10"/>
  <c r="M842" i="10" s="1"/>
  <c r="K854" i="10"/>
  <c r="M854" i="10" s="1"/>
  <c r="K789" i="10"/>
  <c r="M789" i="10" s="1"/>
  <c r="K287" i="10"/>
  <c r="M287" i="10" s="1"/>
  <c r="K360" i="10"/>
  <c r="M360" i="10" s="1"/>
  <c r="K225" i="10"/>
  <c r="M225" i="10" s="1"/>
  <c r="K129" i="10"/>
  <c r="M129" i="10" s="1"/>
  <c r="K581" i="10"/>
  <c r="M581" i="10" s="1"/>
  <c r="K618" i="10"/>
  <c r="M618" i="10" s="1"/>
  <c r="K835" i="10"/>
  <c r="M835" i="10" s="1"/>
  <c r="K583" i="10"/>
  <c r="M583" i="10" s="1"/>
  <c r="K339" i="10"/>
  <c r="M339" i="10" s="1"/>
  <c r="K566" i="10"/>
  <c r="M566" i="10" s="1"/>
  <c r="K533" i="10"/>
  <c r="M533" i="10" s="1"/>
  <c r="K198" i="10"/>
  <c r="M198" i="10" s="1"/>
  <c r="K232" i="10"/>
  <c r="M232" i="10" s="1"/>
  <c r="K524" i="10"/>
  <c r="M524" i="10" s="1"/>
  <c r="K478" i="10"/>
  <c r="M478" i="10" s="1"/>
  <c r="K731" i="10"/>
  <c r="M731" i="10" s="1"/>
  <c r="K315" i="10"/>
  <c r="M315" i="10" s="1"/>
  <c r="K707" i="10"/>
  <c r="M707" i="10" s="1"/>
  <c r="K141" i="10"/>
  <c r="M141" i="10" s="1"/>
  <c r="K220" i="10"/>
  <c r="M220" i="10" s="1"/>
  <c r="K517" i="10"/>
  <c r="M517" i="10" s="1"/>
  <c r="K49" i="10"/>
  <c r="M49" i="10" s="1"/>
  <c r="K739" i="10"/>
  <c r="M739" i="10" s="1"/>
  <c r="K515" i="10"/>
  <c r="M515" i="10" s="1"/>
  <c r="K794" i="10"/>
  <c r="M794" i="10" s="1"/>
  <c r="K777" i="10"/>
  <c r="M777" i="10" s="1"/>
  <c r="K668" i="10"/>
  <c r="M668" i="10" s="1"/>
  <c r="K838" i="10"/>
  <c r="M838" i="10" s="1"/>
  <c r="K36" i="10"/>
  <c r="M36" i="10" s="1"/>
  <c r="K620" i="10"/>
  <c r="M620" i="10" s="1"/>
  <c r="K83" i="10"/>
  <c r="M83" i="10" s="1"/>
  <c r="K766" i="10"/>
  <c r="M766" i="10" s="1"/>
  <c r="K823" i="10"/>
  <c r="M823" i="10" s="1"/>
  <c r="K526" i="10"/>
  <c r="M526" i="10" s="1"/>
  <c r="K113" i="10"/>
  <c r="M113" i="10" s="1"/>
  <c r="K335" i="10"/>
  <c r="M335" i="10" s="1"/>
  <c r="K136" i="10"/>
  <c r="M136" i="10" s="1"/>
  <c r="K549" i="10"/>
  <c r="M549" i="10" s="1"/>
  <c r="K79" i="10"/>
  <c r="M79" i="10" s="1"/>
  <c r="K770" i="10"/>
  <c r="M770" i="10" s="1"/>
  <c r="K143" i="10"/>
  <c r="M143" i="10" s="1"/>
  <c r="K399" i="10"/>
  <c r="M399" i="10" s="1"/>
  <c r="K492" i="10"/>
  <c r="M492" i="10" s="1"/>
  <c r="K489" i="10"/>
  <c r="M489" i="10" s="1"/>
  <c r="K845" i="10"/>
  <c r="M845" i="10" s="1"/>
  <c r="K793" i="10"/>
  <c r="M793" i="10" s="1"/>
  <c r="K734" i="10"/>
  <c r="M734" i="10" s="1"/>
  <c r="K147" i="10"/>
  <c r="M147" i="10" s="1"/>
  <c r="K116" i="10"/>
  <c r="M116" i="10" s="1"/>
  <c r="K261" i="10"/>
  <c r="M261" i="10" s="1"/>
  <c r="K569" i="10"/>
  <c r="M569" i="10" s="1"/>
  <c r="K298" i="10"/>
  <c r="M298" i="10" s="1"/>
  <c r="K463" i="10"/>
  <c r="M463" i="10" s="1"/>
  <c r="K629" i="10"/>
  <c r="M629" i="10" s="1"/>
  <c r="K525" i="10"/>
  <c r="M525" i="10" s="1"/>
  <c r="K411" i="10"/>
  <c r="M411" i="10" s="1"/>
  <c r="K692" i="10"/>
  <c r="M692" i="10" s="1"/>
  <c r="K685" i="10"/>
  <c r="M685" i="10" s="1"/>
  <c r="K712" i="10"/>
  <c r="M712" i="10" s="1"/>
  <c r="K90" i="10"/>
  <c r="M90" i="10" s="1"/>
  <c r="K686" i="10"/>
  <c r="M686" i="10" s="1"/>
  <c r="K468" i="10"/>
  <c r="M468" i="10" s="1"/>
  <c r="K104" i="10"/>
  <c r="M104" i="10" s="1"/>
  <c r="K46" i="10"/>
  <c r="M46" i="10" s="1"/>
  <c r="K594" i="10"/>
  <c r="M594" i="10" s="1"/>
  <c r="K392" i="10"/>
  <c r="M392" i="10" s="1"/>
  <c r="K516" i="10"/>
  <c r="M516" i="10" s="1"/>
  <c r="K140" i="10"/>
  <c r="M140" i="10" s="1"/>
  <c r="K57" i="10"/>
  <c r="M57" i="10" s="1"/>
  <c r="K578" i="10"/>
  <c r="M578" i="10" s="1"/>
  <c r="K281" i="10"/>
  <c r="M281" i="10" s="1"/>
  <c r="K72" i="10"/>
  <c r="M72" i="10" s="1"/>
  <c r="K543" i="10"/>
  <c r="M543" i="10" s="1"/>
  <c r="K302" i="10"/>
  <c r="M302" i="10" s="1"/>
  <c r="K577" i="10"/>
  <c r="M577" i="10" s="1"/>
  <c r="K773" i="10"/>
  <c r="M773" i="10" s="1"/>
  <c r="K491" i="10"/>
  <c r="M491" i="10" s="1"/>
  <c r="K713" i="10"/>
  <c r="M713" i="10" s="1"/>
  <c r="K219" i="10"/>
  <c r="M219" i="10" s="1"/>
  <c r="K513" i="10"/>
  <c r="M513" i="10" s="1"/>
  <c r="K217" i="10"/>
  <c r="M217" i="10" s="1"/>
  <c r="K126" i="10"/>
  <c r="M126" i="10" s="1"/>
  <c r="K89" i="10"/>
  <c r="M89" i="10" s="1"/>
  <c r="K367" i="10"/>
  <c r="M367" i="10" s="1"/>
  <c r="K539" i="10"/>
  <c r="M539" i="10" s="1"/>
  <c r="K540" i="10"/>
  <c r="M540" i="10" s="1"/>
  <c r="K795" i="10"/>
  <c r="M795" i="10" s="1"/>
  <c r="K127" i="10"/>
  <c r="M127" i="10" s="1"/>
  <c r="K536" i="10"/>
  <c r="M536" i="10" s="1"/>
  <c r="K596" i="10"/>
  <c r="M596" i="10" s="1"/>
  <c r="K679" i="10"/>
  <c r="M679" i="10" s="1"/>
  <c r="K348" i="10"/>
  <c r="M348" i="10" s="1"/>
  <c r="K381" i="10"/>
  <c r="M381" i="10" s="1"/>
  <c r="K573" i="10"/>
  <c r="M573" i="10" s="1"/>
  <c r="K736" i="10"/>
  <c r="M736" i="10" s="1"/>
  <c r="K448" i="10"/>
  <c r="M448" i="10" s="1"/>
  <c r="K206" i="10"/>
  <c r="M206" i="10" s="1"/>
  <c r="K745" i="10"/>
  <c r="M745" i="10" s="1"/>
  <c r="K427" i="10"/>
  <c r="M427" i="10" s="1"/>
  <c r="K256" i="10"/>
  <c r="M256" i="10" s="1"/>
  <c r="K862" i="10"/>
  <c r="M862" i="10" s="1"/>
  <c r="K422" i="10"/>
  <c r="M422" i="10" s="1"/>
  <c r="K785" i="10"/>
  <c r="M785" i="10" s="1"/>
  <c r="K351" i="10"/>
  <c r="M351" i="10" s="1"/>
  <c r="K228" i="10"/>
  <c r="M228" i="10" s="1"/>
  <c r="K323" i="10"/>
  <c r="M323" i="10" s="1"/>
  <c r="K313" i="10"/>
  <c r="M313" i="10" s="1"/>
  <c r="K593" i="10"/>
  <c r="M593" i="10" s="1"/>
  <c r="K741" i="10"/>
  <c r="M741" i="10" s="1"/>
  <c r="K161" i="10"/>
  <c r="M161" i="10" s="1"/>
  <c r="K215" i="10"/>
  <c r="M215" i="10" s="1"/>
  <c r="K288" i="10"/>
  <c r="M288" i="10" s="1"/>
  <c r="F851" i="10"/>
  <c r="F33" i="10"/>
  <c r="F246" i="10"/>
  <c r="F39" i="10"/>
  <c r="F37" i="10"/>
  <c r="F479" i="10"/>
  <c r="F35" i="10"/>
  <c r="F36" i="10"/>
  <c r="F180" i="10"/>
  <c r="F34" i="10"/>
  <c r="F289" i="10"/>
  <c r="F38" i="10"/>
  <c r="K570" i="10"/>
  <c r="M570" i="10" s="1"/>
  <c r="K691" i="10"/>
  <c r="M691" i="10" s="1"/>
  <c r="K609" i="10"/>
  <c r="M609" i="10" s="1"/>
  <c r="K482" i="10"/>
  <c r="M482" i="10" s="1"/>
  <c r="K774" i="10"/>
  <c r="M774" i="10" s="1"/>
  <c r="K635" i="10"/>
  <c r="M635" i="10" s="1"/>
  <c r="K579" i="10"/>
  <c r="M579" i="10" s="1"/>
  <c r="K453" i="10"/>
  <c r="M453" i="10" s="1"/>
  <c r="K209" i="10"/>
  <c r="M209" i="10" s="1"/>
  <c r="K860" i="10"/>
  <c r="M860" i="10" s="1"/>
  <c r="F275" i="10"/>
  <c r="K574" i="10"/>
  <c r="M574" i="10" s="1"/>
  <c r="K389" i="10"/>
  <c r="M389" i="10" s="1"/>
  <c r="K654" i="10"/>
  <c r="M654" i="10" s="1"/>
  <c r="K849" i="10"/>
  <c r="M849" i="10" s="1"/>
  <c r="K137" i="10"/>
  <c r="M137" i="10" s="1"/>
  <c r="K782" i="10"/>
  <c r="M782" i="10" s="1"/>
  <c r="K747" i="10"/>
  <c r="M747" i="10" s="1"/>
  <c r="K447" i="10"/>
  <c r="M447" i="10" s="1"/>
  <c r="K744" i="10"/>
  <c r="M744" i="10" s="1"/>
  <c r="K603" i="10"/>
  <c r="M603" i="10" s="1"/>
  <c r="K833" i="10"/>
  <c r="M833" i="10" s="1"/>
  <c r="F368" i="10"/>
  <c r="K112" i="10"/>
  <c r="M112" i="10" s="1"/>
  <c r="K74" i="10"/>
  <c r="M74" i="10" s="1"/>
  <c r="K160" i="10"/>
  <c r="M160" i="10" s="1"/>
  <c r="K135" i="10"/>
  <c r="M135" i="10" s="1"/>
  <c r="K694" i="10"/>
  <c r="M694" i="10" s="1"/>
  <c r="K218" i="10"/>
  <c r="M218" i="10" s="1"/>
  <c r="K424" i="10"/>
  <c r="M424" i="10" s="1"/>
  <c r="F565" i="10"/>
  <c r="K321" i="10"/>
  <c r="M321" i="10" s="1"/>
  <c r="K355" i="10"/>
  <c r="M355" i="10" s="1"/>
  <c r="K260" i="10"/>
  <c r="M260" i="10" s="1"/>
  <c r="K285" i="10"/>
  <c r="M285" i="10" s="1"/>
  <c r="K97" i="10"/>
  <c r="M97" i="10" s="1"/>
  <c r="K130" i="10"/>
  <c r="M130" i="10" s="1"/>
  <c r="K708" i="10"/>
  <c r="M708" i="10" s="1"/>
  <c r="K338" i="10"/>
  <c r="M338" i="10" s="1"/>
  <c r="K159" i="10"/>
  <c r="M159" i="10" s="1"/>
  <c r="K557" i="10"/>
  <c r="M557" i="10" s="1"/>
  <c r="K695" i="10"/>
  <c r="M695" i="10" s="1"/>
  <c r="K108" i="10"/>
  <c r="M108" i="10" s="1"/>
  <c r="K436" i="10"/>
  <c r="M436" i="10" s="1"/>
  <c r="K682" i="10"/>
  <c r="M682" i="10" s="1"/>
  <c r="F652" i="10"/>
  <c r="F392" i="10"/>
  <c r="K855" i="10"/>
  <c r="M855" i="10" s="1"/>
  <c r="K716" i="10"/>
  <c r="M716" i="10" s="1"/>
  <c r="K276" i="10"/>
  <c r="M276" i="10" s="1"/>
  <c r="K554" i="10"/>
  <c r="M554" i="10" s="1"/>
  <c r="K751" i="10"/>
  <c r="M751" i="10" s="1"/>
  <c r="K810" i="10"/>
  <c r="M810" i="10" s="1"/>
  <c r="K664" i="10"/>
  <c r="M664" i="10" s="1"/>
  <c r="K356" i="10"/>
  <c r="M356" i="10" s="1"/>
  <c r="K357" i="10"/>
  <c r="M357" i="10" s="1"/>
  <c r="K730" i="10"/>
  <c r="M730" i="10" s="1"/>
  <c r="K813" i="10"/>
  <c r="M813" i="10" s="1"/>
  <c r="K775" i="10"/>
  <c r="M775" i="10" s="1"/>
  <c r="K473" i="10"/>
  <c r="M473" i="10" s="1"/>
  <c r="K518" i="10"/>
  <c r="M518" i="10" s="1"/>
  <c r="K727" i="10"/>
  <c r="M727" i="10" s="1"/>
  <c r="F771" i="10"/>
  <c r="K636" i="10"/>
  <c r="M636" i="10" s="1"/>
  <c r="K106" i="10"/>
  <c r="M106" i="10" s="1"/>
  <c r="K729" i="10"/>
  <c r="M729" i="10" s="1"/>
  <c r="K562" i="10"/>
  <c r="M562" i="10" s="1"/>
  <c r="K848" i="10"/>
  <c r="M848" i="10" s="1"/>
  <c r="K522" i="10"/>
  <c r="M522" i="10" s="1"/>
  <c r="K189" i="10"/>
  <c r="M189" i="10" s="1"/>
  <c r="K720" i="10"/>
  <c r="M720" i="10" s="1"/>
  <c r="K762" i="10"/>
  <c r="M762" i="10" s="1"/>
  <c r="K275" i="10"/>
  <c r="M275" i="10" s="1"/>
  <c r="K431" i="10"/>
  <c r="M431" i="10" s="1"/>
  <c r="K193" i="10"/>
  <c r="M193" i="10" s="1"/>
  <c r="K337" i="10"/>
  <c r="M337" i="10" s="1"/>
  <c r="K366" i="10"/>
  <c r="M366" i="10" s="1"/>
  <c r="K252" i="10"/>
  <c r="M252" i="10" s="1"/>
  <c r="K733" i="10"/>
  <c r="M733" i="10" s="1"/>
  <c r="K429" i="10"/>
  <c r="M429" i="10" s="1"/>
  <c r="K859" i="10"/>
  <c r="M859" i="10" s="1"/>
  <c r="K693" i="10"/>
  <c r="M693" i="10" s="1"/>
  <c r="K111" i="10"/>
  <c r="M111" i="10" s="1"/>
  <c r="K242" i="10"/>
  <c r="M242" i="10" s="1"/>
  <c r="K575" i="10"/>
  <c r="M575" i="10" s="1"/>
  <c r="K851" i="10"/>
  <c r="M851" i="10" s="1"/>
  <c r="K96" i="10"/>
  <c r="M96" i="10" s="1"/>
  <c r="K37" i="10"/>
  <c r="M37" i="10" s="1"/>
  <c r="K451" i="10"/>
  <c r="M451" i="10" s="1"/>
  <c r="K177" i="10"/>
  <c r="M177" i="10" s="1"/>
  <c r="K254" i="10"/>
  <c r="M254" i="10" s="1"/>
  <c r="K827" i="10"/>
  <c r="M827" i="10" s="1"/>
  <c r="F808" i="10"/>
  <c r="F777" i="10"/>
  <c r="F302" i="10"/>
  <c r="F531" i="10"/>
  <c r="F694" i="10"/>
  <c r="K133" i="10"/>
  <c r="M133" i="10" s="1"/>
  <c r="K235" i="10"/>
  <c r="M235" i="10" s="1"/>
  <c r="K832" i="10"/>
  <c r="M832" i="10" s="1"/>
  <c r="K586" i="10"/>
  <c r="M586" i="10" s="1"/>
  <c r="K203" i="10"/>
  <c r="M203" i="10" s="1"/>
  <c r="K568" i="10"/>
  <c r="M568" i="10" s="1"/>
  <c r="K481" i="10"/>
  <c r="M481" i="10" s="1"/>
  <c r="K345" i="10"/>
  <c r="M345" i="10" s="1"/>
  <c r="K295" i="10"/>
  <c r="M295" i="10" s="1"/>
  <c r="K400" i="10"/>
  <c r="M400" i="10" s="1"/>
  <c r="K197" i="10"/>
  <c r="M197" i="10" s="1"/>
  <c r="K602" i="10"/>
  <c r="M602" i="10" s="1"/>
  <c r="K721" i="10"/>
  <c r="M721" i="10" s="1"/>
  <c r="K663" i="10"/>
  <c r="M663" i="10" s="1"/>
  <c r="K752" i="10"/>
  <c r="M752" i="10" s="1"/>
  <c r="K735" i="10"/>
  <c r="M735" i="10" s="1"/>
  <c r="K383" i="10"/>
  <c r="M383" i="10" s="1"/>
  <c r="K760" i="10"/>
  <c r="M760" i="10" s="1"/>
  <c r="K717" i="10"/>
  <c r="M717" i="10" s="1"/>
  <c r="K81" i="10"/>
  <c r="M81" i="10" s="1"/>
  <c r="K484" i="10"/>
  <c r="M484" i="10" s="1"/>
  <c r="K809" i="10"/>
  <c r="M809" i="10" s="1"/>
  <c r="K816" i="10"/>
  <c r="M816" i="10" s="1"/>
  <c r="K86" i="10"/>
  <c r="M86" i="10" s="1"/>
  <c r="K245" i="10"/>
  <c r="M245" i="10" s="1"/>
  <c r="K404" i="10"/>
  <c r="M404" i="10" s="1"/>
  <c r="K55" i="10"/>
  <c r="M55" i="10" s="1"/>
  <c r="K765" i="10"/>
  <c r="M765" i="10" s="1"/>
  <c r="F816" i="10"/>
  <c r="F517" i="10"/>
  <c r="F498" i="10"/>
  <c r="F245" i="10"/>
  <c r="F335" i="10"/>
  <c r="K861" i="10"/>
  <c r="M861" i="10" s="1"/>
  <c r="K204" i="10"/>
  <c r="M204" i="10" s="1"/>
  <c r="K674" i="10"/>
  <c r="M674" i="10" s="1"/>
  <c r="K497" i="10"/>
  <c r="M497" i="10" s="1"/>
  <c r="K156" i="10"/>
  <c r="M156" i="10" s="1"/>
  <c r="K342" i="10"/>
  <c r="M342" i="10" s="1"/>
  <c r="K63" i="10"/>
  <c r="M63" i="10" s="1"/>
  <c r="K738" i="10"/>
  <c r="M738" i="10" s="1"/>
  <c r="K299" i="10"/>
  <c r="M299" i="10" s="1"/>
  <c r="K476" i="10"/>
  <c r="M476" i="10" s="1"/>
  <c r="K582" i="10"/>
  <c r="M582" i="10" s="1"/>
  <c r="K170" i="10"/>
  <c r="M170" i="10" s="1"/>
  <c r="K223" i="10"/>
  <c r="M223" i="10" s="1"/>
  <c r="K418" i="10"/>
  <c r="M418" i="10" s="1"/>
  <c r="K247" i="10"/>
  <c r="M247" i="10" s="1"/>
  <c r="K65" i="10"/>
  <c r="M65" i="10" s="1"/>
  <c r="K612" i="10"/>
  <c r="M612" i="10" s="1"/>
  <c r="K684" i="10"/>
  <c r="M684" i="10" s="1"/>
  <c r="K382" i="10"/>
  <c r="M382" i="10" s="1"/>
  <c r="K796" i="10"/>
  <c r="M796" i="10" s="1"/>
  <c r="K790" i="10"/>
  <c r="M790" i="10" s="1"/>
  <c r="K314" i="10"/>
  <c r="M314" i="10" s="1"/>
  <c r="K479" i="10"/>
  <c r="M479" i="10" s="1"/>
  <c r="K472" i="10"/>
  <c r="M472" i="10" s="1"/>
  <c r="K469" i="10"/>
  <c r="M469" i="10" s="1"/>
  <c r="K213" i="10"/>
  <c r="M213" i="10" s="1"/>
  <c r="K561" i="10"/>
  <c r="M561" i="10" s="1"/>
  <c r="K358" i="10"/>
  <c r="M358" i="10" s="1"/>
  <c r="K373" i="10"/>
  <c r="M373" i="10" s="1"/>
  <c r="K511" i="10"/>
  <c r="M511" i="10" s="1"/>
  <c r="K233" i="10"/>
  <c r="M233" i="10" s="1"/>
  <c r="K132" i="10"/>
  <c r="M132" i="10" s="1"/>
  <c r="K626" i="10"/>
  <c r="M626" i="10" s="1"/>
  <c r="K41" i="10"/>
  <c r="M41" i="10" s="1"/>
  <c r="K753" i="10"/>
  <c r="M753" i="10" s="1"/>
  <c r="K128" i="10"/>
  <c r="M128" i="10" s="1"/>
  <c r="K494" i="10"/>
  <c r="M494" i="10" s="1"/>
  <c r="K171" i="10"/>
  <c r="M171" i="10" s="1"/>
  <c r="K715" i="10"/>
  <c r="M715" i="10" s="1"/>
  <c r="K286" i="10"/>
  <c r="M286" i="10" s="1"/>
  <c r="K253" i="10"/>
  <c r="M253" i="10" s="1"/>
  <c r="K464" i="10"/>
  <c r="M464" i="10" s="1"/>
  <c r="K440" i="10"/>
  <c r="M440" i="10" s="1"/>
  <c r="K812" i="10"/>
  <c r="M812" i="10" s="1"/>
  <c r="K95" i="10"/>
  <c r="M95" i="10" s="1"/>
  <c r="K444" i="10"/>
  <c r="M444" i="10" s="1"/>
  <c r="K405" i="10"/>
  <c r="M405" i="10" s="1"/>
  <c r="K407" i="10"/>
  <c r="M407" i="10" s="1"/>
  <c r="K840" i="10"/>
  <c r="M840" i="10" s="1"/>
  <c r="K109" i="10"/>
  <c r="M109" i="10" s="1"/>
  <c r="K651" i="10"/>
  <c r="M651" i="10" s="1"/>
  <c r="K222" i="10"/>
  <c r="M222" i="10" s="1"/>
  <c r="K641" i="10"/>
  <c r="M641" i="10" s="1"/>
  <c r="K460" i="10"/>
  <c r="M460" i="10" s="1"/>
  <c r="K85" i="10"/>
  <c r="M85" i="10" s="1"/>
  <c r="K352" i="10"/>
  <c r="M352" i="10" s="1"/>
  <c r="K229" i="10"/>
  <c r="M229" i="10" s="1"/>
  <c r="F252" i="10"/>
  <c r="F858" i="10"/>
  <c r="F660" i="10"/>
  <c r="F307" i="10"/>
  <c r="K192" i="10"/>
  <c r="M192" i="10" s="1"/>
  <c r="F376" i="10"/>
  <c r="F184" i="10"/>
  <c r="K837" i="10"/>
  <c r="M837" i="10" s="1"/>
  <c r="K631" i="10"/>
  <c r="M631" i="10" s="1"/>
  <c r="K746" i="10"/>
  <c r="M746" i="10" s="1"/>
  <c r="K755" i="10"/>
  <c r="M755" i="10" s="1"/>
  <c r="K799" i="10"/>
  <c r="M799" i="10" s="1"/>
  <c r="K667" i="10"/>
  <c r="M667" i="10" s="1"/>
  <c r="K530" i="10"/>
  <c r="M530" i="10" s="1"/>
  <c r="K805" i="10"/>
  <c r="M805" i="10" s="1"/>
  <c r="K67" i="10"/>
  <c r="M67" i="10" s="1"/>
  <c r="K607" i="10"/>
  <c r="M607" i="10" s="1"/>
  <c r="K537" i="10"/>
  <c r="M537" i="10" s="1"/>
  <c r="K341" i="10"/>
  <c r="M341" i="10" s="1"/>
  <c r="K324" i="10"/>
  <c r="M324" i="10" s="1"/>
  <c r="K150" i="10"/>
  <c r="M150" i="10" s="1"/>
  <c r="K167" i="10"/>
  <c r="M167" i="10" s="1"/>
  <c r="K555" i="10"/>
  <c r="M555" i="10" s="1"/>
  <c r="K806" i="10"/>
  <c r="M806" i="10" s="1"/>
  <c r="K306" i="10"/>
  <c r="M306" i="10" s="1"/>
  <c r="K80" i="10"/>
  <c r="M80" i="10" s="1"/>
  <c r="K259" i="10"/>
  <c r="M259" i="10" s="1"/>
  <c r="K625" i="10"/>
  <c r="M625" i="10" s="1"/>
  <c r="K410" i="10"/>
  <c r="M410" i="10" s="1"/>
  <c r="K506" i="10"/>
  <c r="M506" i="10" s="1"/>
  <c r="K165" i="10"/>
  <c r="M165" i="10" s="1"/>
  <c r="K728" i="10"/>
  <c r="M728" i="10" s="1"/>
  <c r="K78" i="10"/>
  <c r="M78" i="10" s="1"/>
  <c r="K605" i="10"/>
  <c r="M605" i="10" s="1"/>
  <c r="K292" i="10"/>
  <c r="M292" i="10" s="1"/>
  <c r="K270" i="10"/>
  <c r="M270" i="10" s="1"/>
  <c r="K237" i="10"/>
  <c r="M237" i="10" s="1"/>
  <c r="K59" i="10"/>
  <c r="M59" i="10" s="1"/>
  <c r="K458" i="10"/>
  <c r="M458" i="10" s="1"/>
  <c r="K325" i="10"/>
  <c r="M325" i="10" s="1"/>
  <c r="K779" i="10"/>
  <c r="M779" i="10" s="1"/>
  <c r="K683" i="10"/>
  <c r="M683" i="10" s="1"/>
  <c r="K495" i="10"/>
  <c r="M495" i="10" s="1"/>
  <c r="K652" i="10"/>
  <c r="M652" i="10" s="1"/>
  <c r="K322" i="10"/>
  <c r="M322" i="10" s="1"/>
  <c r="K278" i="10"/>
  <c r="M278" i="10" s="1"/>
  <c r="K585" i="10"/>
  <c r="M585" i="10" s="1"/>
  <c r="K441" i="10"/>
  <c r="M441" i="10" s="1"/>
  <c r="K114" i="10"/>
  <c r="M114" i="10" s="1"/>
  <c r="K800" i="10"/>
  <c r="M800" i="10" s="1"/>
  <c r="K772" i="10"/>
  <c r="M772" i="10" s="1"/>
  <c r="K820" i="10"/>
  <c r="M820" i="10" s="1"/>
  <c r="K475" i="10"/>
  <c r="M475" i="10" s="1"/>
  <c r="K68" i="10"/>
  <c r="M68" i="10" s="1"/>
  <c r="K778" i="10"/>
  <c r="M778" i="10" s="1"/>
  <c r="K309" i="10"/>
  <c r="M309" i="10" s="1"/>
  <c r="K614" i="10"/>
  <c r="M614" i="10" s="1"/>
  <c r="K737" i="10"/>
  <c r="M737" i="10" s="1"/>
  <c r="K265" i="10"/>
  <c r="M265" i="10" s="1"/>
  <c r="K240" i="10"/>
  <c r="M240" i="10" s="1"/>
  <c r="K750" i="10"/>
  <c r="M750" i="10" s="1"/>
  <c r="K655" i="10"/>
  <c r="M655" i="10" s="1"/>
  <c r="K250" i="10"/>
  <c r="M250" i="10" s="1"/>
  <c r="K174" i="10"/>
  <c r="M174" i="10" s="1"/>
  <c r="K638" i="10"/>
  <c r="M638" i="10" s="1"/>
  <c r="F644" i="10"/>
  <c r="K818" i="10"/>
  <c r="M818" i="10" s="1"/>
  <c r="F557" i="10"/>
  <c r="F832" i="10"/>
  <c r="F495" i="10"/>
  <c r="F199" i="10"/>
  <c r="F210" i="10"/>
  <c r="F747" i="10"/>
  <c r="F421" i="10"/>
  <c r="F431" i="10"/>
  <c r="F639" i="10"/>
  <c r="F560" i="10"/>
  <c r="F86" i="10"/>
  <c r="F202" i="10"/>
  <c r="F128" i="10"/>
  <c r="F814" i="10"/>
  <c r="F859" i="10"/>
  <c r="K329" i="10"/>
  <c r="M329" i="10" s="1"/>
  <c r="F593" i="10"/>
  <c r="F722" i="10"/>
  <c r="K380" i="10"/>
  <c r="M380" i="10" s="1"/>
  <c r="F152" i="10"/>
  <c r="F292" i="10"/>
  <c r="K144" i="10"/>
  <c r="M144" i="10" s="1"/>
  <c r="K488" i="10"/>
  <c r="M488" i="10" s="1"/>
  <c r="K51" i="10"/>
  <c r="M51" i="10" s="1"/>
  <c r="K393" i="10"/>
  <c r="M393" i="10" s="1"/>
  <c r="K388" i="10"/>
  <c r="M388" i="10" s="1"/>
  <c r="K166" i="10"/>
  <c r="M166" i="10" s="1"/>
  <c r="K99" i="10"/>
  <c r="M99" i="10" s="1"/>
  <c r="K207" i="10"/>
  <c r="M207" i="10" s="1"/>
  <c r="K834" i="10"/>
  <c r="M834" i="10" s="1"/>
  <c r="K505" i="10"/>
  <c r="M505" i="10" s="1"/>
  <c r="K500" i="10"/>
  <c r="M500" i="10" s="1"/>
  <c r="K523" i="10"/>
  <c r="M523" i="10" s="1"/>
  <c r="K151" i="10"/>
  <c r="M151" i="10" s="1"/>
  <c r="K372" i="10"/>
  <c r="M372" i="10" s="1"/>
  <c r="K857" i="10"/>
  <c r="M857" i="10" s="1"/>
  <c r="K119" i="10"/>
  <c r="M119" i="10" s="1"/>
  <c r="K169" i="10"/>
  <c r="M169" i="10" s="1"/>
  <c r="K595" i="10"/>
  <c r="M595" i="10" s="1"/>
  <c r="K102" i="10"/>
  <c r="M102" i="10" s="1"/>
  <c r="K502" i="10"/>
  <c r="M502" i="10" s="1"/>
  <c r="K216" i="10"/>
  <c r="M216" i="10" s="1"/>
  <c r="K493" i="10"/>
  <c r="M493" i="10" s="1"/>
  <c r="K552" i="10"/>
  <c r="M552" i="10" s="1"/>
  <c r="K69" i="10"/>
  <c r="M69" i="10" s="1"/>
  <c r="K531" i="10"/>
  <c r="M531" i="10" s="1"/>
  <c r="K370" i="10"/>
  <c r="M370" i="10" s="1"/>
  <c r="K439" i="10"/>
  <c r="M439" i="10" s="1"/>
  <c r="K689" i="10"/>
  <c r="M689" i="10" s="1"/>
  <c r="K120" i="10"/>
  <c r="M120" i="10" s="1"/>
  <c r="K520" i="10"/>
  <c r="M520" i="10" s="1"/>
  <c r="K257" i="10"/>
  <c r="M257" i="10" s="1"/>
  <c r="K797" i="10"/>
  <c r="M797" i="10" s="1"/>
  <c r="K690" i="10"/>
  <c r="M690" i="10" s="1"/>
  <c r="K704" i="10"/>
  <c r="M704" i="10" s="1"/>
  <c r="K732" i="10"/>
  <c r="M732" i="10" s="1"/>
  <c r="K701" i="10"/>
  <c r="M701" i="10" s="1"/>
  <c r="K157" i="10"/>
  <c r="M157" i="10" s="1"/>
  <c r="K152" i="10"/>
  <c r="M152" i="10" s="1"/>
  <c r="K621" i="10"/>
  <c r="M621" i="10" s="1"/>
  <c r="K374" i="10"/>
  <c r="M374" i="10" s="1"/>
  <c r="K696" i="10"/>
  <c r="M696" i="10" s="1"/>
  <c r="K714" i="10"/>
  <c r="M714" i="10" s="1"/>
  <c r="K134" i="10"/>
  <c r="M134" i="10" s="1"/>
  <c r="K863" i="10"/>
  <c r="M863" i="10" s="1"/>
  <c r="K617" i="10"/>
  <c r="M617" i="10" s="1"/>
  <c r="K138" i="10"/>
  <c r="M138" i="10" s="1"/>
  <c r="K432" i="10"/>
  <c r="M432" i="10" s="1"/>
  <c r="K263" i="10"/>
  <c r="M263" i="10" s="1"/>
  <c r="K584" i="10"/>
  <c r="M584" i="10" s="1"/>
  <c r="K202" i="10"/>
  <c r="M202" i="10" s="1"/>
  <c r="K817" i="10"/>
  <c r="M817" i="10" s="1"/>
  <c r="K268" i="10"/>
  <c r="M268" i="10" s="1"/>
  <c r="K279" i="10"/>
  <c r="M279" i="10" s="1"/>
  <c r="K343" i="10"/>
  <c r="M343" i="10" s="1"/>
  <c r="K386" i="10"/>
  <c r="M386" i="10" s="1"/>
  <c r="K483" i="10"/>
  <c r="M483" i="10" s="1"/>
  <c r="K82" i="10"/>
  <c r="M82" i="10" s="1"/>
  <c r="K50" i="10"/>
  <c r="M50" i="10" s="1"/>
  <c r="K856" i="10"/>
  <c r="M856" i="10" s="1"/>
  <c r="K125" i="10"/>
  <c r="M125" i="10" s="1"/>
  <c r="K571" i="10"/>
  <c r="M571" i="10" s="1"/>
  <c r="K601" i="10"/>
  <c r="M601" i="10" s="1"/>
  <c r="K558" i="10"/>
  <c r="M558" i="10" s="1"/>
  <c r="K822" i="10"/>
  <c r="M822" i="10" s="1"/>
  <c r="K273" i="10"/>
  <c r="M273" i="10" s="1"/>
  <c r="K754" i="10"/>
  <c r="M754" i="10" s="1"/>
  <c r="K354" i="10"/>
  <c r="M354" i="10" s="1"/>
  <c r="K344" i="10"/>
  <c r="M344" i="10" s="1"/>
  <c r="K146" i="10"/>
  <c r="M146" i="10" s="1"/>
  <c r="K648" i="10"/>
  <c r="M648" i="10" s="1"/>
  <c r="K101" i="10"/>
  <c r="M101" i="10" s="1"/>
  <c r="K619" i="10"/>
  <c r="M619" i="10" s="1"/>
  <c r="F467" i="10"/>
  <c r="F283" i="10"/>
  <c r="F615" i="10"/>
  <c r="F333" i="10"/>
  <c r="F853" i="10"/>
  <c r="F519" i="10"/>
  <c r="F767" i="10"/>
  <c r="F229" i="10"/>
  <c r="F564" i="10"/>
  <c r="F622" i="10"/>
  <c r="F736" i="10"/>
  <c r="K600" i="10"/>
  <c r="M600" i="10" s="1"/>
  <c r="F380" i="10"/>
  <c r="F428" i="10"/>
  <c r="F856" i="10"/>
  <c r="K844" i="10"/>
  <c r="M844" i="10" s="1"/>
  <c r="K677" i="10"/>
  <c r="M677" i="10" s="1"/>
  <c r="K624" i="10"/>
  <c r="M624" i="10" s="1"/>
  <c r="K318" i="10"/>
  <c r="M318" i="10" s="1"/>
  <c r="K182" i="10"/>
  <c r="M182" i="10" s="1"/>
  <c r="K35" i="10"/>
  <c r="M35" i="10" s="1"/>
  <c r="K413" i="10"/>
  <c r="M413" i="10" s="1"/>
  <c r="K188" i="10"/>
  <c r="M188" i="10" s="1"/>
  <c r="K255" i="10"/>
  <c r="M255" i="10" s="1"/>
  <c r="K277" i="10"/>
  <c r="M277" i="10" s="1"/>
  <c r="K105" i="10"/>
  <c r="M105" i="10" s="1"/>
  <c r="K435" i="10"/>
  <c r="M435" i="10" s="1"/>
  <c r="K163" i="10"/>
  <c r="M163" i="10" s="1"/>
  <c r="K45" i="10"/>
  <c r="M45" i="10" s="1"/>
  <c r="K241" i="10"/>
  <c r="M241" i="10" s="1"/>
  <c r="K597" i="10"/>
  <c r="M597" i="10" s="1"/>
  <c r="K175" i="10"/>
  <c r="M175" i="10" s="1"/>
  <c r="K180" i="10"/>
  <c r="M180" i="10" s="1"/>
  <c r="K666" i="10"/>
  <c r="M666" i="10" s="1"/>
  <c r="K246" i="10"/>
  <c r="M246" i="10" s="1"/>
  <c r="K565" i="10"/>
  <c r="M565" i="10" s="1"/>
  <c r="K365" i="10"/>
  <c r="M365" i="10" s="1"/>
  <c r="K643" i="10"/>
  <c r="M643" i="10" s="1"/>
  <c r="K47" i="10"/>
  <c r="M47" i="10" s="1"/>
  <c r="K420" i="10"/>
  <c r="M420" i="10" s="1"/>
  <c r="K831" i="10"/>
  <c r="M831" i="10" s="1"/>
  <c r="K239" i="10"/>
  <c r="M239" i="10" s="1"/>
  <c r="K560" i="10"/>
  <c r="M560" i="10" s="1"/>
  <c r="K408" i="10"/>
  <c r="M408" i="10" s="1"/>
  <c r="K534" i="10"/>
  <c r="M534" i="10" s="1"/>
  <c r="K788" i="10"/>
  <c r="M788" i="10" s="1"/>
  <c r="K121" i="10"/>
  <c r="M121" i="10" s="1"/>
  <c r="K310" i="10"/>
  <c r="M310" i="10" s="1"/>
  <c r="K551" i="10"/>
  <c r="M551" i="10" s="1"/>
  <c r="K334" i="10"/>
  <c r="M334" i="10" s="1"/>
  <c r="K297" i="10"/>
  <c r="M297" i="10" s="1"/>
  <c r="K60" i="10"/>
  <c r="M60" i="10" s="1"/>
  <c r="K395" i="10"/>
  <c r="M395" i="10" s="1"/>
  <c r="K33" i="10"/>
  <c r="M33" i="10" s="1"/>
  <c r="K176" i="10"/>
  <c r="M176" i="10" s="1"/>
  <c r="K718" i="10"/>
  <c r="M718" i="10" s="1"/>
  <c r="K455" i="10"/>
  <c r="M455" i="10" s="1"/>
  <c r="K819" i="10"/>
  <c r="M819" i="10" s="1"/>
  <c r="K657" i="10"/>
  <c r="M657" i="10" s="1"/>
  <c r="K258" i="10"/>
  <c r="M258" i="10" s="1"/>
  <c r="K599" i="10"/>
  <c r="M599" i="10" s="1"/>
  <c r="K266" i="10"/>
  <c r="M266" i="10" s="1"/>
  <c r="K786" i="10"/>
  <c r="M786" i="10" s="1"/>
  <c r="K84" i="10"/>
  <c r="M84" i="10" s="1"/>
  <c r="K200" i="10"/>
  <c r="M200" i="10" s="1"/>
  <c r="K864" i="10"/>
  <c r="M864" i="10" s="1"/>
  <c r="K507" i="10"/>
  <c r="M507" i="10" s="1"/>
  <c r="K280" i="10"/>
  <c r="M280" i="10" s="1"/>
  <c r="K230" i="10"/>
  <c r="M230" i="10" s="1"/>
  <c r="K803" i="10"/>
  <c r="M803" i="10" s="1"/>
  <c r="K697" i="10"/>
  <c r="M697" i="10" s="1"/>
  <c r="K311" i="10"/>
  <c r="M311" i="10" s="1"/>
  <c r="K477" i="10"/>
  <c r="M477" i="10" s="1"/>
  <c r="K801" i="10"/>
  <c r="M801" i="10" s="1"/>
  <c r="K349" i="10"/>
  <c r="M349" i="10" s="1"/>
  <c r="K375" i="10"/>
  <c r="M375" i="10" s="1"/>
  <c r="K303" i="10"/>
  <c r="M303" i="10" s="1"/>
  <c r="K190" i="10"/>
  <c r="M190" i="10" s="1"/>
  <c r="K248" i="10"/>
  <c r="M248" i="10" s="1"/>
  <c r="K406" i="10"/>
  <c r="M406" i="10" s="1"/>
  <c r="K496" i="10"/>
  <c r="M496" i="10" s="1"/>
  <c r="K442" i="10"/>
  <c r="M442" i="10" s="1"/>
  <c r="K61" i="10"/>
  <c r="M61" i="10" s="1"/>
  <c r="K542" i="10"/>
  <c r="M542" i="10" s="1"/>
  <c r="K613" i="10"/>
  <c r="M613" i="10" s="1"/>
  <c r="F680" i="10"/>
  <c r="F285" i="10"/>
  <c r="F791" i="10"/>
  <c r="F123" i="10"/>
  <c r="F347" i="10"/>
  <c r="F373" i="10"/>
  <c r="F298" i="10"/>
  <c r="F282" i="10"/>
  <c r="F513" i="10"/>
  <c r="F624" i="10"/>
  <c r="F310" i="10"/>
  <c r="F522" i="10"/>
  <c r="F306" i="10"/>
  <c r="F482" i="10"/>
  <c r="F662" i="10"/>
  <c r="F822" i="10"/>
  <c r="F803" i="10"/>
  <c r="F809" i="10"/>
  <c r="K71" i="10"/>
  <c r="M71" i="10" s="1"/>
  <c r="F201" i="10"/>
  <c r="F173" i="10"/>
  <c r="F500" i="10"/>
  <c r="K385" i="10"/>
  <c r="M385" i="10" s="1"/>
  <c r="K264" i="10"/>
  <c r="M264" i="10" s="1"/>
  <c r="K512" i="10"/>
  <c r="M512" i="10" s="1"/>
  <c r="K87" i="10"/>
  <c r="M87" i="10" s="1"/>
  <c r="K379" i="10"/>
  <c r="M379" i="10" s="1"/>
  <c r="K316" i="10"/>
  <c r="M316" i="10" s="1"/>
  <c r="K826" i="10"/>
  <c r="M826" i="10" s="1"/>
  <c r="K471" i="10"/>
  <c r="M471" i="10" s="1"/>
  <c r="K710" i="10"/>
  <c r="M710" i="10" s="1"/>
  <c r="K179" i="10"/>
  <c r="M179" i="10" s="1"/>
  <c r="K282" i="10"/>
  <c r="M282" i="10" s="1"/>
  <c r="K208" i="10"/>
  <c r="M208" i="10" s="1"/>
  <c r="K145" i="10"/>
  <c r="M145" i="10" s="1"/>
  <c r="K73" i="10"/>
  <c r="M73" i="10" s="1"/>
  <c r="K231" i="10"/>
  <c r="M231" i="10" s="1"/>
  <c r="K173" i="10"/>
  <c r="M173" i="10" s="1"/>
  <c r="K117" i="10"/>
  <c r="M117" i="10" s="1"/>
  <c r="K42" i="10"/>
  <c r="M42" i="10" s="1"/>
  <c r="K606" i="10"/>
  <c r="M606" i="10" s="1"/>
  <c r="K742" i="10"/>
  <c r="M742" i="10" s="1"/>
  <c r="K384" i="10"/>
  <c r="M384" i="10" s="1"/>
  <c r="K415" i="10"/>
  <c r="M415" i="10" s="1"/>
  <c r="K164" i="10"/>
  <c r="M164" i="10" s="1"/>
  <c r="K110" i="10"/>
  <c r="M110" i="10" s="1"/>
  <c r="K66" i="10"/>
  <c r="M66" i="10" s="1"/>
  <c r="K548" i="10"/>
  <c r="M548" i="10" s="1"/>
  <c r="K650" i="10"/>
  <c r="M650" i="10" s="1"/>
  <c r="K396" i="10"/>
  <c r="M396" i="10" s="1"/>
  <c r="K758" i="10"/>
  <c r="M758" i="10" s="1"/>
  <c r="K719" i="10"/>
  <c r="M719" i="10" s="1"/>
  <c r="K724" i="10"/>
  <c r="M724" i="10" s="1"/>
  <c r="K669" i="10"/>
  <c r="M669" i="10" s="1"/>
  <c r="K312" i="10"/>
  <c r="M312" i="10" s="1"/>
  <c r="K445" i="10"/>
  <c r="M445" i="10" s="1"/>
  <c r="K107" i="10"/>
  <c r="M107" i="10" s="1"/>
  <c r="K836" i="10"/>
  <c r="M836" i="10" s="1"/>
  <c r="K459" i="10"/>
  <c r="M459" i="10" s="1"/>
  <c r="K580" i="10"/>
  <c r="M580" i="10" s="1"/>
  <c r="K550" i="10"/>
  <c r="M550" i="10" s="1"/>
  <c r="K390" i="10"/>
  <c r="M390" i="10" s="1"/>
  <c r="K705" i="10"/>
  <c r="M705" i="10" s="1"/>
  <c r="K142" i="10"/>
  <c r="M142" i="10" s="1"/>
  <c r="K632" i="10"/>
  <c r="M632" i="10" s="1"/>
  <c r="K319" i="10"/>
  <c r="M319" i="10" s="1"/>
  <c r="K711" i="10"/>
  <c r="M711" i="10" s="1"/>
  <c r="K847" i="10"/>
  <c r="M847" i="10" s="1"/>
  <c r="K300" i="10"/>
  <c r="M300" i="10" s="1"/>
  <c r="K769" i="10"/>
  <c r="M769" i="10" s="1"/>
  <c r="K149" i="10"/>
  <c r="M149" i="10" s="1"/>
  <c r="K350" i="10"/>
  <c r="M350" i="10" s="1"/>
  <c r="K363" i="10"/>
  <c r="M363" i="10" s="1"/>
  <c r="K725" i="10"/>
  <c r="M725" i="10" s="1"/>
  <c r="K646" i="10"/>
  <c r="M646" i="10" s="1"/>
  <c r="K317" i="10"/>
  <c r="M317" i="10" s="1"/>
  <c r="K226" i="10"/>
  <c r="M226" i="10" s="1"/>
  <c r="K639" i="10"/>
  <c r="M639" i="10" s="1"/>
  <c r="K291" i="10"/>
  <c r="M291" i="10" s="1"/>
  <c r="K545" i="10"/>
  <c r="M545" i="10" s="1"/>
  <c r="K221" i="10"/>
  <c r="M221" i="10" s="1"/>
  <c r="K839" i="10"/>
  <c r="M839" i="10" s="1"/>
  <c r="K346" i="10"/>
  <c r="M346" i="10" s="1"/>
  <c r="K634" i="10"/>
  <c r="M634" i="10" s="1"/>
  <c r="K676" i="10"/>
  <c r="M676" i="10" s="1"/>
  <c r="F46" i="10"/>
  <c r="F372" i="10"/>
  <c r="F113" i="10"/>
  <c r="F227" i="10"/>
  <c r="F375" i="10"/>
  <c r="F73" i="10"/>
  <c r="F254" i="10"/>
  <c r="F594" i="10"/>
  <c r="F705" i="10"/>
  <c r="F679" i="10"/>
  <c r="F434" i="10"/>
  <c r="F158" i="10"/>
  <c r="F793" i="10"/>
  <c r="F162" i="10"/>
  <c r="K361" i="10"/>
  <c r="M361" i="10" s="1"/>
  <c r="F181" i="10"/>
  <c r="F472" i="10"/>
  <c r="F677" i="10"/>
  <c r="F763" i="10"/>
  <c r="F801" i="10"/>
  <c r="F340" i="10"/>
  <c r="F469" i="10"/>
  <c r="K123" i="10"/>
  <c r="M123" i="10" s="1"/>
  <c r="K289" i="10"/>
  <c r="M289" i="10" s="1"/>
  <c r="F409" i="10"/>
  <c r="F813" i="10"/>
  <c r="F647" i="10"/>
  <c r="F713" i="10"/>
  <c r="F294" i="10"/>
  <c r="K757" i="10"/>
  <c r="M757" i="10" s="1"/>
  <c r="K576" i="10"/>
  <c r="M576" i="10" s="1"/>
  <c r="K660" i="10"/>
  <c r="M660" i="10" s="1"/>
  <c r="K807" i="10"/>
  <c r="M807" i="10" s="1"/>
  <c r="K450" i="10"/>
  <c r="M450" i="10" s="1"/>
  <c r="K622" i="10"/>
  <c r="M622" i="10" s="1"/>
  <c r="K814" i="10"/>
  <c r="M814" i="10" s="1"/>
  <c r="K54" i="10"/>
  <c r="M54" i="10" s="1"/>
  <c r="K378" i="10"/>
  <c r="M378" i="10" s="1"/>
  <c r="K139" i="10"/>
  <c r="M139" i="10" s="1"/>
  <c r="K423" i="10"/>
  <c r="M423" i="10" s="1"/>
  <c r="K637" i="10"/>
  <c r="M637" i="10" s="1"/>
  <c r="K504" i="10"/>
  <c r="M504" i="10" s="1"/>
  <c r="K454" i="10"/>
  <c r="M454" i="10" s="1"/>
  <c r="K672" i="10"/>
  <c r="M672" i="10" s="1"/>
  <c r="K781" i="10"/>
  <c r="M781" i="10" s="1"/>
  <c r="K64" i="10"/>
  <c r="M64" i="10" s="1"/>
  <c r="K184" i="10"/>
  <c r="M184" i="10" s="1"/>
  <c r="K296" i="10"/>
  <c r="M296" i="10" s="1"/>
  <c r="K364" i="10"/>
  <c r="M364" i="10" s="1"/>
  <c r="K236" i="10"/>
  <c r="M236" i="10" s="1"/>
  <c r="K480" i="10"/>
  <c r="M480" i="10" s="1"/>
  <c r="K394" i="10"/>
  <c r="M394" i="10" s="1"/>
  <c r="K336" i="10"/>
  <c r="M336" i="10" s="1"/>
  <c r="K249" i="10"/>
  <c r="M249" i="10" s="1"/>
  <c r="K398" i="10"/>
  <c r="M398" i="10" s="1"/>
  <c r="K699" i="10"/>
  <c r="M699" i="10" s="1"/>
  <c r="K681" i="10"/>
  <c r="M681" i="10" s="1"/>
  <c r="K397" i="10"/>
  <c r="M397" i="10" s="1"/>
  <c r="K852" i="10"/>
  <c r="M852" i="10" s="1"/>
  <c r="K118" i="10"/>
  <c r="M118" i="10" s="1"/>
  <c r="K91" i="10"/>
  <c r="M91" i="10" s="1"/>
  <c r="K653" i="10"/>
  <c r="M653" i="10" s="1"/>
  <c r="K791" i="10"/>
  <c r="M791" i="10" s="1"/>
  <c r="K328" i="10"/>
  <c r="M328" i="10" s="1"/>
  <c r="K824" i="10"/>
  <c r="M824" i="10" s="1"/>
  <c r="K301" i="10"/>
  <c r="M301" i="10" s="1"/>
  <c r="K100" i="10"/>
  <c r="M100" i="10" s="1"/>
  <c r="K402" i="10"/>
  <c r="M402" i="10" s="1"/>
  <c r="K792" i="10"/>
  <c r="M792" i="10" s="1"/>
  <c r="K377" i="10"/>
  <c r="M377" i="10" s="1"/>
  <c r="K43" i="10"/>
  <c r="M43" i="10" s="1"/>
  <c r="K846" i="10"/>
  <c r="M846" i="10" s="1"/>
  <c r="K673" i="10"/>
  <c r="M673" i="10" s="1"/>
  <c r="K740" i="10"/>
  <c r="M740" i="10" s="1"/>
  <c r="K645" i="10"/>
  <c r="M645" i="10" s="1"/>
  <c r="K680" i="10"/>
  <c r="M680" i="10" s="1"/>
  <c r="K153" i="10"/>
  <c r="M153" i="10" s="1"/>
  <c r="K462" i="10"/>
  <c r="M462" i="10" s="1"/>
  <c r="K305" i="10"/>
  <c r="M305" i="10" s="1"/>
  <c r="K452" i="10"/>
  <c r="M452" i="10" s="1"/>
  <c r="K615" i="10"/>
  <c r="M615" i="10" s="1"/>
  <c r="K331" i="10"/>
  <c r="M331" i="10" s="1"/>
  <c r="K330" i="10"/>
  <c r="M330" i="10" s="1"/>
  <c r="K178" i="10"/>
  <c r="M178" i="10" s="1"/>
  <c r="K763" i="10"/>
  <c r="M763" i="10" s="1"/>
  <c r="F579" i="10"/>
  <c r="F759" i="10"/>
  <c r="F556" i="10"/>
  <c r="F774" i="10"/>
  <c r="F692" i="10"/>
  <c r="F621" i="10"/>
  <c r="F690" i="10"/>
  <c r="F732" i="10"/>
  <c r="F198" i="10"/>
  <c r="F823" i="10"/>
  <c r="F553" i="10"/>
  <c r="F406" i="10"/>
  <c r="F365" i="10"/>
  <c r="F422" i="10"/>
  <c r="F765" i="10"/>
  <c r="F739" i="10"/>
  <c r="K759" i="10"/>
  <c r="M759" i="10" s="1"/>
  <c r="F174" i="10"/>
  <c r="F572" i="10"/>
  <c r="F638" i="10"/>
  <c r="F820" i="10"/>
  <c r="F669" i="10"/>
  <c r="F218" i="10"/>
  <c r="F684" i="10"/>
  <c r="F404" i="10"/>
  <c r="F632" i="10"/>
  <c r="F661" i="10"/>
  <c r="K465" i="10"/>
  <c r="M465" i="10" s="1"/>
  <c r="K487" i="10"/>
  <c r="M487" i="10" s="1"/>
  <c r="F523" i="10"/>
  <c r="F146" i="10"/>
  <c r="F724" i="10"/>
  <c r="F253" i="10"/>
  <c r="F444" i="10"/>
  <c r="F817" i="10"/>
  <c r="K195" i="10"/>
  <c r="M195" i="10" s="1"/>
  <c r="K293" i="10"/>
  <c r="M293" i="10" s="1"/>
  <c r="K443" i="10"/>
  <c r="M443" i="10" s="1"/>
  <c r="K514" i="10"/>
  <c r="M514" i="10" s="1"/>
  <c r="K307" i="10"/>
  <c r="M307" i="10" s="1"/>
  <c r="K187" i="10"/>
  <c r="M187" i="10" s="1"/>
  <c r="K271" i="10"/>
  <c r="M271" i="10" s="1"/>
  <c r="K359" i="10"/>
  <c r="M359" i="10" s="1"/>
  <c r="K284" i="10"/>
  <c r="M284" i="10" s="1"/>
  <c r="K546" i="10"/>
  <c r="M546" i="10" s="1"/>
  <c r="K743" i="10"/>
  <c r="M743" i="10" s="1"/>
  <c r="K290" i="10"/>
  <c r="M290" i="10" s="1"/>
  <c r="K528" i="10"/>
  <c r="M528" i="10" s="1"/>
  <c r="K212" i="10"/>
  <c r="M212" i="10" s="1"/>
  <c r="K419" i="10"/>
  <c r="M419" i="10" s="1"/>
  <c r="K196" i="10"/>
  <c r="M196" i="10" s="1"/>
  <c r="K98" i="10"/>
  <c r="M98" i="10" s="1"/>
  <c r="K269" i="10"/>
  <c r="M269" i="10" s="1"/>
  <c r="K623" i="10"/>
  <c r="M623" i="10" s="1"/>
  <c r="K572" i="10"/>
  <c r="M572" i="10" s="1"/>
  <c r="K92" i="10"/>
  <c r="M92" i="10" s="1"/>
  <c r="K376" i="10"/>
  <c r="M376" i="10" s="1"/>
  <c r="K283" i="10"/>
  <c r="M283" i="10" s="1"/>
  <c r="K211" i="10"/>
  <c r="M211" i="10" s="1"/>
  <c r="K340" i="10"/>
  <c r="M340" i="10" s="1"/>
  <c r="K201" i="10"/>
  <c r="M201" i="10" s="1"/>
  <c r="K591" i="10"/>
  <c r="M591" i="10" s="1"/>
  <c r="K457" i="10"/>
  <c r="M457" i="10" s="1"/>
  <c r="K183" i="10"/>
  <c r="M183" i="10" s="1"/>
  <c r="K563" i="10"/>
  <c r="M563" i="10" s="1"/>
  <c r="K761" i="10"/>
  <c r="M761" i="10" s="1"/>
  <c r="K642" i="10"/>
  <c r="M642" i="10" s="1"/>
  <c r="K93" i="10"/>
  <c r="M93" i="10" s="1"/>
  <c r="K647" i="10"/>
  <c r="M647" i="10" s="1"/>
  <c r="K538" i="10"/>
  <c r="M538" i="10" s="1"/>
  <c r="K700" i="10"/>
  <c r="M700" i="10" s="1"/>
  <c r="K94" i="10"/>
  <c r="M94" i="10" s="1"/>
  <c r="K519" i="10"/>
  <c r="M519" i="10" s="1"/>
  <c r="K304" i="10"/>
  <c r="M304" i="10" s="1"/>
  <c r="K320" i="10"/>
  <c r="M320" i="10" s="1"/>
  <c r="K76" i="10"/>
  <c r="M76" i="10" s="1"/>
  <c r="K808" i="10"/>
  <c r="M808" i="10" s="1"/>
  <c r="K798" i="10"/>
  <c r="M798" i="10" s="1"/>
  <c r="K756" i="10"/>
  <c r="M756" i="10" s="1"/>
  <c r="K58" i="10"/>
  <c r="M58" i="10" s="1"/>
  <c r="K449" i="10"/>
  <c r="M449" i="10" s="1"/>
  <c r="K611" i="10"/>
  <c r="M611" i="10" s="1"/>
  <c r="K425" i="10"/>
  <c r="M425" i="10" s="1"/>
  <c r="K616" i="10"/>
  <c r="M616" i="10" s="1"/>
  <c r="K815" i="10"/>
  <c r="M815" i="10" s="1"/>
  <c r="F53" i="10"/>
  <c r="F592" i="10"/>
  <c r="F799" i="10"/>
  <c r="F435" i="10"/>
  <c r="F136" i="10"/>
  <c r="F314" i="10"/>
  <c r="F848" i="10"/>
  <c r="F78" i="10"/>
  <c r="F828" i="10"/>
  <c r="F490" i="10"/>
  <c r="F665" i="10"/>
  <c r="F526" i="10"/>
  <c r="F499" i="10"/>
  <c r="F226" i="10"/>
  <c r="F846" i="10"/>
  <c r="F371" i="10"/>
  <c r="F141" i="10"/>
  <c r="F135" i="10"/>
  <c r="F203" i="10"/>
  <c r="F420" i="10"/>
  <c r="F507" i="10"/>
  <c r="F659" i="10"/>
  <c r="F204" i="10"/>
  <c r="F169" i="10"/>
  <c r="K168" i="10"/>
  <c r="M168" i="10" s="1"/>
  <c r="K587" i="10"/>
  <c r="M587" i="10" s="1"/>
  <c r="F350" i="10"/>
  <c r="F194" i="10"/>
  <c r="F654" i="10"/>
  <c r="F249" i="10"/>
  <c r="F328" i="10"/>
  <c r="F818" i="10"/>
  <c r="F687" i="10"/>
  <c r="F604" i="10"/>
  <c r="F695" i="10"/>
  <c r="F462" i="10"/>
  <c r="F861" i="10"/>
  <c r="F727" i="10"/>
  <c r="F503" i="10"/>
  <c r="K210" i="10"/>
  <c r="M210" i="10" s="1"/>
  <c r="K486" i="10"/>
  <c r="M486" i="10" s="1"/>
  <c r="F742" i="10"/>
  <c r="F248" i="10"/>
  <c r="F130" i="10"/>
  <c r="F188" i="10"/>
  <c r="F441" i="10"/>
  <c r="F664" i="10"/>
  <c r="F448" i="10"/>
  <c r="F258" i="10"/>
  <c r="F233" i="10"/>
  <c r="K234" i="10"/>
  <c r="M234" i="10" s="1"/>
  <c r="K421" i="10"/>
  <c r="M421" i="10" s="1"/>
  <c r="K446" i="10"/>
  <c r="M446" i="10" s="1"/>
  <c r="K434" i="10"/>
  <c r="M434" i="10" s="1"/>
  <c r="K865" i="10"/>
  <c r="M865" i="10" s="1"/>
  <c r="K858" i="10"/>
  <c r="M858" i="10" s="1"/>
  <c r="K627" i="10"/>
  <c r="M627" i="10" s="1"/>
  <c r="K155" i="10"/>
  <c r="M155" i="10" s="1"/>
  <c r="K122" i="10"/>
  <c r="M122" i="10" s="1"/>
  <c r="K768" i="10"/>
  <c r="M768" i="10" s="1"/>
  <c r="K722" i="10"/>
  <c r="M722" i="10" s="1"/>
  <c r="K154" i="10"/>
  <c r="M154" i="10" s="1"/>
  <c r="K535" i="10"/>
  <c r="M535" i="10" s="1"/>
  <c r="K592" i="10"/>
  <c r="M592" i="10" s="1"/>
  <c r="K780" i="10"/>
  <c r="M780" i="10" s="1"/>
  <c r="K44" i="10"/>
  <c r="M44" i="10" s="1"/>
  <c r="K243" i="10"/>
  <c r="M243" i="10" s="1"/>
  <c r="K75" i="10"/>
  <c r="M75" i="10" s="1"/>
  <c r="K467" i="10"/>
  <c r="M467" i="10" s="1"/>
  <c r="K238" i="10"/>
  <c r="M238" i="10" s="1"/>
  <c r="K409" i="10"/>
  <c r="M409" i="10" s="1"/>
  <c r="K547" i="10"/>
  <c r="M547" i="10" s="1"/>
  <c r="K39" i="10"/>
  <c r="M39" i="10" s="1"/>
  <c r="K490" i="10"/>
  <c r="M490" i="10" s="1"/>
  <c r="K267" i="10"/>
  <c r="M267" i="10" s="1"/>
  <c r="K771" i="10"/>
  <c r="M771" i="10" s="1"/>
  <c r="K510" i="10"/>
  <c r="M510" i="10" s="1"/>
  <c r="K598" i="10"/>
  <c r="M598" i="10" s="1"/>
  <c r="K559" i="10"/>
  <c r="M559" i="10" s="1"/>
  <c r="K723" i="10"/>
  <c r="M723" i="10" s="1"/>
  <c r="K802" i="10"/>
  <c r="M802" i="10" s="1"/>
  <c r="K661" i="10"/>
  <c r="M661" i="10" s="1"/>
  <c r="K630" i="10"/>
  <c r="M630" i="10" s="1"/>
  <c r="K77" i="10"/>
  <c r="M77" i="10" s="1"/>
  <c r="K687" i="10"/>
  <c r="M687" i="10" s="1"/>
  <c r="F663" i="10"/>
  <c r="F753" i="10"/>
  <c r="F534" i="10"/>
  <c r="F230" i="10"/>
  <c r="F411" i="10"/>
  <c r="F591" i="10"/>
  <c r="F339" i="10"/>
  <c r="F640" i="10"/>
  <c r="F860" i="10"/>
  <c r="F734" i="10"/>
  <c r="F228" i="10"/>
  <c r="F505" i="10"/>
  <c r="F408" i="10"/>
  <c r="F656" i="10"/>
  <c r="F425" i="10"/>
  <c r="F247" i="10"/>
  <c r="F745" i="10"/>
  <c r="F54" i="10"/>
  <c r="F153" i="10"/>
  <c r="F458" i="10"/>
  <c r="F64" i="10"/>
  <c r="F59" i="10"/>
  <c r="F84" i="10"/>
  <c r="F807" i="10"/>
  <c r="F262" i="10"/>
  <c r="F60" i="10"/>
  <c r="F363" i="10"/>
  <c r="F535" i="10"/>
  <c r="F646" i="10"/>
  <c r="F839" i="10"/>
  <c r="F533" i="10"/>
  <c r="F525" i="10"/>
  <c r="K748" i="10"/>
  <c r="M748" i="10" s="1"/>
  <c r="K308" i="10"/>
  <c r="M308" i="10" s="1"/>
  <c r="K461" i="10"/>
  <c r="M461" i="10" s="1"/>
  <c r="F231" i="10"/>
  <c r="F287" i="10"/>
  <c r="F327" i="10"/>
  <c r="F264" i="10"/>
  <c r="F518" i="10"/>
  <c r="F316" i="10"/>
  <c r="F746" i="10"/>
  <c r="F571" i="10"/>
  <c r="F478" i="10"/>
  <c r="F547" i="10"/>
  <c r="F752" i="10"/>
  <c r="F466" i="10"/>
  <c r="F781" i="10"/>
  <c r="F489" i="10"/>
  <c r="F792" i="10"/>
  <c r="F717" i="10"/>
  <c r="K428" i="10"/>
  <c r="M428" i="10" s="1"/>
  <c r="K70" i="10"/>
  <c r="M70" i="10" s="1"/>
  <c r="K541" i="10"/>
  <c r="M541" i="10" s="1"/>
  <c r="K470" i="10"/>
  <c r="M470" i="10" s="1"/>
  <c r="F114" i="10"/>
  <c r="F196" i="10"/>
  <c r="F164" i="10"/>
  <c r="F206" i="10"/>
  <c r="F109" i="10"/>
  <c r="F700" i="10"/>
  <c r="F396" i="10"/>
  <c r="F349" i="10"/>
  <c r="F426" i="10"/>
  <c r="F650" i="10"/>
  <c r="F278" i="10"/>
  <c r="K508" i="10"/>
  <c r="M508" i="10" s="1"/>
  <c r="K401" i="10"/>
  <c r="M401" i="10" s="1"/>
  <c r="K829" i="10"/>
  <c r="M829" i="10" s="1"/>
  <c r="K199" i="10"/>
  <c r="M199" i="10" s="1"/>
  <c r="K787" i="10"/>
  <c r="M787" i="10" s="1"/>
  <c r="K52" i="10"/>
  <c r="M52" i="10" s="1"/>
  <c r="K853" i="10"/>
  <c r="M853" i="10" s="1"/>
  <c r="K417" i="10"/>
  <c r="M417" i="10" s="1"/>
  <c r="K665" i="10"/>
  <c r="M665" i="10" s="1"/>
  <c r="K433" i="10"/>
  <c r="M433" i="10" s="1"/>
  <c r="K53" i="10"/>
  <c r="M53" i="10" s="1"/>
  <c r="K688" i="10"/>
  <c r="M688" i="10" s="1"/>
  <c r="K843" i="10"/>
  <c r="M843" i="10" s="1"/>
  <c r="K659" i="10"/>
  <c r="M659" i="10" s="1"/>
  <c r="K501" i="10"/>
  <c r="M501" i="10" s="1"/>
  <c r="K678" i="10"/>
  <c r="M678" i="10" s="1"/>
  <c r="K162" i="10"/>
  <c r="M162" i="10" s="1"/>
  <c r="K466" i="10"/>
  <c r="M466" i="10" s="1"/>
  <c r="K40" i="10"/>
  <c r="M40" i="10" s="1"/>
  <c r="F361" i="10"/>
  <c r="F40" i="10"/>
  <c r="F137" i="10"/>
  <c r="F55" i="10"/>
  <c r="F134" i="10"/>
  <c r="F637" i="10"/>
  <c r="F179" i="10"/>
  <c r="F415" i="10"/>
  <c r="F702" i="10"/>
  <c r="F382" i="10"/>
  <c r="F772" i="10"/>
  <c r="F387" i="10"/>
  <c r="F857" i="10"/>
  <c r="F766" i="10"/>
  <c r="F117" i="10"/>
  <c r="F273" i="10"/>
  <c r="F148" i="10"/>
  <c r="F101" i="10"/>
  <c r="F796" i="10"/>
  <c r="F477" i="10"/>
  <c r="F178" i="10"/>
  <c r="F379" i="10"/>
  <c r="F819" i="10"/>
  <c r="F80" i="10"/>
  <c r="F220" i="10"/>
  <c r="F670" i="10"/>
  <c r="F760" i="10"/>
  <c r="F343" i="10"/>
  <c r="F45" i="10"/>
  <c r="F154" i="10"/>
  <c r="F450" i="10"/>
  <c r="F709" i="10"/>
  <c r="F159" i="10"/>
  <c r="F749" i="10"/>
  <c r="F132" i="10"/>
  <c r="F558" i="10"/>
  <c r="F502" i="10"/>
  <c r="F585" i="10"/>
  <c r="F295" i="10"/>
  <c r="F785" i="10"/>
  <c r="F710" i="10"/>
  <c r="F445" i="10"/>
  <c r="F281" i="10"/>
  <c r="F686" i="10"/>
  <c r="F586" i="10"/>
  <c r="K532" i="10"/>
  <c r="M532" i="10" s="1"/>
  <c r="K821" i="10"/>
  <c r="M821" i="10" s="1"/>
  <c r="K158" i="10"/>
  <c r="M158" i="10" s="1"/>
  <c r="F166" i="10"/>
  <c r="F250" i="10"/>
  <c r="F468" i="10"/>
  <c r="F189" i="10"/>
  <c r="F453" i="10"/>
  <c r="F806" i="10"/>
  <c r="F715" i="10"/>
  <c r="F804" i="10"/>
  <c r="F213" i="10"/>
  <c r="F681" i="10"/>
  <c r="F346" i="10"/>
  <c r="F504" i="10"/>
  <c r="F297" i="10"/>
  <c r="F674" i="10"/>
  <c r="F187" i="10"/>
  <c r="F719" i="10"/>
  <c r="F707" i="10"/>
  <c r="F509" i="10"/>
  <c r="F104" i="10"/>
  <c r="F573" i="10"/>
  <c r="F208" i="10"/>
  <c r="F459" i="10"/>
  <c r="K214" i="10"/>
  <c r="M214" i="10" s="1"/>
  <c r="K527" i="10"/>
  <c r="M527" i="10" s="1"/>
  <c r="K804" i="10"/>
  <c r="M804" i="10" s="1"/>
  <c r="K227" i="10"/>
  <c r="M227" i="10" s="1"/>
  <c r="K706" i="10"/>
  <c r="M706" i="10" s="1"/>
  <c r="F645" i="10"/>
  <c r="F388" i="10"/>
  <c r="F668" i="10"/>
  <c r="F116" i="10"/>
  <c r="F854" i="10"/>
  <c r="F682" i="10"/>
  <c r="F397" i="10"/>
  <c r="F145" i="10"/>
  <c r="F697" i="10"/>
  <c r="F474" i="10"/>
  <c r="F83" i="10"/>
  <c r="F424" i="10"/>
  <c r="F833" i="10"/>
  <c r="F580" i="10"/>
  <c r="F290" i="10"/>
  <c r="F440" i="10"/>
  <c r="F400" i="10"/>
  <c r="F70" i="10"/>
  <c r="F47" i="10"/>
  <c r="F698" i="10"/>
  <c r="F576" i="10"/>
  <c r="F172" i="10"/>
  <c r="F427" i="10"/>
  <c r="F244" i="10"/>
  <c r="F648" i="10"/>
  <c r="F493" i="10"/>
  <c r="F51" i="10"/>
  <c r="F353" i="10"/>
  <c r="F452" i="10"/>
  <c r="F299" i="10"/>
  <c r="F323" i="10"/>
  <c r="F748" i="10"/>
  <c r="F85" i="10"/>
  <c r="F139" i="10"/>
  <c r="F651" i="10"/>
  <c r="F168" i="10"/>
  <c r="F545" i="10"/>
  <c r="F824" i="10"/>
  <c r="F725" i="10"/>
  <c r="F782" i="10"/>
  <c r="F699" i="10"/>
  <c r="F183" i="10"/>
  <c r="F195" i="10"/>
  <c r="F271" i="10"/>
  <c r="F312" i="10"/>
  <c r="F539" i="10"/>
  <c r="F582" i="10"/>
  <c r="F850" i="10"/>
  <c r="F79" i="10"/>
  <c r="F606" i="10"/>
  <c r="F516" i="10"/>
  <c r="F100" i="10"/>
  <c r="F385" i="10"/>
  <c r="F410" i="10"/>
  <c r="F770" i="10"/>
  <c r="F279" i="10"/>
  <c r="F243" i="10"/>
  <c r="F492" i="10"/>
  <c r="F811" i="10"/>
  <c r="F308" i="10"/>
  <c r="F150" i="10"/>
  <c r="F847" i="10"/>
  <c r="F691" i="10"/>
  <c r="F658" i="10"/>
  <c r="F672" i="10"/>
  <c r="F270" i="10"/>
  <c r="F555" i="10"/>
  <c r="F257" i="10"/>
  <c r="F737" i="10"/>
  <c r="F481" i="10"/>
  <c r="K426" i="10"/>
  <c r="M426" i="10" s="1"/>
  <c r="K485" i="10"/>
  <c r="M485" i="10" s="1"/>
  <c r="K333" i="10"/>
  <c r="M333" i="10" s="1"/>
  <c r="F512" i="10"/>
  <c r="F288" i="10"/>
  <c r="F370" i="10"/>
  <c r="F795" i="10"/>
  <c r="F583" i="10"/>
  <c r="F280" i="10"/>
  <c r="F185" i="10"/>
  <c r="F138" i="10"/>
  <c r="F378" i="10"/>
  <c r="F619" i="10"/>
  <c r="F214" i="10"/>
  <c r="F454" i="10"/>
  <c r="F685" i="10"/>
  <c r="F634" i="10"/>
  <c r="F740" i="10"/>
  <c r="F119" i="10"/>
  <c r="F96" i="10"/>
  <c r="F561" i="10"/>
  <c r="F212" i="10"/>
  <c r="F266" i="10"/>
  <c r="F329" i="10"/>
  <c r="F626" i="10"/>
  <c r="F92" i="10"/>
  <c r="F786" i="10"/>
  <c r="F65" i="10"/>
  <c r="F412" i="10"/>
  <c r="F69" i="10"/>
  <c r="F764" i="10"/>
  <c r="F160" i="10"/>
  <c r="F751" i="10"/>
  <c r="F671" i="10"/>
  <c r="F487" i="10"/>
  <c r="F324" i="10"/>
  <c r="F401" i="10"/>
  <c r="F71" i="10"/>
  <c r="F757" i="10"/>
  <c r="F563" i="10"/>
  <c r="F605" i="10"/>
  <c r="F334" i="10"/>
  <c r="F575" i="10"/>
  <c r="F429" i="10"/>
  <c r="F551" i="10"/>
  <c r="F830" i="10"/>
  <c r="F126" i="10"/>
  <c r="F756" i="10"/>
  <c r="F779" i="10"/>
  <c r="F735" i="10"/>
  <c r="F414" i="10"/>
  <c r="F433" i="10"/>
  <c r="F360" i="10"/>
  <c r="F588" i="10"/>
  <c r="F720" i="10"/>
  <c r="F829" i="10"/>
  <c r="F784" i="10"/>
  <c r="F567" i="10"/>
  <c r="F790" i="10"/>
  <c r="F711" i="10"/>
  <c r="F416" i="10"/>
  <c r="F384" i="10"/>
  <c r="F844" i="10"/>
  <c r="F124" i="10"/>
  <c r="F614" i="10"/>
  <c r="F827" i="10"/>
  <c r="F318" i="10"/>
  <c r="F437" i="10"/>
  <c r="F701" i="10"/>
  <c r="F852" i="10"/>
  <c r="F170" i="10"/>
  <c r="F542" i="10"/>
  <c r="F457" i="10"/>
  <c r="F142" i="10"/>
  <c r="F536" i="10"/>
  <c r="F358" i="10"/>
  <c r="F729" i="10"/>
  <c r="F267" i="10"/>
  <c r="F366" i="10"/>
  <c r="F255" i="10"/>
  <c r="F689" i="10"/>
  <c r="F599" i="10"/>
  <c r="F192" i="10"/>
  <c r="F341" i="10"/>
  <c r="F703" i="10"/>
  <c r="F678" i="10"/>
  <c r="F211" i="10"/>
  <c r="F515" i="10"/>
  <c r="F171" i="10"/>
  <c r="F391" i="10"/>
  <c r="F309" i="10"/>
  <c r="F693" i="10"/>
  <c r="F552" i="10"/>
  <c r="F731" i="10"/>
  <c r="F601" i="10"/>
  <c r="F129" i="10"/>
  <c r="F303" i="10"/>
  <c r="F332" i="10"/>
  <c r="F403" i="10"/>
  <c r="F623" i="10"/>
  <c r="F140" i="10"/>
  <c r="F381" i="10"/>
  <c r="F741" i="10"/>
  <c r="F511" i="10"/>
  <c r="F630" i="10"/>
  <c r="F483" i="10"/>
  <c r="K391" i="10"/>
  <c r="M391" i="10" s="1"/>
  <c r="K251" i="10"/>
  <c r="M251" i="10" s="1"/>
  <c r="K564" i="10"/>
  <c r="M564" i="10" s="1"/>
  <c r="K326" i="10"/>
  <c r="M326" i="10" s="1"/>
  <c r="F98" i="10"/>
  <c r="F72" i="10"/>
  <c r="F625" i="10"/>
  <c r="F676" i="10"/>
  <c r="F269" i="10"/>
  <c r="F398" i="10"/>
  <c r="F355" i="10"/>
  <c r="F508" i="10"/>
  <c r="F374" i="10"/>
  <c r="F590" i="10"/>
  <c r="F541" i="10"/>
  <c r="F149" i="10"/>
  <c r="F325" i="10"/>
  <c r="F291" i="10"/>
  <c r="F841" i="10"/>
  <c r="F442" i="10"/>
  <c r="F430" i="10"/>
  <c r="F263" i="10"/>
  <c r="F723" i="10"/>
  <c r="F447" i="10"/>
  <c r="F613" i="10"/>
  <c r="F336" i="10"/>
  <c r="F177" i="10"/>
  <c r="F127" i="10"/>
  <c r="F554" i="10"/>
  <c r="F628" i="10"/>
  <c r="F319" i="10"/>
  <c r="F451" i="10"/>
  <c r="F48" i="10"/>
  <c r="F584" i="10"/>
  <c r="F317" i="10"/>
  <c r="F773" i="10"/>
  <c r="F838" i="10"/>
  <c r="F293" i="10"/>
  <c r="F296" i="10"/>
  <c r="F636" i="10"/>
  <c r="F330" i="10"/>
  <c r="F313" i="10"/>
  <c r="F41" i="10"/>
  <c r="F812" i="10"/>
  <c r="F88" i="10"/>
  <c r="F480" i="10"/>
  <c r="F758" i="10"/>
  <c r="F755" i="10"/>
  <c r="F377" i="10"/>
  <c r="F311" i="10"/>
  <c r="F780" i="10"/>
  <c r="F386" i="10"/>
  <c r="F667" i="10"/>
  <c r="F733" i="10"/>
  <c r="F607" i="10"/>
  <c r="F68" i="10"/>
  <c r="F704" i="10"/>
  <c r="F106" i="10"/>
  <c r="F769" i="10"/>
  <c r="F345" i="10"/>
  <c r="F837" i="10"/>
  <c r="F761" i="10"/>
  <c r="F653" i="10"/>
  <c r="F750" i="10"/>
  <c r="F629" i="10"/>
  <c r="F225" i="10"/>
  <c r="F610" i="10"/>
  <c r="F744" i="10"/>
  <c r="F407" i="10"/>
  <c r="F242" i="10"/>
  <c r="F465" i="10"/>
  <c r="F44" i="10"/>
  <c r="F497" i="10"/>
  <c r="F845" i="10"/>
  <c r="F566" i="10"/>
  <c r="F475" i="10"/>
  <c r="F460" i="10"/>
  <c r="F320" i="10"/>
  <c r="F182" i="10"/>
  <c r="F62" i="10"/>
  <c r="F351" i="10"/>
  <c r="F190" i="10"/>
  <c r="F364" i="10"/>
  <c r="F826" i="10"/>
  <c r="F125" i="10"/>
  <c r="F754" i="10"/>
  <c r="F217" i="10"/>
  <c r="F322" i="10"/>
  <c r="F675" i="10"/>
  <c r="F488" i="10"/>
  <c r="F94" i="10"/>
  <c r="F521" i="10"/>
  <c r="F42" i="10"/>
  <c r="F510" i="10"/>
  <c r="F569" i="10"/>
  <c r="F798" i="10"/>
  <c r="F540" i="10"/>
  <c r="F538" i="10"/>
  <c r="F620" i="10"/>
  <c r="F436" i="10"/>
  <c r="F529" i="10"/>
  <c r="F618" i="10"/>
  <c r="F193" i="10"/>
  <c r="F491" i="10"/>
  <c r="F87" i="10"/>
  <c r="F496" i="10"/>
  <c r="F863" i="10"/>
  <c r="F321" i="10"/>
  <c r="F359" i="10"/>
  <c r="F581" i="10"/>
  <c r="F455" i="10"/>
  <c r="F115" i="10"/>
  <c r="F103" i="10"/>
  <c r="F439" i="10"/>
  <c r="F157" i="10"/>
  <c r="F197" i="10"/>
  <c r="F260" i="10"/>
  <c r="F657" i="10"/>
  <c r="F842" i="10"/>
  <c r="F301" i="10"/>
  <c r="F443" i="10"/>
  <c r="F224" i="10"/>
  <c r="F762" i="10"/>
  <c r="F805" i="10"/>
  <c r="F456" i="10"/>
  <c r="F221" i="10"/>
  <c r="F589" i="10"/>
  <c r="F120" i="10"/>
  <c r="F236" i="10"/>
  <c r="F108" i="10"/>
  <c r="F775" i="10"/>
  <c r="F831" i="10"/>
  <c r="F862" i="10"/>
  <c r="F789" i="10"/>
  <c r="F714" i="10"/>
  <c r="F550" i="10"/>
  <c r="F222" i="10"/>
  <c r="F390" i="10"/>
  <c r="F728" i="10"/>
  <c r="F43" i="10"/>
  <c r="F58" i="10"/>
  <c r="F237" i="10"/>
  <c r="F855" i="10"/>
  <c r="F155" i="10"/>
  <c r="F537" i="10"/>
  <c r="F251" i="10"/>
  <c r="F133" i="10"/>
  <c r="F726" i="10"/>
  <c r="F463" i="10"/>
  <c r="F609" i="10"/>
  <c r="F423" i="10"/>
  <c r="F315" i="10"/>
  <c r="F683" i="10"/>
  <c r="F300" i="10"/>
  <c r="F688" i="10"/>
  <c r="F265" i="10"/>
  <c r="F63" i="10"/>
  <c r="F800" i="10"/>
  <c r="F843" i="10"/>
  <c r="F673" i="10"/>
  <c r="F643" i="10"/>
  <c r="F122" i="10"/>
  <c r="F716" i="10"/>
  <c r="F234" i="10"/>
  <c r="F815" i="10"/>
  <c r="F144" i="10"/>
  <c r="F865" i="10"/>
  <c r="F413" i="10"/>
  <c r="F642" i="10"/>
  <c r="F304" i="10"/>
  <c r="F399" i="10"/>
  <c r="F562" i="10"/>
  <c r="F393" i="10"/>
  <c r="F696" i="10"/>
  <c r="F99" i="10"/>
  <c r="F82" i="10"/>
  <c r="F91" i="10"/>
  <c r="F840" i="10"/>
  <c r="F354" i="10"/>
  <c r="F219" i="10"/>
  <c r="F207" i="10"/>
  <c r="F352" i="10"/>
  <c r="F76" i="10"/>
  <c r="F578" i="10"/>
  <c r="F337" i="10"/>
  <c r="F501" i="10"/>
  <c r="F544" i="10"/>
  <c r="F546" i="10"/>
  <c r="F331" i="10"/>
  <c r="F595" i="10"/>
  <c r="F524" i="10"/>
  <c r="F616" i="10"/>
  <c r="F268" i="10"/>
  <c r="F788" i="10"/>
  <c r="F107" i="10"/>
  <c r="F66" i="10"/>
  <c r="F389" i="10"/>
  <c r="F484" i="10"/>
  <c r="F90" i="10"/>
  <c r="F776" i="10"/>
  <c r="F864" i="10"/>
  <c r="F787" i="10"/>
  <c r="F494" i="10"/>
  <c r="F577" i="10"/>
  <c r="F596" i="10"/>
  <c r="F165" i="10"/>
  <c r="F261" i="10"/>
  <c r="F215" i="10"/>
  <c r="F419" i="10"/>
  <c r="F730" i="10"/>
  <c r="F568" i="10"/>
  <c r="F357" i="10"/>
  <c r="F611" i="10"/>
  <c r="F825" i="10"/>
  <c r="F446" i="10"/>
  <c r="F356" i="10"/>
  <c r="F608" i="10"/>
  <c r="F635" i="10"/>
  <c r="F143" i="10"/>
  <c r="F617" i="10"/>
  <c r="F718" i="10"/>
  <c r="F209" i="10"/>
  <c r="F834" i="10"/>
  <c r="F191" i="10"/>
  <c r="F395" i="10"/>
  <c r="F600" i="10"/>
  <c r="F97" i="10"/>
  <c r="F238" i="10"/>
  <c r="F74" i="10"/>
  <c r="F277" i="10"/>
  <c r="F102" i="10"/>
  <c r="F548" i="10"/>
  <c r="F161" i="10"/>
  <c r="F612" i="10"/>
  <c r="F449" i="10"/>
  <c r="F175" i="10"/>
  <c r="F235" i="10"/>
  <c r="F338" i="10"/>
  <c r="F743" i="10"/>
  <c r="F272" i="10"/>
  <c r="F111" i="10"/>
  <c r="F768" i="10"/>
  <c r="F112" i="10"/>
  <c r="F49" i="10"/>
  <c r="F438" i="10"/>
  <c r="F708" i="10"/>
  <c r="F50" i="10"/>
  <c r="F721" i="10"/>
  <c r="F473" i="10"/>
  <c r="F778" i="10"/>
  <c r="F530" i="10"/>
  <c r="F821" i="10"/>
  <c r="F514" i="10"/>
  <c r="F641" i="10"/>
  <c r="F344" i="10"/>
  <c r="F276" i="10"/>
  <c r="F627" i="10"/>
  <c r="F559" i="10"/>
  <c r="F655" i="10"/>
  <c r="F464" i="10"/>
  <c r="F77" i="10"/>
  <c r="F649" i="10"/>
  <c r="F131" i="10"/>
  <c r="F326" i="10"/>
  <c r="F471" i="10"/>
  <c r="F587" i="10"/>
  <c r="F167" i="10"/>
  <c r="F574" i="10"/>
  <c r="F802" i="10"/>
  <c r="F362" i="10"/>
  <c r="F176" i="10"/>
  <c r="F549" i="10"/>
  <c r="F738" i="10"/>
  <c r="F470" i="10"/>
  <c r="F476" i="10"/>
  <c r="F794" i="10"/>
  <c r="F418" i="10"/>
  <c r="F89" i="10"/>
  <c r="F402" i="10"/>
  <c r="F240" i="10"/>
  <c r="F527" i="10"/>
  <c r="F118" i="10"/>
  <c r="F205" i="10"/>
  <c r="F147" i="10"/>
  <c r="F528" i="10"/>
  <c r="F432" i="10"/>
  <c r="F110" i="10"/>
  <c r="F93" i="10"/>
  <c r="F666" i="10"/>
  <c r="F61" i="10"/>
  <c r="F223" i="10"/>
  <c r="F52" i="10"/>
  <c r="F810" i="10"/>
  <c r="F485" i="10"/>
  <c r="F241" i="10"/>
  <c r="F75" i="10"/>
  <c r="F383" i="10"/>
  <c r="F543" i="10"/>
  <c r="F239" i="10"/>
  <c r="F835" i="10"/>
  <c r="F286" i="10"/>
  <c r="F797" i="10"/>
  <c r="F394" i="10"/>
  <c r="F836" i="10"/>
  <c r="F506" i="10"/>
  <c r="F633" i="10"/>
  <c r="F284" i="10"/>
  <c r="F256" i="10"/>
  <c r="F369" i="10"/>
  <c r="F232" i="10"/>
  <c r="F783" i="10"/>
  <c r="F151" i="10"/>
  <c r="F163" i="10"/>
  <c r="F603" i="10"/>
  <c r="F367" i="10"/>
  <c r="F706" i="10"/>
  <c r="F405" i="10"/>
  <c r="F216" i="10"/>
  <c r="F631" i="10"/>
  <c r="F520" i="10"/>
  <c r="F461" i="10"/>
  <c r="F602" i="10"/>
  <c r="F417" i="10"/>
  <c r="F200" i="10"/>
  <c r="F342" i="10"/>
  <c r="F849" i="10"/>
  <c r="F259" i="10"/>
  <c r="F186" i="10"/>
  <c r="F56" i="10"/>
  <c r="F597" i="10"/>
  <c r="F305" i="10"/>
  <c r="F57" i="10"/>
  <c r="F105" i="10"/>
  <c r="F712" i="10"/>
  <c r="F81" i="10"/>
  <c r="F274" i="10"/>
  <c r="F598" i="10"/>
  <c r="F156" i="10"/>
  <c r="F67" i="10"/>
  <c r="F532" i="10"/>
  <c r="F570" i="10"/>
  <c r="F121" i="10"/>
  <c r="F486" i="10"/>
  <c r="F95" i="10"/>
  <c r="M38" i="10"/>
  <c r="L8" i="10" l="1"/>
  <c r="I8" i="10"/>
  <c r="K8" i="10"/>
  <c r="J8" i="10"/>
  <c r="H8" i="10"/>
  <c r="I7" i="10"/>
  <c r="J7" i="10"/>
  <c r="H7" i="10"/>
  <c r="L7" i="10"/>
  <c r="K7" i="10"/>
  <c r="E875" i="10"/>
  <c r="O4" i="10"/>
  <c r="E878" i="10"/>
  <c r="E876" i="10"/>
  <c r="E877" i="10"/>
  <c r="F7" i="10" l="1"/>
</calcChain>
</file>

<file path=xl/sharedStrings.xml><?xml version="1.0" encoding="utf-8"?>
<sst xmlns="http://schemas.openxmlformats.org/spreadsheetml/2006/main" count="802" uniqueCount="161">
  <si>
    <t>Não apresentou</t>
  </si>
  <si>
    <t>CP</t>
  </si>
  <si>
    <t>M</t>
  </si>
  <si>
    <t>id</t>
  </si>
  <si>
    <t>CP ou M</t>
  </si>
  <si>
    <t>Data de Nascimento</t>
  </si>
  <si>
    <t>Destino</t>
  </si>
  <si>
    <t>Observações</t>
  </si>
  <si>
    <t>Nº passagem</t>
  </si>
  <si>
    <t>Juiz de Fora</t>
  </si>
  <si>
    <t>Barbacena</t>
  </si>
  <si>
    <t>Congonhas</t>
  </si>
  <si>
    <t>Usuário</t>
  </si>
  <si>
    <t>Idade</t>
  </si>
  <si>
    <t>Data</t>
  </si>
  <si>
    <t>Drogas</t>
  </si>
  <si>
    <t>N</t>
  </si>
  <si>
    <t>S</t>
  </si>
  <si>
    <t>Documento</t>
  </si>
  <si>
    <t>Sexo</t>
  </si>
  <si>
    <t>Nome</t>
  </si>
  <si>
    <t>ID</t>
  </si>
  <si>
    <t>F</t>
  </si>
  <si>
    <t>Última passagem</t>
  </si>
  <si>
    <t>id2</t>
  </si>
  <si>
    <t>Ipatinga-MG</t>
  </si>
  <si>
    <t>Congonhas-MG</t>
  </si>
  <si>
    <t>RG: MG-8.090.047</t>
  </si>
  <si>
    <t>Data do cadastro</t>
  </si>
  <si>
    <t>Usuário de drogas</t>
  </si>
  <si>
    <t>Informações cadastrais</t>
  </si>
  <si>
    <t>Doença ou transtorno mental</t>
  </si>
  <si>
    <t>Relatório de frequência e uso do setor</t>
  </si>
  <si>
    <t>ID do usuário</t>
  </si>
  <si>
    <t>Documento apresentado</t>
  </si>
  <si>
    <t>Passagens concedidas</t>
  </si>
  <si>
    <t>Mês</t>
  </si>
  <si>
    <t>Bloco I - Acompanhamentos pelo Serviço Especializado para Pessoas em Situação de Rua</t>
  </si>
  <si>
    <t>A. Pessoas em situação de rua atendidas no serviço durante o mês de referência</t>
  </si>
  <si>
    <t>A.1. Quantidade e perfil das pessoas em situação de rua atendidas no mês de referência</t>
  </si>
  <si>
    <t>Total</t>
  </si>
  <si>
    <t>0 a 12 anos</t>
  </si>
  <si>
    <t>13 a 17 anos</t>
  </si>
  <si>
    <t>18 a 39 anos</t>
  </si>
  <si>
    <t>40 a 59 anos</t>
  </si>
  <si>
    <t>Masculino</t>
  </si>
  <si>
    <t>Feminino</t>
  </si>
  <si>
    <t>B. Características específicas identificadas em pessoas atendidas no Serviço durante o mês de referência</t>
  </si>
  <si>
    <t>B.2. Migrantes</t>
  </si>
  <si>
    <t>B.3. Pessoas com doença ou transtorno mental</t>
  </si>
  <si>
    <t xml:space="preserve"> </t>
  </si>
  <si>
    <t>FORMULÁRIO 1 - RELATÓRIO MENSAL DE ATENDIMENTOS DO CENTRO POP</t>
  </si>
  <si>
    <t>MÊS:</t>
  </si>
  <si>
    <t>ANO:</t>
  </si>
  <si>
    <t>Histórico de frequência - Dados brutos</t>
  </si>
  <si>
    <t>Migrante</t>
  </si>
  <si>
    <t>Frequência</t>
  </si>
  <si>
    <t/>
  </si>
  <si>
    <t>Dados Consolidados</t>
  </si>
  <si>
    <t>→</t>
  </si>
  <si>
    <t>Mês/ano de frequência</t>
  </si>
  <si>
    <t>B.1. Pessoas usuárias de crack ou drogas ilícitas</t>
  </si>
  <si>
    <t>Cidade de referência</t>
  </si>
  <si>
    <t>Conselheiro Lafaiete-MG</t>
  </si>
  <si>
    <t>Freq.</t>
  </si>
  <si>
    <t>TM</t>
  </si>
  <si>
    <t>idade</t>
  </si>
  <si>
    <t>Juiz de Fora-MG</t>
  </si>
  <si>
    <t>RESUMO</t>
  </si>
  <si>
    <t>Migrantes</t>
  </si>
  <si>
    <t>Centro POP</t>
  </si>
  <si>
    <t>até 5</t>
  </si>
  <si>
    <t>6 a 10</t>
  </si>
  <si>
    <t>11 a 15</t>
  </si>
  <si>
    <t>mais que 15</t>
  </si>
  <si>
    <t>Em Acompanhamento</t>
  </si>
  <si>
    <t>Sem Acompanhamento</t>
  </si>
  <si>
    <t>Realçados em vermelho na tabela de frequência ao lado, corrigir na planilha de cadastro.</t>
  </si>
  <si>
    <t>D.  Ment.</t>
  </si>
  <si>
    <t>2017</t>
  </si>
  <si>
    <t>Exp. Sexual</t>
  </si>
  <si>
    <t>Trab. infantil</t>
  </si>
  <si>
    <t>Crianças e adolescentes</t>
  </si>
  <si>
    <t>2016</t>
  </si>
  <si>
    <t>jun</t>
  </si>
  <si>
    <t>jul</t>
  </si>
  <si>
    <t>Bloco II - Serviço especializado em Abordagem Social no Centro POP</t>
  </si>
  <si>
    <t>E. Quantidade e perfil de pessoas abordadas pela equipe do Serviço de Abordagem, no mês de referência</t>
  </si>
  <si>
    <t>E.1. Quantidade de pessoas abordadas pelo Serviço de Abordagem Social, durante o mês de referência</t>
  </si>
  <si>
    <t>Situações identificadas pelo Serviço Especializado em Abordagem Social, no mês de referência</t>
  </si>
  <si>
    <t>E.2. Crianças ou adolescentes em situação de trabalho infantil (até 15 anos)</t>
  </si>
  <si>
    <t>E.3. Crianças ou adolescentes em situação de exploração sexual</t>
  </si>
  <si>
    <t>E.4. Crianças ou adolescentes usuárias de crack ou outras drogas</t>
  </si>
  <si>
    <t>E.5. Pessoas adultas usuárias de crack ou outras drogas ilícitas</t>
  </si>
  <si>
    <t>E.6. Migrantes</t>
  </si>
  <si>
    <t>ago</t>
  </si>
  <si>
    <t>jan</t>
  </si>
  <si>
    <t>fev</t>
  </si>
  <si>
    <t>FREQUÊNCIA DO MÊS - CENTRO POP - DADOS BRUTOS</t>
  </si>
  <si>
    <t>FREQUÊNCIA DO MÊS - ABORDAGEM - DADOS BRUTOS</t>
  </si>
  <si>
    <t>T. I.</t>
  </si>
  <si>
    <t>E. S.</t>
  </si>
  <si>
    <t>Trab. Inf.</t>
  </si>
  <si>
    <t>Exp. Sex.</t>
  </si>
  <si>
    <t>Nº Abord.</t>
  </si>
  <si>
    <t>F. Volume de abordagens realizadas</t>
  </si>
  <si>
    <t>F.1. Quantidade total de abordagens realizadas (compreendida como número de pessoas abordadas, multiplicado pelo número de vezes em que foram abordadas durante o mês)</t>
  </si>
  <si>
    <t>FERRAMENTAS DE GESTÃO - CENTRO POP</t>
  </si>
  <si>
    <t>18 a 59 anos</t>
  </si>
  <si>
    <t>60 anos     ou mais</t>
  </si>
  <si>
    <t>Anos</t>
  </si>
  <si>
    <t>T. Geral</t>
  </si>
  <si>
    <t>hist.</t>
  </si>
  <si>
    <t>Não tem</t>
  </si>
  <si>
    <t>N/D</t>
  </si>
  <si>
    <t>Ibirapuera-SP/Conselheiro Lafaiete-MG</t>
  </si>
  <si>
    <t>Salvador-BA</t>
  </si>
  <si>
    <t>Barroso-MG</t>
  </si>
  <si>
    <t>Maravilhas-MG</t>
  </si>
  <si>
    <t>Rio de Janeiro-MG</t>
  </si>
  <si>
    <t>Espanha</t>
  </si>
  <si>
    <t>Murundu-BA</t>
  </si>
  <si>
    <t xml:space="preserve">Rio de Janeiro </t>
  </si>
  <si>
    <t>Vitória- ES</t>
  </si>
  <si>
    <t>Maria do Carmo</t>
  </si>
  <si>
    <t>José Augusto</t>
  </si>
  <si>
    <t>Joana Silva</t>
  </si>
  <si>
    <t>João Pereira</t>
  </si>
  <si>
    <t>Maria Almeida</t>
  </si>
  <si>
    <t>Marcos Costa</t>
  </si>
  <si>
    <t>Alan Gomes</t>
  </si>
  <si>
    <t>Luiz Souza</t>
  </si>
  <si>
    <t>Tatiane Costa</t>
  </si>
  <si>
    <t>Maicon Silva</t>
  </si>
  <si>
    <t>Rodolfo Gonçalvez</t>
  </si>
  <si>
    <t>Marina Rodrigues</t>
  </si>
  <si>
    <t>Valdecir Castro</t>
  </si>
  <si>
    <t>Lucas Cabral</t>
  </si>
  <si>
    <t>Dione Silva</t>
  </si>
  <si>
    <t>Vicente Pereira</t>
  </si>
  <si>
    <t>Eduardo Costa</t>
  </si>
  <si>
    <t>Douglas Bragança</t>
  </si>
  <si>
    <t>Antonieta Belém</t>
  </si>
  <si>
    <t>Josefina Andrade</t>
  </si>
  <si>
    <t>BO: 1128-2014-0009999</t>
  </si>
  <si>
    <t>BO: 1128-2014-0009998</t>
  </si>
  <si>
    <t>BO: 1128-2014-0009997</t>
  </si>
  <si>
    <t>CPF: 111.222.333-44</t>
  </si>
  <si>
    <t>RG: 11.222.333 MG</t>
  </si>
  <si>
    <t>Não quis informar</t>
  </si>
  <si>
    <t>Comentários</t>
  </si>
  <si>
    <t>Belo horizonte</t>
  </si>
  <si>
    <t>2014</t>
  </si>
  <si>
    <t>2015</t>
  </si>
  <si>
    <t>Agosto</t>
  </si>
  <si>
    <t>Scrap da planilha "abordagens"</t>
  </si>
  <si>
    <t>DADOS CONSOLIDADOS</t>
  </si>
  <si>
    <t>#REF!</t>
  </si>
  <si>
    <t>Prefeitura Municipal de xxx
Secretaria Municipal de Desenvolvimento Social
Centro de Referência Especializado para População em Situação de Rua</t>
  </si>
  <si>
    <t xml:space="preserve">Rua XXX, 760 – Santa Efigênia – CEP: 33300-000 – Conselheiro Lafaiete, MG </t>
  </si>
  <si>
    <t>Telefone: (31) 3333-0000 – e-mail: centropop@XXX.mg.gov.br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</si>
</sst>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dias&quot;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 tint="0.499984740745262"/>
      <name val="Franklin Gothic Heavy"/>
      <family val="2"/>
    </font>
    <font>
      <b/>
      <sz val="8"/>
      <color theme="1" tint="0.34998626667073579"/>
      <name val="Arial Black"/>
      <family val="2"/>
    </font>
    <font>
      <b/>
      <sz val="9"/>
      <color theme="1" tint="0.34998626667073579"/>
      <name val="Arial Black"/>
      <family val="2"/>
    </font>
    <font>
      <sz val="10"/>
      <color theme="1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 tint="0.499984740745262"/>
      <name val="Times New Roman"/>
      <family val="1"/>
    </font>
    <font>
      <sz val="8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11"/>
      <color theme="1"/>
      <name val="Calibri"/>
      <family val="2"/>
    </font>
    <font>
      <sz val="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scheme val="minor"/>
    </font>
    <font>
      <sz val="11"/>
      <color theme="1" tint="0.499984740745262"/>
      <name val="Calibri"/>
      <scheme val="minor"/>
    </font>
    <font>
      <sz val="11"/>
      <color theme="0"/>
      <name val="Franklin Gothic Heavy"/>
      <family val="2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7"/>
      <name val="Calibri"/>
      <family val="2"/>
      <scheme val="minor"/>
    </font>
    <font>
      <sz val="7.5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u/>
      <sz val="8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BFDF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9E7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 tint="0.59999389629810485"/>
      </right>
      <top/>
      <bottom/>
      <diagonal/>
    </border>
    <border>
      <left/>
      <right style="thin">
        <color theme="6" tint="0.59999389629810485"/>
      </right>
      <top style="thin">
        <color theme="6"/>
      </top>
      <bottom/>
      <diagonal/>
    </border>
    <border>
      <left/>
      <right/>
      <top/>
      <bottom style="thin">
        <color theme="6" tint="0.59999389629810485"/>
      </bottom>
      <diagonal/>
    </border>
    <border>
      <left/>
      <right style="thin">
        <color theme="6" tint="0.59999389629810485"/>
      </right>
      <top/>
      <bottom style="thin">
        <color theme="6" tint="0.59999389629810485"/>
      </bottom>
      <diagonal/>
    </border>
    <border>
      <left style="thin">
        <color theme="6"/>
      </left>
      <right/>
      <top/>
      <bottom style="thin">
        <color theme="6" tint="0.59999389629810485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/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6">
    <xf numFmtId="0" fontId="0" fillId="0" borderId="0" xfId="0"/>
    <xf numFmtId="0" fontId="4" fillId="0" borderId="0" xfId="0" applyFont="1"/>
    <xf numFmtId="0" fontId="0" fillId="0" borderId="1" xfId="0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1" fontId="5" fillId="0" borderId="2" xfId="0" applyNumberFormat="1" applyFont="1" applyFill="1" applyBorder="1" applyAlignment="1">
      <alignment horizontal="center"/>
    </xf>
    <xf numFmtId="14" fontId="5" fillId="0" borderId="2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1" fontId="0" fillId="0" borderId="1" xfId="0" applyNumberFormat="1" applyFont="1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ill="1"/>
    <xf numFmtId="0" fontId="5" fillId="0" borderId="0" xfId="0" applyFont="1" applyFill="1" applyBorder="1" applyAlignment="1">
      <alignment horizontal="center"/>
    </xf>
    <xf numFmtId="0" fontId="0" fillId="0" borderId="0" xfId="0" applyFont="1"/>
    <xf numFmtId="0" fontId="8" fillId="0" borderId="0" xfId="0" applyFont="1" applyFill="1" applyBorder="1"/>
    <xf numFmtId="0" fontId="0" fillId="0" borderId="0" xfId="0" applyFill="1" applyAlignment="1">
      <alignment horizontal="center"/>
    </xf>
    <xf numFmtId="14" fontId="9" fillId="7" borderId="0" xfId="4" applyNumberFormat="1" applyFont="1" applyFill="1" applyAlignment="1">
      <alignment horizontal="center"/>
    </xf>
    <xf numFmtId="17" fontId="5" fillId="0" borderId="2" xfId="0" applyNumberFormat="1" applyFont="1" applyFill="1" applyBorder="1" applyAlignment="1">
      <alignment horizontal="center"/>
    </xf>
    <xf numFmtId="0" fontId="10" fillId="7" borderId="0" xfId="0" applyFont="1" applyFill="1"/>
    <xf numFmtId="1" fontId="5" fillId="6" borderId="0" xfId="0" applyNumberFormat="1" applyFont="1" applyFill="1" applyBorder="1" applyAlignment="1">
      <alignment horizontal="center"/>
    </xf>
    <xf numFmtId="1" fontId="10" fillId="7" borderId="0" xfId="2" applyNumberFormat="1" applyFont="1" applyFill="1" applyBorder="1" applyAlignment="1">
      <alignment horizontal="center" vertical="center"/>
    </xf>
    <xf numFmtId="1" fontId="10" fillId="7" borderId="0" xfId="2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wrapText="1"/>
    </xf>
    <xf numFmtId="0" fontId="0" fillId="0" borderId="0" xfId="0" applyFont="1" applyBorder="1" applyAlignment="1">
      <alignment wrapText="1"/>
    </xf>
    <xf numFmtId="1" fontId="0" fillId="0" borderId="0" xfId="0" applyNumberFormat="1" applyFont="1" applyBorder="1"/>
    <xf numFmtId="0" fontId="0" fillId="0" borderId="0" xfId="0" applyFont="1" applyBorder="1" applyAlignment="1">
      <alignment horizontal="center" vertical="center"/>
    </xf>
    <xf numFmtId="0" fontId="11" fillId="7" borderId="0" xfId="0" applyNumberFormat="1" applyFont="1" applyFill="1" applyBorder="1" applyAlignment="1">
      <alignment horizontal="center" wrapText="1"/>
    </xf>
    <xf numFmtId="1" fontId="11" fillId="7" borderId="0" xfId="2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10" fillId="7" borderId="0" xfId="0" applyNumberFormat="1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 wrapText="1"/>
    </xf>
    <xf numFmtId="0" fontId="0" fillId="0" borderId="1" xfId="0" applyFont="1" applyFill="1" applyBorder="1" applyAlignment="1">
      <alignment horizontal="left" wrapText="1"/>
    </xf>
    <xf numFmtId="0" fontId="6" fillId="0" borderId="1" xfId="0" applyFont="1" applyFill="1" applyBorder="1" applyAlignment="1">
      <alignment horizontal="left" wrapText="1"/>
    </xf>
    <xf numFmtId="0" fontId="6" fillId="0" borderId="3" xfId="0" applyFont="1" applyFill="1" applyBorder="1" applyAlignment="1">
      <alignment horizontal="left" wrapText="1"/>
    </xf>
    <xf numFmtId="0" fontId="0" fillId="0" borderId="1" xfId="0" applyFont="1" applyFill="1" applyBorder="1" applyAlignment="1" applyProtection="1">
      <alignment horizontal="left"/>
    </xf>
    <xf numFmtId="14" fontId="0" fillId="0" borderId="0" xfId="0" applyNumberFormat="1" applyFont="1" applyAlignment="1" applyProtection="1">
      <alignment horizontal="center"/>
    </xf>
    <xf numFmtId="0" fontId="11" fillId="7" borderId="0" xfId="0" applyFont="1" applyFill="1"/>
    <xf numFmtId="0" fontId="6" fillId="0" borderId="3" xfId="0" applyFont="1" applyFill="1" applyBorder="1" applyAlignment="1">
      <alignment horizontal="left"/>
    </xf>
    <xf numFmtId="14" fontId="6" fillId="0" borderId="3" xfId="0" applyNumberFormat="1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1" fillId="7" borderId="0" xfId="0" applyFont="1" applyFill="1" applyBorder="1"/>
    <xf numFmtId="0" fontId="0" fillId="0" borderId="0" xfId="0" applyFill="1" applyProtection="1"/>
    <xf numFmtId="0" fontId="0" fillId="8" borderId="0" xfId="0" applyFill="1"/>
    <xf numFmtId="0" fontId="0" fillId="8" borderId="0" xfId="0" applyFill="1" applyBorder="1"/>
    <xf numFmtId="0" fontId="13" fillId="8" borderId="0" xfId="0" applyFont="1" applyFill="1" applyAlignment="1"/>
    <xf numFmtId="0" fontId="14" fillId="8" borderId="0" xfId="0" applyFont="1" applyFill="1"/>
    <xf numFmtId="0" fontId="14" fillId="8" borderId="0" xfId="0" applyFont="1" applyFill="1" applyBorder="1" applyAlignment="1">
      <alignment vertical="center"/>
    </xf>
    <xf numFmtId="0" fontId="13" fillId="8" borderId="0" xfId="0" applyFont="1" applyFill="1" applyBorder="1"/>
    <xf numFmtId="0" fontId="17" fillId="8" borderId="0" xfId="1" applyFont="1" applyFill="1" applyBorder="1" applyAlignment="1"/>
    <xf numFmtId="0" fontId="0" fillId="8" borderId="0" xfId="0" applyFill="1" applyAlignment="1"/>
    <xf numFmtId="0" fontId="0" fillId="8" borderId="7" xfId="0" applyFill="1" applyBorder="1"/>
    <xf numFmtId="0" fontId="0" fillId="8" borderId="0" xfId="0" applyFill="1" applyBorder="1" applyAlignment="1"/>
    <xf numFmtId="0" fontId="0" fillId="8" borderId="0" xfId="0" applyFill="1" applyAlignment="1">
      <alignment horizontal="center"/>
    </xf>
    <xf numFmtId="17" fontId="22" fillId="0" borderId="0" xfId="0" applyNumberFormat="1" applyFont="1"/>
    <xf numFmtId="14" fontId="0" fillId="8" borderId="0" xfId="0" applyNumberFormat="1" applyFill="1" applyAlignment="1"/>
    <xf numFmtId="17" fontId="0" fillId="8" borderId="0" xfId="0" applyNumberFormat="1" applyFill="1"/>
    <xf numFmtId="0" fontId="23" fillId="8" borderId="0" xfId="0" applyFont="1" applyFill="1"/>
    <xf numFmtId="0" fontId="0" fillId="8" borderId="0" xfId="0" applyNumberFormat="1" applyFill="1" applyAlignment="1"/>
    <xf numFmtId="1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25" fillId="0" borderId="0" xfId="0" applyFont="1" applyFill="1" applyBorder="1" applyAlignment="1">
      <alignment horizontal="left" wrapText="1"/>
    </xf>
    <xf numFmtId="0" fontId="0" fillId="8" borderId="0" xfId="0" applyFill="1" applyBorder="1" applyAlignment="1">
      <alignment horizontal="center"/>
    </xf>
    <xf numFmtId="1" fontId="25" fillId="0" borderId="0" xfId="0" applyNumberFormat="1" applyFont="1" applyFill="1" applyBorder="1" applyAlignment="1">
      <alignment horizontal="left"/>
    </xf>
    <xf numFmtId="17" fontId="10" fillId="7" borderId="0" xfId="0" applyNumberFormat="1" applyFont="1" applyFill="1" applyBorder="1" applyAlignment="1">
      <alignment horizontal="center"/>
    </xf>
    <xf numFmtId="17" fontId="0" fillId="0" borderId="0" xfId="0" applyNumberFormat="1" applyFont="1" applyBorder="1" applyAlignment="1">
      <alignment horizontal="center"/>
    </xf>
    <xf numFmtId="17" fontId="11" fillId="7" borderId="0" xfId="0" applyNumberFormat="1" applyFont="1" applyFill="1" applyAlignment="1">
      <alignment horizontal="center"/>
    </xf>
    <xf numFmtId="17" fontId="10" fillId="7" borderId="0" xfId="0" applyNumberFormat="1" applyFont="1" applyFill="1" applyAlignment="1">
      <alignment horizontal="center"/>
    </xf>
    <xf numFmtId="17" fontId="20" fillId="7" borderId="0" xfId="0" applyNumberFormat="1" applyFont="1" applyFill="1"/>
    <xf numFmtId="0" fontId="14" fillId="8" borderId="0" xfId="0" applyFont="1" applyFill="1" applyBorder="1"/>
    <xf numFmtId="0" fontId="18" fillId="8" borderId="0" xfId="0" applyFont="1" applyFill="1" applyBorder="1"/>
    <xf numFmtId="0" fontId="18" fillId="8" borderId="0" xfId="0" applyFont="1" applyFill="1" applyBorder="1" applyAlignment="1"/>
    <xf numFmtId="0" fontId="13" fillId="8" borderId="0" xfId="0" applyFont="1" applyFill="1" applyBorder="1" applyAlignment="1"/>
    <xf numFmtId="14" fontId="17" fillId="8" borderId="0" xfId="0" applyNumberFormat="1" applyFont="1" applyFill="1" applyBorder="1" applyAlignment="1"/>
    <xf numFmtId="0" fontId="14" fillId="0" borderId="0" xfId="0" applyFont="1" applyFill="1" applyBorder="1"/>
    <xf numFmtId="0" fontId="0" fillId="8" borderId="0" xfId="0" applyFill="1" applyBorder="1" applyAlignment="1">
      <alignment horizontal="left"/>
    </xf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7" xfId="0" applyFill="1" applyBorder="1" applyAlignment="1"/>
    <xf numFmtId="49" fontId="0" fillId="0" borderId="1" xfId="0" applyNumberFormat="1" applyFont="1" applyFill="1" applyBorder="1" applyAlignment="1">
      <alignment horizontal="center"/>
    </xf>
    <xf numFmtId="49" fontId="6" fillId="0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4" fillId="8" borderId="0" xfId="0" applyFont="1" applyFill="1" applyAlignment="1">
      <alignment horizontal="center"/>
    </xf>
    <xf numFmtId="1" fontId="24" fillId="8" borderId="0" xfId="0" applyNumberFormat="1" applyFont="1" applyFill="1" applyAlignment="1">
      <alignment horizontal="center"/>
    </xf>
    <xf numFmtId="0" fontId="6" fillId="0" borderId="0" xfId="0" applyFont="1" applyFill="1" applyBorder="1" applyAlignment="1" applyProtection="1">
      <alignment horizontal="left" wrapText="1"/>
    </xf>
    <xf numFmtId="1" fontId="0" fillId="0" borderId="1" xfId="0" applyNumberFormat="1" applyFont="1" applyFill="1" applyBorder="1" applyAlignment="1" applyProtection="1">
      <alignment horizontal="left"/>
    </xf>
    <xf numFmtId="1" fontId="5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 wrapText="1"/>
    </xf>
    <xf numFmtId="14" fontId="0" fillId="0" borderId="0" xfId="0" applyNumberFormat="1" applyFont="1" applyFill="1" applyAlignment="1">
      <alignment horizontal="center"/>
    </xf>
    <xf numFmtId="1" fontId="11" fillId="0" borderId="0" xfId="2" applyNumberFormat="1" applyFont="1" applyFill="1" applyBorder="1" applyAlignment="1">
      <alignment horizontal="center" vertical="center"/>
    </xf>
    <xf numFmtId="17" fontId="11" fillId="0" borderId="0" xfId="0" applyNumberFormat="1" applyFont="1" applyFill="1" applyAlignment="1">
      <alignment horizontal="center"/>
    </xf>
    <xf numFmtId="0" fontId="10" fillId="0" borderId="0" xfId="0" applyNumberFormat="1" applyFont="1" applyFill="1" applyBorder="1" applyAlignment="1">
      <alignment horizontal="center" wrapText="1"/>
    </xf>
    <xf numFmtId="1" fontId="10" fillId="0" borderId="0" xfId="2" applyNumberFormat="1" applyFont="1" applyFill="1" applyBorder="1" applyAlignment="1">
      <alignment horizontal="center" vertical="center"/>
    </xf>
    <xf numFmtId="17" fontId="1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left"/>
    </xf>
    <xf numFmtId="14" fontId="0" fillId="0" borderId="0" xfId="0" applyNumberFormat="1" applyFont="1" applyFill="1" applyBorder="1" applyAlignment="1">
      <alignment horizontal="center"/>
    </xf>
    <xf numFmtId="14" fontId="6" fillId="0" borderId="0" xfId="0" applyNumberFormat="1" applyFont="1" applyFill="1" applyBorder="1" applyAlignment="1">
      <alignment horizontal="center"/>
    </xf>
    <xf numFmtId="14" fontId="6" fillId="0" borderId="0" xfId="0" applyNumberFormat="1" applyFont="1" applyFill="1" applyAlignment="1">
      <alignment horizontal="center"/>
    </xf>
    <xf numFmtId="0" fontId="0" fillId="0" borderId="0" xfId="0" applyFont="1" applyFill="1" applyBorder="1" applyAlignment="1" applyProtection="1">
      <alignment horizontal="left"/>
    </xf>
    <xf numFmtId="14" fontId="0" fillId="0" borderId="0" xfId="0" applyNumberFormat="1" applyFont="1" applyFill="1" applyAlignment="1" applyProtection="1">
      <alignment horizontal="center"/>
    </xf>
    <xf numFmtId="14" fontId="0" fillId="0" borderId="1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14" fontId="6" fillId="0" borderId="0" xfId="0" applyNumberFormat="1" applyFont="1" applyFill="1" applyAlignment="1" applyProtection="1">
      <alignment horizontal="center"/>
    </xf>
    <xf numFmtId="0" fontId="10" fillId="13" borderId="0" xfId="0" applyFont="1" applyFill="1" applyBorder="1" applyAlignment="1">
      <alignment horizontal="center" wrapText="1"/>
    </xf>
    <xf numFmtId="0" fontId="0" fillId="13" borderId="0" xfId="0" applyFont="1" applyFill="1" applyBorder="1" applyAlignment="1">
      <alignment wrapText="1"/>
    </xf>
    <xf numFmtId="1" fontId="0" fillId="13" borderId="0" xfId="0" applyNumberFormat="1" applyFont="1" applyFill="1" applyBorder="1"/>
    <xf numFmtId="17" fontId="20" fillId="13" borderId="0" xfId="0" applyNumberFormat="1" applyFont="1" applyFill="1"/>
    <xf numFmtId="0" fontId="0" fillId="13" borderId="0" xfId="0" applyFont="1" applyFill="1" applyAlignment="1">
      <alignment horizontal="center"/>
    </xf>
    <xf numFmtId="17" fontId="20" fillId="0" borderId="0" xfId="0" applyNumberFormat="1" applyFont="1" applyFill="1"/>
    <xf numFmtId="17" fontId="10" fillId="7" borderId="0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 applyProtection="1">
      <alignment horizontal="left"/>
    </xf>
    <xf numFmtId="14" fontId="21" fillId="8" borderId="0" xfId="0" applyNumberFormat="1" applyFont="1" applyFill="1" applyAlignment="1"/>
    <xf numFmtId="0" fontId="0" fillId="9" borderId="1" xfId="0" applyFont="1" applyFill="1" applyBorder="1" applyAlignment="1" applyProtection="1">
      <alignment horizontal="left"/>
    </xf>
    <xf numFmtId="14" fontId="0" fillId="9" borderId="1" xfId="0" applyNumberFormat="1" applyFont="1" applyFill="1" applyBorder="1" applyAlignment="1" applyProtection="1">
      <alignment horizontal="center"/>
    </xf>
    <xf numFmtId="14" fontId="6" fillId="0" borderId="1" xfId="0" applyNumberFormat="1" applyFont="1" applyBorder="1" applyAlignment="1" applyProtection="1">
      <alignment horizontal="center"/>
    </xf>
    <xf numFmtId="14" fontId="6" fillId="9" borderId="1" xfId="0" applyNumberFormat="1" applyFont="1" applyFill="1" applyBorder="1" applyAlignment="1" applyProtection="1">
      <alignment horizontal="center"/>
    </xf>
    <xf numFmtId="17" fontId="11" fillId="7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0" fontId="26" fillId="8" borderId="0" xfId="0" applyFont="1" applyFill="1" applyAlignment="1">
      <alignment horizontal="center"/>
    </xf>
    <xf numFmtId="0" fontId="0" fillId="0" borderId="1" xfId="0" applyFont="1" applyFill="1" applyBorder="1" applyAlignment="1" applyProtection="1">
      <alignment horizontal="left"/>
    </xf>
    <xf numFmtId="14" fontId="0" fillId="0" borderId="0" xfId="0" applyNumberFormat="1" applyFont="1" applyFill="1" applyAlignment="1">
      <alignment horizontal="center"/>
    </xf>
    <xf numFmtId="14" fontId="0" fillId="0" borderId="0" xfId="0" applyNumberFormat="1" applyFont="1" applyFill="1" applyAlignment="1" applyProtection="1">
      <alignment horizontal="center"/>
    </xf>
    <xf numFmtId="0" fontId="6" fillId="0" borderId="0" xfId="0" applyFont="1" applyFill="1" applyAlignment="1">
      <alignment horizontal="center"/>
    </xf>
    <xf numFmtId="14" fontId="6" fillId="0" borderId="1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0" fontId="0" fillId="0" borderId="0" xfId="0" applyProtection="1"/>
    <xf numFmtId="14" fontId="9" fillId="7" borderId="0" xfId="4" applyNumberFormat="1" applyFont="1" applyFill="1" applyBorder="1" applyAlignment="1">
      <alignment horizontal="center"/>
    </xf>
    <xf numFmtId="1" fontId="27" fillId="0" borderId="0" xfId="0" applyNumberFormat="1" applyFont="1" applyAlignment="1">
      <alignment horizontal="center" vertical="center"/>
    </xf>
    <xf numFmtId="0" fontId="0" fillId="0" borderId="0" xfId="0" applyFont="1" applyFill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 applyProtection="1">
      <alignment horizontal="left" vertical="center"/>
    </xf>
    <xf numFmtId="1" fontId="23" fillId="0" borderId="0" xfId="0" applyNumberFormat="1" applyFont="1" applyAlignment="1">
      <alignment horizontal="center" vertical="center"/>
    </xf>
    <xf numFmtId="0" fontId="0" fillId="0" borderId="0" xfId="3" applyFont="1" applyFill="1"/>
    <xf numFmtId="0" fontId="0" fillId="8" borderId="0" xfId="0" applyFill="1" applyAlignment="1">
      <alignment horizontal="left"/>
    </xf>
    <xf numFmtId="0" fontId="0" fillId="8" borderId="0" xfId="0" applyNumberFormat="1" applyFill="1"/>
    <xf numFmtId="17" fontId="0" fillId="8" borderId="0" xfId="0" applyNumberFormat="1" applyFill="1" applyAlignment="1">
      <alignment horizontal="left" indent="1"/>
    </xf>
    <xf numFmtId="0" fontId="28" fillId="0" borderId="0" xfId="0" applyFont="1" applyFill="1" applyAlignment="1">
      <alignment horizontal="center"/>
    </xf>
    <xf numFmtId="0" fontId="29" fillId="7" borderId="0" xfId="0" applyFont="1" applyFill="1" applyAlignment="1">
      <alignment horizontal="center"/>
    </xf>
    <xf numFmtId="0" fontId="28" fillId="0" borderId="1" xfId="0" applyFont="1" applyFill="1" applyBorder="1" applyAlignment="1">
      <alignment horizontal="left"/>
    </xf>
    <xf numFmtId="49" fontId="28" fillId="0" borderId="1" xfId="0" applyNumberFormat="1" applyFont="1" applyFill="1" applyBorder="1" applyAlignment="1">
      <alignment horizontal="center"/>
    </xf>
    <xf numFmtId="14" fontId="28" fillId="0" borderId="1" xfId="0" applyNumberFormat="1" applyFont="1" applyFill="1" applyBorder="1" applyAlignment="1">
      <alignment horizontal="center"/>
    </xf>
    <xf numFmtId="0" fontId="28" fillId="0" borderId="1" xfId="0" applyFont="1" applyFill="1" applyBorder="1" applyAlignment="1">
      <alignment horizontal="center"/>
    </xf>
    <xf numFmtId="14" fontId="28" fillId="0" borderId="0" xfId="0" applyNumberFormat="1" applyFont="1" applyFill="1" applyAlignment="1">
      <alignment horizontal="center"/>
    </xf>
    <xf numFmtId="0" fontId="29" fillId="7" borderId="0" xfId="0" applyFont="1" applyFill="1"/>
    <xf numFmtId="0" fontId="29" fillId="7" borderId="0" xfId="0" applyFont="1" applyFill="1" applyBorder="1" applyAlignment="1">
      <alignment horizontal="center"/>
    </xf>
    <xf numFmtId="0" fontId="28" fillId="0" borderId="3" xfId="0" applyFont="1" applyFill="1" applyBorder="1" applyAlignment="1">
      <alignment horizontal="left"/>
    </xf>
    <xf numFmtId="49" fontId="28" fillId="0" borderId="3" xfId="0" applyNumberFormat="1" applyFont="1" applyFill="1" applyBorder="1" applyAlignment="1">
      <alignment horizontal="center"/>
    </xf>
    <xf numFmtId="14" fontId="28" fillId="0" borderId="3" xfId="0" applyNumberFormat="1" applyFont="1" applyFill="1" applyBorder="1" applyAlignment="1">
      <alignment horizontal="center"/>
    </xf>
    <xf numFmtId="0" fontId="28" fillId="0" borderId="3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14" fontId="28" fillId="0" borderId="0" xfId="0" applyNumberFormat="1" applyFont="1" applyFill="1" applyBorder="1" applyAlignment="1">
      <alignment horizontal="center"/>
    </xf>
    <xf numFmtId="0" fontId="29" fillId="7" borderId="0" xfId="0" applyFont="1" applyFill="1" applyBorder="1"/>
    <xf numFmtId="0" fontId="12" fillId="0" borderId="0" xfId="0" applyFont="1" applyFill="1" applyBorder="1" applyAlignment="1">
      <alignment horizontal="center"/>
    </xf>
    <xf numFmtId="1" fontId="10" fillId="7" borderId="0" xfId="0" applyNumberFormat="1" applyFont="1" applyFill="1" applyBorder="1" applyAlignment="1">
      <alignment horizontal="center" vertical="center"/>
    </xf>
    <xf numFmtId="0" fontId="12" fillId="8" borderId="0" xfId="0" applyFont="1" applyFill="1" applyBorder="1"/>
    <xf numFmtId="0" fontId="31" fillId="8" borderId="0" xfId="0" applyFont="1" applyFill="1" applyBorder="1"/>
    <xf numFmtId="0" fontId="31" fillId="8" borderId="0" xfId="0" applyFont="1" applyFill="1" applyBorder="1" applyAlignment="1">
      <alignment vertical="top" wrapText="1"/>
    </xf>
    <xf numFmtId="0" fontId="0" fillId="0" borderId="0" xfId="0" applyAlignment="1" applyProtection="1">
      <alignment horizontal="left"/>
    </xf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32" fillId="8" borderId="22" xfId="0" applyFont="1" applyFill="1" applyBorder="1"/>
    <xf numFmtId="0" fontId="33" fillId="10" borderId="4" xfId="0" applyFont="1" applyFill="1" applyBorder="1"/>
    <xf numFmtId="0" fontId="33" fillId="10" borderId="6" xfId="0" applyFont="1" applyFill="1" applyBorder="1"/>
    <xf numFmtId="0" fontId="32" fillId="10" borderId="6" xfId="0" applyFont="1" applyFill="1" applyBorder="1" applyAlignment="1">
      <alignment horizontal="center"/>
    </xf>
    <xf numFmtId="0" fontId="32" fillId="10" borderId="6" xfId="0" applyFont="1" applyFill="1" applyBorder="1"/>
    <xf numFmtId="0" fontId="34" fillId="10" borderId="6" xfId="0" applyFont="1" applyFill="1" applyBorder="1" applyAlignment="1">
      <alignment horizontal="center"/>
    </xf>
    <xf numFmtId="0" fontId="32" fillId="8" borderId="6" xfId="0" applyFont="1" applyFill="1" applyBorder="1" applyAlignment="1">
      <alignment horizontal="center" vertical="center"/>
    </xf>
    <xf numFmtId="1" fontId="35" fillId="8" borderId="6" xfId="0" applyNumberFormat="1" applyFont="1" applyFill="1" applyBorder="1" applyAlignment="1">
      <alignment horizontal="center" vertical="center"/>
    </xf>
    <xf numFmtId="165" fontId="32" fillId="10" borderId="5" xfId="0" applyNumberFormat="1" applyFont="1" applyFill="1" applyBorder="1" applyProtection="1">
      <protection hidden="1"/>
    </xf>
    <xf numFmtId="0" fontId="32" fillId="10" borderId="5" xfId="0" applyFont="1" applyFill="1" applyBorder="1" applyAlignment="1">
      <alignment horizontal="center"/>
    </xf>
    <xf numFmtId="0" fontId="32" fillId="8" borderId="0" xfId="0" applyFont="1" applyFill="1" applyBorder="1"/>
    <xf numFmtId="0" fontId="34" fillId="11" borderId="0" xfId="0" applyFont="1" applyFill="1" applyAlignment="1">
      <alignment vertical="center"/>
    </xf>
    <xf numFmtId="0" fontId="32" fillId="11" borderId="0" xfId="0" applyFont="1" applyFill="1" applyAlignment="1">
      <alignment horizontal="center"/>
    </xf>
    <xf numFmtId="0" fontId="32" fillId="11" borderId="0" xfId="0" applyFont="1" applyFill="1"/>
    <xf numFmtId="0" fontId="35" fillId="8" borderId="0" xfId="0" applyFont="1" applyFill="1" applyBorder="1" applyAlignment="1">
      <alignment vertical="center"/>
    </xf>
    <xf numFmtId="0" fontId="32" fillId="8" borderId="0" xfId="0" applyFont="1" applyFill="1" applyBorder="1" applyAlignment="1">
      <alignment vertical="center"/>
    </xf>
    <xf numFmtId="0" fontId="34" fillId="12" borderId="8" xfId="0" applyFont="1" applyFill="1" applyBorder="1" applyAlignment="1">
      <alignment horizontal="center" vertical="center"/>
    </xf>
    <xf numFmtId="0" fontId="34" fillId="12" borderId="8" xfId="0" applyFont="1" applyFill="1" applyBorder="1" applyAlignment="1">
      <alignment horizontal="center" vertical="center" wrapText="1"/>
    </xf>
    <xf numFmtId="0" fontId="35" fillId="8" borderId="0" xfId="0" applyFont="1" applyFill="1" applyAlignment="1">
      <alignment vertical="center"/>
    </xf>
    <xf numFmtId="0" fontId="32" fillId="8" borderId="0" xfId="0" applyFont="1" applyFill="1" applyAlignment="1">
      <alignment vertical="center"/>
    </xf>
    <xf numFmtId="0" fontId="32" fillId="8" borderId="0" xfId="0" applyFont="1" applyFill="1" applyAlignment="1">
      <alignment horizontal="center" vertical="center"/>
    </xf>
    <xf numFmtId="0" fontId="32" fillId="8" borderId="9" xfId="0" applyFont="1" applyFill="1" applyBorder="1"/>
    <xf numFmtId="0" fontId="35" fillId="8" borderId="8" xfId="0" applyFont="1" applyFill="1" applyBorder="1" applyAlignment="1">
      <alignment horizontal="center" vertical="center"/>
    </xf>
    <xf numFmtId="0" fontId="32" fillId="8" borderId="11" xfId="0" applyFont="1" applyFill="1" applyBorder="1"/>
    <xf numFmtId="0" fontId="32" fillId="8" borderId="0" xfId="0" applyFont="1" applyFill="1" applyBorder="1" applyAlignment="1">
      <alignment horizontal="left" vertical="center"/>
    </xf>
    <xf numFmtId="0" fontId="34" fillId="8" borderId="4" xfId="0" applyFont="1" applyFill="1" applyBorder="1"/>
    <xf numFmtId="0" fontId="34" fillId="8" borderId="6" xfId="0" applyFont="1" applyFill="1" applyBorder="1" applyAlignment="1">
      <alignment vertical="center"/>
    </xf>
    <xf numFmtId="0" fontId="34" fillId="8" borderId="5" xfId="0" applyFont="1" applyFill="1" applyBorder="1" applyAlignment="1">
      <alignment vertical="center"/>
    </xf>
    <xf numFmtId="0" fontId="32" fillId="8" borderId="25" xfId="0" applyFont="1" applyFill="1" applyBorder="1" applyAlignment="1">
      <alignment horizontal="center"/>
    </xf>
    <xf numFmtId="0" fontId="26" fillId="8" borderId="0" xfId="0" applyFont="1" applyFill="1"/>
    <xf numFmtId="0" fontId="34" fillId="8" borderId="9" xfId="0" applyFont="1" applyFill="1" applyBorder="1"/>
    <xf numFmtId="0" fontId="35" fillId="8" borderId="26" xfId="0" applyFont="1" applyFill="1" applyBorder="1" applyAlignment="1">
      <alignment horizontal="center" vertical="center"/>
    </xf>
    <xf numFmtId="0" fontId="32" fillId="8" borderId="4" xfId="0" applyFont="1" applyFill="1" applyBorder="1"/>
    <xf numFmtId="0" fontId="32" fillId="8" borderId="6" xfId="0" applyFont="1" applyFill="1" applyBorder="1" applyAlignment="1">
      <alignment horizontal="center"/>
    </xf>
    <xf numFmtId="0" fontId="32" fillId="8" borderId="6" xfId="0" applyFont="1" applyFill="1" applyBorder="1"/>
    <xf numFmtId="0" fontId="32" fillId="8" borderId="27" xfId="0" applyFont="1" applyFill="1" applyBorder="1" applyAlignment="1">
      <alignment horizontal="center"/>
    </xf>
    <xf numFmtId="0" fontId="32" fillId="8" borderId="4" xfId="0" applyFont="1" applyFill="1" applyBorder="1" applyAlignment="1">
      <alignment horizontal="left"/>
    </xf>
    <xf numFmtId="0" fontId="32" fillId="8" borderId="22" xfId="0" applyFont="1" applyFill="1" applyBorder="1" applyAlignment="1">
      <alignment horizontal="left"/>
    </xf>
    <xf numFmtId="0" fontId="32" fillId="8" borderId="0" xfId="0" applyFont="1" applyFill="1" applyAlignment="1">
      <alignment horizontal="left"/>
    </xf>
    <xf numFmtId="0" fontId="34" fillId="11" borderId="4" xfId="0" applyFont="1" applyFill="1" applyBorder="1" applyAlignment="1">
      <alignment vertical="center"/>
    </xf>
    <xf numFmtId="0" fontId="34" fillId="11" borderId="6" xfId="0" applyFont="1" applyFill="1" applyBorder="1" applyAlignment="1">
      <alignment vertical="center"/>
    </xf>
    <xf numFmtId="0" fontId="34" fillId="11" borderId="6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vertical="center"/>
    </xf>
    <xf numFmtId="1" fontId="32" fillId="8" borderId="6" xfId="0" applyNumberFormat="1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2" fillId="8" borderId="0" xfId="0" applyFont="1" applyFill="1" applyBorder="1" applyAlignment="1">
      <alignment horizontal="left"/>
    </xf>
    <xf numFmtId="0" fontId="33" fillId="8" borderId="0" xfId="0" applyFont="1" applyFill="1" applyAlignment="1">
      <alignment horizontal="center"/>
    </xf>
    <xf numFmtId="0" fontId="36" fillId="8" borderId="0" xfId="0" applyFont="1" applyFill="1"/>
    <xf numFmtId="0" fontId="36" fillId="8" borderId="0" xfId="0" applyFont="1" applyFill="1" applyAlignment="1">
      <alignment horizontal="center"/>
    </xf>
    <xf numFmtId="0" fontId="26" fillId="8" borderId="22" xfId="0" applyFont="1" applyFill="1" applyBorder="1"/>
    <xf numFmtId="0" fontId="26" fillId="0" borderId="0" xfId="0" applyFont="1"/>
    <xf numFmtId="0" fontId="32" fillId="8" borderId="0" xfId="0" applyNumberFormat="1" applyFont="1" applyFill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8" borderId="10" xfId="0" applyFont="1" applyFill="1" applyBorder="1"/>
    <xf numFmtId="0" fontId="32" fillId="8" borderId="10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26" fillId="0" borderId="0" xfId="0" pivotButton="1" applyFont="1"/>
    <xf numFmtId="0" fontId="32" fillId="5" borderId="0" xfId="0" applyFont="1" applyFill="1"/>
    <xf numFmtId="0" fontId="32" fillId="0" borderId="0" xfId="0" applyFont="1" applyAlignment="1">
      <alignment horizontal="left"/>
    </xf>
    <xf numFmtId="0" fontId="32" fillId="0" borderId="0" xfId="0" applyNumberFormat="1" applyFont="1"/>
    <xf numFmtId="0" fontId="32" fillId="5" borderId="0" xfId="0" applyFont="1" applyFill="1" applyAlignment="1">
      <alignment horizontal="left"/>
    </xf>
    <xf numFmtId="0" fontId="32" fillId="5" borderId="0" xfId="0" applyNumberFormat="1" applyFont="1" applyFill="1"/>
    <xf numFmtId="0" fontId="38" fillId="8" borderId="0" xfId="0" applyFont="1" applyFill="1" applyAlignment="1">
      <alignment horizontal="center"/>
    </xf>
    <xf numFmtId="0" fontId="38" fillId="8" borderId="0" xfId="0" applyFont="1" applyFill="1" applyAlignment="1">
      <alignment horizontal="left"/>
    </xf>
    <xf numFmtId="0" fontId="38" fillId="8" borderId="0" xfId="0" applyFont="1" applyFill="1"/>
    <xf numFmtId="0" fontId="39" fillId="8" borderId="0" xfId="0" applyFont="1" applyFill="1" applyAlignment="1">
      <alignment horizontal="center"/>
    </xf>
    <xf numFmtId="0" fontId="32" fillId="5" borderId="28" xfId="0" applyFont="1" applyFill="1" applyBorder="1"/>
    <xf numFmtId="0" fontId="32" fillId="5" borderId="29" xfId="0" applyFont="1" applyFill="1" applyBorder="1"/>
    <xf numFmtId="0" fontId="32" fillId="5" borderId="29" xfId="0" applyFont="1" applyFill="1" applyBorder="1" applyAlignment="1">
      <alignment horizontal="center"/>
    </xf>
    <xf numFmtId="0" fontId="32" fillId="5" borderId="30" xfId="0" applyFont="1" applyFill="1" applyBorder="1"/>
    <xf numFmtId="0" fontId="32" fillId="8" borderId="31" xfId="0" applyFont="1" applyFill="1" applyBorder="1" applyAlignment="1"/>
    <xf numFmtId="0" fontId="32" fillId="8" borderId="32" xfId="0" applyFont="1" applyFill="1" applyBorder="1" applyAlignment="1"/>
    <xf numFmtId="0" fontId="32" fillId="8" borderId="34" xfId="0" applyFont="1" applyFill="1" applyBorder="1" applyAlignment="1"/>
    <xf numFmtId="0" fontId="32" fillId="8" borderId="35" xfId="0" applyFont="1" applyFill="1" applyBorder="1" applyAlignment="1"/>
    <xf numFmtId="0" fontId="32" fillId="8" borderId="37" xfId="0" applyFont="1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3" xfId="0" applyFont="1" applyFill="1" applyBorder="1" applyAlignment="1"/>
    <xf numFmtId="0" fontId="32" fillId="8" borderId="36" xfId="0" applyFont="1" applyFill="1" applyBorder="1" applyAlignment="1"/>
    <xf numFmtId="0" fontId="32" fillId="8" borderId="37" xfId="0" applyFont="1" applyFill="1" applyBorder="1" applyAlignment="1">
      <alignment horizontal="center" vertical="center"/>
    </xf>
    <xf numFmtId="0" fontId="32" fillId="8" borderId="38" xfId="0" applyFont="1" applyFill="1" applyBorder="1" applyAlignment="1">
      <alignment horizontal="center" vertical="center"/>
    </xf>
    <xf numFmtId="0" fontId="32" fillId="8" borderId="39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/>
    </xf>
    <xf numFmtId="0" fontId="12" fillId="13" borderId="24" xfId="0" applyFont="1" applyFill="1" applyBorder="1" applyAlignment="1">
      <alignment horizontal="center"/>
    </xf>
    <xf numFmtId="0" fontId="15" fillId="8" borderId="0" xfId="0" applyFont="1" applyFill="1" applyBorder="1" applyAlignment="1">
      <alignment horizontal="center" vertical="center" wrapText="1"/>
    </xf>
    <xf numFmtId="0" fontId="15" fillId="8" borderId="0" xfId="0" applyFont="1" applyFill="1" applyBorder="1" applyAlignment="1">
      <alignment horizontal="center" vertical="center"/>
    </xf>
    <xf numFmtId="0" fontId="17" fillId="8" borderId="4" xfId="1" applyFont="1" applyFill="1" applyBorder="1" applyAlignment="1">
      <alignment horizontal="center"/>
    </xf>
    <xf numFmtId="0" fontId="17" fillId="8" borderId="5" xfId="1" applyFont="1" applyFill="1" applyBorder="1" applyAlignment="1">
      <alignment horizontal="center"/>
    </xf>
    <xf numFmtId="0" fontId="17" fillId="8" borderId="6" xfId="1" applyFont="1" applyFill="1" applyBorder="1" applyAlignment="1">
      <alignment horizontal="center"/>
    </xf>
    <xf numFmtId="14" fontId="17" fillId="8" borderId="4" xfId="1" applyNumberFormat="1" applyFont="1" applyFill="1" applyBorder="1" applyAlignment="1">
      <alignment horizontal="center"/>
    </xf>
    <xf numFmtId="14" fontId="17" fillId="8" borderId="6" xfId="1" applyNumberFormat="1" applyFont="1" applyFill="1" applyBorder="1" applyAlignment="1">
      <alignment horizontal="center"/>
    </xf>
    <xf numFmtId="14" fontId="17" fillId="8" borderId="5" xfId="1" applyNumberFormat="1" applyFont="1" applyFill="1" applyBorder="1" applyAlignment="1">
      <alignment horizontal="center"/>
    </xf>
    <xf numFmtId="0" fontId="16" fillId="8" borderId="0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14" fontId="17" fillId="8" borderId="0" xfId="0" applyNumberFormat="1" applyFont="1" applyFill="1" applyBorder="1" applyAlignment="1">
      <alignment horizontal="center"/>
    </xf>
    <xf numFmtId="0" fontId="19" fillId="8" borderId="21" xfId="0" applyFont="1" applyFill="1" applyBorder="1" applyAlignment="1">
      <alignment horizontal="center"/>
    </xf>
    <xf numFmtId="0" fontId="19" fillId="8" borderId="19" xfId="0" applyFont="1" applyFill="1" applyBorder="1" applyAlignment="1">
      <alignment horizontal="center"/>
    </xf>
    <xf numFmtId="0" fontId="19" fillId="8" borderId="20" xfId="0" applyFont="1" applyFill="1" applyBorder="1" applyAlignment="1">
      <alignment horizontal="center"/>
    </xf>
    <xf numFmtId="0" fontId="19" fillId="8" borderId="16" xfId="0" applyFont="1" applyFill="1" applyBorder="1" applyAlignment="1">
      <alignment horizontal="center"/>
    </xf>
    <xf numFmtId="0" fontId="19" fillId="8" borderId="0" xfId="0" applyFont="1" applyFill="1" applyBorder="1" applyAlignment="1">
      <alignment horizontal="center"/>
    </xf>
    <xf numFmtId="0" fontId="19" fillId="8" borderId="17" xfId="0" applyFont="1" applyFill="1" applyBorder="1" applyAlignment="1">
      <alignment horizontal="center"/>
    </xf>
    <xf numFmtId="14" fontId="17" fillId="8" borderId="0" xfId="0" applyNumberFormat="1" applyFont="1" applyFill="1" applyBorder="1" applyAlignment="1">
      <alignment horizontal="left"/>
    </xf>
    <xf numFmtId="0" fontId="17" fillId="8" borderId="0" xfId="0" applyFont="1" applyFill="1" applyBorder="1" applyAlignment="1">
      <alignment horizontal="left"/>
    </xf>
    <xf numFmtId="0" fontId="31" fillId="8" borderId="0" xfId="0" applyFont="1" applyFill="1" applyBorder="1" applyAlignment="1">
      <alignment horizontal="left"/>
    </xf>
    <xf numFmtId="0" fontId="31" fillId="8" borderId="0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30" fillId="8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 wrapText="1"/>
    </xf>
    <xf numFmtId="164" fontId="12" fillId="8" borderId="0" xfId="0" applyNumberFormat="1" applyFont="1" applyFill="1" applyBorder="1" applyAlignment="1">
      <alignment horizontal="center" vertical="center"/>
    </xf>
    <xf numFmtId="0" fontId="32" fillId="8" borderId="34" xfId="0" applyFont="1" applyFill="1" applyBorder="1" applyAlignment="1">
      <alignment horizontal="center"/>
    </xf>
    <xf numFmtId="0" fontId="32" fillId="8" borderId="35" xfId="0" applyFont="1" applyFill="1" applyBorder="1" applyAlignment="1">
      <alignment horizontal="center"/>
    </xf>
    <xf numFmtId="0" fontId="32" fillId="8" borderId="36" xfId="0" applyFont="1" applyFill="1" applyBorder="1" applyAlignment="1">
      <alignment horizontal="center"/>
    </xf>
    <xf numFmtId="0" fontId="32" fillId="8" borderId="31" xfId="0" applyFont="1" applyFill="1" applyBorder="1" applyAlignment="1">
      <alignment horizontal="center"/>
    </xf>
    <xf numFmtId="0" fontId="32" fillId="8" borderId="32" xfId="0" applyFont="1" applyFill="1" applyBorder="1" applyAlignment="1">
      <alignment horizontal="center"/>
    </xf>
    <xf numFmtId="0" fontId="32" fillId="8" borderId="33" xfId="0" applyFont="1" applyFill="1" applyBorder="1" applyAlignment="1">
      <alignment horizontal="center"/>
    </xf>
    <xf numFmtId="0" fontId="34" fillId="10" borderId="8" xfId="0" applyFont="1" applyFill="1" applyBorder="1" applyAlignment="1">
      <alignment horizontal="left" vertical="center"/>
    </xf>
    <xf numFmtId="0" fontId="34" fillId="8" borderId="6" xfId="0" applyFont="1" applyFill="1" applyBorder="1" applyAlignment="1">
      <alignment horizontal="left" vertical="center"/>
    </xf>
    <xf numFmtId="0" fontId="34" fillId="8" borderId="10" xfId="0" applyFont="1" applyFill="1" applyBorder="1" applyAlignment="1">
      <alignment horizontal="left" vertical="center"/>
    </xf>
    <xf numFmtId="0" fontId="32" fillId="8" borderId="6" xfId="0" applyFont="1" applyFill="1" applyBorder="1" applyAlignment="1">
      <alignment horizontal="left" vertical="center" wrapText="1"/>
    </xf>
    <xf numFmtId="0" fontId="35" fillId="8" borderId="8" xfId="0" applyFont="1" applyFill="1" applyBorder="1" applyAlignment="1">
      <alignment horizontal="center" vertical="center" wrapText="1"/>
    </xf>
    <xf numFmtId="0" fontId="33" fillId="10" borderId="4" xfId="0" applyFont="1" applyFill="1" applyBorder="1" applyAlignment="1">
      <alignment horizontal="center" vertical="center" wrapText="1"/>
    </xf>
    <xf numFmtId="0" fontId="33" fillId="10" borderId="6" xfId="0" applyFont="1" applyFill="1" applyBorder="1" applyAlignment="1">
      <alignment horizontal="center" vertical="center" wrapText="1"/>
    </xf>
    <xf numFmtId="0" fontId="33" fillId="10" borderId="5" xfId="0" applyFont="1" applyFill="1" applyBorder="1" applyAlignment="1">
      <alignment horizontal="center" vertical="center" wrapText="1"/>
    </xf>
    <xf numFmtId="0" fontId="33" fillId="8" borderId="10" xfId="0" applyFont="1" applyFill="1" applyBorder="1" applyAlignment="1">
      <alignment horizontal="center" vertical="center" wrapText="1"/>
    </xf>
    <xf numFmtId="0" fontId="33" fillId="8" borderId="12" xfId="0" applyFont="1" applyFill="1" applyBorder="1" applyAlignment="1">
      <alignment horizontal="center" vertical="center" wrapText="1"/>
    </xf>
    <xf numFmtId="0" fontId="33" fillId="8" borderId="7" xfId="0" applyFont="1" applyFill="1" applyBorder="1" applyAlignment="1">
      <alignment horizontal="center" vertical="center" wrapText="1"/>
    </xf>
    <xf numFmtId="0" fontId="33" fillId="8" borderId="13" xfId="0" applyFont="1" applyFill="1" applyBorder="1" applyAlignment="1">
      <alignment horizontal="center" vertical="center" wrapText="1"/>
    </xf>
    <xf numFmtId="0" fontId="32" fillId="8" borderId="40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41" xfId="0" applyFont="1" applyFill="1" applyBorder="1" applyAlignment="1">
      <alignment horizontal="center"/>
    </xf>
    <xf numFmtId="0" fontId="34" fillId="8" borderId="5" xfId="0" applyFont="1" applyFill="1" applyBorder="1" applyAlignment="1">
      <alignment horizontal="left" vertical="center"/>
    </xf>
    <xf numFmtId="0" fontId="33" fillId="8" borderId="10" xfId="0" applyFont="1" applyFill="1" applyBorder="1" applyAlignment="1">
      <alignment horizontal="left" vertical="center" wrapText="1"/>
    </xf>
    <xf numFmtId="0" fontId="33" fillId="8" borderId="12" xfId="0" applyFont="1" applyFill="1" applyBorder="1" applyAlignment="1">
      <alignment horizontal="left" vertical="center" wrapText="1"/>
    </xf>
    <xf numFmtId="0" fontId="33" fillId="8" borderId="7" xfId="0" applyFont="1" applyFill="1" applyBorder="1" applyAlignment="1">
      <alignment horizontal="left" vertical="center" wrapText="1"/>
    </xf>
    <xf numFmtId="0" fontId="33" fillId="8" borderId="13" xfId="0" applyFont="1" applyFill="1" applyBorder="1" applyAlignment="1">
      <alignment horizontal="left" vertical="center" wrapText="1"/>
    </xf>
    <xf numFmtId="0" fontId="33" fillId="10" borderId="9" xfId="0" applyFont="1" applyFill="1" applyBorder="1" applyAlignment="1">
      <alignment horizontal="left" vertical="center" wrapText="1"/>
    </xf>
    <xf numFmtId="0" fontId="33" fillId="10" borderId="10" xfId="0" applyFont="1" applyFill="1" applyBorder="1" applyAlignment="1">
      <alignment horizontal="left" vertical="center" wrapText="1"/>
    </xf>
  </cellXfs>
  <cellStyles count="5">
    <cellStyle name="40% - Ênfase3" xfId="3" builtinId="39"/>
    <cellStyle name="Bom" xfId="1" builtinId="26"/>
    <cellStyle name="Neutra" xfId="2" builtinId="28"/>
    <cellStyle name="Normal" xfId="0" builtinId="0"/>
    <cellStyle name="Texto Explicativo" xfId="4" builtinId="53"/>
  </cellStyles>
  <dxfs count="1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sz val="8"/>
      </font>
      <alignment horizontal="center" readingOrder="0"/>
    </dxf>
    <dxf>
      <font>
        <b/>
        <sz val="8"/>
      </font>
      <alignment horizontal="center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8"/>
      </font>
    </dxf>
    <dxf>
      <alignment horizontal="left" readingOrder="0"/>
    </dxf>
    <dxf>
      <font>
        <b/>
        <sz val="8"/>
      </font>
      <fill>
        <patternFill patternType="solid">
          <fgColor indexed="64"/>
          <bgColor theme="0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1499984740745262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z val="7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alignment horizontal="center" readingOrder="0"/>
    </dxf>
    <dxf>
      <font>
        <sz val="8"/>
      </font>
    </dxf>
    <dxf>
      <font>
        <sz val="8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2" formatCode="mmm/yy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" readingOrder="0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22" formatCode="mmm/yy"/>
      <fill>
        <patternFill>
          <bgColor theme="6" tint="0.79998168889431442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" formatCode="0"/>
      <fill>
        <patternFill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double">
          <color rgb="FF3F3F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double">
          <color rgb="FF3F3F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double">
          <color rgb="FF3F3F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1" formatCode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center" textRotation="0" indent="0" justifyLastLine="0" shrinkToFit="0" readingOrder="0"/>
    </dxf>
    <dxf>
      <border outline="0">
        <bottom style="thin">
          <color rgb="FFC9C9C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22" formatCode="mmm/yy"/>
      <fill>
        <patternFill>
          <bgColor theme="6" tint="0.79998168889431442"/>
        </patternFill>
      </fill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" formatCode="0"/>
      <fill>
        <patternFill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double">
          <color rgb="FF3F3F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1" formatCode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center" textRotation="0" indent="0" justifyLastLine="0" shrinkToFit="0" readingOrder="0"/>
    </dxf>
    <dxf>
      <border outline="0">
        <bottom style="thin">
          <color rgb="FFC9C9C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name val="Calibri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center" textRotation="0" indent="0" justifyLastLine="0" shrinkToFit="0" readingOrder="0"/>
    </dxf>
    <dxf>
      <font>
        <color theme="6" tint="0.7999816888943144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6" tint="0.79998168889431442"/>
        </patternFill>
      </fill>
    </dxf>
    <dxf>
      <font>
        <i val="0"/>
      </font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6" tint="0.39997558519241921"/>
        </top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6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theme="6" tint="0.79998168889431442"/>
      </font>
      <numFmt numFmtId="0" formatCode="General"/>
    </dxf>
  </dxfs>
  <tableStyles count="0" defaultTableStyle="TableStyleMedium2" defaultPivotStyle="PivotStyleLight16"/>
  <colors>
    <mruColors>
      <color rgb="FFFFF9E7"/>
      <color rgb="FFE6E8CE"/>
      <color rgb="FFF8F8F8"/>
      <color rgb="FFFBFDF9"/>
      <color rgb="FFF4F9F1"/>
      <color rgb="FFFEB4B4"/>
      <color rgb="FFFAB0A8"/>
      <color rgb="FFF77E71"/>
      <color rgb="FFFFCCCC"/>
      <color rgb="FFFBA9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UNIFICADA.xlsm]Consulta Usuário!Tabela.din.consulta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Histórico de Frequência</a:t>
            </a:r>
          </a:p>
        </c:rich>
      </c:tx>
      <c:layout>
        <c:manualLayout>
          <c:xMode val="edge"/>
          <c:yMode val="edge"/>
          <c:x val="1.0871828131564218E-2"/>
          <c:y val="3.34642743838621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'Consulta Usuário'!$Y$59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'Consulta Usuário'!$X$60:$X$70</c:f>
              <c:multiLvlStrCache>
                <c:ptCount val="7"/>
                <c:lvl>
                  <c:pt idx="0">
                    <c:v>jul</c:v>
                  </c:pt>
                  <c:pt idx="1">
                    <c:v>ago</c:v>
                  </c:pt>
                  <c:pt idx="2">
                    <c:v>jan</c:v>
                  </c:pt>
                  <c:pt idx="3">
                    <c:v>jun</c:v>
                  </c:pt>
                  <c:pt idx="4">
                    <c:v>jan</c:v>
                  </c:pt>
                  <c:pt idx="5">
                    <c:v>jan</c:v>
                  </c:pt>
                  <c:pt idx="6">
                    <c:v>fev</c:v>
                  </c:pt>
                </c:lvl>
                <c:lvl>
                  <c:pt idx="0">
                    <c:v>2014</c:v>
                  </c:pt>
                  <c:pt idx="2">
                    <c:v>2015</c:v>
                  </c:pt>
                  <c:pt idx="4">
                    <c:v>2016</c:v>
                  </c:pt>
                  <c:pt idx="5">
                    <c:v>2017</c:v>
                  </c:pt>
                </c:lvl>
              </c:multiLvlStrCache>
            </c:multiLvlStrRef>
          </c:cat>
          <c:val>
            <c:numRef>
              <c:f>'Consulta Usuário'!$Y$60:$Y$70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26-409A-8941-AA6F71495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8626320"/>
        <c:axId val="398627104"/>
      </c:barChart>
      <c:catAx>
        <c:axId val="39862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7104"/>
        <c:crosses val="autoZero"/>
        <c:auto val="1"/>
        <c:lblAlgn val="ctr"/>
        <c:lblOffset val="100"/>
        <c:noMultiLvlLbl val="0"/>
      </c:catAx>
      <c:valAx>
        <c:axId val="39862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Perfil</a:t>
            </a:r>
            <a:r>
              <a:rPr lang="pt-BR" sz="900" baseline="0"/>
              <a:t> dos usuários atendidos</a:t>
            </a:r>
            <a:endParaRPr lang="pt-BR" sz="9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8-46AB-AD22-6530531CCBD0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8-46AB-AD22-6530531CCBD0}"/>
              </c:ext>
            </c:extLst>
          </c:dPt>
          <c:dLbls>
            <c:dLbl>
              <c:idx val="0"/>
              <c:layout>
                <c:manualLayout>
                  <c:x val="0"/>
                  <c:y val="-1.197142510913611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047566432962624"/>
                      <c:h val="0.19143521734118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28-46AB-AD22-6530531CCBD0}"/>
                </c:ext>
              </c:extLst>
            </c:dLbl>
            <c:dLbl>
              <c:idx val="1"/>
              <c:layout>
                <c:manualLayout>
                  <c:x val="3.3890876616832566E-3"/>
                  <c:y val="-6.5091765939591711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149495100989362"/>
                      <c:h val="0.2699239029516339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728-46AB-AD22-6530531CCB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'Relatório Mensal'!$B$868:$B$869</c:f>
              <c:strCache>
                <c:ptCount val="2"/>
                <c:pt idx="0">
                  <c:v>Migrantes</c:v>
                </c:pt>
                <c:pt idx="1">
                  <c:v>Centro POP</c:v>
                </c:pt>
              </c:strCache>
            </c:strRef>
          </c:cat>
          <c:val>
            <c:numRef>
              <c:f>'Relatório Mensal'!$E$868:$E$869</c:f>
              <c:numCache>
                <c:formatCode>General</c:formatCode>
                <c:ptCount val="2"/>
                <c:pt idx="0">
                  <c:v>15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28-46AB-AD22-6530531CCBD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Frequência no mês</a:t>
            </a:r>
          </a:p>
        </c:rich>
      </c:tx>
      <c:layout>
        <c:manualLayout>
          <c:xMode val="edge"/>
          <c:yMode val="edge"/>
          <c:x val="0.3527225497729311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'Relatório Mensal'!$B$875:$B$878</c:f>
              <c:strCache>
                <c:ptCount val="4"/>
                <c:pt idx="0">
                  <c:v>até 5</c:v>
                </c:pt>
                <c:pt idx="1">
                  <c:v>6 a 10</c:v>
                </c:pt>
                <c:pt idx="2">
                  <c:v>11 a 15</c:v>
                </c:pt>
                <c:pt idx="3">
                  <c:v>mais que 15</c:v>
                </c:pt>
              </c:strCache>
            </c:strRef>
          </c:cat>
          <c:val>
            <c:numRef>
              <c:f>'Relatório Mensal'!$E$875:$E$878</c:f>
              <c:numCache>
                <c:formatCode>General</c:formatCode>
                <c:ptCount val="4"/>
                <c:pt idx="0">
                  <c:v>17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0-4AE9-ADC1-12031072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8628672"/>
        <c:axId val="39862945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'Relatório Mensal'!$B$875:$B$878</c15:sqref>
                        </c15:formulaRef>
                      </c:ext>
                    </c:extLst>
                    <c:strCache>
                      <c:ptCount val="4"/>
                      <c:pt idx="0">
                        <c:v>até 5</c:v>
                      </c:pt>
                      <c:pt idx="1">
                        <c:v>6 a 10</c:v>
                      </c:pt>
                      <c:pt idx="2">
                        <c:v>11 a 15</c:v>
                      </c:pt>
                      <c:pt idx="3">
                        <c:v>mais que 15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'Relatório Mensal'!$C$875:$C$878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440-4AE9-ADC1-1203107267B5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'Relatório Mensal'!$B$875:$B$878</c15:sqref>
                        </c15:formulaRef>
                      </c:ext>
                    </c:extLst>
                    <c:strCache>
                      <c:ptCount val="4"/>
                      <c:pt idx="0">
                        <c:v>até 5</c:v>
                      </c:pt>
                      <c:pt idx="1">
                        <c:v>6 a 10</c:v>
                      </c:pt>
                      <c:pt idx="2">
                        <c:v>11 a 15</c:v>
                      </c:pt>
                      <c:pt idx="3">
                        <c:v>mais que 15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'Relatório Mensal'!$D$875:$D$878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440-4AE9-ADC1-1203107267B5}"/>
                  </c:ext>
                </c:extLst>
              </c15:ser>
            </c15:filteredBarSeries>
          </c:ext>
        </c:extLst>
      </c:barChart>
      <c:catAx>
        <c:axId val="39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9456"/>
        <c:crosses val="autoZero"/>
        <c:auto val="1"/>
        <c:lblAlgn val="ctr"/>
        <c:lblOffset val="100"/>
        <c:noMultiLvlLbl val="0"/>
      </c:catAx>
      <c:valAx>
        <c:axId val="39862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UNIFICADA.xlsm]Relatório Mensal!dados.hist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Histórico de frequência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'Relatório Mensal'!$C$880:$C$881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'Relatório Mensal'!$B$882:$B$887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'Relatório Mensal'!$C$882:$C$887</c:f>
              <c:numCache>
                <c:formatCode>General</c:formatCode>
                <c:ptCount val="5"/>
                <c:pt idx="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A2-4BE3-8B44-895CC17E804C}"/>
            </c:ext>
          </c:extLst>
        </c:ser>
        <c:ser>
          <c:idx val="1"/>
          <c:order val="1"/>
          <c:tx>
            <c:strRef>
              <c:f>'Relatório Mensal'!$D$880:$D$881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'Relatório Mensal'!$B$882:$B$887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'Relatório Mensal'!$D$882:$D$887</c:f>
              <c:numCache>
                <c:formatCode>General</c:formatCode>
                <c:ptCount val="5"/>
                <c:pt idx="0">
                  <c:v>13</c:v>
                </c:pt>
                <c:pt idx="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A2-4BE3-8B44-895CC17E804C}"/>
            </c:ext>
          </c:extLst>
        </c:ser>
        <c:ser>
          <c:idx val="2"/>
          <c:order val="2"/>
          <c:tx>
            <c:strRef>
              <c:f>'Relatório Mensal'!$E$880:$E$881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'Relatório Mensal'!$B$882:$B$887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'Relatório Mensal'!$E$882:$E$887</c:f>
              <c:numCache>
                <c:formatCode>General</c:formatCode>
                <c:ptCount val="5"/>
                <c:pt idx="0">
                  <c:v>15</c:v>
                </c:pt>
                <c:pt idx="2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30-4641-ABD4-02BFF1FA7149}"/>
            </c:ext>
          </c:extLst>
        </c:ser>
        <c:ser>
          <c:idx val="3"/>
          <c:order val="3"/>
          <c:tx>
            <c:strRef>
              <c:f>'Relatório Mensal'!$F$880:$F$881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'Relatório Mensal'!$B$882:$B$887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'Relatório Mensal'!$F$882:$F$887</c:f>
              <c:numCache>
                <c:formatCode>General</c:formatCode>
                <c:ptCount val="5"/>
                <c:pt idx="3">
                  <c:v>59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30-4641-ABD4-02BFF1FA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smooth val="0"/>
        <c:axId val="398629848"/>
        <c:axId val="398625536"/>
      </c:lineChart>
      <c:catAx>
        <c:axId val="39862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5536"/>
        <c:crosses val="autoZero"/>
        <c:auto val="1"/>
        <c:lblAlgn val="ctr"/>
        <c:lblOffset val="100"/>
        <c:noMultiLvlLbl val="0"/>
      </c:catAx>
      <c:valAx>
        <c:axId val="3986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18796</xdr:colOff>
      <xdr:row>1</xdr:row>
      <xdr:rowOff>175849</xdr:rowOff>
    </xdr:from>
    <xdr:to>
      <xdr:col>18</xdr:col>
      <xdr:colOff>209296</xdr:colOff>
      <xdr:row>5</xdr:row>
      <xdr:rowOff>21028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6035" y="275240"/>
          <a:ext cx="819978" cy="615462"/>
        </a:xfrm>
        <a:prstGeom prst="rect">
          <a:avLst/>
        </a:prstGeom>
      </xdr:spPr>
    </xdr:pic>
    <xdr:clientData/>
  </xdr:twoCellAnchor>
  <xdr:twoCellAnchor>
    <xdr:from>
      <xdr:col>1</xdr:col>
      <xdr:colOff>33129</xdr:colOff>
      <xdr:row>26</xdr:row>
      <xdr:rowOff>98564</xdr:rowOff>
    </xdr:from>
    <xdr:to>
      <xdr:col>19</xdr:col>
      <xdr:colOff>0</xdr:colOff>
      <xdr:row>36</xdr:row>
      <xdr:rowOff>91110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190500</xdr:colOff>
      <xdr:row>1</xdr:row>
      <xdr:rowOff>9526</xdr:rowOff>
    </xdr:from>
    <xdr:to>
      <xdr:col>30</xdr:col>
      <xdr:colOff>57150</xdr:colOff>
      <xdr:row>8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6257925" y="104776"/>
          <a:ext cx="3857625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latin typeface="+mj-lt"/>
            </a:rPr>
            <a:t>Planilha de consulta</a:t>
          </a:r>
          <a:r>
            <a:rPr lang="pt-BR" sz="1400" b="1" baseline="0">
              <a:latin typeface="+mj-lt"/>
            </a:rPr>
            <a:t> por usuário</a:t>
          </a:r>
        </a:p>
        <a:p>
          <a:pPr algn="l"/>
          <a:endParaRPr lang="pt-BR" sz="1100" b="1" baseline="0"/>
        </a:p>
        <a:p>
          <a:pPr algn="l"/>
          <a:r>
            <a:rPr lang="pt-BR" sz="1100" b="0" baseline="0"/>
            <a:t>O relatório é gerado automaticamente a partir da ID do usuário.</a:t>
          </a:r>
        </a:p>
        <a:p>
          <a:pPr algn="l"/>
          <a:endParaRPr lang="pt-BR" sz="1100" b="0" baseline="0"/>
        </a:p>
        <a:p>
          <a:pPr algn="l"/>
          <a:r>
            <a:rPr lang="pt-BR" sz="1100" b="0" baseline="0"/>
            <a:t>Para </a:t>
          </a:r>
          <a:r>
            <a:rPr lang="pt-BR" sz="1100" b="1" baseline="0"/>
            <a:t>salvar para impressão</a:t>
          </a:r>
          <a:r>
            <a:rPr lang="pt-BR" sz="1100" b="0" baseline="0"/>
            <a:t>: </a:t>
          </a:r>
          <a:br>
            <a:rPr lang="pt-BR" sz="1100" b="0" baseline="0"/>
          </a:br>
          <a:r>
            <a:rPr lang="pt-BR" sz="1100" b="0" baseline="0"/>
            <a:t>Arquivo &gt; Salvar como &gt; Tipo de arquivo &gt; PDF</a:t>
          </a:r>
          <a:endParaRPr lang="pt-BR" sz="1100" b="0"/>
        </a:p>
      </xdr:txBody>
    </xdr:sp>
    <xdr:clientData/>
  </xdr:twoCellAnchor>
  <xdr:twoCellAnchor editAs="oneCell">
    <xdr:from>
      <xdr:col>1</xdr:col>
      <xdr:colOff>424643</xdr:colOff>
      <xdr:row>2</xdr:row>
      <xdr:rowOff>1914</xdr:rowOff>
    </xdr:from>
    <xdr:to>
      <xdr:col>4</xdr:col>
      <xdr:colOff>60208</xdr:colOff>
      <xdr:row>5</xdr:row>
      <xdr:rowOff>37593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600" y="291805"/>
          <a:ext cx="819978" cy="615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115000</xdr:colOff>
      <xdr:row>7</xdr:row>
      <xdr:rowOff>171936</xdr:rowOff>
    </xdr:from>
    <xdr:to>
      <xdr:col>23</xdr:col>
      <xdr:colOff>405848</xdr:colOff>
      <xdr:row>17</xdr:row>
      <xdr:rowOff>50015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137938</xdr:colOff>
      <xdr:row>7</xdr:row>
      <xdr:rowOff>216490</xdr:rowOff>
    </xdr:from>
    <xdr:to>
      <xdr:col>18</xdr:col>
      <xdr:colOff>473383</xdr:colOff>
      <xdr:row>17</xdr:row>
      <xdr:rowOff>60207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391812</xdr:colOff>
      <xdr:row>1</xdr:row>
      <xdr:rowOff>8283</xdr:rowOff>
    </xdr:from>
    <xdr:to>
      <xdr:col>23</xdr:col>
      <xdr:colOff>380999</xdr:colOff>
      <xdr:row>5</xdr:row>
      <xdr:rowOff>314739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0032769" y="107674"/>
          <a:ext cx="1529752" cy="8034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salvar para impressão</a:t>
          </a:r>
          <a:r>
            <a:rPr lang="pt-B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br>
            <a:rPr lang="pt-B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Arquivo &gt; Salvar como &gt; Tipo de arquivo &gt; PDF</a:t>
          </a:r>
          <a:endParaRPr lang="pt-BR" sz="1000">
            <a:effectLst/>
          </a:endParaRPr>
        </a:p>
      </xdr:txBody>
    </xdr:sp>
    <xdr:clientData/>
  </xdr:twoCellAnchor>
  <xdr:twoCellAnchor>
    <xdr:from>
      <xdr:col>14</xdr:col>
      <xdr:colOff>136315</xdr:colOff>
      <xdr:row>17</xdr:row>
      <xdr:rowOff>173934</xdr:rowOff>
    </xdr:from>
    <xdr:to>
      <xdr:col>24</xdr:col>
      <xdr:colOff>33131</xdr:colOff>
      <xdr:row>29</xdr:row>
      <xdr:rowOff>32014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171450</xdr:rowOff>
    </xdr:from>
    <xdr:to>
      <xdr:col>10</xdr:col>
      <xdr:colOff>409575</xdr:colOff>
      <xdr:row>12</xdr:row>
      <xdr:rowOff>76200</xdr:rowOff>
    </xdr:to>
    <xdr:sp macro="" textlink="">
      <xdr:nvSpPr>
        <xdr:cNvPr id="2" name="CaixaDeTexto 1"/>
        <xdr:cNvSpPr txBox="1"/>
      </xdr:nvSpPr>
      <xdr:spPr>
        <a:xfrm>
          <a:off x="190500" y="171450"/>
          <a:ext cx="6315075" cy="219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/>
            <a:t>Planilha construída</a:t>
          </a:r>
          <a:r>
            <a:rPr lang="pt-BR" sz="1200" baseline="0"/>
            <a:t> por </a:t>
          </a:r>
          <a:r>
            <a:rPr lang="pt-BR" sz="1200" b="1" baseline="0"/>
            <a:t>Gregório Miranda </a:t>
          </a:r>
          <a:r>
            <a:rPr lang="pt-BR" sz="1200" baseline="0"/>
            <a:t>e equipe do Centro POP de Conselheiro Lafaiete entre 2017 e 2019.</a:t>
          </a:r>
        </a:p>
        <a:p>
          <a:endParaRPr lang="pt-BR" sz="1200" baseline="0"/>
        </a:p>
        <a:p>
          <a:r>
            <a:rPr lang="pt-BR" sz="1200" baseline="0"/>
            <a:t>Publicada originalmente em </a:t>
          </a:r>
          <a:r>
            <a:rPr lang="pt-BR" sz="1200" b="1" baseline="0"/>
            <a:t>www.gregs.blog.br</a:t>
          </a:r>
        </a:p>
        <a:p>
          <a:endParaRPr lang="pt-BR" sz="1200"/>
        </a:p>
        <a:p>
          <a:r>
            <a:rPr lang="pt-BR" sz="1200"/>
            <a:t>E-mail para contato: </a:t>
          </a:r>
          <a:r>
            <a:rPr lang="pt-BR" sz="1200" b="1"/>
            <a:t>gregoriomirandapsi@gmail.com</a:t>
          </a:r>
        </a:p>
        <a:p>
          <a:endParaRPr lang="pt-BR" sz="12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/>
            <a:t>Material distribuído gratuitamente com a </a:t>
          </a:r>
          <a:r>
            <a:rPr lang="pt-B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licença </a:t>
          </a:r>
          <a:r>
            <a:rPr lang="pt-BR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Creative Commons - Atribuição 3.0 Brasil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/>
            <a:t>Isso significa que você pode usar, adaptar e compartilhar o código à vontade.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/>
            <a:t>Reconhecer a autoria do projeto inicial seria bacana, mas fica a seu critério.</a:t>
          </a:r>
          <a:endParaRPr lang="pt-BR" sz="1200">
            <a:effectLst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egs" refreshedDate="44107.68912372685" createdVersion="5" refreshedVersion="6" minRefreshableVersion="3" recordCount="541">
  <cacheSource type="worksheet">
    <worksheetSource ref="B59:B600" sheet="Consulta Usuário"/>
  </cacheSource>
  <cacheFields count="2">
    <cacheField name="Mês/ano de frequência" numFmtId="14">
      <sharedItems containsSemiMixedTypes="0" containsNonDate="0" containsDate="1" containsString="0" minDate="1990-01-01T00:00:00" maxDate="2017-02-02T00:00:00" count="10">
        <d v="2014-07-01T00:00:00"/>
        <d v="2014-07-02T00:00:00"/>
        <d v="2014-07-04T00:00:00"/>
        <d v="2014-08-01T00:00:00"/>
        <d v="2015-01-01T00:00:00"/>
        <d v="2015-06-01T00:00:00"/>
        <d v="2016-01-01T00:00:00"/>
        <d v="2017-01-01T00:00:00"/>
        <d v="2017-02-01T00:00:00"/>
        <d v="1990-01-01T00:00:00"/>
      </sharedItems>
      <fieldGroup par="1" base="0">
        <rangePr groupBy="months" startDate="1990-01-01T00:00:00" endDate="2017-02-02T00:00:00"/>
        <groupItems count="14">
          <s v="&lt;01/01/199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2/2017"/>
        </groupItems>
      </fieldGroup>
    </cacheField>
    <cacheField name="Anos" numFmtId="0" databaseField="0">
      <fieldGroup base="0">
        <rangePr groupBy="years" startDate="1990-01-01T00:00:00" endDate="2017-02-02T00:00:00"/>
        <groupItems count="30">
          <s v="&lt;01/01/1990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02/0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regs" refreshedDate="44107.70612210648" createdVersion="5" refreshedVersion="6" minRefreshableVersion="3" recordCount="833">
  <cacheSource type="worksheet">
    <worksheetSource name="Tabela66[id]"/>
  </cacheSource>
  <cacheFields count="1">
    <cacheField name="id" numFmtId="0">
      <sharedItems containsMixedTypes="1" containsNumber="1" containsInteger="1" minValue="1" maxValue="2587" count="891">
        <n v="9"/>
        <n v="10"/>
        <n v="11"/>
        <n v="12"/>
        <n v="13"/>
        <n v="14"/>
        <n v="15"/>
        <n v="16"/>
        <n v="17"/>
        <n v="18"/>
        <n v="19"/>
        <n v="20"/>
        <n v="1"/>
        <n v="2"/>
        <e v="#REF!"/>
        <n v="3"/>
        <n v="4"/>
        <n v="5"/>
        <n v="6"/>
        <n v="7"/>
        <n v="8"/>
        <e v="#NUM!"/>
        <n v="2136" u="1"/>
        <n v="2027" u="1"/>
        <n v="1962" u="1"/>
        <n v="1832" u="1"/>
        <n v="1767" u="1"/>
        <n v="1702" u="1"/>
        <n v="1637" u="1"/>
        <n v="1572" u="1"/>
        <n v="94" u="1"/>
        <n v="287" u="1"/>
        <n v="2203" u="1"/>
        <n v="2073" u="1"/>
        <n v="973" u="1"/>
        <n v="908" u="1"/>
        <n v="778" u="1"/>
        <n v="713" u="1"/>
        <n v="174" u="1"/>
        <n v="583" u="1"/>
        <n v="2140" u="1"/>
        <n v="2029" u="1"/>
        <n v="1964" u="1"/>
        <n v="1899" u="1"/>
        <n v="1769" u="1"/>
        <n v="1704" u="1"/>
        <n v="1639" u="1"/>
        <n v="1574" u="1"/>
        <n v="2207" u="1"/>
        <n v="2144" u="1"/>
        <n v="2031" u="1"/>
        <n v="1966" u="1"/>
        <n v="1901" u="1"/>
        <n v="1836" u="1"/>
        <n v="1771" u="1"/>
        <n v="1706" u="1"/>
        <n v="1641" u="1"/>
        <n v="1576" u="1"/>
        <n v="1446" u="1"/>
        <n v="288" u="1"/>
        <n v="2211" u="1"/>
        <n v="1056" u="1"/>
        <n v="2081" u="1"/>
        <n v="910" u="1"/>
        <n v="2148" u="1"/>
        <n v="2033" u="1"/>
        <n v="1903" u="1"/>
        <n v="1838" u="1"/>
        <n v="1773" u="1"/>
        <n v="1708" u="1"/>
        <n v="1643" u="1"/>
        <n v="1578" u="1"/>
        <n v="1448" u="1"/>
        <n v="1253" u="1"/>
        <n v="2215" u="1"/>
        <n v="2085" u="1"/>
        <n v="191" u="1"/>
        <n v="2152" u="1"/>
        <n v="2035" u="1"/>
        <n v="1970" u="1"/>
        <n v="1905" u="1"/>
        <n v="1840" u="1"/>
        <n v="1710" u="1"/>
        <n v="1645" u="1"/>
        <n v="1580" u="1"/>
        <n v="1515" u="1"/>
        <n v="354" u="1"/>
        <n v="2219" u="1"/>
        <n v="2089" u="1"/>
        <n v="2546" u="1"/>
        <n v="2156" u="1"/>
        <n v="2037" u="1"/>
        <n v="1972" u="1"/>
        <n v="1907" u="1"/>
        <n v="1842" u="1"/>
        <n v="1777" u="1"/>
        <n v="1712" u="1"/>
        <n v="1647" u="1"/>
        <n v="1582" u="1"/>
        <n v="1452" u="1"/>
        <n v="1322" u="1"/>
        <n v="2353" u="1"/>
        <n v="2223" u="1"/>
        <n v="1062" u="1"/>
        <n v="2093" u="1"/>
        <n v="913" u="1"/>
        <n v="2550" u="1"/>
        <n v="2160" u="1"/>
        <n v="2039" u="1"/>
        <n v="1974" u="1"/>
        <n v="1909" u="1"/>
        <n v="1844" u="1"/>
        <n v="1649" u="1"/>
        <n v="1454" u="1"/>
        <n v="1194" u="1"/>
        <n v="2227" u="1"/>
        <n v="208" u="1"/>
        <n v="2554" u="1"/>
        <n v="2164" u="1"/>
        <n v="524" u="1"/>
        <n v="1976" u="1"/>
        <n v="1911" u="1"/>
        <n v="1846" u="1"/>
        <n v="1716" u="1"/>
        <n v="1651" u="1"/>
        <n v="1456" u="1"/>
        <n v="1261" u="1"/>
        <n v="1131" u="1"/>
        <n v="2231" u="1"/>
        <n v="1066" u="1"/>
        <n v="2101" u="1"/>
        <n v="720" u="1"/>
        <n v="2168" u="1"/>
        <n v="1978" u="1"/>
        <n v="1913" u="1"/>
        <n v="1848" u="1"/>
        <n v="1783" u="1"/>
        <n v="1718" u="1"/>
        <n v="1653" u="1"/>
        <n v="1588" u="1"/>
        <n v="1328" u="1"/>
        <n v="981" u="1"/>
        <n v="2562" u="1"/>
        <n v="2172" u="1"/>
        <n v="526" u="1"/>
        <n v="2045" u="1"/>
        <n v="1980" u="1"/>
        <n v="1915" u="1"/>
        <n v="1850" u="1"/>
        <n v="454" u="1"/>
        <n v="1720" u="1"/>
        <n v="1655" u="1"/>
        <n v="1590" u="1"/>
        <n v="1460" u="1"/>
        <n v="1330" u="1"/>
        <n v="1135" u="1"/>
        <n v="2109" u="1"/>
        <n v="43" u="1"/>
        <n v="2566" u="1"/>
        <n v="160" u="1"/>
        <n v="2176" u="1"/>
        <n v="527" u="1"/>
        <n v="2047" u="1"/>
        <n v="1982" u="1"/>
        <n v="1917" u="1"/>
        <n v="1852" u="1"/>
        <n v="1787" u="1"/>
        <n v="1657" u="1"/>
        <n v="1592" u="1"/>
        <n v="1332" u="1"/>
        <n v="292" u="1"/>
        <n v="1072" u="1"/>
        <n v="2113" u="1"/>
        <n v="2570" u="1"/>
        <n v="39" u="1"/>
        <n v="2180" u="1"/>
        <n v="528" u="1"/>
        <n v="2050" u="1"/>
        <n v="1854" u="1"/>
        <n v="1789" u="1"/>
        <n v="1724" u="1"/>
        <n v="1659" u="1"/>
        <n v="1594" u="1"/>
        <n v="1529" u="1"/>
        <n v="325" u="1"/>
        <n v="71" u="1"/>
        <n v="2117" u="1"/>
        <n v="789" u="1"/>
        <n v="2574" u="1"/>
        <n v="2444" u="1"/>
        <n v="2054" u="1"/>
        <n v="1986" u="1"/>
        <n v="1921" u="1"/>
        <n v="1856" u="1"/>
        <n v="1791" u="1"/>
        <n v="1726" u="1"/>
        <n v="423" u="1"/>
        <n v="1661" u="1"/>
        <n v="1531" u="1"/>
        <n v="358" u="1"/>
        <n v="1336" u="1"/>
        <n v="1271" u="1"/>
        <n v="1141" u="1"/>
        <n v="725" u="1"/>
        <n v="2578" u="1"/>
        <n v="2188" u="1"/>
        <n v="1988" u="1"/>
        <n v="1923" u="1"/>
        <n v="1858" u="1"/>
        <n v="1793" u="1"/>
        <n v="1728" u="1"/>
        <n v="1663" u="1"/>
        <n v="1598" u="1"/>
        <n v="1338" u="1"/>
        <n v="2255" u="1"/>
        <n v="2125" u="1"/>
        <n v="791" u="1"/>
        <n v="161" u="1"/>
        <n v="2192" u="1"/>
        <n v="2062" u="1"/>
        <n v="1990" u="1"/>
        <n v="1925" u="1"/>
        <n v="1860" u="1"/>
        <n v="1795" u="1"/>
        <n v="1730" u="1"/>
        <n v="424" u="1"/>
        <n v="1535" u="1"/>
        <n v="1405" u="1"/>
        <n v="1340" u="1"/>
        <n v="294" u="1"/>
        <n v="2129" u="1"/>
        <n v="987" u="1"/>
        <n v="2586" u="1"/>
        <n v="2066" u="1"/>
        <n v="1992" u="1"/>
        <n v="1927" u="1"/>
        <n v="1862" u="1"/>
        <n v="1797" u="1"/>
        <n v="1732" u="1"/>
        <n v="1667" u="1"/>
        <n v="1602" u="1"/>
        <n v="1407" u="1"/>
        <n v="2523" u="1"/>
        <n v="1147" u="1"/>
        <n v="2133" u="1"/>
        <n v="728" u="1"/>
        <n v="2200" u="1"/>
        <n v="2070" u="1"/>
        <n v="1994" u="1"/>
        <n v="1929" u="1"/>
        <n v="1864" u="1"/>
        <n v="1799" u="1"/>
        <n v="1734" u="1"/>
        <n v="1669" u="1"/>
        <n v="1539" u="1"/>
        <n v="1149" u="1"/>
        <n v="2137" u="1"/>
        <n v="924" u="1"/>
        <n v="599" u="1"/>
        <n v="2204" u="1"/>
        <n v="534" u="1"/>
        <n v="2074" u="1"/>
        <n v="1996" u="1"/>
        <n v="1931" u="1"/>
        <n v="1866" u="1"/>
        <n v="1801" u="1"/>
        <n v="1671" u="1"/>
        <n v="1346" u="1"/>
        <n v="2401" u="1"/>
        <n v="2141" u="1"/>
        <n v="990" u="1"/>
        <n v="665" u="1"/>
        <n v="2208" u="1"/>
        <n v="535" u="1"/>
        <n v="1998" u="1"/>
        <n v="1933" u="1"/>
        <n v="1868" u="1"/>
        <n v="1803" u="1"/>
        <n v="1738" u="1"/>
        <n v="1673" u="1"/>
        <n v="1478" u="1"/>
        <n v="1348" u="1"/>
        <n v="2145" u="1"/>
        <n v="666" u="1"/>
        <n v="2472" u="1"/>
        <n v="2082" u="1"/>
        <n v="1870" u="1"/>
        <n v="1805" u="1"/>
        <n v="1740" u="1"/>
        <n v="1675" u="1"/>
        <n v="1545" u="1"/>
        <n v="2149" u="1"/>
        <n v="927" u="1"/>
        <n v="862" u="1"/>
        <n v="797" u="1"/>
        <n v="2216" u="1"/>
        <n v="2086" u="1"/>
        <n v="2002" u="1"/>
        <n v="1937" u="1"/>
        <n v="1872" u="1"/>
        <n v="1807" u="1"/>
        <n v="1742" u="1"/>
        <n v="1547" u="1"/>
        <n v="1287" u="1"/>
        <n v="2543" u="1"/>
        <n v="2153" u="1"/>
        <n v="668" u="1"/>
        <n v="2220" u="1"/>
        <n v="538" u="1"/>
        <n v="2090" u="1"/>
        <n v="2004" u="1"/>
        <n v="1939" u="1"/>
        <n v="1809" u="1"/>
        <n v="1744" u="1"/>
        <n v="1679" u="1"/>
        <n v="1614" u="1"/>
        <n v="1549" u="1"/>
        <n v="1484" u="1"/>
        <n v="1419" u="1"/>
        <n v="2547" u="1"/>
        <n v="1029" u="1"/>
        <n v="60" u="1"/>
        <n v="228" u="1"/>
        <n v="2224" u="1"/>
        <n v="2094" u="1"/>
        <n v="2006" u="1"/>
        <n v="1941" u="1"/>
        <n v="1876" u="1"/>
        <n v="1811" u="1"/>
        <n v="1746" u="1"/>
        <n v="1616" u="1"/>
        <n v="1486" u="1"/>
        <n v="1421" u="1"/>
        <n v="2551" u="1"/>
        <n v="2161" u="1"/>
        <n v="540" u="1"/>
        <n v="2098" u="1"/>
        <n v="2008" u="1"/>
        <n v="1943" u="1"/>
        <n v="1878" u="1"/>
        <n v="1813" u="1"/>
        <n v="1748" u="1"/>
        <n v="1683" u="1"/>
        <n v="1553" u="1"/>
        <n v="1228" u="1"/>
        <n v="1163" u="1"/>
        <n v="2165" u="1"/>
        <n v="866" u="1"/>
        <n v="2232" u="1"/>
        <n v="2102" u="1"/>
        <n v="2010" u="1"/>
        <n v="1945" u="1"/>
        <n v="1880" u="1"/>
        <n v="1750" u="1"/>
        <n v="1685" u="1"/>
        <n v="1555" u="1"/>
        <n v="1425" u="1"/>
        <n v="2559" u="1"/>
        <n v="802" u="1"/>
        <n v="2106" u="1"/>
        <n v="1947" u="1"/>
        <n v="1882" u="1"/>
        <n v="1817" u="1"/>
        <n v="1752" u="1"/>
        <n v="1687" u="1"/>
        <n v="1622" u="1"/>
        <n v="1557" u="1"/>
        <n v="2563" u="1"/>
        <n v="2173" u="1"/>
        <n v="44" u="1"/>
        <n v="608" u="1"/>
        <n v="2110" u="1"/>
        <n v="1949" u="1"/>
        <n v="1884" u="1"/>
        <n v="1819" u="1"/>
        <n v="1689" u="1"/>
        <n v="1559" u="1"/>
        <n v="1429" u="1"/>
        <n v="2567" u="1"/>
        <n v="300" u="1"/>
        <n v="2307" u="1"/>
        <n v="2177" u="1"/>
        <n v="2114" u="1"/>
        <n v="1951" u="1"/>
        <n v="1886" u="1"/>
        <n v="1821" u="1"/>
        <n v="1691" u="1"/>
        <n v="1626" u="1"/>
        <n v="1496" u="1"/>
        <n v="333" u="1"/>
        <n v="2571" u="1"/>
        <n v="2311" u="1"/>
        <n v="2181" u="1"/>
        <n v="675" u="1"/>
        <n v="545" u="1"/>
        <n v="2118" u="1"/>
        <n v="2018" u="1"/>
        <n v="1953" u="1"/>
        <n v="1888" u="1"/>
        <n v="1823" u="1"/>
        <n v="1693" u="1"/>
        <n v="1628" u="1"/>
        <n v="1433" u="1"/>
        <n v="301" u="1"/>
        <n v="2185" u="1"/>
        <n v="2122" u="1"/>
        <n v="2020" u="1"/>
        <n v="1955" u="1"/>
        <n v="1890" u="1"/>
        <n v="1825" u="1"/>
        <n v="1760" u="1"/>
        <n v="1695" u="1"/>
        <n v="1630" u="1"/>
        <n v="1500" u="1"/>
        <n v="1435" u="1"/>
        <n v="1305" u="1"/>
        <n v="2579" u="1"/>
        <n v="2189" u="1"/>
        <n v="2059" u="1"/>
        <n v="1002" u="1"/>
        <n v="677" u="1"/>
        <n v="2126" u="1"/>
        <n v="2022" u="1"/>
        <n v="1957" u="1"/>
        <n v="1892" u="1"/>
        <n v="1827" u="1"/>
        <n v="1762" u="1"/>
        <n v="432" u="1"/>
        <n v="1697" u="1"/>
        <n v="1632" u="1"/>
        <n v="1567" u="1"/>
        <n v="1502" u="1"/>
        <n v="2583" u="1"/>
        <n v="302" u="1"/>
        <n v="2193" u="1"/>
        <n v="2063" u="1"/>
        <n v="938" u="1"/>
        <n v="2520" u="1"/>
        <n v="2130" u="1"/>
        <n v="1959" u="1"/>
        <n v="1894" u="1"/>
        <n v="1829" u="1"/>
        <n v="1764" u="1"/>
        <n v="1634" u="1"/>
        <n v="1569" u="1"/>
        <n v="1439" u="1"/>
        <n v="1374" u="1"/>
        <n v="2587" u="1"/>
        <n v="2197" u="1"/>
        <n v="2067" u="1"/>
        <n v="744" u="1"/>
        <n v="2524" u="1"/>
        <n v="2134" u="1"/>
        <n v="133" u="1"/>
        <n v="2026" u="1"/>
        <n v="1961" u="1"/>
        <n v="1896" u="1"/>
        <n v="1831" u="1"/>
        <n v="1766" u="1"/>
        <n v="1701" u="1"/>
        <n v="1636" u="1"/>
        <n v="26" u="1"/>
        <n v="1571" u="1"/>
        <n v="1506" u="1"/>
        <n v="2201" u="1"/>
        <n v="2071" u="1"/>
        <n v="2138" u="1"/>
        <n v="2028" u="1"/>
        <n v="1963" u="1"/>
        <n v="1898" u="1"/>
        <n v="1833" u="1"/>
        <n v="1768" u="1"/>
        <n v="1703" u="1"/>
        <n v="1638" u="1"/>
        <n v="24" u="1"/>
        <n v="1443" u="1"/>
        <n v="2075" u="1"/>
        <n v="681" u="1"/>
        <n v="166" u="1"/>
        <n v="2142" u="1"/>
        <n v="2030" u="1"/>
        <n v="1965" u="1"/>
        <n v="1900" u="1"/>
        <n v="1835" u="1"/>
        <n v="1770" u="1"/>
        <n v="1705" u="1"/>
        <n v="1640" u="1"/>
        <n v="1575" u="1"/>
        <n v="1445" u="1"/>
        <n v="304" u="1"/>
        <n v="1185" u="1"/>
        <n v="2079" u="1"/>
        <n v="2276" u="1"/>
        <n v="2146" u="1"/>
        <n v="2032" u="1"/>
        <n v="1967" u="1"/>
        <n v="1837" u="1"/>
        <n v="1772" u="1"/>
        <n v="1707" u="1"/>
        <n v="1642" u="1"/>
        <n v="1447" u="1"/>
        <n v="1317" u="1"/>
        <n v="1122" u="1"/>
        <n v="2213" u="1"/>
        <n v="2083" u="1"/>
        <n v="813" u="1"/>
        <n v="199" u="1"/>
        <n v="683" u="1"/>
        <n v="2150" u="1"/>
        <n v="134" u="1"/>
        <n v="2034" u="1"/>
        <n v="1969" u="1"/>
        <n v="1904" u="1"/>
        <n v="1839" u="1"/>
        <n v="1709" u="1"/>
        <n v="1644" u="1"/>
        <n v="1449" u="1"/>
        <n v="1124" u="1"/>
        <n v="2217" u="1"/>
        <n v="2087" u="1"/>
        <n v="814" u="1"/>
        <n v="2154" u="1"/>
        <n v="2036" u="1"/>
        <n v="1971" u="1"/>
        <n v="123" u="1"/>
        <n v="1906" u="1"/>
        <n v="1841" u="1"/>
        <n v="1711" u="1"/>
        <n v="1516" u="1"/>
        <n v="1386" u="1"/>
        <n v="2221" u="1"/>
        <n v="2091" u="1"/>
        <n v="2548" u="1"/>
        <n v="2158" u="1"/>
        <n v="2038" u="1"/>
        <n v="1973" u="1"/>
        <n v="1908" u="1"/>
        <n v="1843" u="1"/>
        <n v="1713" u="1"/>
        <n v="1583" u="1"/>
        <n v="2095" u="1"/>
        <n v="946" u="1"/>
        <n v="57" u="1"/>
        <n v="2552" u="1"/>
        <n v="2162" u="1"/>
        <n v="1975" u="1"/>
        <n v="1910" u="1"/>
        <n v="1845" u="1"/>
        <n v="1650" u="1"/>
        <n v="1390" u="1"/>
        <n v="1260" u="1"/>
        <n v="1195" u="1"/>
        <n v="1130" u="1"/>
        <n v="2099" u="1"/>
        <n v="1012" u="1"/>
        <n v="687" u="1"/>
        <n v="2166" u="1"/>
        <n v="1977" u="1"/>
        <n v="1912" u="1"/>
        <n v="1847" u="1"/>
        <n v="1652" u="1"/>
        <n v="1587" u="1"/>
        <n v="99" u="1"/>
        <n v="1457" u="1"/>
        <n v="1262" u="1"/>
        <n v="307" u="1"/>
        <n v="2233" u="1"/>
        <n v="249" u="1"/>
        <n v="948" u="1"/>
        <n v="2560" u="1"/>
        <n v="2170" u="1"/>
        <n v="1979" u="1"/>
        <n v="1914" u="1"/>
        <n v="1849" u="1"/>
        <n v="1784" u="1"/>
        <n v="1719" u="1"/>
        <n v="1654" u="1"/>
        <n v="1589" u="1"/>
        <n v="1459" u="1"/>
        <n v="1394" u="1"/>
        <n v="1329" u="1"/>
        <n v="2107" u="1"/>
        <n v="2174" u="1"/>
        <n v="2046" u="1"/>
        <n v="1981" u="1"/>
        <n v="1916" u="1"/>
        <n v="1851" u="1"/>
        <n v="1786" u="1"/>
        <n v="1721" u="1"/>
        <n v="1656" u="1"/>
        <n v="1526" u="1"/>
        <n v="373" u="1"/>
        <n v="1461" u="1"/>
        <n v="1331" u="1"/>
        <n v="2111" u="1"/>
        <n v="690" u="1"/>
        <n v="2568" u="1"/>
        <n v="2178" u="1"/>
        <n v="1983" u="1"/>
        <n v="1788" u="1"/>
        <n v="1723" u="1"/>
        <n v="1658" u="1"/>
        <n v="1593" u="1"/>
        <n v="2115" u="1"/>
        <n v="951" u="1"/>
        <n v="2572" u="1"/>
        <n v="2052" u="1"/>
        <n v="1985" u="1"/>
        <n v="1920" u="1"/>
        <n v="1855" u="1"/>
        <n v="1790" u="1"/>
        <n v="1725" u="1"/>
        <n v="1660" u="1"/>
        <n v="1595" u="1"/>
        <n v="1530" u="1"/>
        <n v="1335" u="1"/>
        <n v="1075" u="1"/>
        <n v="2119" u="1"/>
        <n v="952" u="1"/>
        <n v="562" u="1"/>
        <n v="2186" u="1"/>
        <n v="1987" u="1"/>
        <n v="1922" u="1"/>
        <n v="1857" u="1"/>
        <n v="1792" u="1"/>
        <n v="1727" u="1"/>
        <n v="1662" u="1"/>
        <n v="1597" u="1"/>
        <n v="1532" u="1"/>
        <n v="1402" u="1"/>
        <n v="2123" u="1"/>
        <n v="1018" u="1"/>
        <n v="693" u="1"/>
        <n v="169" u="1"/>
        <n v="2580" u="1"/>
        <n v="628" u="1"/>
        <n v="2190" u="1"/>
        <n v="2060" u="1"/>
        <n v="505" u="1"/>
        <n v="1989" u="1"/>
        <n v="1924" u="1"/>
        <n v="1859" u="1"/>
        <n v="1794" u="1"/>
        <n v="1729" u="1"/>
        <n v="1664" u="1"/>
        <n v="1339" u="1"/>
        <n v="1274" u="1"/>
        <n v="2127" u="1"/>
        <n v="954" u="1"/>
        <n v="2584" u="1"/>
        <n v="2194" u="1"/>
        <n v="1991" u="1"/>
        <n v="1926" u="1"/>
        <n v="1861" u="1"/>
        <n v="1796" u="1"/>
        <n v="1731" u="1"/>
        <n v="408" u="1"/>
        <n v="1601" u="1"/>
        <n v="1536" u="1"/>
        <n v="1406" u="1"/>
        <n v="2131" u="1"/>
        <n v="2198" u="1"/>
        <n v="2068" u="1"/>
        <n v="1993" u="1"/>
        <n v="1928" u="1"/>
        <n v="1798" u="1"/>
        <n v="1733" u="1"/>
        <n v="1668" u="1"/>
        <n v="1408" u="1"/>
        <n v="1278" u="1"/>
        <n v="2135" u="1"/>
        <n v="251" u="1"/>
        <n v="2202" u="1"/>
        <n v="2072" u="1"/>
        <n v="1995" u="1"/>
        <n v="1930" u="1"/>
        <n v="1865" u="1"/>
        <n v="1735" u="1"/>
        <n v="1670" u="1"/>
        <n v="1540" u="1"/>
        <n v="1345" u="1"/>
        <n v="2139" u="1"/>
        <n v="892" u="1"/>
        <n v="2206" u="1"/>
        <n v="1997" u="1"/>
        <n v="1932" u="1"/>
        <n v="1867" u="1"/>
        <n v="1802" u="1"/>
        <n v="1672" u="1"/>
        <n v="1607" u="1"/>
        <n v="1347" u="1"/>
        <n v="1087" u="1"/>
        <n v="2143" u="1"/>
        <n v="958" u="1"/>
        <n v="568" u="1"/>
        <n v="2210" u="1"/>
        <n v="2080" u="1"/>
        <n v="1999" u="1"/>
        <n v="1869" u="1"/>
        <n v="1804" u="1"/>
        <n v="1739" u="1"/>
        <n v="1609" u="1"/>
        <n v="1479" u="1"/>
        <n v="1414" u="1"/>
        <n v="345" u="1"/>
        <n v="1154" u="1"/>
        <n v="2147" u="1"/>
        <n v="569" u="1"/>
        <n v="2214" u="1"/>
        <n v="2084" u="1"/>
        <n v="2001" u="1"/>
        <n v="1936" u="1"/>
        <n v="1806" u="1"/>
        <n v="443" u="1"/>
        <n v="1741" u="1"/>
        <n v="1676" u="1"/>
        <n v="1611" u="1"/>
        <n v="1156" u="1"/>
        <n v="2151" u="1"/>
        <n v="1026" u="1"/>
        <n v="252" u="1"/>
        <n v="960" u="1"/>
        <n v="2478" u="1"/>
        <n v="2218" u="1"/>
        <n v="2088" u="1"/>
        <n v="2003" u="1"/>
        <n v="1938" u="1"/>
        <n v="476" u="1"/>
        <n v="1808" u="1"/>
        <n v="1743" u="1"/>
        <n v="1678" u="1"/>
        <n v="1548" u="1"/>
        <n v="1483" u="1"/>
        <n v="346" u="1"/>
        <n v="2545" u="1"/>
        <n v="1093" u="1"/>
        <n v="2155" u="1"/>
        <n v="1028" u="1"/>
        <n v="236" u="1"/>
        <n v="701" u="1"/>
        <n v="571" u="1"/>
        <n v="2222" u="1"/>
        <n v="2092" u="1"/>
        <n v="2005" u="1"/>
        <n v="1940" u="1"/>
        <n v="1875" u="1"/>
        <n v="1810" u="1"/>
        <n v="1745" u="1"/>
        <n v="1680" u="1"/>
        <n v="1420" u="1"/>
        <n v="2549" u="1"/>
        <n v="2159" u="1"/>
        <n v="1030" u="1"/>
        <n v="962" u="1"/>
        <n v="58" u="1"/>
        <n v="702" u="1"/>
        <n v="2096" u="1"/>
        <n v="2007" u="1"/>
        <n v="1942" u="1"/>
        <n v="1877" u="1"/>
        <n v="1812" u="1"/>
        <n v="1747" u="1"/>
        <n v="1682" u="1"/>
        <n v="412" u="1"/>
        <n v="1552" u="1"/>
        <n v="1422" u="1"/>
        <n v="1357" u="1"/>
        <n v="2553" u="1"/>
        <n v="1227" u="1"/>
        <n v="1162" u="1"/>
        <n v="2163" u="1"/>
        <n v="703" u="1"/>
        <n v="2100" u="1"/>
        <n v="2009" u="1"/>
        <n v="1944" u="1"/>
        <n v="1879" u="1"/>
        <n v="1814" u="1"/>
        <n v="1749" u="1"/>
        <n v="1684" u="1"/>
        <n v="1619" u="1"/>
        <n v="1554" u="1"/>
        <n v="380" u="1"/>
        <n v="1359" u="1"/>
        <n v="2557" u="1"/>
        <n v="2167" u="1"/>
        <n v="50" u="1"/>
        <n v="2104" u="1"/>
        <n v="2011" u="1"/>
        <n v="478" u="1"/>
        <n v="1881" u="1"/>
        <n v="1816" u="1"/>
        <n v="1751" u="1"/>
        <n v="1686" u="1"/>
        <n v="1621" u="1"/>
        <n v="1556" u="1"/>
        <n v="1491" u="1"/>
        <n v="1426" u="1"/>
        <n v="348" u="1"/>
        <n v="1361" u="1"/>
        <n v="2171" u="1"/>
        <n v="2108" u="1"/>
        <n v="2013" u="1"/>
        <n v="1948" u="1"/>
        <n v="1883" u="1"/>
        <n v="1818" u="1"/>
        <n v="1753" u="1"/>
        <n v="1688" u="1"/>
        <n v="1623" u="1"/>
        <n v="2565" u="1"/>
        <n v="2175" u="1"/>
        <n v="156" u="1"/>
        <n v="2112" u="1"/>
        <n v="1950" u="1"/>
        <n v="479" u="1"/>
        <n v="1885" u="1"/>
        <n v="1820" u="1"/>
        <n v="1690" u="1"/>
        <n v="1560" u="1"/>
        <n v="1495" u="1"/>
        <n v="349" u="1"/>
        <n v="1105" u="1"/>
        <n v="2179" u="1"/>
        <n v="2049" u="1"/>
        <n v="38" u="1"/>
        <n v="2116" u="1"/>
        <n v="1952" u="1"/>
        <n v="1887" u="1"/>
        <n v="1822" u="1"/>
        <n v="1692" u="1"/>
        <n v="1627" u="1"/>
        <n v="1562" u="1"/>
        <n v="1497" u="1"/>
        <n v="1432" u="1"/>
        <n v="2573" u="1"/>
        <n v="2183" u="1"/>
        <n v="578" u="1"/>
        <n v="2019" u="1"/>
        <n v="126" u="1"/>
        <n v="1954" u="1"/>
        <n v="1889" u="1"/>
        <n v="1824" u="1"/>
        <n v="1759" u="1"/>
        <n v="1694" u="1"/>
        <n v="1629" u="1"/>
        <n v="350" u="1"/>
        <n v="1369" u="1"/>
        <n v="2577" u="1"/>
        <n v="1109" u="1"/>
        <n v="2187" u="1"/>
        <n v="904" u="1"/>
        <n v="579" u="1"/>
        <n v="2124" u="1"/>
        <n v="2021" u="1"/>
        <n v="1956" u="1"/>
        <n v="31" u="1"/>
        <n v="1826" u="1"/>
        <n v="1761" u="1"/>
        <n v="1696" u="1"/>
        <n v="1631" u="1"/>
        <n v="1501" u="1"/>
        <n v="1306" u="1"/>
        <n v="2581" u="1"/>
        <n v="318" u="1"/>
        <n v="1176" u="1"/>
        <n v="1111" u="1"/>
        <n v="2191" u="1"/>
        <n v="2061" u="1"/>
        <n v="2128" u="1"/>
        <n v="515" u="1"/>
        <n v="2023" u="1"/>
        <n v="1958" u="1"/>
        <n v="1828" u="1"/>
        <n v="1763" u="1"/>
        <n v="1698" u="1"/>
        <n v="1633" u="1"/>
        <n v="1568" u="1"/>
        <n v="2585" u="1"/>
        <n v="2195" u="1"/>
        <n v="581" u="1"/>
        <n v="2132" u="1"/>
        <n v="2025" u="1"/>
        <n v="1960" u="1"/>
        <n v="1895" u="1"/>
        <n v="1830" u="1"/>
        <n v="1765" u="1"/>
        <n v="1700" u="1"/>
        <n v="102" u="1"/>
        <n v="1570" u="1"/>
        <n v="2199" u="1"/>
        <n v="2069" u="1"/>
        <n v="90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regs" refreshedDate="44107.706122916665" createdVersion="5" refreshedVersion="6" minRefreshableVersion="3" recordCount="834">
  <cacheSource type="worksheet">
    <worksheetSource ref="Y32:Y866" sheet="Relatório Mensal"/>
  </cacheSource>
  <cacheFields count="1">
    <cacheField name="ID" numFmtId="0">
      <sharedItems containsMixedTypes="1" containsNumber="1" containsInteger="1" minValue="1" maxValue="2245" count="171">
        <n v="9"/>
        <n v="10"/>
        <n v="11"/>
        <n v="12"/>
        <n v="13"/>
        <n v="14"/>
        <n v="15"/>
        <n v="16"/>
        <n v="17"/>
        <n v="18"/>
        <n v="19"/>
        <n v="20"/>
        <n v="1"/>
        <n v="2"/>
        <e v="#REF!"/>
        <n v="3"/>
        <n v="4"/>
        <n v="5"/>
        <n v="6"/>
        <n v="7"/>
        <n v="8"/>
        <e v="#NUM!"/>
        <n v="581" u="1"/>
        <n v="2081" u="1"/>
        <n v="684" u="1"/>
        <n v="1835" u="1"/>
        <n v="1028" u="1"/>
        <n v="2067" u="1"/>
        <n v="301" u="1"/>
        <n v="443" u="1"/>
        <n v="1783" u="1"/>
        <n v="1260" u="1"/>
        <n v="1757" u="1"/>
        <n v="288" u="1"/>
        <n v="703" u="1"/>
        <n v="1873" u="1"/>
        <n v="2015" u="1"/>
        <n v="38" u="1"/>
        <n v="690" u="1"/>
        <n v="1776" u="1"/>
        <n v="1918" u="1"/>
        <n v="346" u="1"/>
        <n v="535" u="1"/>
        <n v="1750" u="1"/>
        <n v="948" u="1"/>
        <n v="1866" u="1"/>
        <n v="1698" u="1"/>
        <n v="1769" u="1"/>
        <n v="504" u="1"/>
        <n v="1743" u="1"/>
        <n v="1930" u="1"/>
        <n v="2167" u="1"/>
        <n v="349" u="1"/>
        <n v="683" u="1"/>
        <n v="1407" u="1"/>
        <n v="307" u="1"/>
        <n v="2205" u="1"/>
        <n v="1012" u="1"/>
        <n v="1923" u="1"/>
        <n v="294" u="1"/>
        <n v="1684" u="1"/>
        <n v="1755" u="1"/>
        <n v="1800" u="1"/>
        <n v="1774" u="1"/>
        <n v="960" u="1"/>
        <n v="1109" u="1"/>
        <n v="1864" u="1"/>
        <n v="579" u="1"/>
        <n v="1483" u="1"/>
        <n v="1909" u="1"/>
        <n v="1147" u="1"/>
        <n v="1502" u="1"/>
        <n v="1644" u="1"/>
        <n v="540" u="1"/>
        <n v="50" u="1"/>
        <n v="1592" u="1"/>
        <n v="1734" u="1"/>
        <n v="300" u="1"/>
        <n v="1850" u="1"/>
        <n v="1185" u="1"/>
        <n v="287" u="1"/>
        <n v="701" u="1"/>
        <n v="2011" u="1"/>
        <n v="1701" u="1"/>
        <n v="1985" u="1"/>
        <n v="345" u="1"/>
        <n v="2225" u="1"/>
        <n v="1862" u="1"/>
        <n v="403" u="1"/>
        <n v="791" u="1"/>
        <n v="2121" u="1"/>
        <n v="1029" u="1"/>
        <n v="1526" u="1"/>
        <n v="252" u="1"/>
        <n v="1261" u="1"/>
        <n v="1545" u="1"/>
        <n v="1758" u="1"/>
        <n v="526" u="1"/>
        <n v="1874" u="1"/>
        <n v="2016" u="1"/>
        <n v="58" u="1"/>
        <n v="1706" u="1"/>
        <n v="1919" u="1"/>
        <n v="1893" u="1"/>
        <n v="2235" u="1"/>
        <n v="913" u="1"/>
        <n v="1228" u="1"/>
        <n v="1796" u="1"/>
        <n v="2183" u="1"/>
        <n v="545" u="1"/>
        <n v="1557" u="1"/>
        <n v="1815" u="1"/>
        <n v="1505" u="1"/>
        <n v="1718" u="1"/>
        <n v="2098" u="1"/>
        <n v="2240" u="1"/>
        <n v="134" u="1"/>
        <n v="577" u="1"/>
        <n v="1692" u="1"/>
        <n v="39" u="1"/>
        <n v="325" u="1"/>
        <n v="1995" u="1"/>
        <n v="1756" u="1"/>
        <n v="2103" u="1"/>
        <n v="2245" u="1"/>
        <n v="412" u="1"/>
        <n v="1801" u="1"/>
        <n v="1872" u="1"/>
        <n v="2051" u="1"/>
        <n v="1491" u="1"/>
        <n v="712" u="1"/>
        <n v="1536" u="1"/>
        <n v="744" u="1"/>
        <n v="1742" u="1"/>
        <n v="2075" u="1"/>
        <n v="302" u="1"/>
        <n v="802" u="1"/>
        <n v="1761" u="1"/>
        <n v="1974" u="1"/>
        <n v="166" u="1"/>
        <n v="2203" u="1"/>
        <n v="145" u="1"/>
        <n v="2222" u="1"/>
        <n v="608" u="1"/>
        <n v="1941" u="1"/>
        <n v="1844" u="1"/>
        <n v="2066" u="1"/>
        <n v="292" u="1"/>
        <n v="924" u="1"/>
        <n v="2227" u="1"/>
        <n v="1863" u="1"/>
        <n v="421" u="1"/>
        <n v="1056" u="1"/>
        <n v="1553" u="1"/>
        <n v="1882" u="1"/>
        <n v="2024" u="1"/>
        <n v="1501" u="1"/>
        <n v="1262" u="1"/>
        <n v="1830" u="1"/>
        <n v="1901" u="1"/>
        <n v="31" u="1"/>
        <n v="562" u="1"/>
        <n v="2017" u="1"/>
        <n v="424" u="1"/>
        <n v="1849" u="1"/>
        <n v="2076" u="1"/>
        <n v="1752" u="1"/>
        <n v="2095" u="1"/>
        <n v="2237" u="1"/>
        <n v="2010" u="1"/>
        <n v="218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Gregs" refreshedDate="44107.706123379627" createdVersion="5" refreshedVersion="6" minRefreshableVersion="3" recordCount="211">
  <cacheSource type="worksheet">
    <worksheetSource name="Tabela.frequencia"/>
  </cacheSource>
  <cacheFields count="6">
    <cacheField name="id" numFmtId="0">
      <sharedItems containsMixedTypes="1" containsNumber="1" containsInteger="1" minValue="1" maxValue="20"/>
    </cacheField>
    <cacheField name="Usuário" numFmtId="0">
      <sharedItems containsBlank="1"/>
    </cacheField>
    <cacheField name="Data" numFmtId="14">
      <sharedItems containsNonDate="0" containsDate="1" containsString="0" containsBlank="1" minDate="2014-07-01T00:00:00" maxDate="2017-02-02T00:00:00" count="36">
        <d v="2014-07-01T00:00:00"/>
        <d v="2014-07-02T00:00:00"/>
        <d v="2014-07-03T00:00:00"/>
        <d v="2014-07-04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5-01-01T00:00:00"/>
        <d v="2015-06-01T00:00:00"/>
        <d v="2016-01-01T00:00:00"/>
        <d v="2017-01-01T00:00:00"/>
        <d v="2017-02-01T00:00:00"/>
        <m/>
      </sharedItems>
      <fieldGroup par="5" base="2">
        <rangePr autoEnd="0" groupBy="months" startDate="2014-07-01T00:00:00" endDate="2300-01-01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300"/>
        </groupItems>
      </fieldGroup>
    </cacheField>
    <cacheField name="Idade" numFmtId="1">
      <sharedItems containsMixedTypes="1" containsNumber="1" containsInteger="1" minValue="14" maxValue="77"/>
    </cacheField>
    <cacheField name="Mês" numFmtId="17">
      <sharedItems/>
    </cacheField>
    <cacheField name="Anos" numFmtId="0" databaseField="0">
      <fieldGroup base="2">
        <rangePr autoEnd="0" groupBy="years" startDate="2014-07-01T00:00:00" endDate="2300-01-01T00:00:00"/>
        <groupItems count="289">
          <s v="&lt;01/07/2014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2103"/>
          <s v="2104"/>
          <s v="2105"/>
          <s v="2106"/>
          <s v="2107"/>
          <s v="2108"/>
          <s v="2109"/>
          <s v="2110"/>
          <s v="2111"/>
          <s v="2112"/>
          <s v="2113"/>
          <s v="2114"/>
          <s v="2115"/>
          <s v="2116"/>
          <s v="2117"/>
          <s v="2118"/>
          <s v="2119"/>
          <s v="2120"/>
          <s v="2121"/>
          <s v="2122"/>
          <s v="2123"/>
          <s v="2124"/>
          <s v="2125"/>
          <s v="2126"/>
          <s v="2127"/>
          <s v="2128"/>
          <s v="2129"/>
          <s v="2130"/>
          <s v="2131"/>
          <s v="2132"/>
          <s v="2133"/>
          <s v="2134"/>
          <s v="2135"/>
          <s v="2136"/>
          <s v="2137"/>
          <s v="2138"/>
          <s v="2139"/>
          <s v="2140"/>
          <s v="2141"/>
          <s v="2142"/>
          <s v="2143"/>
          <s v="2144"/>
          <s v="2145"/>
          <s v="2146"/>
          <s v="2147"/>
          <s v="2148"/>
          <s v="2149"/>
          <s v="2150"/>
          <s v="2151"/>
          <s v="2152"/>
          <s v="2153"/>
          <s v="2154"/>
          <s v="2155"/>
          <s v="2156"/>
          <s v="2157"/>
          <s v="2158"/>
          <s v="2159"/>
          <s v="2160"/>
          <s v="2161"/>
          <s v="2162"/>
          <s v="2163"/>
          <s v="2164"/>
          <s v="2165"/>
          <s v="2166"/>
          <s v="2167"/>
          <s v="2168"/>
          <s v="2169"/>
          <s v="2170"/>
          <s v="2171"/>
          <s v="2172"/>
          <s v="2173"/>
          <s v="2174"/>
          <s v="2175"/>
          <s v="2176"/>
          <s v="2177"/>
          <s v="2178"/>
          <s v="2179"/>
          <s v="2180"/>
          <s v="2181"/>
          <s v="2182"/>
          <s v="2183"/>
          <s v="2184"/>
          <s v="2185"/>
          <s v="2186"/>
          <s v="2187"/>
          <s v="2188"/>
          <s v="2189"/>
          <s v="2190"/>
          <s v="2191"/>
          <s v="2192"/>
          <s v="2193"/>
          <s v="2194"/>
          <s v="2195"/>
          <s v="2196"/>
          <s v="2197"/>
          <s v="2198"/>
          <s v="2199"/>
          <s v="2200"/>
          <s v="2201"/>
          <s v="2202"/>
          <s v="2203"/>
          <s v="2204"/>
          <s v="2205"/>
          <s v="2206"/>
          <s v="2207"/>
          <s v="2208"/>
          <s v="2209"/>
          <s v="2210"/>
          <s v="2211"/>
          <s v="2212"/>
          <s v="2213"/>
          <s v="2214"/>
          <s v="2215"/>
          <s v="2216"/>
          <s v="2217"/>
          <s v="2218"/>
          <s v="2219"/>
          <s v="2220"/>
          <s v="2221"/>
          <s v="2222"/>
          <s v="2223"/>
          <s v="2224"/>
          <s v="2225"/>
          <s v="2226"/>
          <s v="2227"/>
          <s v="2228"/>
          <s v="2229"/>
          <s v="2230"/>
          <s v="2231"/>
          <s v="2232"/>
          <s v="2233"/>
          <s v="2234"/>
          <s v="2235"/>
          <s v="2236"/>
          <s v="2237"/>
          <s v="2238"/>
          <s v="2239"/>
          <s v="2240"/>
          <s v="2241"/>
          <s v="2242"/>
          <s v="2243"/>
          <s v="2244"/>
          <s v="2245"/>
          <s v="2246"/>
          <s v="2247"/>
          <s v="2248"/>
          <s v="2249"/>
          <s v="2250"/>
          <s v="2251"/>
          <s v="2252"/>
          <s v="2253"/>
          <s v="2254"/>
          <s v="2255"/>
          <s v="2256"/>
          <s v="2257"/>
          <s v="2258"/>
          <s v="2259"/>
          <s v="2260"/>
          <s v="2261"/>
          <s v="2262"/>
          <s v="2263"/>
          <s v="2264"/>
          <s v="2265"/>
          <s v="2266"/>
          <s v="2267"/>
          <s v="2268"/>
          <s v="2269"/>
          <s v="2270"/>
          <s v="2271"/>
          <s v="2272"/>
          <s v="2273"/>
          <s v="2274"/>
          <s v="2275"/>
          <s v="2276"/>
          <s v="2277"/>
          <s v="2278"/>
          <s v="2279"/>
          <s v="2280"/>
          <s v="2281"/>
          <s v="2282"/>
          <s v="2283"/>
          <s v="2284"/>
          <s v="2285"/>
          <s v="2286"/>
          <s v="2287"/>
          <s v="2288"/>
          <s v="2289"/>
          <s v="2290"/>
          <s v="2291"/>
          <s v="2292"/>
          <s v="2293"/>
          <s v="2294"/>
          <s v="2295"/>
          <s v="2296"/>
          <s v="2297"/>
          <s v="2298"/>
          <s v="2299"/>
          <s v="2300"/>
          <s v="&gt;01/01/23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1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3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6"/>
  </r>
  <r>
    <x v="17"/>
  </r>
  <r>
    <x v="18"/>
  </r>
  <r>
    <x v="19"/>
  </r>
  <r>
    <x v="20"/>
  </r>
  <r>
    <x v="3"/>
  </r>
  <r>
    <x v="4"/>
  </r>
  <r>
    <x v="5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6"/>
  </r>
  <r>
    <x v="6"/>
  </r>
  <r>
    <x v="6"/>
  </r>
  <r>
    <x v="6"/>
  </r>
  <r>
    <x v="6"/>
  </r>
  <r>
    <x v="6"/>
  </r>
  <r>
    <x v="6"/>
  </r>
  <r>
    <x v="6"/>
  </r>
  <r>
    <x v="6"/>
  </r>
  <r>
    <x v="3"/>
  </r>
  <r>
    <x v="3"/>
  </r>
  <r>
    <x v="3"/>
  </r>
  <r>
    <x v="3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34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6"/>
  </r>
  <r>
    <x v="17"/>
  </r>
  <r>
    <x v="18"/>
  </r>
  <r>
    <x v="19"/>
  </r>
  <r>
    <x v="20"/>
  </r>
  <r>
    <x v="3"/>
  </r>
  <r>
    <x v="4"/>
  </r>
  <r>
    <x v="5"/>
  </r>
  <r>
    <x v="6"/>
  </r>
  <r>
    <x v="7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1">
  <r>
    <n v="1"/>
    <s v="Maria do Carmo"/>
    <x v="0"/>
    <n v="19"/>
    <s v="jul/14"/>
  </r>
  <r>
    <n v="2"/>
    <s v="José Augusto"/>
    <x v="0"/>
    <n v="31"/>
    <s v="jul/14"/>
  </r>
  <r>
    <n v="3"/>
    <s v="Joana Silva"/>
    <x v="0"/>
    <n v="29"/>
    <s v="jul/14"/>
  </r>
  <r>
    <n v="4"/>
    <s v="João Pereira"/>
    <x v="0"/>
    <n v="41"/>
    <s v="jul/14"/>
  </r>
  <r>
    <n v="5"/>
    <s v="Maria Almeida"/>
    <x v="0"/>
    <n v="69"/>
    <s v="jul/14"/>
  </r>
  <r>
    <n v="6"/>
    <s v="Marcos Costa"/>
    <x v="0"/>
    <n v="14"/>
    <s v="jul/14"/>
  </r>
  <r>
    <n v="7"/>
    <s v="Alan Gomes"/>
    <x v="0"/>
    <n v="74"/>
    <s v="jul/14"/>
  </r>
  <r>
    <n v="8"/>
    <s v="Luiz Souza"/>
    <x v="0"/>
    <n v="27"/>
    <s v="jul/14"/>
  </r>
  <r>
    <n v="9"/>
    <s v="Tatiane Costa"/>
    <x v="0"/>
    <n v="44"/>
    <s v="jul/14"/>
  </r>
  <r>
    <n v="10"/>
    <s v="Maicon Silva"/>
    <x v="0"/>
    <n v="31"/>
    <s v="jul/14"/>
  </r>
  <r>
    <n v="11"/>
    <s v="Rodolfo Gonçalvez"/>
    <x v="0"/>
    <n v="31"/>
    <s v="jul/14"/>
  </r>
  <r>
    <n v="12"/>
    <s v="Marina Rodrigues"/>
    <x v="0"/>
    <n v="25"/>
    <s v="jul/14"/>
  </r>
  <r>
    <n v="13"/>
    <s v="Valdecir Castro"/>
    <x v="0"/>
    <n v="21"/>
    <s v="jul/14"/>
  </r>
  <r>
    <n v="14"/>
    <s v="Lucas Cabral"/>
    <x v="0"/>
    <n v="20"/>
    <s v="jul/14"/>
  </r>
  <r>
    <n v="15"/>
    <s v="Dione Silva"/>
    <x v="0"/>
    <n v="36"/>
    <s v="jul/14"/>
  </r>
  <r>
    <n v="16"/>
    <s v="Vicente Pereira"/>
    <x v="0"/>
    <n v="26"/>
    <s v="jul/14"/>
  </r>
  <r>
    <n v="17"/>
    <s v="Douglas Bragança"/>
    <x v="0"/>
    <n v="31"/>
    <s v="jul/14"/>
  </r>
  <r>
    <n v="18"/>
    <s v="Eduardo Costa"/>
    <x v="0"/>
    <n v="34"/>
    <s v="jul/14"/>
  </r>
  <r>
    <n v="19"/>
    <s v="Antonieta Belém"/>
    <x v="0"/>
    <n v="29"/>
    <s v="jul/14"/>
  </r>
  <r>
    <n v="20"/>
    <s v="Josefina Andrade"/>
    <x v="1"/>
    <n v="44"/>
    <s v="jul/14"/>
  </r>
  <r>
    <n v="1"/>
    <s v="Maria do Carmo"/>
    <x v="1"/>
    <n v="19"/>
    <s v="jul/14"/>
  </r>
  <r>
    <n v="2"/>
    <s v="José Augusto"/>
    <x v="1"/>
    <n v="31"/>
    <s v="jul/14"/>
  </r>
  <r>
    <n v="3"/>
    <s v="Joana Silva"/>
    <x v="1"/>
    <n v="29"/>
    <s v="jul/14"/>
  </r>
  <r>
    <n v="4"/>
    <s v="João Pereira"/>
    <x v="1"/>
    <n v="41"/>
    <s v="jul/14"/>
  </r>
  <r>
    <n v="5"/>
    <s v="Maria Almeida"/>
    <x v="1"/>
    <n v="69"/>
    <s v="jul/14"/>
  </r>
  <r>
    <n v="6"/>
    <s v="Marcos Costa"/>
    <x v="1"/>
    <n v="14"/>
    <s v="jul/14"/>
  </r>
  <r>
    <n v="7"/>
    <s v="Alan Gomes"/>
    <x v="1"/>
    <n v="74"/>
    <s v="jul/14"/>
  </r>
  <r>
    <n v="8"/>
    <s v="Luiz Souza"/>
    <x v="1"/>
    <n v="27"/>
    <s v="jul/14"/>
  </r>
  <r>
    <n v="12"/>
    <s v="Marina Rodrigues"/>
    <x v="2"/>
    <n v="25"/>
    <s v="jul/14"/>
  </r>
  <r>
    <n v="13"/>
    <s v="Valdecir Castro"/>
    <x v="2"/>
    <n v="21"/>
    <s v="jul/14"/>
  </r>
  <r>
    <n v="14"/>
    <s v="Lucas Cabral"/>
    <x v="2"/>
    <n v="20"/>
    <s v="jul/14"/>
  </r>
  <r>
    <n v="15"/>
    <s v="Dione Silva"/>
    <x v="2"/>
    <n v="36"/>
    <s v="jul/14"/>
  </r>
  <r>
    <n v="16"/>
    <s v="Vicente Pereira"/>
    <x v="2"/>
    <n v="26"/>
    <s v="jul/14"/>
  </r>
  <r>
    <n v="17"/>
    <s v="Douglas Bragança"/>
    <x v="2"/>
    <n v="31"/>
    <s v="jul/14"/>
  </r>
  <r>
    <n v="18"/>
    <s v="Eduardo Costa"/>
    <x v="2"/>
    <n v="34"/>
    <s v="jul/14"/>
  </r>
  <r>
    <n v="19"/>
    <s v="Antonieta Belém"/>
    <x v="2"/>
    <n v="29"/>
    <s v="jul/14"/>
  </r>
  <r>
    <n v="20"/>
    <s v="Josefina Andrade"/>
    <x v="2"/>
    <n v="44"/>
    <s v="jul/14"/>
  </r>
  <r>
    <n v="1"/>
    <s v="Maria do Carmo"/>
    <x v="2"/>
    <n v="19"/>
    <s v="jul/14"/>
  </r>
  <r>
    <n v="2"/>
    <s v="José Augusto"/>
    <x v="2"/>
    <n v="31"/>
    <s v="jul/14"/>
  </r>
  <r>
    <n v="6"/>
    <s v="Marcos Costa"/>
    <x v="3"/>
    <n v="14"/>
    <s v="jul/14"/>
  </r>
  <r>
    <n v="7"/>
    <s v="Alan Gomes"/>
    <x v="3"/>
    <n v="74"/>
    <s v="jul/14"/>
  </r>
  <r>
    <n v="8"/>
    <s v="Luiz Souza"/>
    <x v="3"/>
    <n v="27"/>
    <s v="jul/14"/>
  </r>
  <r>
    <n v="9"/>
    <s v="Tatiane Costa"/>
    <x v="3"/>
    <n v="44"/>
    <s v="jul/14"/>
  </r>
  <r>
    <n v="10"/>
    <s v="Maicon Silva"/>
    <x v="3"/>
    <n v="31"/>
    <s v="jul/14"/>
  </r>
  <r>
    <n v="11"/>
    <s v="Rodolfo Gonçalvez"/>
    <x v="3"/>
    <n v="31"/>
    <s v="jul/14"/>
  </r>
  <r>
    <n v="12"/>
    <s v="Marina Rodrigues"/>
    <x v="3"/>
    <n v="25"/>
    <s v="jul/14"/>
  </r>
  <r>
    <n v="13"/>
    <s v="Valdecir Castro"/>
    <x v="3"/>
    <n v="21"/>
    <s v="jul/14"/>
  </r>
  <r>
    <n v="14"/>
    <s v="Lucas Cabral"/>
    <x v="3"/>
    <n v="20"/>
    <s v="jul/14"/>
  </r>
  <r>
    <n v="15"/>
    <s v="Dione Silva"/>
    <x v="3"/>
    <n v="36"/>
    <s v="jul/14"/>
  </r>
  <r>
    <n v="16"/>
    <s v="Vicente Pereira"/>
    <x v="3"/>
    <n v="26"/>
    <s v="jul/14"/>
  </r>
  <r>
    <n v="17"/>
    <s v="Douglas Bragança"/>
    <x v="3"/>
    <n v="31"/>
    <s v="jul/14"/>
  </r>
  <r>
    <n v="18"/>
    <s v="Eduardo Costa"/>
    <x v="3"/>
    <n v="34"/>
    <s v="jul/14"/>
  </r>
  <r>
    <n v="19"/>
    <s v="Antonieta Belém"/>
    <x v="3"/>
    <n v="29"/>
    <s v="jul/14"/>
  </r>
  <r>
    <n v="20"/>
    <s v="Josefina Andrade"/>
    <x v="3"/>
    <n v="44"/>
    <s v="jul/14"/>
  </r>
  <r>
    <n v="1"/>
    <s v="Maria do Carmo"/>
    <x v="3"/>
    <n v="19"/>
    <s v="jul/14"/>
  </r>
  <r>
    <n v="2"/>
    <s v="José Augusto"/>
    <x v="3"/>
    <n v="31"/>
    <s v="jul/14"/>
  </r>
  <r>
    <n v="3"/>
    <s v="Joana Silva"/>
    <x v="3"/>
    <n v="29"/>
    <s v="jul/14"/>
  </r>
  <r>
    <n v="4"/>
    <s v="João Pereira"/>
    <x v="3"/>
    <n v="41"/>
    <s v="jul/14"/>
  </r>
  <r>
    <n v="5"/>
    <s v="Maria Almeida"/>
    <x v="3"/>
    <n v="69"/>
    <s v="jul/14"/>
  </r>
  <r>
    <n v="9"/>
    <s v="Tatiane Costa"/>
    <x v="4"/>
    <n v="44"/>
    <s v="ago/14"/>
  </r>
  <r>
    <n v="10"/>
    <s v="Maicon Silva"/>
    <x v="4"/>
    <n v="31"/>
    <s v="ago/14"/>
  </r>
  <r>
    <n v="11"/>
    <s v="Rodolfo Gonçalvez"/>
    <x v="4"/>
    <n v="31"/>
    <s v="ago/14"/>
  </r>
  <r>
    <n v="12"/>
    <s v="Marina Rodrigues"/>
    <x v="4"/>
    <n v="25"/>
    <s v="ago/14"/>
  </r>
  <r>
    <n v="13"/>
    <s v="Valdecir Castro"/>
    <x v="4"/>
    <n v="21"/>
    <s v="ago/14"/>
  </r>
  <r>
    <n v="14"/>
    <s v="Lucas Cabral"/>
    <x v="4"/>
    <n v="20"/>
    <s v="ago/14"/>
  </r>
  <r>
    <n v="15"/>
    <s v="Dione Silva"/>
    <x v="4"/>
    <n v="36"/>
    <s v="ago/14"/>
  </r>
  <r>
    <n v="16"/>
    <s v="Vicente Pereira"/>
    <x v="4"/>
    <n v="27"/>
    <s v="ago/14"/>
  </r>
  <r>
    <n v="17"/>
    <s v="Douglas Bragança"/>
    <x v="4"/>
    <n v="31"/>
    <s v="ago/14"/>
  </r>
  <r>
    <n v="18"/>
    <s v="Eduardo Costa"/>
    <x v="4"/>
    <n v="34"/>
    <s v="ago/14"/>
  </r>
  <r>
    <n v="19"/>
    <s v="Antonieta Belém"/>
    <x v="4"/>
    <n v="29"/>
    <s v="ago/14"/>
  </r>
  <r>
    <n v="20"/>
    <s v="Josefina Andrade"/>
    <x v="4"/>
    <n v="44"/>
    <s v="ago/14"/>
  </r>
  <r>
    <n v="1"/>
    <s v="Maria do Carmo"/>
    <x v="4"/>
    <n v="19"/>
    <s v="ago/14"/>
  </r>
  <r>
    <n v="2"/>
    <s v="José Augusto"/>
    <x v="4"/>
    <n v="31"/>
    <s v="ago/14"/>
  </r>
  <r>
    <n v="3"/>
    <s v="Joana Silva"/>
    <x v="4"/>
    <n v="29"/>
    <s v="ago/14"/>
  </r>
  <r>
    <n v="4"/>
    <s v="João Pereira"/>
    <x v="4"/>
    <n v="41"/>
    <s v="ago/14"/>
  </r>
  <r>
    <n v="5"/>
    <s v="Maria Almeida"/>
    <x v="4"/>
    <n v="69"/>
    <s v="ago/14"/>
  </r>
  <r>
    <n v="6"/>
    <s v="Marcos Costa"/>
    <x v="4"/>
    <n v="14"/>
    <s v="ago/14"/>
  </r>
  <r>
    <n v="7"/>
    <s v="Alan Gomes"/>
    <x v="4"/>
    <n v="74"/>
    <s v="ago/14"/>
  </r>
  <r>
    <n v="8"/>
    <s v="Luiz Souza"/>
    <x v="4"/>
    <n v="27"/>
    <s v="ago/14"/>
  </r>
  <r>
    <n v="12"/>
    <s v="Marina Rodrigues"/>
    <x v="4"/>
    <n v="25"/>
    <s v="ago/14"/>
  </r>
  <r>
    <n v="13"/>
    <s v="Valdecir Castro"/>
    <x v="4"/>
    <n v="21"/>
    <s v="ago/14"/>
  </r>
  <r>
    <n v="14"/>
    <s v="Lucas Cabral"/>
    <x v="4"/>
    <n v="20"/>
    <s v="ago/14"/>
  </r>
  <r>
    <n v="15"/>
    <s v="Dione Silva"/>
    <x v="4"/>
    <n v="36"/>
    <s v="ago/14"/>
  </r>
  <r>
    <n v="16"/>
    <s v="Vicente Pereira"/>
    <x v="4"/>
    <n v="27"/>
    <s v="ago/14"/>
  </r>
  <r>
    <n v="16"/>
    <s v="Vicente Pereira"/>
    <x v="5"/>
    <n v="27"/>
    <s v="ago/14"/>
  </r>
  <r>
    <n v="16"/>
    <s v="Vicente Pereira"/>
    <x v="6"/>
    <n v="27"/>
    <s v="ago/14"/>
  </r>
  <r>
    <n v="16"/>
    <s v="Vicente Pereira"/>
    <x v="7"/>
    <n v="27"/>
    <s v="ago/14"/>
  </r>
  <r>
    <n v="16"/>
    <s v="Vicente Pereira"/>
    <x v="8"/>
    <n v="27"/>
    <s v="ago/14"/>
  </r>
  <r>
    <n v="16"/>
    <s v="Vicente Pereira"/>
    <x v="9"/>
    <n v="27"/>
    <s v="ago/14"/>
  </r>
  <r>
    <n v="16"/>
    <s v="Vicente Pereira"/>
    <x v="10"/>
    <n v="27"/>
    <s v="ago/14"/>
  </r>
  <r>
    <n v="16"/>
    <s v="Vicente Pereira"/>
    <x v="11"/>
    <n v="27"/>
    <s v="ago/14"/>
  </r>
  <r>
    <n v="16"/>
    <s v="Vicente Pereira"/>
    <x v="12"/>
    <n v="27"/>
    <s v="ago/14"/>
  </r>
  <r>
    <n v="16"/>
    <s v="Vicente Pereira"/>
    <x v="13"/>
    <n v="27"/>
    <s v="ago/14"/>
  </r>
  <r>
    <n v="16"/>
    <s v="Vicente Pereira"/>
    <x v="14"/>
    <n v="27"/>
    <s v="ago/14"/>
  </r>
  <r>
    <n v="16"/>
    <s v="Vicente Pereira"/>
    <x v="15"/>
    <n v="27"/>
    <s v="ago/14"/>
  </r>
  <r>
    <n v="16"/>
    <s v="Vicente Pereira"/>
    <x v="16"/>
    <n v="27"/>
    <s v="ago/14"/>
  </r>
  <r>
    <n v="15"/>
    <s v="Dione Silva"/>
    <x v="17"/>
    <n v="36"/>
    <s v="ago/14"/>
  </r>
  <r>
    <n v="15"/>
    <s v="Dione Silva"/>
    <x v="18"/>
    <n v="36"/>
    <s v="ago/14"/>
  </r>
  <r>
    <n v="15"/>
    <s v="Dione Silva"/>
    <x v="19"/>
    <n v="36"/>
    <s v="ago/14"/>
  </r>
  <r>
    <n v="15"/>
    <s v="Dione Silva"/>
    <x v="20"/>
    <n v="36"/>
    <s v="ago/14"/>
  </r>
  <r>
    <n v="15"/>
    <s v="Dione Silva"/>
    <x v="21"/>
    <n v="36"/>
    <s v="ago/14"/>
  </r>
  <r>
    <n v="15"/>
    <s v="Dione Silva"/>
    <x v="22"/>
    <n v="36"/>
    <s v="ago/14"/>
  </r>
  <r>
    <n v="15"/>
    <s v="Dione Silva"/>
    <x v="23"/>
    <n v="36"/>
    <s v="ago/14"/>
  </r>
  <r>
    <n v="15"/>
    <s v="Dione Silva"/>
    <x v="24"/>
    <n v="36"/>
    <s v="ago/14"/>
  </r>
  <r>
    <n v="15"/>
    <s v="Dione Silva"/>
    <x v="25"/>
    <n v="36"/>
    <s v="ago/14"/>
  </r>
  <r>
    <n v="12"/>
    <s v="Marina Rodrigues"/>
    <x v="26"/>
    <n v="25"/>
    <s v="ago/14"/>
  </r>
  <r>
    <n v="12"/>
    <s v="Marina Rodrigues"/>
    <x v="27"/>
    <n v="25"/>
    <s v="ago/14"/>
  </r>
  <r>
    <n v="12"/>
    <s v="Marina Rodrigues"/>
    <x v="28"/>
    <n v="25"/>
    <s v="ago/14"/>
  </r>
  <r>
    <n v="12"/>
    <s v="Marina Rodrigues"/>
    <x v="29"/>
    <n v="25"/>
    <s v="ago/14"/>
  </r>
  <r>
    <n v="1"/>
    <s v="Maria do Carmo"/>
    <x v="30"/>
    <n v="19"/>
    <s v="jan/15"/>
  </r>
  <r>
    <n v="2"/>
    <s v="José Augusto"/>
    <x v="30"/>
    <n v="32"/>
    <s v="jan/15"/>
  </r>
  <r>
    <n v="3"/>
    <s v="Joana Silva"/>
    <x v="30"/>
    <n v="30"/>
    <s v="jan/15"/>
  </r>
  <r>
    <n v="4"/>
    <s v="João Pereira"/>
    <x v="30"/>
    <n v="42"/>
    <s v="jan/15"/>
  </r>
  <r>
    <n v="5"/>
    <s v="Maria Almeida"/>
    <x v="30"/>
    <n v="69"/>
    <s v="jan/15"/>
  </r>
  <r>
    <n v="6"/>
    <s v="Marcos Costa"/>
    <x v="30"/>
    <n v="15"/>
    <s v="jan/15"/>
  </r>
  <r>
    <n v="7"/>
    <s v="Alan Gomes"/>
    <x v="30"/>
    <n v="75"/>
    <s v="jan/15"/>
  </r>
  <r>
    <n v="8"/>
    <s v="Luiz Souza"/>
    <x v="30"/>
    <n v="27"/>
    <s v="jan/15"/>
  </r>
  <r>
    <n v="9"/>
    <s v="Tatiane Costa"/>
    <x v="30"/>
    <n v="44"/>
    <s v="jan/15"/>
  </r>
  <r>
    <n v="10"/>
    <s v="Maicon Silva"/>
    <x v="30"/>
    <n v="31"/>
    <s v="jan/15"/>
  </r>
  <r>
    <n v="11"/>
    <s v="Rodolfo Gonçalvez"/>
    <x v="30"/>
    <n v="32"/>
    <s v="jan/15"/>
  </r>
  <r>
    <n v="12"/>
    <s v="Marina Rodrigues"/>
    <x v="30"/>
    <n v="25"/>
    <s v="jan/15"/>
  </r>
  <r>
    <n v="13"/>
    <s v="Valdecir Castro"/>
    <x v="30"/>
    <n v="22"/>
    <s v="jan/15"/>
  </r>
  <r>
    <n v="14"/>
    <s v="Lucas Cabral"/>
    <x v="30"/>
    <n v="20"/>
    <s v="jan/15"/>
  </r>
  <r>
    <n v="15"/>
    <s v="Dione Silva"/>
    <x v="30"/>
    <n v="37"/>
    <s v="jan/15"/>
  </r>
  <r>
    <n v="3"/>
    <s v="Joana Silva"/>
    <x v="31"/>
    <n v="30"/>
    <s v="jun/15"/>
  </r>
  <r>
    <n v="4"/>
    <s v="João Pereira"/>
    <x v="31"/>
    <n v="42"/>
    <s v="jun/15"/>
  </r>
  <r>
    <n v="5"/>
    <s v="Maria Almeida"/>
    <x v="31"/>
    <n v="70"/>
    <s v="jun/15"/>
  </r>
  <r>
    <n v="9"/>
    <s v="Tatiane Costa"/>
    <x v="31"/>
    <n v="45"/>
    <s v="jun/15"/>
  </r>
  <r>
    <n v="10"/>
    <s v="Maicon Silva"/>
    <x v="31"/>
    <n v="32"/>
    <s v="jun/15"/>
  </r>
  <r>
    <n v="11"/>
    <s v="Rodolfo Gonçalvez"/>
    <x v="31"/>
    <n v="32"/>
    <s v="jun/15"/>
  </r>
  <r>
    <n v="12"/>
    <s v="Marina Rodrigues"/>
    <x v="31"/>
    <n v="26"/>
    <s v="jun/15"/>
  </r>
  <r>
    <n v="13"/>
    <s v="Valdecir Castro"/>
    <x v="31"/>
    <n v="22"/>
    <s v="jun/15"/>
  </r>
  <r>
    <n v="14"/>
    <s v="Lucas Cabral"/>
    <x v="31"/>
    <n v="21"/>
    <s v="jun/15"/>
  </r>
  <r>
    <n v="15"/>
    <s v="Dione Silva"/>
    <x v="31"/>
    <n v="37"/>
    <s v="jun/15"/>
  </r>
  <r>
    <n v="16"/>
    <s v="Vicente Pereira"/>
    <x v="31"/>
    <n v="27"/>
    <s v="jun/15"/>
  </r>
  <r>
    <n v="17"/>
    <s v="Douglas Bragança"/>
    <x v="31"/>
    <n v="32"/>
    <s v="jun/15"/>
  </r>
  <r>
    <n v="18"/>
    <s v="Eduardo Costa"/>
    <x v="31"/>
    <n v="35"/>
    <s v="jun/15"/>
  </r>
  <r>
    <n v="19"/>
    <s v="Antonieta Belém"/>
    <x v="31"/>
    <n v="29"/>
    <s v="jun/15"/>
  </r>
  <r>
    <n v="20"/>
    <s v="Josefina Andrade"/>
    <x v="31"/>
    <n v="45"/>
    <s v="jun/15"/>
  </r>
  <r>
    <n v="1"/>
    <s v="Maria do Carmo"/>
    <x v="31"/>
    <n v="20"/>
    <s v="jun/15"/>
  </r>
  <r>
    <n v="2"/>
    <s v="José Augusto"/>
    <x v="31"/>
    <n v="32"/>
    <s v="jun/15"/>
  </r>
  <r>
    <n v="15"/>
    <s v="Dione Silva"/>
    <x v="32"/>
    <n v="38"/>
    <s v="jan/16"/>
  </r>
  <r>
    <n v="16"/>
    <s v="Vicente Pereira"/>
    <x v="32"/>
    <n v="28"/>
    <s v="jan/16"/>
  </r>
  <r>
    <n v="17"/>
    <s v="Douglas Bragança"/>
    <x v="32"/>
    <n v="32"/>
    <s v="jan/16"/>
  </r>
  <r>
    <n v="18"/>
    <s v="Eduardo Costa"/>
    <x v="32"/>
    <n v="36"/>
    <s v="jan/16"/>
  </r>
  <r>
    <n v="19"/>
    <s v="Antonieta Belém"/>
    <x v="32"/>
    <n v="30"/>
    <s v="jan/16"/>
  </r>
  <r>
    <n v="20"/>
    <s v="Josefina Andrade"/>
    <x v="32"/>
    <n v="45"/>
    <s v="jan/16"/>
  </r>
  <r>
    <n v="1"/>
    <s v="Maria do Carmo"/>
    <x v="32"/>
    <n v="20"/>
    <s v="jan/16"/>
  </r>
  <r>
    <n v="2"/>
    <s v="José Augusto"/>
    <x v="32"/>
    <n v="33"/>
    <s v="jan/16"/>
  </r>
  <r>
    <n v="3"/>
    <s v="Joana Silva"/>
    <x v="32"/>
    <n v="31"/>
    <s v="jan/16"/>
  </r>
  <r>
    <n v="4"/>
    <s v="João Pereira"/>
    <x v="32"/>
    <n v="43"/>
    <s v="jan/16"/>
  </r>
  <r>
    <n v="5"/>
    <s v="Maria Almeida"/>
    <x v="32"/>
    <n v="70"/>
    <s v="jan/16"/>
  </r>
  <r>
    <n v="9"/>
    <s v="Tatiane Costa"/>
    <x v="32"/>
    <n v="45"/>
    <s v="jan/16"/>
  </r>
  <r>
    <n v="10"/>
    <s v="Maicon Silva"/>
    <x v="32"/>
    <n v="32"/>
    <s v="jan/16"/>
  </r>
  <r>
    <n v="15"/>
    <s v="Dione Silva"/>
    <x v="33"/>
    <n v="39"/>
    <s v="jan/17"/>
  </r>
  <r>
    <n v="16"/>
    <s v="Vicente Pereira"/>
    <x v="33"/>
    <n v="29"/>
    <s v="jan/17"/>
  </r>
  <r>
    <n v="17"/>
    <s v="Douglas Bragança"/>
    <x v="33"/>
    <n v="33"/>
    <s v="jan/17"/>
  </r>
  <r>
    <n v="18"/>
    <s v="Eduardo Costa"/>
    <x v="33"/>
    <n v="37"/>
    <s v="jan/17"/>
  </r>
  <r>
    <n v="19"/>
    <s v="Antonieta Belém"/>
    <x v="33"/>
    <n v="31"/>
    <s v="jan/17"/>
  </r>
  <r>
    <n v="20"/>
    <s v="Josefina Andrade"/>
    <x v="33"/>
    <n v="46"/>
    <s v="jan/17"/>
  </r>
  <r>
    <n v="1"/>
    <s v="Maria do Carmo"/>
    <x v="33"/>
    <n v="21"/>
    <s v="jan/17"/>
  </r>
  <r>
    <n v="2"/>
    <s v="José Augusto"/>
    <x v="33"/>
    <n v="34"/>
    <s v="jan/17"/>
  </r>
  <r>
    <n v="3"/>
    <s v="Joana Silva"/>
    <x v="33"/>
    <n v="32"/>
    <s v="jan/17"/>
  </r>
  <r>
    <n v="4"/>
    <s v="João Pereira"/>
    <x v="33"/>
    <n v="44"/>
    <s v="jan/17"/>
  </r>
  <r>
    <n v="5"/>
    <s v="Maria Almeida"/>
    <x v="33"/>
    <n v="71"/>
    <s v="jan/17"/>
  </r>
  <r>
    <n v="9"/>
    <s v="Tatiane Costa"/>
    <x v="33"/>
    <n v="46"/>
    <s v="jan/17"/>
  </r>
  <r>
    <n v="10"/>
    <s v="Maicon Silva"/>
    <x v="33"/>
    <n v="33"/>
    <s v="jan/17"/>
  </r>
  <r>
    <n v="1"/>
    <s v="Maria do Carmo"/>
    <x v="34"/>
    <n v="22"/>
    <s v="fev/17"/>
  </r>
  <r>
    <n v="2"/>
    <s v="José Augusto"/>
    <x v="34"/>
    <n v="34"/>
    <s v="fev/17"/>
  </r>
  <r>
    <n v="3"/>
    <s v="Joana Silva"/>
    <x v="34"/>
    <n v="32"/>
    <s v="fev/17"/>
  </r>
  <r>
    <n v="4"/>
    <s v="João Pereira"/>
    <x v="34"/>
    <n v="44"/>
    <s v="fev/17"/>
  </r>
  <r>
    <n v="5"/>
    <s v="Maria Almeida"/>
    <x v="34"/>
    <n v="71"/>
    <s v="fev/17"/>
  </r>
  <r>
    <n v="6"/>
    <s v="Marcos Costa"/>
    <x v="34"/>
    <n v="17"/>
    <s v="fev/17"/>
  </r>
  <r>
    <n v="7"/>
    <s v="Alan Gomes"/>
    <x v="34"/>
    <n v="77"/>
    <s v="fev/17"/>
  </r>
  <r>
    <n v="8"/>
    <s v="Luiz Souza"/>
    <x v="34"/>
    <n v="29"/>
    <s v="fev/17"/>
  </r>
  <r>
    <n v="9"/>
    <s v="Tatiane Costa"/>
    <x v="34"/>
    <n v="46"/>
    <s v="fev/17"/>
  </r>
  <r>
    <n v="10"/>
    <s v="Maicon Silva"/>
    <x v="34"/>
    <n v="33"/>
    <s v="fev/17"/>
  </r>
  <r>
    <n v="11"/>
    <s v="Rodolfo Gonçalvez"/>
    <x v="34"/>
    <n v="34"/>
    <s v="fev/17"/>
  </r>
  <r>
    <n v="12"/>
    <s v="Marina Rodrigues"/>
    <x v="34"/>
    <n v="27"/>
    <s v="fev/17"/>
  </r>
  <r>
    <n v="13"/>
    <s v="Valdecir Castro"/>
    <x v="34"/>
    <n v="24"/>
    <s v="fev/17"/>
  </r>
  <r>
    <n v="14"/>
    <s v="Lucas Cabral"/>
    <x v="34"/>
    <n v="22"/>
    <s v="fev/17"/>
  </r>
  <r>
    <n v="15"/>
    <s v="Dione Silva"/>
    <x v="34"/>
    <n v="39"/>
    <s v="fev/17"/>
  </r>
  <r>
    <n v="16"/>
    <s v="Vicente Pereira"/>
    <x v="34"/>
    <n v="29"/>
    <s v="fev/17"/>
  </r>
  <r>
    <n v="17"/>
    <s v="Douglas Bragança"/>
    <x v="34"/>
    <n v="33"/>
    <s v="fev/17"/>
  </r>
  <r>
    <n v="18"/>
    <s v="Eduardo Costa"/>
    <x v="34"/>
    <n v="37"/>
    <s v="fev/17"/>
  </r>
  <r>
    <n v="19"/>
    <s v="Antonieta Belém"/>
    <x v="34"/>
    <n v="31"/>
    <s v="fev/17"/>
  </r>
  <r>
    <n v="20"/>
    <s v="Josefina Andrade"/>
    <x v="34"/>
    <n v="47"/>
    <s v="fev/17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  <r>
    <s v=""/>
    <m/>
    <x v="35"/>
    <e v="#N/A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.din.consult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outline="1" outlineData="1" multipleFieldFilters="0" chartFormat="6" rowHeaderCaption="Mês">
  <location ref="X59:Y70" firstHeaderRow="1" firstDataRow="1" firstDataCol="1"/>
  <pivotFields count="2">
    <pivotField axis="axisRow" dataFiel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0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</pivotFields>
  <rowFields count="2">
    <field x="1"/>
    <field x="0"/>
  </rowFields>
  <rowItems count="11">
    <i>
      <x v="25"/>
    </i>
    <i r="1">
      <x v="7"/>
    </i>
    <i r="1">
      <x v="8"/>
    </i>
    <i>
      <x v="26"/>
    </i>
    <i r="1">
      <x v="1"/>
    </i>
    <i r="1">
      <x v="6"/>
    </i>
    <i>
      <x v="27"/>
    </i>
    <i r="1">
      <x v="1"/>
    </i>
    <i>
      <x v="28"/>
    </i>
    <i r="1">
      <x v="1"/>
    </i>
    <i r="1">
      <x v="2"/>
    </i>
  </rowItems>
  <colItems count="1">
    <i/>
  </colItems>
  <dataFields count="1">
    <dataField name="Freq." fld="0" subtotal="count" baseField="0" baseItem="37"/>
  </dataFields>
  <formats count="7"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Row" fieldPosition="1"/>
    </format>
    <format dxfId="66">
      <pivotArea dataOnly="0" labelOnly="1" outline="0" axis="axisValues" fieldPosition="0"/>
    </format>
    <format dxfId="65">
      <pivotArea dataOnly="0" labelOnly="1" grandRow="1" outline="0" fieldPosition="0"/>
    </format>
    <format dxfId="64">
      <pivotArea dataOnly="0" labelOnly="1" fieldPosition="0">
        <references count="1">
          <reference field="0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NewerThan" evalOrder="-1" id="6">
      <autoFilter ref="A1">
        <filterColumn colId="0">
          <customFilters>
            <customFilter operator="greaterThan" val="3287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ids_unicas_ab" cacheId="2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outline="1" outlineData="1" multipleFieldFilters="0" rowHeaderCaption="ID">
  <location ref="O32:O53" firstHeaderRow="1" firstDataRow="1" firstDataCol="1"/>
  <pivotFields count="1">
    <pivotField axis="axisRow" showAll="0">
      <items count="172">
        <item x="17"/>
        <item m="1" x="139"/>
        <item m="1" x="77"/>
        <item m="1" x="85"/>
        <item m="1" x="151"/>
        <item m="1" x="163"/>
        <item m="1" x="48"/>
        <item m="1" x="97"/>
        <item m="1" x="109"/>
        <item m="1" x="117"/>
        <item m="1" x="34"/>
        <item m="1" x="44"/>
        <item m="1" x="31"/>
        <item m="1" x="94"/>
        <item m="1" x="68"/>
        <item m="1" x="112"/>
        <item m="1" x="153"/>
        <item m="1" x="118"/>
        <item m="1" x="46"/>
        <item m="1" x="76"/>
        <item m="1" x="133"/>
        <item m="1" x="49"/>
        <item m="1" x="61"/>
        <item m="1" x="122"/>
        <item m="1" x="32"/>
        <item m="1" x="96"/>
        <item m="1" x="47"/>
        <item m="1" x="83"/>
        <item m="1" x="148"/>
        <item m="1" x="67"/>
        <item m="1" x="65"/>
        <item m="1" x="73"/>
        <item m="1" x="132"/>
        <item m="1" x="54"/>
        <item m="1" x="30"/>
        <item m="1" x="166"/>
        <item m="1" x="62"/>
        <item m="1" x="126"/>
        <item m="1" x="33"/>
        <item m="1" x="136"/>
        <item m="1" x="93"/>
        <item m="1" x="71"/>
        <item m="1" x="156"/>
        <item m="1" x="130"/>
        <item m="1" x="79"/>
        <item m="1" x="152"/>
        <item m="1" x="100"/>
        <item m="1" x="106"/>
        <item m="1" x="120"/>
        <item m="1" x="111"/>
        <item m="1" x="41"/>
        <item m="1" x="52"/>
        <item m="1" x="158"/>
        <item m="1" x="37"/>
        <item m="1" x="78"/>
        <item m="1" x="25"/>
        <item m="1" x="150"/>
        <item m="1" x="107"/>
        <item m="1" x="127"/>
        <item m="1" x="66"/>
        <item m="1" x="26"/>
        <item m="1" x="45"/>
        <item m="1" x="98"/>
        <item m="1" x="35"/>
        <item m="1" x="70"/>
        <item m="1" x="154"/>
        <item m="1" x="141"/>
        <item m="1" x="116"/>
        <item m="1" x="103"/>
        <item m="1" x="63"/>
        <item m="1" x="164"/>
        <item m="1" x="135"/>
        <item m="1" x="53"/>
        <item m="1" x="125"/>
        <item m="1" x="28"/>
        <item m="1" x="159"/>
        <item m="1" x="40"/>
        <item m="1" x="102"/>
        <item m="1" x="39"/>
        <item m="1" x="55"/>
        <item m="1" x="58"/>
        <item m="1" x="131"/>
        <item m="1" x="64"/>
        <item m="1" x="145"/>
        <item m="1" x="92"/>
        <item m="1" x="75"/>
        <item m="1" x="91"/>
        <item m="1" x="57"/>
        <item m="1" x="129"/>
        <item m="1" x="169"/>
        <item m="1" x="99"/>
        <item m="1" x="162"/>
        <item m="1" x="36"/>
        <item m="1" x="155"/>
        <item m="1" x="144"/>
        <item m="1" x="42"/>
        <item m="1" x="95"/>
        <item m="1" x="146"/>
        <item m="1" x="128"/>
        <item m="1" x="60"/>
        <item m="1" x="82"/>
        <item m="1" x="143"/>
        <item m="1" x="87"/>
        <item m="1" x="110"/>
        <item m="1" x="165"/>
        <item m="1" x="27"/>
        <item m="1" x="101"/>
        <item m="1" x="22"/>
        <item m="1" x="74"/>
        <item m="1" x="84"/>
        <item m="1" x="90"/>
        <item m="1" x="114"/>
        <item m="1" x="147"/>
        <item m="1" x="50"/>
        <item m="1" x="89"/>
        <item m="1" x="105"/>
        <item m="1" x="123"/>
        <item m="1" x="134"/>
        <item m="1" x="121"/>
        <item m="1" x="24"/>
        <item m="1" x="161"/>
        <item m="1" x="167"/>
        <item m="1" x="69"/>
        <item m="1" x="157"/>
        <item m="1" x="119"/>
        <item m="1" x="29"/>
        <item m="1" x="138"/>
        <item m="1" x="51"/>
        <item m="1" x="170"/>
        <item m="1" x="108"/>
        <item m="1" x="80"/>
        <item m="1" x="81"/>
        <item m="1" x="59"/>
        <item m="1" x="38"/>
        <item m="1" x="56"/>
        <item m="1" x="86"/>
        <item m="1" x="137"/>
        <item m="1" x="140"/>
        <item m="1" x="23"/>
        <item m="1" x="43"/>
        <item m="1" x="142"/>
        <item m="1" x="113"/>
        <item m="1" x="72"/>
        <item m="1" x="160"/>
        <item m="1" x="149"/>
        <item m="1" x="88"/>
        <item m="1" x="104"/>
        <item m="1" x="168"/>
        <item m="1" x="115"/>
        <item m="1" x="1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8"/>
        <item x="19"/>
        <item x="20"/>
        <item x="21"/>
        <item x="14"/>
        <item t="default"/>
      </items>
    </pivotField>
  </pivotFields>
  <rowFields count="1">
    <field x="0"/>
  </rowFields>
  <rowItems count="21">
    <i>
      <x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</rowItems>
  <colItems count="1">
    <i/>
  </colItems>
  <formats count="14">
    <format dxfId="18">
      <pivotArea field="0" type="button" dataOnly="0" labelOnly="1" outline="0" axis="axisRow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2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15">
      <pivotArea type="all" dataOnly="0" outline="0" fieldPosition="0"/>
    </format>
    <format dxfId="14">
      <pivotArea field="0" type="button" dataOnly="0" labelOnly="1" outline="0" axis="axisRow" fieldPosition="0"/>
    </format>
    <format dxfId="13">
      <pivotArea dataOnly="0" labelOnly="1" fieldPosition="0">
        <references count="1">
          <reference field="0" count="2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12">
      <pivotArea type="all" dataOnly="0" outline="0" fieldPosition="0"/>
    </format>
    <format dxfId="11">
      <pivotArea field="0" type="button" dataOnly="0" labelOnly="1" outline="0" axis="axisRow" fieldPosition="0"/>
    </format>
    <format dxfId="10">
      <pivotArea type="all" dataOnly="0" outline="0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20">
            <x v="0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</reference>
        </references>
      </pivotArea>
    </format>
    <format dxfId="7">
      <pivotArea type="all" dataOnly="0" outline="0" fieldPosition="0"/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0" count="20">
            <x v="0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aptionNotEqual" evalOrder="-1" id="2" stringValue1="#NÚM!">
      <autoFilter ref="A1">
        <filterColumn colId="0">
          <customFilters>
            <customFilter operator="notEqual" val="#NÚM!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dados.hist" cacheId="3" applyNumberFormats="0" applyBorderFormats="0" applyFontFormats="0" applyPatternFormats="0" applyAlignmentFormats="0" applyWidthHeightFormats="1" dataCaption="Valores" grandTotalCaption="T. Geral" updatedVersion="6" minRefreshableVersion="3" useAutoFormatting="1" colGrandTotals="0" itemPrintTitles="1" createdVersion="5" indent="0" outline="1" outlineData="1" multipleFieldFilters="0" chartFormat="9" rowHeaderCaption="Mês" colHeaderCaption="Anos">
  <location ref="B880:F887" firstHeaderRow="1" firstDataRow="2" firstDataCol="1"/>
  <pivotFields count="6">
    <pivotField showAll="0"/>
    <pivotField showAll="0"/>
    <pivotField axis="axisRow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Col" showAll="0" defaultSubtotal="0">
      <items count="289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h="1" x="288"/>
        <item x="2"/>
        <item x="1"/>
        <item h="1" x="0"/>
      </items>
    </pivotField>
  </pivotFields>
  <rowFields count="1">
    <field x="2"/>
  </rowFields>
  <rowItems count="6">
    <i>
      <x v="1"/>
    </i>
    <i>
      <x v="2"/>
    </i>
    <i>
      <x v="6"/>
    </i>
    <i>
      <x v="7"/>
    </i>
    <i>
      <x v="8"/>
    </i>
    <i t="grand">
      <x/>
    </i>
  </rowItems>
  <colFields count="1">
    <field x="5"/>
  </colFields>
  <colItems count="4">
    <i>
      <x/>
    </i>
    <i>
      <x v="1"/>
    </i>
    <i>
      <x v="286"/>
    </i>
    <i>
      <x v="287"/>
    </i>
  </colItems>
  <dataFields count="1">
    <dataField name="hist." fld="2" subtotal="count" baseField="0" baseItem="0"/>
  </dataFields>
  <formats count="25">
    <format dxfId="43">
      <pivotArea dataOnly="0" grandRow="1" axis="axisRow" fieldPosition="0"/>
    </format>
    <format dxfId="42">
      <pivotArea dataOnly="0" grandRow="1" fieldPosition="0"/>
    </format>
    <format dxfId="41">
      <pivotArea dataOnly="0" labelOnly="1" fieldPosition="0">
        <references count="1">
          <reference field="5" count="2">
            <x v="0"/>
            <x v="1"/>
          </reference>
        </references>
      </pivotArea>
    </format>
    <format dxfId="40">
      <pivotArea outline="0" collapsedLevelsAreSubtotals="1" fieldPosition="0"/>
    </format>
    <format dxfId="39">
      <pivotArea dataOnly="0" labelOnly="1" fieldPosition="0">
        <references count="1">
          <reference field="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8">
      <pivotArea dataOnly="0" labelOnly="1" grandRow="1" outline="0" fieldPosition="0"/>
    </format>
    <format dxfId="37">
      <pivotArea dataOnly="0" labelOnly="1" fieldPosition="0">
        <references count="1">
          <reference field="5" count="2">
            <x v="0"/>
            <x v="1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type="origin" dataOnly="0" labelOnly="1" outline="0" fieldPosition="0"/>
    </format>
    <format dxfId="33">
      <pivotArea field="5" type="button" dataOnly="0" labelOnly="1" outline="0" axis="axisCol" fieldPosition="0"/>
    </format>
    <format dxfId="32">
      <pivotArea type="topRight" dataOnly="0" labelOnly="1" outline="0" fieldPosition="0"/>
    </format>
    <format dxfId="31">
      <pivotArea field="2" type="button" dataOnly="0" labelOnly="1" outline="0" axis="axisRow" fieldPosition="0"/>
    </format>
    <format dxfId="30">
      <pivotArea dataOnly="0" labelOnly="1" fieldPosition="0">
        <references count="1">
          <reference field="2" count="2">
            <x v="1"/>
            <x v="2"/>
          </reference>
        </references>
      </pivotArea>
    </format>
    <format dxfId="29">
      <pivotArea dataOnly="0" labelOnly="1" grandRow="1" outline="0" fieldPosition="0"/>
    </format>
    <format dxfId="28">
      <pivotArea dataOnly="0" labelOnly="1" fieldPosition="0">
        <references count="1">
          <reference field="5" count="2">
            <x v="0"/>
            <x v="1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field="5" type="button" dataOnly="0" labelOnly="1" outline="0" axis="axisCol" fieldPosition="0"/>
    </format>
    <format dxfId="23">
      <pivotArea type="topRight" dataOnly="0" labelOnly="1" outline="0" fieldPosition="0"/>
    </format>
    <format dxfId="22">
      <pivotArea field="2" type="button" dataOnly="0" labelOnly="1" outline="0" axis="axisRow" fieldPosition="0"/>
    </format>
    <format dxfId="21">
      <pivotArea dataOnly="0" labelOnly="1" fieldPosition="0">
        <references count="1">
          <reference field="2" count="5">
            <x v="1"/>
            <x v="2"/>
            <x v="6"/>
            <x v="7"/>
            <x v="8"/>
          </reference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5" count="4">
            <x v="0"/>
            <x v="1"/>
            <x v="286"/>
            <x v="287"/>
          </reference>
        </references>
      </pivotArea>
    </format>
  </formats>
  <chartFormats count="7"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3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86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8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ids_unicas" cacheId="1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5" indent="0" outline="1" outlineData="1" multipleFieldFilters="0" rowHeaderCaption="ID">
  <location ref="D32:D53" firstHeaderRow="1" firstDataRow="1" firstDataCol="1"/>
  <pivotFields count="1">
    <pivotField axis="axisRow" showAll="0" defaultSubtotal="0">
      <items count="891">
        <item m="1" x="174"/>
        <item m="1" x="785"/>
        <item m="1" x="837"/>
        <item m="1" x="565"/>
        <item m="1" x="335"/>
        <item m="1" x="450"/>
        <item m="1" x="358"/>
        <item m="1" x="257"/>
        <item m="1" x="292"/>
        <item m="1" x="419"/>
        <item m="1" x="737"/>
        <item m="1" x="691"/>
        <item m="1" x="847"/>
        <item m="1" x="490"/>
        <item m="1" x="73"/>
        <item m="1" x="169"/>
        <item m="1" x="241"/>
        <item m="1" x="668"/>
        <item m="1" x="331"/>
        <item m="1" x="859"/>
        <item m="1" x="431"/>
        <item m="1" x="658"/>
        <item m="1" x="366"/>
        <item m="1" x="152"/>
        <item m="1" x="626"/>
        <item m="1" x="715"/>
        <item x="21"/>
        <item m="1" x="279"/>
        <item m="1" x="114"/>
        <item m="1" x="509"/>
        <item m="1" x="613"/>
        <item m="1" x="831"/>
        <item m="1" x="28"/>
        <item m="1" x="487"/>
        <item m="1" x="463"/>
        <item m="1" x="719"/>
        <item m="1" x="793"/>
        <item m="1" x="365"/>
        <item m="1" x="868"/>
        <item m="1" x="303"/>
        <item m="1" x="858"/>
        <item m="1" x="401"/>
        <item m="1" x="103"/>
        <item m="1" x="807"/>
        <item m="1" x="733"/>
        <item m="1" x="768"/>
        <item m="1" x="797"/>
        <item m="1" x="387"/>
        <item m="1" x="829"/>
        <item m="1" x="843"/>
        <item m="1" x="412"/>
        <item m="1" x="168"/>
        <item m="1" x="149"/>
        <item m="1" x="182"/>
        <item m="1" x="429"/>
        <item m="1" x="849"/>
        <item m="1" x="216"/>
        <item m="1" x="874"/>
        <item m="1" x="753"/>
        <item m="1" x="443"/>
        <item m="1" x="505"/>
        <item m="1" x="460"/>
        <item m="1" x="591"/>
        <item m="1" x="473"/>
        <item m="1" x="614"/>
        <item m="1" x="486"/>
        <item m="1" x="46"/>
        <item m="1" x="56"/>
        <item m="1" x="499"/>
        <item m="1" x="70"/>
        <item m="1" x="515"/>
        <item m="1" x="83"/>
        <item x="8"/>
        <item m="1" x="97"/>
        <item m="1" x="139"/>
        <item m="1" x="112"/>
        <item m="1" x="548"/>
        <item m="1" x="769"/>
        <item m="1" x="590"/>
        <item m="1" x="823"/>
        <item m="1" x="124"/>
        <item m="1" x="560"/>
        <item m="1" x="138"/>
        <item m="1" x="151"/>
        <item m="1" x="576"/>
        <item m="1" x="589"/>
        <item m="1" x="167"/>
        <item m="1" x="601"/>
        <item m="1" x="612"/>
        <item m="1" x="181"/>
        <item m="1" x="197"/>
        <item m="1" x="344"/>
        <item m="1" x="669"/>
        <item m="1" x="644"/>
        <item m="1" x="211"/>
        <item m="1" x="667"/>
        <item m="1" x="239"/>
        <item m="1" x="253"/>
        <item m="1" x="678"/>
        <item m="1" x="688"/>
        <item m="1" x="266"/>
        <item m="1" x="694"/>
        <item m="1" x="116"/>
        <item m="1" x="289"/>
        <item m="1" x="69"/>
        <item m="1" x="704"/>
        <item m="1" x="828"/>
        <item m="1" x="819"/>
        <item m="1" x="568"/>
        <item m="1" x="771"/>
        <item m="1" x="514"/>
        <item m="1" x="732"/>
        <item m="1" x="689"/>
        <item m="1" x="813"/>
        <item m="1" x="82"/>
        <item m="1" x="478"/>
        <item m="1" x="527"/>
        <item m="1" x="414"/>
        <item m="1" x="294"/>
        <item m="1" x="538"/>
        <item m="1" x="625"/>
        <item m="1" x="196"/>
        <item m="1" x="123"/>
        <item m="1" x="137"/>
        <item m="1" x="498"/>
        <item m="1" x="554"/>
        <item m="1" x="415"/>
        <item m="1" x="886"/>
        <item m="1" x="575"/>
        <item m="1" x="798"/>
        <item m="1" x="150"/>
        <item m="1" x="588"/>
        <item m="1" x="243"/>
        <item m="1" x="379"/>
        <item m="1" x="600"/>
        <item m="1" x="832"/>
        <item m="1" x="229"/>
        <item m="1" x="180"/>
        <item m="1" x="835"/>
        <item m="1" x="730"/>
        <item m="1" x="394"/>
        <item m="1" x="314"/>
        <item m="1" x="748"/>
        <item m="1" x="762"/>
        <item m="1" x="342"/>
        <item m="1" x="778"/>
        <item m="1" x="354"/>
        <item m="1" x="792"/>
        <item m="1" x="161"/>
        <item m="1" x="203"/>
        <item m="1" x="806"/>
        <item m="1" x="364"/>
        <item m="1" x="271"/>
        <item m="1" x="375"/>
        <item m="1" x="816"/>
        <item m="1" x="386"/>
        <item m="1" x="400"/>
        <item m="1" x="842"/>
        <item m="1" x="411"/>
        <item m="1" x="857"/>
        <item m="1" x="428"/>
        <item m="1" x="873"/>
        <item m="1" x="885"/>
        <item m="1" x="459"/>
        <item m="1" x="27"/>
        <item m="1" x="55"/>
        <item m="1" x="485"/>
        <item m="1" x="45"/>
        <item m="1" x="472"/>
        <item m="1" x="238"/>
        <item m="1" x="252"/>
        <item x="2"/>
        <item m="1" x="763"/>
        <item m="1" x="628"/>
        <item m="1" x="201"/>
        <item m="1" x="355"/>
        <item m="1" x="754"/>
        <item m="1" x="507"/>
        <item m="1" x="577"/>
        <item m="1" x="795"/>
        <item m="1" x="602"/>
        <item m="1" x="202"/>
        <item m="1" x="212"/>
        <item m="1" x="627"/>
        <item m="1" x="564"/>
        <item m="1" x="240"/>
        <item m="1" x="127"/>
        <item m="1" x="198"/>
        <item m="1" x="657"/>
        <item m="1" x="701"/>
        <item m="1" x="716"/>
        <item m="1" x="290"/>
        <item m="1" x="61"/>
        <item m="1" x="315"/>
        <item m="1" x="552"/>
        <item m="1" x="330"/>
        <item m="1" x="433"/>
        <item m="1" x="779"/>
        <item m="1" x="619"/>
        <item m="1" x="171"/>
        <item m="1" x="752"/>
        <item m="1" x="731"/>
        <item m="1" x="302"/>
        <item m="1" x="260"/>
        <item m="1" x="316"/>
        <item m="1" x="764"/>
        <item m="1" x="420"/>
        <item m="1" x="343"/>
        <item m="1" x="550"/>
        <item m="1" x="126"/>
        <item m="1" x="780"/>
        <item m="1" x="794"/>
        <item m="1" x="376"/>
        <item m="1" x="830"/>
        <item m="1" x="817"/>
        <item m="1" x="629"/>
        <item m="1" x="713"/>
        <item m="1" x="430"/>
        <item m="1" x="887"/>
        <item m="1" x="462"/>
        <item m="1" x="444"/>
        <item m="1" x="47"/>
        <item m="1" x="766"/>
        <item m="1" x="720"/>
        <item m="1" x="29"/>
        <item m="1" x="57"/>
        <item m="1" x="185"/>
        <item m="1" x="71"/>
        <item m="1" x="84"/>
        <item m="1" x="98"/>
        <item m="1" x="592"/>
        <item m="1" x="561"/>
        <item m="1" x="539"/>
        <item m="1" x="700"/>
        <item m="1" x="611"/>
        <item m="1" x="195"/>
        <item m="1" x="854"/>
        <item m="1" x="210"/>
        <item m="1" x="643"/>
        <item m="1" x="224"/>
        <item m="1" x="717"/>
        <item m="1" x="655"/>
        <item m="1" x="666"/>
        <item m="1" x="677"/>
        <item m="1" x="278"/>
        <item m="1" x="288"/>
        <item m="1" x="714"/>
        <item m="1" x="140"/>
        <item m="1" x="729"/>
        <item m="1" x="301"/>
        <item m="1" x="313"/>
        <item m="1" x="747"/>
        <item m="1" x="329"/>
        <item m="1" x="341"/>
        <item m="1" x="761"/>
        <item m="1" x="777"/>
        <item m="1" x="228"/>
        <item m="1" x="353"/>
        <item m="1" x="805"/>
        <item m="1" x="841"/>
        <item m="1" x="410"/>
        <item m="1" x="856"/>
        <item m="1" x="872"/>
        <item m="1" x="426"/>
        <item m="1" x="363"/>
        <item m="1" x="308"/>
        <item m="1" x="442"/>
        <item x="0"/>
        <item m="1" x="471"/>
        <item m="1" x="884"/>
        <item m="1" x="458"/>
        <item m="1" x="26"/>
        <item m="1" x="44"/>
        <item m="1" x="707"/>
        <item m="1" x="484"/>
        <item m="1" x="54"/>
        <item m="1" x="497"/>
        <item m="1" x="184"/>
        <item m="1" x="656"/>
        <item m="1" x="68"/>
        <item m="1" x="95"/>
        <item m="1" x="136"/>
        <item m="1" x="850"/>
        <item m="1" x="740"/>
        <item m="1" x="131"/>
        <item m="1" x="541"/>
        <item m="1" x="574"/>
        <item m="1" x="587"/>
        <item m="1" x="166"/>
        <item m="1" x="599"/>
        <item m="1" x="179"/>
        <item m="1" x="194"/>
        <item m="1" x="610"/>
        <item m="1" x="624"/>
        <item m="1" x="209"/>
        <item m="1" x="642"/>
        <item m="1" x="223"/>
        <item m="1" x="654"/>
        <item m="1" x="225"/>
        <item m="1" x="237"/>
        <item m="1" x="665"/>
        <item m="1" x="728"/>
        <item m="1" x="251"/>
        <item m="1" x="687"/>
        <item m="1" x="277"/>
        <item m="1" x="699"/>
        <item m="1" x="705"/>
        <item m="1" x="312"/>
        <item m="1" x="746"/>
        <item m="1" x="328"/>
        <item m="1" x="760"/>
        <item m="1" x="340"/>
        <item m="1" x="501"/>
        <item m="1" x="765"/>
        <item m="1" x="332"/>
        <item m="1" x="265"/>
        <item m="1" x="776"/>
        <item m="1" x="317"/>
        <item m="1" x="520"/>
        <item m="1" x="790"/>
        <item m="1" x="362"/>
        <item m="1" x="804"/>
        <item m="1" x="815"/>
        <item m="1" x="374"/>
        <item m="1" x="827"/>
        <item m="1" x="385"/>
        <item m="1" x="399"/>
        <item m="1" x="85"/>
        <item m="1" x="840"/>
        <item m="1" x="409"/>
        <item m="1" x="749"/>
        <item m="1" x="721"/>
        <item m="1" x="580"/>
        <item m="1" x="633"/>
        <item m="1" x="320"/>
        <item m="1" x="267"/>
        <item m="1" x="616"/>
        <item m="1" x="690"/>
        <item m="1" x="567"/>
        <item m="1" x="645"/>
        <item x="17"/>
        <item m="1" x="281"/>
        <item m="1" x="631"/>
        <item m="1" x="393"/>
        <item m="1" x="883"/>
        <item m="1" x="739"/>
        <item m="1" x="129"/>
        <item m="1" x="457"/>
        <item m="1" x="573"/>
        <item m="1" x="25"/>
        <item m="1" x="39"/>
        <item m="1" x="470"/>
        <item m="1" x="245"/>
        <item m="1" x="148"/>
        <item m="1" x="483"/>
        <item m="1" x="878"/>
        <item m="1" x="53"/>
        <item m="1" x="496"/>
        <item m="1" x="67"/>
        <item m="1" x="119"/>
        <item m="1" x="513"/>
        <item m="1" x="81"/>
        <item m="1" x="236"/>
        <item m="1" x="502"/>
        <item m="1" x="122"/>
        <item m="1" x="250"/>
        <item m="1" x="273"/>
        <item m="1" x="96"/>
        <item m="1" x="264"/>
        <item m="1" x="99"/>
        <item m="1" x="676"/>
        <item m="1" x="276"/>
        <item m="1" x="686"/>
        <item m="1" x="653"/>
        <item m="1" x="526"/>
        <item m="1" x="745"/>
        <item m="1" x="255"/>
        <item m="1" x="94"/>
        <item m="1" x="537"/>
        <item m="1" x="135"/>
        <item m="1" x="111"/>
        <item m="1" x="547"/>
        <item m="1" x="559"/>
        <item m="1" x="446"/>
        <item m="1" x="86"/>
        <item m="1" x="586"/>
        <item m="1" x="165"/>
        <item m="1" x="862"/>
        <item m="1" x="682"/>
        <item m="1" x="347"/>
        <item m="1" x="178"/>
        <item m="1" x="618"/>
        <item m="1" x="208"/>
        <item m="1" x="609"/>
        <item m="1" x="193"/>
        <item m="1" x="623"/>
        <item m="1" x="641"/>
        <item m="1" x="222"/>
        <item m="1" x="299"/>
        <item m="1" x="477"/>
        <item m="1" x="735"/>
        <item m="1" x="425"/>
        <item m="1" x="855"/>
        <item m="1" x="871"/>
        <item m="1" x="441"/>
        <item m="1" x="361"/>
        <item m="1" x="698"/>
        <item m="1" x="286"/>
        <item m="1" x="306"/>
        <item m="1" x="427"/>
        <item m="1" x="789"/>
        <item m="1" x="370"/>
        <item m="1" x="327"/>
        <item m="1" x="339"/>
        <item m="1" x="604"/>
        <item m="1" x="759"/>
        <item m="1" x="775"/>
        <item m="1" x="352"/>
        <item m="1" x="803"/>
        <item m="1" x="860"/>
        <item m="1" x="814"/>
        <item m="1" x="373"/>
        <item m="1" x="231"/>
        <item m="1" x="384"/>
        <item m="1" x="826"/>
        <item m="1" x="398"/>
        <item m="1" x="839"/>
        <item m="1" x="408"/>
        <item m="1" x="788"/>
        <item m="1" x="424"/>
        <item m="1" x="440"/>
        <item m="1" x="882"/>
        <item m="1" x="456"/>
        <item m="1" x="469"/>
        <item m="1" x="43"/>
        <item m="1" x="482"/>
        <item m="1" x="287"/>
        <item m="1" x="712"/>
        <item m="1" x="300"/>
        <item m="1" x="270"/>
        <item m="1" x="844"/>
        <item m="1" x="615"/>
        <item m="1" x="213"/>
        <item m="1" x="200"/>
        <item m="1" x="199"/>
        <item m="1" x="100"/>
        <item m="1" x="680"/>
        <item m="1" x="703"/>
        <item m="1" x="845"/>
        <item m="1" x="318"/>
        <item m="1" x="635"/>
        <item m="1" x="356"/>
        <item m="1" x="549"/>
        <item m="1" x="529"/>
        <item m="1" x="377"/>
        <item m="1" x="796"/>
        <item m="1" x="475"/>
        <item m="1" x="445"/>
        <item m="1" x="488"/>
        <item m="1" x="579"/>
        <item m="1" x="516"/>
        <item m="1" x="72"/>
        <item m="1" x="500"/>
        <item m="1" x="58"/>
        <item m="1" x="402"/>
        <item m="1" x="474"/>
        <item m="1" x="403"/>
        <item m="1" x="489"/>
        <item m="1" x="217"/>
        <item m="1" x="113"/>
        <item m="1" x="563"/>
        <item m="1" x="125"/>
        <item m="1" x="144"/>
        <item m="1" x="153"/>
        <item m="1" x="578"/>
        <item m="1" x="345"/>
        <item m="1" x="52"/>
        <item m="1" x="369"/>
        <item m="1" x="110"/>
        <item m="1" x="66"/>
        <item m="1" x="512"/>
        <item m="1" x="80"/>
        <item m="1" x="536"/>
        <item m="1" x="525"/>
        <item m="1" x="93"/>
        <item m="1" x="546"/>
        <item m="1" x="121"/>
        <item m="1" x="558"/>
        <item m="1" x="157"/>
        <item m="1" x="141"/>
        <item m="1" x="134"/>
        <item m="1" x="572"/>
        <item m="1" x="147"/>
        <item m="1" x="585"/>
        <item m="1" x="30"/>
        <item m="1" x="164"/>
        <item m="1" x="608"/>
        <item m="1" x="864"/>
        <item m="1" x="192"/>
        <item m="1" x="622"/>
        <item m="1" x="207"/>
        <item m="1" x="235"/>
        <item m="1" x="640"/>
        <item m="1" x="159"/>
        <item m="1" x="791"/>
        <item m="1" x="221"/>
        <item m="1" x="818"/>
        <item m="1" x="652"/>
        <item m="1" x="183"/>
        <item m="1" x="31"/>
        <item m="1" x="562"/>
        <item m="1" x="727"/>
        <item m="1" x="664"/>
        <item m="1" x="249"/>
        <item m="1" x="675"/>
        <item m="1" x="685"/>
        <item m="1" x="263"/>
        <item m="1" x="275"/>
        <item m="1" x="711"/>
        <item m="1" x="298"/>
        <item m="1" x="726"/>
        <item m="1" x="311"/>
        <item m="1" x="744"/>
        <item m="1" x="326"/>
        <item m="1" x="774"/>
        <item m="1" x="758"/>
        <item m="1" x="338"/>
        <item m="1" x="812"/>
        <item m="1" x="351"/>
        <item m="1" x="360"/>
        <item m="1" x="802"/>
        <item m="1" x="542"/>
        <item m="1" x="372"/>
        <item m="1" x="506"/>
        <item m="1" x="702"/>
        <item m="1" x="383"/>
        <item m="1" x="825"/>
        <item m="1" x="838"/>
        <item m="1" x="397"/>
        <item m="1" x="407"/>
        <item m="1" x="870"/>
        <item m="1" x="423"/>
        <item m="1" x="853"/>
        <item m="1" x="646"/>
        <item m="1" x="881"/>
        <item m="1" x="439"/>
        <item m="1" x="455"/>
        <item m="1" x="743"/>
        <item m="1" x="24"/>
        <item m="1" x="671"/>
        <item m="1" x="322"/>
        <item m="1" x="481"/>
        <item m="1" x="51"/>
        <item m="1" x="468"/>
        <item m="1" x="42"/>
        <item m="1" x="495"/>
        <item m="1" x="511"/>
        <item m="1" x="79"/>
        <item m="1" x="738"/>
        <item m="1" x="535"/>
        <item m="1" x="523"/>
        <item m="1" x="92"/>
        <item m="1" x="109"/>
        <item m="1" x="545"/>
        <item m="1" x="293"/>
        <item m="1" x="133"/>
        <item m="1" x="120"/>
        <item m="1" x="557"/>
        <item m="1" x="571"/>
        <item m="1" x="584"/>
        <item m="1" x="693"/>
        <item m="1" x="607"/>
        <item m="1" x="163"/>
        <item m="1" x="598"/>
        <item m="1" x="146"/>
        <item m="1" x="191"/>
        <item m="1" x="621"/>
        <item m="1" x="206"/>
        <item m="1" x="220"/>
        <item m="1" x="639"/>
        <item m="1" x="37"/>
        <item m="1" x="659"/>
        <item m="1" x="234"/>
        <item m="1" x="651"/>
        <item m="1" x="875"/>
        <item m="1" x="454"/>
        <item m="1" x="155"/>
        <item m="1" x="663"/>
        <item m="1" x="248"/>
        <item m="1" x="674"/>
        <item m="1" x="38"/>
        <item m="1" x="108"/>
        <item m="1" x="262"/>
        <item m="1" x="684"/>
        <item m="1" x="863"/>
        <item m="1" x="187"/>
        <item m="1" x="388"/>
        <item m="1" x="274"/>
        <item m="1" x="697"/>
        <item m="1" x="820"/>
        <item m="1" x="413"/>
        <item m="1" x="389"/>
        <item m="1" x="710"/>
        <item m="1" x="725"/>
        <item m="1" x="297"/>
        <item m="1" x="310"/>
        <item m="1" x="254"/>
        <item m="1" x="35"/>
        <item m="1" x="337"/>
        <item m="1" x="757"/>
        <item m="1" x="325"/>
        <item m="1" x="773"/>
        <item m="1" x="91"/>
        <item m="1" x="350"/>
        <item m="1" x="787"/>
        <item m="1" x="632"/>
        <item m="1" x="801"/>
        <item m="1" x="396"/>
        <item m="1" x="406"/>
        <item m="1" x="836"/>
        <item m="1" x="422"/>
        <item m="1" x="852"/>
        <item m="1" x="869"/>
        <item m="1" x="555"/>
        <item m="1" x="880"/>
        <item m="1" x="517"/>
        <item m="1" x="23"/>
        <item m="1" x="467"/>
        <item m="1" x="41"/>
        <item m="1" x="480"/>
        <item m="1" x="534"/>
        <item m="1" x="50"/>
        <item m="1" x="78"/>
        <item m="1" x="522"/>
        <item m="1" x="510"/>
        <item m="1" x="65"/>
        <item m="1" x="145"/>
        <item m="1" x="583"/>
        <item m="1" x="162"/>
        <item m="1" x="822"/>
        <item m="1" x="177"/>
        <item m="1" x="606"/>
        <item m="1" x="190"/>
        <item m="1" x="418"/>
        <item m="1" x="154"/>
        <item m="1" x="637"/>
        <item m="1" x="866"/>
        <item m="1" x="219"/>
        <item m="1" x="476"/>
        <item m="1" x="261"/>
        <item m="1" x="662"/>
        <item m="1" x="889"/>
        <item m="1" x="33"/>
        <item m="1" x="673"/>
        <item m="1" x="36"/>
        <item m="1" x="465"/>
        <item m="1" x="247"/>
        <item m="1" x="59"/>
        <item m="1" x="491"/>
        <item m="1" x="696"/>
        <item m="1" x="62"/>
        <item m="1" x="296"/>
        <item m="1" x="800"/>
        <item m="1" x="285"/>
        <item m="1" x="504"/>
        <item m="1" x="709"/>
        <item m="1" x="75"/>
        <item m="1" x="104"/>
        <item m="1" x="519"/>
        <item m="1" x="724"/>
        <item m="1" x="88"/>
        <item m="1" x="309"/>
        <item m="1" x="531"/>
        <item m="1" x="742"/>
        <item m="1" x="648"/>
        <item m="1" x="324"/>
        <item m="1" x="258"/>
        <item m="1" x="540"/>
        <item m="1" x="756"/>
        <item m="1" x="336"/>
        <item m="1" x="63"/>
        <item m="1" x="553"/>
        <item m="1" x="772"/>
        <item m="1" x="130"/>
        <item m="1" x="349"/>
        <item m="1" x="786"/>
        <item m="1" x="581"/>
        <item m="1" x="782"/>
        <item m="1" x="359"/>
        <item m="1" x="156"/>
        <item m="1" x="371"/>
        <item m="1" x="594"/>
        <item m="1" x="453"/>
        <item m="1" x="811"/>
        <item m="1" x="172"/>
        <item m="1" x="382"/>
        <item m="1" x="603"/>
        <item m="1" x="824"/>
        <item m="1" x="186"/>
        <item m="1" x="617"/>
        <item m="1" x="395"/>
        <item m="1" x="405"/>
        <item m="1" x="630"/>
        <item m="1" x="851"/>
        <item m="1" x="867"/>
        <item m="1" x="215"/>
        <item m="1" x="421"/>
        <item m="1" x="647"/>
        <item m="1" x="230"/>
        <item m="1" x="283"/>
        <item m="1" x="438"/>
        <item m="1" x="660"/>
        <item m="1" x="670"/>
        <item m="1" x="22"/>
        <item m="1" x="879"/>
        <item m="1" x="244"/>
        <item m="1" x="452"/>
        <item m="1" x="256"/>
        <item m="1" x="551"/>
        <item m="1" x="466"/>
        <item m="1" x="436"/>
        <item m="1" x="681"/>
        <item m="1" x="40"/>
        <item m="1" x="494"/>
        <item m="1" x="269"/>
        <item m="1" x="479"/>
        <item m="1" x="692"/>
        <item m="1" x="49"/>
        <item m="1" x="282"/>
        <item m="1" x="493"/>
        <item m="1" x="706"/>
        <item m="1" x="810"/>
        <item m="1" x="291"/>
        <item m="1" x="508"/>
        <item m="1" x="64"/>
        <item m="1" x="718"/>
        <item m="1" x="77"/>
        <item m="1" x="305"/>
        <item m="1" x="105"/>
        <item m="1" x="521"/>
        <item m="1" x="736"/>
        <item m="1" x="90"/>
        <item m="1" x="533"/>
        <item m="1" x="751"/>
        <item m="1" x="107"/>
        <item m="1" x="321"/>
        <item m="1" x="544"/>
        <item m="1" x="334"/>
        <item m="1" x="770"/>
        <item m="1" x="118"/>
        <item m="1" x="346"/>
        <item m="1" x="556"/>
        <item m="1" x="784"/>
        <item m="1" x="132"/>
        <item m="1" x="570"/>
        <item m="1" x="799"/>
        <item m="1" x="143"/>
        <item m="1" x="593"/>
        <item m="1" x="368"/>
        <item m="1" x="809"/>
        <item m="1" x="582"/>
        <item m="1" x="160"/>
        <item m="1" x="381"/>
        <item m="1" x="597"/>
        <item m="1" x="821"/>
        <item m="1" x="175"/>
        <item m="1" x="435"/>
        <item m="1" x="417"/>
        <item m="1" x="233"/>
        <item m="1" x="280"/>
        <item m="1" x="392"/>
        <item m="1" x="834"/>
        <item m="1" x="595"/>
        <item m="1" x="848"/>
        <item m="1" x="205"/>
        <item m="1" x="620"/>
        <item m="1" x="434"/>
        <item m="1" x="865"/>
        <item m="1" x="218"/>
        <item m="1" x="636"/>
        <item m="1" x="461"/>
        <item m="1" x="650"/>
        <item m="1" x="877"/>
        <item m="1" x="449"/>
        <item m="1" x="672"/>
        <item x="7"/>
        <item m="1" x="448"/>
        <item m="1" x="888"/>
        <item m="1" x="661"/>
        <item m="1" x="246"/>
        <item m="1" x="464"/>
        <item m="1" x="32"/>
        <item m="1" x="259"/>
        <item m="1" x="683"/>
        <item m="1" x="48"/>
        <item m="1" x="272"/>
        <item m="1" x="404"/>
        <item m="1" x="695"/>
        <item m="1" x="170"/>
        <item m="1" x="60"/>
        <item m="1" x="503"/>
        <item m="1" x="708"/>
        <item m="1" x="74"/>
        <item m="1" x="295"/>
        <item m="1" x="518"/>
        <item m="1" x="723"/>
        <item m="1" x="87"/>
        <item m="1" x="307"/>
        <item m="1" x="530"/>
        <item m="1" x="741"/>
        <item m="1" x="102"/>
        <item m="1" x="115"/>
        <item m="1" x="323"/>
        <item m="1" x="128"/>
        <item m="1" x="214"/>
        <item m="1" x="348"/>
        <item m="1" x="566"/>
        <item m="1" x="226"/>
        <item m="1" x="679"/>
        <item m="1" x="284"/>
        <item m="1" x="304"/>
        <item m="1" x="227"/>
        <item m="1" x="722"/>
        <item m="1" x="781"/>
        <item m="1" x="76"/>
        <item m="1" x="734"/>
        <item m="1" x="524"/>
        <item m="1" x="89"/>
        <item m="1" x="319"/>
        <item m="1" x="437"/>
        <item m="1" x="451"/>
        <item m="1" x="532"/>
        <item m="1" x="750"/>
        <item m="1" x="106"/>
        <item m="1" x="176"/>
        <item m="1" x="333"/>
        <item m="1" x="492"/>
        <item m="1" x="543"/>
        <item m="1" x="34"/>
        <item m="1" x="767"/>
        <item m="1" x="268"/>
        <item m="1" x="391"/>
        <item m="1" x="380"/>
        <item m="1" x="117"/>
        <item m="1" x="528"/>
        <item m="1" x="189"/>
        <item m="1" x="101"/>
        <item m="1" x="638"/>
        <item m="1" x="783"/>
        <item m="1" x="242"/>
        <item m="1" x="357"/>
        <item m="1" x="569"/>
        <item m="1" x="142"/>
        <item m="1" x="367"/>
        <item m="1" x="808"/>
        <item m="1" x="158"/>
        <item m="1" x="890"/>
        <item m="1" x="378"/>
        <item m="1" x="596"/>
        <item m="1" x="173"/>
        <item m="1" x="390"/>
        <item m="1" x="605"/>
        <item m="1" x="833"/>
        <item m="1" x="188"/>
        <item m="1" x="846"/>
        <item m="1" x="204"/>
        <item m="1" x="416"/>
        <item m="1" x="755"/>
        <item m="1" x="634"/>
        <item m="1" x="861"/>
        <item m="1" x="432"/>
        <item m="1" x="649"/>
        <item m="1" x="876"/>
        <item m="1" x="232"/>
        <item m="1" x="447"/>
        <item x="1"/>
        <item x="3"/>
        <item x="4"/>
        <item x="5"/>
        <item x="6"/>
        <item x="9"/>
        <item x="10"/>
        <item x="11"/>
        <item x="12"/>
        <item x="13"/>
        <item x="15"/>
        <item x="16"/>
        <item x="18"/>
        <item x="19"/>
        <item x="20"/>
        <item x="14"/>
      </items>
    </pivotField>
  </pivotFields>
  <rowFields count="1">
    <field x="0"/>
  </rowFields>
  <rowItems count="21">
    <i>
      <x v="72"/>
    </i>
    <i>
      <x v="171"/>
    </i>
    <i>
      <x v="267"/>
    </i>
    <i>
      <x v="340"/>
    </i>
    <i>
      <x v="785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</rowItems>
  <colItems count="1">
    <i/>
  </colItems>
  <formats count="16">
    <format dxfId="59">
      <pivotArea field="0" type="button" dataOnly="0" labelOnly="1" outline="0" axis="axisRow" fieldPosition="0"/>
    </format>
    <format dxfId="58">
      <pivotArea dataOnly="0" labelOnly="1" fieldPosition="0">
        <references count="1">
          <reference field="0" count="0"/>
        </references>
      </pivotArea>
    </format>
    <format dxfId="57">
      <pivotArea field="0" type="button" dataOnly="0" labelOnly="1" outline="0" axis="axisRow" fieldPosition="0"/>
    </format>
    <format dxfId="56">
      <pivotArea field="0" type="button" dataOnly="0" labelOnly="1" outline="0" axis="axisRow" fieldPosition="0"/>
    </format>
    <format dxfId="55">
      <pivotArea type="all" dataOnly="0" outline="0" fieldPosition="0"/>
    </format>
    <format dxfId="54">
      <pivotArea dataOnly="0" labelOnly="1" fieldPosition="0">
        <references count="1">
          <reference field="0" count="32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29"/>
            <x v="30"/>
            <x v="31"/>
            <x v="32"/>
            <x v="33"/>
          </reference>
        </references>
      </pivotArea>
    </format>
    <format dxfId="53">
      <pivotArea dataOnly="0" labelOnly="1" fieldPosition="0">
        <references count="1">
          <reference field="0" count="2">
            <x v="34"/>
            <x v="35"/>
          </reference>
        </references>
      </pivotArea>
    </format>
    <format dxfId="52">
      <pivotArea dataOnly="0" labelOnly="1" grandRow="1" outline="0" fieldPosition="0"/>
    </format>
    <format dxfId="51">
      <pivotArea field="0" type="button" dataOnly="0" labelOnly="1" outline="0" axis="axisRow" fieldPosition="0"/>
    </format>
    <format dxfId="50">
      <pivotArea field="0" type="button" dataOnly="0" labelOnly="1" outline="0" axis="axisRow" fieldPosition="0"/>
    </format>
    <format dxfId="49">
      <pivotArea type="all" dataOnly="0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20">
            <x v="72"/>
            <x v="171"/>
            <x v="267"/>
            <x v="340"/>
            <x v="785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</reference>
        </references>
      </pivotArea>
    </format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fieldPosition="0">
        <references count="1">
          <reference field="0" count="20">
            <x v="72"/>
            <x v="171"/>
            <x v="267"/>
            <x v="340"/>
            <x v="785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aptionNotEqual" evalOrder="-1" id="3" stringValue1="#NÚM!">
      <autoFilter ref="A1">
        <filterColumn colId="0">
          <customFilters>
            <customFilter operator="notEqual" val="#NÚM!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ela.cadastro" displayName="Tabela.cadastro" ref="A1:M41" headerRowDxfId="195" dataDxfId="193" headerRowBorderDxfId="194" tableBorderDxfId="192" totalsRowBorderDxfId="191">
  <autoFilter ref="A1:M41"/>
  <sortState ref="A2:L291">
    <sortCondition ref="D1:D1622"/>
  </sortState>
  <tableColumns count="13">
    <tableColumn id="1" name="ID" totalsRowLabel="Total" dataDxfId="190" dataCellStyle="Normal">
      <calculatedColumnFormula>ROW(A1)</calculatedColumnFormula>
    </tableColumn>
    <tableColumn id="2" name="Nome" dataDxfId="189" totalsRowDxfId="188"/>
    <tableColumn id="3" name="Documento" dataDxfId="187" totalsRowDxfId="186"/>
    <tableColumn id="4" name="Data" dataDxfId="185" totalsRowDxfId="184"/>
    <tableColumn id="6" name="CP ou M" dataDxfId="183" totalsRowDxfId="182"/>
    <tableColumn id="5" name="Sexo" dataDxfId="181" totalsRowDxfId="180"/>
    <tableColumn id="13" name="Cidade de referência" dataDxfId="179" totalsRowDxfId="178"/>
    <tableColumn id="7" name="Data de Nascimento" dataDxfId="177" totalsRowDxfId="176"/>
    <tableColumn id="8" name="Drogas" dataDxfId="175" totalsRowDxfId="174"/>
    <tableColumn id="12" name="D.  Ment." dataDxfId="173" totalsRowDxfId="172"/>
    <tableColumn id="9" name="Comentários" dataDxfId="171" totalsRowDxfId="170"/>
    <tableColumn id="10" name="Última passagem" dataDxfId="169" dataCellStyle="Texto Explicativo">
      <calculatedColumnFormula>LOOKUP(2,1/(Tabela.passagens[id]=Tabela.cadastro[[#This Row],[ID]]),Tabela.passagens[Data])</calculatedColumnFormula>
    </tableColumn>
    <tableColumn id="14" name="id2" totalsRowFunction="sum" dataDxfId="168" totalsRowDxfId="167" dataCellStyle="Normal">
      <calculatedColumnFormula>Tabela.cadastro[[#This Row],[ID]]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ela.passagens" displayName="Tabela.passagens" ref="A1:G32" totalsRowShown="0" headerRowDxfId="165" dataDxfId="164">
  <autoFilter ref="A1:G32"/>
  <sortState ref="A2:G1180">
    <sortCondition ref="A1:A1109"/>
  </sortState>
  <tableColumns count="7">
    <tableColumn id="1" name="id" dataDxfId="163"/>
    <tableColumn id="2" name="Nome" dataDxfId="162" dataCellStyle="Normal">
      <calculatedColumnFormula>VLOOKUP(Tabela.passagens[[#This Row],[id]],Tabela.cadastro[],2)</calculatedColumnFormula>
    </tableColumn>
    <tableColumn id="3" name="Documento" dataDxfId="161" dataCellStyle="Normal">
      <calculatedColumnFormula>VLOOKUP(Tabela.passagens[[#This Row],[id]],Tabela.cadastro[],3)</calculatedColumnFormula>
    </tableColumn>
    <tableColumn id="4" name="Nº passagem" dataDxfId="160"/>
    <tableColumn id="5" name="Destino" dataDxfId="159"/>
    <tableColumn id="6" name="Data" dataDxfId="158"/>
    <tableColumn id="7" name="Observações" dataDxfId="157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8" name="Tabela.frequencia" displayName="Tabela.frequencia" ref="A1:E212" headerRowDxfId="156" dataDxfId="154" totalsRowDxfId="152" headerRowBorderDxfId="155" tableBorderDxfId="153">
  <autoFilter ref="A1:E212"/>
  <sortState ref="A8:I8061">
    <sortCondition ref="C1:C8055"/>
  </sortState>
  <tableColumns count="5">
    <tableColumn id="1" name="id" dataDxfId="151">
      <calculatedColumnFormula>IFERROR(VLOOKUP(Tabela.frequencia[[#This Row],[Usuário]],Tabela.cadastro[[Nome]:[id2]],12,0),"")</calculatedColumnFormula>
    </tableColumn>
    <tableColumn id="2" name="Usuário" totalsRowLabel="Total" dataDxfId="150"/>
    <tableColumn id="4" name="Data" dataDxfId="149" totalsRowDxfId="148"/>
    <tableColumn id="3" name="Idade" dataDxfId="147">
      <calculatedColumnFormula>ROUNDDOWN(((Tabela.frequencia[[#This Row],[Data]]-VLOOKUP(Tabela.frequencia[[#This Row],[Usuário]],Tabela.cadastro[[Nome]:[id2]],7,0))/365.25),0)</calculatedColumnFormula>
    </tableColumn>
    <tableColumn id="5" name="Mês" dataDxfId="146">
      <calculatedColumnFormula>IF(LOWER(TEXT(Tabela.frequencia[[#This Row],[Data]],"MMMM")) &amp; "/" &amp; YEAR(Tabela.frequencia[[#This Row],[Data]])="janeiro/1900","",LOWER(TEXT(Tabela.frequencia[[#This Row],[Data]],"MMM")) &amp; "/" &amp; TEXT(Tabela.frequencia[[#This Row],[Data]],"AA"))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1" name="Tabela.abordagens" displayName="Tabela.abordagens" ref="A2:G112" headerRowDxfId="88" dataDxfId="86" totalsRowDxfId="84" headerRowBorderDxfId="87" tableBorderDxfId="85">
  <autoFilter ref="A2:G112"/>
  <sortState ref="A2:I8055">
    <sortCondition ref="C1:C8055"/>
  </sortState>
  <tableColumns count="7">
    <tableColumn id="1" name="id" dataDxfId="83">
      <calculatedColumnFormula>IFERROR(VLOOKUP(Tabela.abordagens[[#This Row],[Usuário]],Tabela.cadastro[[Nome]:[id2]],12,0),"")</calculatedColumnFormula>
    </tableColumn>
    <tableColumn id="2" name="Usuário" totalsRowLabel="Total" dataDxfId="82"/>
    <tableColumn id="4" name="Data" dataDxfId="81" totalsRowDxfId="80"/>
    <tableColumn id="7" name="Trab. infantil" dataDxfId="79" totalsRowDxfId="78"/>
    <tableColumn id="6" name="Exp. Sexual" dataDxfId="77" totalsRowDxfId="76"/>
    <tableColumn id="3" name="Idade" dataDxfId="75">
      <calculatedColumnFormula>ROUNDDOWN(((Tabela.abordagens[[#This Row],[Data]]-VLOOKUP(Tabela.abordagens[[#This Row],[Usuário]],Tabela.cadastro[[Nome]:[id2]],7,0))/365.25),0)</calculatedColumnFormula>
    </tableColumn>
    <tableColumn id="5" name="Mês" dataDxfId="74">
      <calculatedColumnFormula>IF(LOWER(TEXT(Tabela.abordagens[[#This Row],[Data]],"MMMM")) &amp; "/" &amp; YEAR(Tabela.abordagens[[#This Row],[Data]])="janeiro/1900","",LOWER(TEXT(Tabela.abordagens[[#This Row],[Data]],"MMM")) &amp; "/" &amp; TEXT(Tabela.abordagens[[#This Row],[Data]],"AA"))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ela66" displayName="Tabela66" ref="B32:C865" totalsRowShown="0" headerRowDxfId="4" dataDxfId="3" tableBorderDxfId="2">
  <autoFilter ref="B32:C865"/>
  <sortState ref="B17:I850">
    <sortCondition ref="B67:B901"/>
  </sortState>
  <tableColumns count="2">
    <tableColumn id="1" name="id" dataDxfId="1">
      <calculatedColumnFormula array="1">INDEX(Tabela.frequencia[],SMALL(IF(Tabela.frequencia[Mês]=$L$2,ROW(Tabela.frequencia[id])-1),ROW(A1)),1)</calculatedColumnFormula>
    </tableColumn>
    <tableColumn id="2" name="idade" dataDxfId="0">
      <calculatedColumnFormula array="1">INDEX(Tabela.frequencia[],SMALL(IF(Tabela.frequencia[Mês]=$L$2,ROW(Tabela.frequencia[id])-1),ROW(A1)),4)</calculatedColumnFormula>
    </tableColumn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5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U41"/>
  <sheetViews>
    <sheetView zoomScaleNormal="100" workbookViewId="0">
      <selection activeCell="I15" sqref="I15"/>
    </sheetView>
  </sheetViews>
  <sheetFormatPr defaultRowHeight="15" x14ac:dyDescent="0.25"/>
  <cols>
    <col min="1" max="1" width="7.140625" style="17" customWidth="1"/>
    <col min="2" max="2" width="33.5703125" customWidth="1"/>
    <col min="3" max="3" width="28.28515625" customWidth="1"/>
    <col min="4" max="4" width="15.85546875" customWidth="1"/>
    <col min="5" max="6" width="7.7109375" customWidth="1"/>
    <col min="7" max="7" width="24.7109375" customWidth="1"/>
    <col min="8" max="8" width="15.28515625" customWidth="1"/>
    <col min="9" max="9" width="13.85546875" style="91" customWidth="1"/>
    <col min="10" max="10" width="14" style="91" customWidth="1"/>
    <col min="11" max="11" width="44.85546875" customWidth="1"/>
    <col min="12" max="12" width="13.7109375" customWidth="1"/>
    <col min="13" max="13" width="8.42578125" style="14" customWidth="1"/>
    <col min="14" max="21" width="9.140625" style="50"/>
  </cols>
  <sheetData>
    <row r="1" spans="1:13" ht="17.100000000000001" customHeight="1" x14ac:dyDescent="0.25">
      <c r="A1" s="170" t="s">
        <v>21</v>
      </c>
      <c r="B1" s="5" t="s">
        <v>20</v>
      </c>
      <c r="C1" s="6" t="s">
        <v>18</v>
      </c>
      <c r="D1" s="7" t="s">
        <v>14</v>
      </c>
      <c r="E1" s="5" t="s">
        <v>4</v>
      </c>
      <c r="F1" s="7" t="s">
        <v>19</v>
      </c>
      <c r="G1" s="7" t="s">
        <v>62</v>
      </c>
      <c r="H1" s="20" t="s">
        <v>5</v>
      </c>
      <c r="I1" s="5" t="s">
        <v>15</v>
      </c>
      <c r="J1" s="15" t="s">
        <v>78</v>
      </c>
      <c r="K1" s="9" t="s">
        <v>150</v>
      </c>
      <c r="L1" s="18" t="s">
        <v>23</v>
      </c>
      <c r="M1" t="s">
        <v>24</v>
      </c>
    </row>
    <row r="2" spans="1:13" ht="17.100000000000001" customHeight="1" x14ac:dyDescent="0.25">
      <c r="A2" s="25">
        <f t="shared" ref="A2:A35" si="0">ROW(A1)</f>
        <v>1</v>
      </c>
      <c r="B2" s="10" t="s">
        <v>124</v>
      </c>
      <c r="C2" s="89" t="s">
        <v>0</v>
      </c>
      <c r="D2" s="3">
        <v>41782</v>
      </c>
      <c r="E2" s="2" t="s">
        <v>1</v>
      </c>
      <c r="F2" s="3" t="s">
        <v>22</v>
      </c>
      <c r="G2" s="3" t="s">
        <v>63</v>
      </c>
      <c r="H2" s="3">
        <v>34702</v>
      </c>
      <c r="I2" s="2" t="s">
        <v>16</v>
      </c>
      <c r="J2" s="4" t="s">
        <v>16</v>
      </c>
      <c r="K2" s="8"/>
      <c r="L2" s="19">
        <f>LOOKUP(2,1/(Tabela.passagens[id]=Tabela.cadastro[[#This Row],[ID]]),Tabela.passagens[Data])</f>
        <v>41881</v>
      </c>
      <c r="M2" s="21">
        <f>Tabela.cadastro[[#This Row],[ID]]</f>
        <v>1</v>
      </c>
    </row>
    <row r="3" spans="1:13" ht="17.100000000000001" customHeight="1" x14ac:dyDescent="0.25">
      <c r="A3" s="25">
        <f t="shared" si="0"/>
        <v>2</v>
      </c>
      <c r="B3" s="10" t="s">
        <v>125</v>
      </c>
      <c r="C3" s="89" t="s">
        <v>144</v>
      </c>
      <c r="D3" s="3">
        <v>41782</v>
      </c>
      <c r="E3" s="2" t="s">
        <v>2</v>
      </c>
      <c r="F3" s="3" t="s">
        <v>2</v>
      </c>
      <c r="G3" s="3" t="s">
        <v>122</v>
      </c>
      <c r="H3" s="3">
        <v>30234</v>
      </c>
      <c r="I3" s="2" t="s">
        <v>16</v>
      </c>
      <c r="J3" s="4" t="s">
        <v>16</v>
      </c>
      <c r="K3" s="8"/>
      <c r="L3" s="19">
        <f>LOOKUP(2,1/(Tabela.passagens[id]=Tabela.cadastro[[#This Row],[ID]]),Tabela.passagens[Data])</f>
        <v>41886</v>
      </c>
      <c r="M3" s="21">
        <f>Tabela.cadastro[[#This Row],[ID]]</f>
        <v>2</v>
      </c>
    </row>
    <row r="4" spans="1:13" ht="17.100000000000001" customHeight="1" x14ac:dyDescent="0.25">
      <c r="A4" s="25">
        <f t="shared" si="0"/>
        <v>3</v>
      </c>
      <c r="B4" s="10" t="s">
        <v>126</v>
      </c>
      <c r="C4" s="89" t="s">
        <v>145</v>
      </c>
      <c r="D4" s="3">
        <v>41782</v>
      </c>
      <c r="E4" s="2" t="s">
        <v>2</v>
      </c>
      <c r="F4" s="3" t="s">
        <v>22</v>
      </c>
      <c r="G4" s="3" t="s">
        <v>116</v>
      </c>
      <c r="H4" s="3">
        <v>30907</v>
      </c>
      <c r="I4" s="2" t="s">
        <v>16</v>
      </c>
      <c r="J4" s="4" t="s">
        <v>16</v>
      </c>
      <c r="K4" s="8"/>
      <c r="L4" s="19" t="e">
        <f>LOOKUP(2,1/(Tabela.passagens[id]=Tabela.cadastro[[#This Row],[ID]]),Tabela.passagens[Data])</f>
        <v>#N/A</v>
      </c>
      <c r="M4" s="21">
        <f>Tabela.cadastro[[#This Row],[ID]]</f>
        <v>3</v>
      </c>
    </row>
    <row r="5" spans="1:13" ht="17.100000000000001" customHeight="1" x14ac:dyDescent="0.25">
      <c r="A5" s="25">
        <f t="shared" si="0"/>
        <v>4</v>
      </c>
      <c r="B5" s="49" t="s">
        <v>127</v>
      </c>
      <c r="C5" s="89" t="s">
        <v>146</v>
      </c>
      <c r="D5" s="3">
        <v>41782</v>
      </c>
      <c r="E5" s="2" t="s">
        <v>2</v>
      </c>
      <c r="F5" s="3" t="s">
        <v>2</v>
      </c>
      <c r="G5" s="3" t="s">
        <v>121</v>
      </c>
      <c r="H5" s="3">
        <v>26581</v>
      </c>
      <c r="I5" s="2" t="s">
        <v>16</v>
      </c>
      <c r="J5" s="4" t="s">
        <v>16</v>
      </c>
      <c r="K5" s="8"/>
      <c r="L5" s="19">
        <f>LOOKUP(2,1/(Tabela.passagens[id]=Tabela.cadastro[[#This Row],[ID]]),Tabela.passagens[Data])</f>
        <v>42036</v>
      </c>
      <c r="M5" s="21">
        <f>Tabela.cadastro[[#This Row],[ID]]</f>
        <v>4</v>
      </c>
    </row>
    <row r="6" spans="1:13" ht="17.100000000000001" customHeight="1" x14ac:dyDescent="0.25">
      <c r="A6" s="25">
        <f t="shared" si="0"/>
        <v>5</v>
      </c>
      <c r="B6" s="10" t="s">
        <v>128</v>
      </c>
      <c r="C6" s="89" t="s">
        <v>147</v>
      </c>
      <c r="D6" s="3">
        <v>41786</v>
      </c>
      <c r="E6" s="2" t="s">
        <v>1</v>
      </c>
      <c r="F6" s="3" t="s">
        <v>22</v>
      </c>
      <c r="G6" s="3" t="s">
        <v>115</v>
      </c>
      <c r="H6" s="3">
        <v>16500</v>
      </c>
      <c r="I6" s="2" t="s">
        <v>16</v>
      </c>
      <c r="J6" s="4" t="s">
        <v>17</v>
      </c>
      <c r="K6" s="13"/>
      <c r="L6" s="19" t="e">
        <f>LOOKUP(2,1/(Tabela.passagens[id]=Tabela.cadastro[[#This Row],[ID]]),Tabela.passagens[Data])</f>
        <v>#N/A</v>
      </c>
      <c r="M6" s="21">
        <f>Tabela.cadastro[[#This Row],[ID]]</f>
        <v>5</v>
      </c>
    </row>
    <row r="7" spans="1:13" ht="17.100000000000001" customHeight="1" x14ac:dyDescent="0.25">
      <c r="A7" s="25">
        <f t="shared" si="0"/>
        <v>6</v>
      </c>
      <c r="B7" s="10" t="s">
        <v>129</v>
      </c>
      <c r="C7" s="89" t="s">
        <v>0</v>
      </c>
      <c r="D7" s="3">
        <v>41789</v>
      </c>
      <c r="E7" s="2" t="s">
        <v>1</v>
      </c>
      <c r="F7" s="3" t="s">
        <v>2</v>
      </c>
      <c r="G7" s="3" t="s">
        <v>63</v>
      </c>
      <c r="H7" s="3">
        <v>36526</v>
      </c>
      <c r="I7" s="2" t="s">
        <v>17</v>
      </c>
      <c r="J7" s="4" t="s">
        <v>17</v>
      </c>
      <c r="K7" s="8"/>
      <c r="L7" s="19">
        <f>LOOKUP(2,1/(Tabela.passagens[id]=Tabela.cadastro[[#This Row],[ID]]),Tabela.passagens[Data])</f>
        <v>41883</v>
      </c>
      <c r="M7" s="21">
        <f>Tabela.cadastro[[#This Row],[ID]]</f>
        <v>6</v>
      </c>
    </row>
    <row r="8" spans="1:13" ht="17.100000000000001" customHeight="1" x14ac:dyDescent="0.25">
      <c r="A8" s="25">
        <f t="shared" si="0"/>
        <v>7</v>
      </c>
      <c r="B8" t="s">
        <v>130</v>
      </c>
      <c r="C8" s="89" t="s">
        <v>0</v>
      </c>
      <c r="D8" s="3">
        <v>41792</v>
      </c>
      <c r="E8" s="2" t="s">
        <v>1</v>
      </c>
      <c r="F8" s="3" t="s">
        <v>2</v>
      </c>
      <c r="G8" s="3" t="s">
        <v>149</v>
      </c>
      <c r="H8" s="3">
        <v>14611</v>
      </c>
      <c r="I8" s="2" t="s">
        <v>17</v>
      </c>
      <c r="J8" s="4" t="s">
        <v>17</v>
      </c>
      <c r="K8" s="8"/>
      <c r="L8" s="19" t="e">
        <f>LOOKUP(2,1/(Tabela.passagens[id]=Tabela.cadastro[[#This Row],[ID]]),Tabela.passagens[Data])</f>
        <v>#N/A</v>
      </c>
      <c r="M8" s="21">
        <f>Tabela.cadastro[[#This Row],[ID]]</f>
        <v>7</v>
      </c>
    </row>
    <row r="9" spans="1:13" ht="17.100000000000001" customHeight="1" x14ac:dyDescent="0.25">
      <c r="A9" s="25">
        <f t="shared" si="0"/>
        <v>8</v>
      </c>
      <c r="B9" s="10" t="s">
        <v>131</v>
      </c>
      <c r="C9" s="89" t="s">
        <v>148</v>
      </c>
      <c r="D9" s="3">
        <v>41792</v>
      </c>
      <c r="E9" s="2" t="s">
        <v>2</v>
      </c>
      <c r="F9" s="3" t="s">
        <v>2</v>
      </c>
      <c r="G9" s="3" t="s">
        <v>67</v>
      </c>
      <c r="H9" s="3">
        <v>31860</v>
      </c>
      <c r="I9" s="2" t="s">
        <v>16</v>
      </c>
      <c r="J9" s="4" t="s">
        <v>16</v>
      </c>
      <c r="K9" s="13"/>
      <c r="L9" s="19">
        <f>LOOKUP(2,1/(Tabela.passagens[id]=Tabela.cadastro[[#This Row],[ID]]),Tabela.passagens[Data])</f>
        <v>42005</v>
      </c>
      <c r="M9" s="21">
        <f>Tabela.cadastro[[#This Row],[ID]]</f>
        <v>8</v>
      </c>
    </row>
    <row r="10" spans="1:13" ht="17.100000000000001" customHeight="1" x14ac:dyDescent="0.25">
      <c r="A10" s="25">
        <f t="shared" si="0"/>
        <v>9</v>
      </c>
      <c r="B10" s="10" t="s">
        <v>132</v>
      </c>
      <c r="C10" s="89" t="s">
        <v>148</v>
      </c>
      <c r="D10" s="3">
        <v>41793</v>
      </c>
      <c r="E10" s="2" t="s">
        <v>2</v>
      </c>
      <c r="F10" s="3" t="s">
        <v>22</v>
      </c>
      <c r="G10" s="3" t="s">
        <v>25</v>
      </c>
      <c r="H10" s="3">
        <v>25604</v>
      </c>
      <c r="I10" s="2" t="s">
        <v>16</v>
      </c>
      <c r="J10" s="4" t="s">
        <v>16</v>
      </c>
      <c r="K10" s="8"/>
      <c r="L10" s="19" t="e">
        <f>LOOKUP(2,1/(Tabela.passagens[id]=Tabela.cadastro[[#This Row],[ID]]),Tabela.passagens[Data])</f>
        <v>#N/A</v>
      </c>
      <c r="M10" s="21">
        <f>Tabela.cadastro[[#This Row],[ID]]</f>
        <v>9</v>
      </c>
    </row>
    <row r="11" spans="1:13" ht="17.100000000000001" customHeight="1" x14ac:dyDescent="0.25">
      <c r="A11" s="25">
        <f t="shared" si="0"/>
        <v>10</v>
      </c>
      <c r="B11" s="10" t="s">
        <v>133</v>
      </c>
      <c r="C11" s="89" t="s">
        <v>148</v>
      </c>
      <c r="D11" s="3">
        <v>41793</v>
      </c>
      <c r="E11" s="2" t="s">
        <v>2</v>
      </c>
      <c r="F11" s="3" t="s">
        <v>2</v>
      </c>
      <c r="G11" s="3" t="s">
        <v>119</v>
      </c>
      <c r="H11" s="3">
        <v>30452</v>
      </c>
      <c r="I11" s="2" t="s">
        <v>16</v>
      </c>
      <c r="J11" s="4" t="s">
        <v>16</v>
      </c>
      <c r="K11" s="13"/>
      <c r="L11" s="19" t="e">
        <f>LOOKUP(2,1/(Tabela.passagens[id]=Tabela.cadastro[[#This Row],[ID]]),Tabela.passagens[Data])</f>
        <v>#N/A</v>
      </c>
      <c r="M11" s="21">
        <f>Tabela.cadastro[[#This Row],[ID]]</f>
        <v>10</v>
      </c>
    </row>
    <row r="12" spans="1:13" ht="17.100000000000001" customHeight="1" x14ac:dyDescent="0.25">
      <c r="A12" s="25">
        <f t="shared" si="0"/>
        <v>11</v>
      </c>
      <c r="B12" s="10" t="s">
        <v>134</v>
      </c>
      <c r="C12" s="89" t="s">
        <v>147</v>
      </c>
      <c r="D12" s="3">
        <v>41794</v>
      </c>
      <c r="E12" s="2" t="s">
        <v>2</v>
      </c>
      <c r="F12" s="3" t="s">
        <v>2</v>
      </c>
      <c r="G12" s="3" t="s">
        <v>117</v>
      </c>
      <c r="H12" s="3">
        <v>30230</v>
      </c>
      <c r="I12" s="2" t="s">
        <v>17</v>
      </c>
      <c r="J12" s="4" t="s">
        <v>16</v>
      </c>
      <c r="K12" s="8"/>
      <c r="L12" s="19" t="e">
        <f>LOOKUP(2,1/(Tabela.passagens[id]=Tabela.cadastro[[#This Row],[ID]]),Tabela.passagens[Data])</f>
        <v>#N/A</v>
      </c>
      <c r="M12" s="21">
        <f>Tabela.cadastro[[#This Row],[ID]]</f>
        <v>11</v>
      </c>
    </row>
    <row r="13" spans="1:13" ht="17.100000000000001" customHeight="1" x14ac:dyDescent="0.25">
      <c r="A13" s="25">
        <f t="shared" si="0"/>
        <v>12</v>
      </c>
      <c r="B13" s="10" t="s">
        <v>135</v>
      </c>
      <c r="C13" s="89" t="s">
        <v>148</v>
      </c>
      <c r="D13" s="3">
        <v>41794</v>
      </c>
      <c r="E13" s="2" t="s">
        <v>2</v>
      </c>
      <c r="F13" s="3" t="s">
        <v>22</v>
      </c>
      <c r="G13" s="3" t="s">
        <v>113</v>
      </c>
      <c r="H13" s="3">
        <v>32570</v>
      </c>
      <c r="I13" s="2" t="s">
        <v>17</v>
      </c>
      <c r="J13" s="4" t="s">
        <v>17</v>
      </c>
      <c r="K13" s="8"/>
      <c r="L13" s="19">
        <f>LOOKUP(2,1/(Tabela.passagens[id]=Tabela.cadastro[[#This Row],[ID]]),Tabela.passagens[Data])</f>
        <v>41887</v>
      </c>
      <c r="M13" s="21">
        <f>Tabela.cadastro[[#This Row],[ID]]</f>
        <v>12</v>
      </c>
    </row>
    <row r="14" spans="1:13" ht="17.100000000000001" customHeight="1" x14ac:dyDescent="0.25">
      <c r="A14" s="25">
        <f t="shared" si="0"/>
        <v>13</v>
      </c>
      <c r="B14" s="10" t="s">
        <v>136</v>
      </c>
      <c r="C14" s="89" t="s">
        <v>148</v>
      </c>
      <c r="D14" s="3">
        <v>41794</v>
      </c>
      <c r="E14" s="2" t="s">
        <v>2</v>
      </c>
      <c r="F14" s="3" t="s">
        <v>2</v>
      </c>
      <c r="G14" s="3" t="s">
        <v>67</v>
      </c>
      <c r="H14" s="3">
        <v>33940</v>
      </c>
      <c r="I14" s="2"/>
      <c r="J14" s="4" t="s">
        <v>16</v>
      </c>
      <c r="K14" s="8"/>
      <c r="L14" s="19" t="e">
        <f>LOOKUP(2,1/(Tabela.passagens[id]=Tabela.cadastro[[#This Row],[ID]]),Tabela.passagens[Data])</f>
        <v>#N/A</v>
      </c>
      <c r="M14" s="21">
        <f>Tabela.cadastro[[#This Row],[ID]]</f>
        <v>13</v>
      </c>
    </row>
    <row r="15" spans="1:13" ht="17.100000000000001" customHeight="1" x14ac:dyDescent="0.25">
      <c r="A15" s="25">
        <f t="shared" si="0"/>
        <v>14</v>
      </c>
      <c r="B15" s="10" t="s">
        <v>137</v>
      </c>
      <c r="C15" s="89" t="s">
        <v>148</v>
      </c>
      <c r="D15" s="3">
        <v>41794</v>
      </c>
      <c r="E15" s="2" t="s">
        <v>2</v>
      </c>
      <c r="F15" s="3" t="s">
        <v>22</v>
      </c>
      <c r="G15" s="3" t="s">
        <v>67</v>
      </c>
      <c r="H15" s="3">
        <v>34463</v>
      </c>
      <c r="I15" s="2" t="s">
        <v>16</v>
      </c>
      <c r="J15" s="4" t="s">
        <v>16</v>
      </c>
      <c r="K15" s="8"/>
      <c r="L15" s="19" t="e">
        <f>LOOKUP(2,1/(Tabela.passagens[id]=Tabela.cadastro[[#This Row],[ID]]),Tabela.passagens[Data])</f>
        <v>#N/A</v>
      </c>
      <c r="M15" s="21">
        <f>Tabela.cadastro[[#This Row],[ID]]</f>
        <v>14</v>
      </c>
    </row>
    <row r="16" spans="1:13" ht="17.100000000000001" customHeight="1" x14ac:dyDescent="0.25">
      <c r="A16" s="25">
        <f t="shared" si="0"/>
        <v>15</v>
      </c>
      <c r="B16" s="10" t="s">
        <v>138</v>
      </c>
      <c r="C16" s="89" t="s">
        <v>147</v>
      </c>
      <c r="D16" s="3">
        <v>41794</v>
      </c>
      <c r="E16" s="2" t="s">
        <v>2</v>
      </c>
      <c r="F16" s="3" t="s">
        <v>22</v>
      </c>
      <c r="G16" s="3" t="s">
        <v>123</v>
      </c>
      <c r="H16" s="3">
        <v>28428</v>
      </c>
      <c r="I16" s="2" t="s">
        <v>16</v>
      </c>
      <c r="J16" s="4" t="s">
        <v>16</v>
      </c>
      <c r="K16" s="8"/>
      <c r="L16" s="19" t="e">
        <f>LOOKUP(2,1/(Tabela.passagens[id]=Tabela.cadastro[[#This Row],[ID]]),Tabela.passagens[Data])</f>
        <v>#N/A</v>
      </c>
      <c r="M16" s="21">
        <f>Tabela.cadastro[[#This Row],[ID]]</f>
        <v>15</v>
      </c>
    </row>
    <row r="17" spans="1:13" ht="17.100000000000001" customHeight="1" x14ac:dyDescent="0.25">
      <c r="A17" s="25">
        <f t="shared" si="0"/>
        <v>16</v>
      </c>
      <c r="B17" s="11" t="s">
        <v>139</v>
      </c>
      <c r="C17" s="89" t="s">
        <v>148</v>
      </c>
      <c r="D17" s="3">
        <v>41795</v>
      </c>
      <c r="E17" s="2" t="s">
        <v>2</v>
      </c>
      <c r="F17" s="3" t="s">
        <v>2</v>
      </c>
      <c r="G17" s="3" t="s">
        <v>118</v>
      </c>
      <c r="H17" s="3">
        <v>31972</v>
      </c>
      <c r="I17" s="2" t="s">
        <v>17</v>
      </c>
      <c r="J17" s="4" t="s">
        <v>16</v>
      </c>
      <c r="K17" s="8"/>
      <c r="L17" s="19" t="e">
        <f>LOOKUP(2,1/(Tabela.passagens[id]=Tabela.cadastro[[#This Row],[ID]]),Tabela.passagens[Data])</f>
        <v>#N/A</v>
      </c>
      <c r="M17" s="21">
        <f>Tabela.cadastro[[#This Row],[ID]]</f>
        <v>16</v>
      </c>
    </row>
    <row r="18" spans="1:13" ht="17.100000000000001" customHeight="1" x14ac:dyDescent="0.25">
      <c r="A18" s="25">
        <f t="shared" si="0"/>
        <v>17</v>
      </c>
      <c r="B18" s="10" t="s">
        <v>141</v>
      </c>
      <c r="C18" s="89" t="s">
        <v>27</v>
      </c>
      <c r="D18" s="3">
        <v>41795</v>
      </c>
      <c r="E18" s="2" t="s">
        <v>1</v>
      </c>
      <c r="F18" s="3" t="s">
        <v>2</v>
      </c>
      <c r="G18" s="3" t="s">
        <v>63</v>
      </c>
      <c r="H18" s="3">
        <v>30384</v>
      </c>
      <c r="I18" s="2" t="s">
        <v>17</v>
      </c>
      <c r="J18" s="4" t="s">
        <v>16</v>
      </c>
      <c r="K18" s="8"/>
      <c r="L18" s="19" t="e">
        <f>LOOKUP(2,1/(Tabela.passagens[id]=Tabela.cadastro[[#This Row],[ID]]),Tabela.passagens[Data])</f>
        <v>#N/A</v>
      </c>
      <c r="M18" s="21">
        <f>Tabela.cadastro[[#This Row],[ID]]</f>
        <v>17</v>
      </c>
    </row>
    <row r="19" spans="1:13" ht="17.100000000000001" customHeight="1" x14ac:dyDescent="0.25">
      <c r="A19" s="25">
        <f t="shared" si="0"/>
        <v>18</v>
      </c>
      <c r="B19" s="10" t="s">
        <v>140</v>
      </c>
      <c r="C19" s="89" t="s">
        <v>148</v>
      </c>
      <c r="D19" s="3">
        <v>41795</v>
      </c>
      <c r="E19" s="2" t="s">
        <v>2</v>
      </c>
      <c r="F19" s="3" t="s">
        <v>2</v>
      </c>
      <c r="G19" s="3" t="s">
        <v>26</v>
      </c>
      <c r="H19" s="3">
        <v>29221</v>
      </c>
      <c r="I19" s="2" t="s">
        <v>17</v>
      </c>
      <c r="J19" s="4" t="s">
        <v>17</v>
      </c>
      <c r="K19" s="8"/>
      <c r="L19" s="19" t="e">
        <f>LOOKUP(2,1/(Tabela.passagens[id]=Tabela.cadastro[[#This Row],[ID]]),Tabela.passagens[Data])</f>
        <v>#N/A</v>
      </c>
      <c r="M19" s="21">
        <f>Tabela.cadastro[[#This Row],[ID]]</f>
        <v>18</v>
      </c>
    </row>
    <row r="20" spans="1:13" ht="17.100000000000001" customHeight="1" x14ac:dyDescent="0.25">
      <c r="A20" s="25">
        <f t="shared" si="0"/>
        <v>19</v>
      </c>
      <c r="B20" s="10" t="s">
        <v>142</v>
      </c>
      <c r="C20" s="89" t="s">
        <v>147</v>
      </c>
      <c r="D20" s="3">
        <v>41796</v>
      </c>
      <c r="E20" s="2" t="s">
        <v>2</v>
      </c>
      <c r="F20" s="3" t="s">
        <v>22</v>
      </c>
      <c r="G20" s="3" t="s">
        <v>120</v>
      </c>
      <c r="H20" s="3">
        <v>31200</v>
      </c>
      <c r="I20" s="2" t="s">
        <v>16</v>
      </c>
      <c r="J20" s="4" t="s">
        <v>16</v>
      </c>
      <c r="K20" s="8"/>
      <c r="L20" s="19" t="e">
        <f>LOOKUP(2,1/(Tabela.passagens[id]=Tabela.cadastro[[#This Row],[ID]]),Tabela.passagens[Data])</f>
        <v>#N/A</v>
      </c>
      <c r="M20" s="21">
        <f>Tabela.cadastro[[#This Row],[ID]]</f>
        <v>19</v>
      </c>
    </row>
    <row r="21" spans="1:13" ht="17.100000000000001" customHeight="1" x14ac:dyDescent="0.25">
      <c r="A21" s="25">
        <f t="shared" si="0"/>
        <v>20</v>
      </c>
      <c r="B21" s="10" t="s">
        <v>143</v>
      </c>
      <c r="C21" s="89" t="s">
        <v>148</v>
      </c>
      <c r="D21" s="3">
        <v>41799</v>
      </c>
      <c r="E21" s="2" t="s">
        <v>2</v>
      </c>
      <c r="F21" s="3" t="s">
        <v>22</v>
      </c>
      <c r="G21" s="3" t="s">
        <v>114</v>
      </c>
      <c r="H21" s="3">
        <v>25592</v>
      </c>
      <c r="I21" s="2" t="s">
        <v>16</v>
      </c>
      <c r="J21" s="4" t="s">
        <v>16</v>
      </c>
      <c r="K21" s="8"/>
      <c r="L21" s="19">
        <f>LOOKUP(2,1/(Tabela.passagens[id]=Tabela.cadastro[[#This Row],[ID]]),Tabela.passagens[Data])</f>
        <v>42064</v>
      </c>
      <c r="M21" s="21">
        <f>Tabela.cadastro[[#This Row],[ID]]</f>
        <v>20</v>
      </c>
    </row>
    <row r="22" spans="1:13" x14ac:dyDescent="0.25">
      <c r="A22" s="25">
        <f t="shared" si="0"/>
        <v>21</v>
      </c>
      <c r="B22" s="136"/>
      <c r="C22" s="138"/>
      <c r="D22" s="135"/>
      <c r="E22" s="135"/>
      <c r="F22" s="135"/>
      <c r="G22" s="135"/>
      <c r="H22" s="135"/>
      <c r="I22" s="137"/>
      <c r="J22" s="134"/>
      <c r="K22" s="107"/>
      <c r="L22" s="19" t="e">
        <f>LOOKUP(2,1/(Tabela.passagens[id]=Tabela.cadastro[[#This Row],[ID]]),Tabela.passagens[Data])</f>
        <v>#N/A</v>
      </c>
      <c r="M22" s="43">
        <f>Tabela.cadastro[[#This Row],[ID]]</f>
        <v>21</v>
      </c>
    </row>
    <row r="23" spans="1:13" x14ac:dyDescent="0.25">
      <c r="A23" s="25">
        <f t="shared" si="0"/>
        <v>22</v>
      </c>
      <c r="B23" s="136"/>
      <c r="C23" s="138"/>
      <c r="D23" s="135"/>
      <c r="E23" s="135"/>
      <c r="F23" s="135"/>
      <c r="G23" s="135"/>
      <c r="H23" s="135"/>
      <c r="I23" s="137"/>
      <c r="J23" s="134"/>
      <c r="K23" s="107"/>
      <c r="L23" s="19" t="e">
        <f>LOOKUP(2,1/(Tabela.passagens[id]=Tabela.cadastro[[#This Row],[ID]]),Tabela.passagens[Data])</f>
        <v>#N/A</v>
      </c>
      <c r="M23" s="43">
        <f>Tabela.cadastro[[#This Row],[ID]]</f>
        <v>22</v>
      </c>
    </row>
    <row r="24" spans="1:13" x14ac:dyDescent="0.25">
      <c r="A24" s="25">
        <f t="shared" si="0"/>
        <v>23</v>
      </c>
      <c r="B24" s="136"/>
      <c r="C24" s="138"/>
      <c r="D24" s="135"/>
      <c r="E24" s="135"/>
      <c r="F24" s="135"/>
      <c r="G24" s="135"/>
      <c r="H24" s="135"/>
      <c r="I24" s="137"/>
      <c r="J24" s="134"/>
      <c r="K24" s="107"/>
      <c r="L24" s="19" t="e">
        <f>LOOKUP(2,1/(Tabela.passagens[id]=Tabela.cadastro[[#This Row],[ID]]),Tabela.passagens[Data])</f>
        <v>#N/A</v>
      </c>
      <c r="M24" s="43">
        <f>Tabela.cadastro[[#This Row],[ID]]</f>
        <v>23</v>
      </c>
    </row>
    <row r="25" spans="1:13" x14ac:dyDescent="0.25">
      <c r="A25" s="25">
        <f t="shared" si="0"/>
        <v>24</v>
      </c>
      <c r="B25" s="136"/>
      <c r="C25" s="138"/>
      <c r="D25" s="135"/>
      <c r="E25" s="135"/>
      <c r="F25" s="135"/>
      <c r="G25" s="135"/>
      <c r="H25" s="135"/>
      <c r="I25" s="137"/>
      <c r="J25" s="134"/>
      <c r="K25" s="107"/>
      <c r="L25" s="19" t="e">
        <f>LOOKUP(2,1/(Tabela.passagens[id]=Tabela.cadastro[[#This Row],[ID]]),Tabela.passagens[Data])</f>
        <v>#N/A</v>
      </c>
      <c r="M25" s="43">
        <f>Tabela.cadastro[[#This Row],[ID]]</f>
        <v>24</v>
      </c>
    </row>
    <row r="26" spans="1:13" x14ac:dyDescent="0.25">
      <c r="A26" s="25">
        <f t="shared" si="0"/>
        <v>25</v>
      </c>
      <c r="B26" s="136"/>
      <c r="C26" s="138"/>
      <c r="D26" s="135"/>
      <c r="E26" s="135"/>
      <c r="F26" s="135"/>
      <c r="G26" s="135"/>
      <c r="H26" s="135"/>
      <c r="I26" s="137"/>
      <c r="J26" s="134"/>
      <c r="K26" s="107"/>
      <c r="L26" s="19" t="e">
        <f>LOOKUP(2,1/(Tabela.passagens[id]=Tabela.cadastro[[#This Row],[ID]]),Tabela.passagens[Data])</f>
        <v>#N/A</v>
      </c>
      <c r="M26" s="43">
        <f>Tabela.cadastro[[#This Row],[ID]]</f>
        <v>25</v>
      </c>
    </row>
    <row r="27" spans="1:13" x14ac:dyDescent="0.25">
      <c r="A27" s="25">
        <f t="shared" si="0"/>
        <v>26</v>
      </c>
      <c r="B27" s="136"/>
      <c r="C27" s="138"/>
      <c r="D27" s="135"/>
      <c r="E27" s="135"/>
      <c r="F27" s="135"/>
      <c r="G27" s="135"/>
      <c r="H27" s="135"/>
      <c r="I27" s="137"/>
      <c r="J27" s="134"/>
      <c r="K27" s="107"/>
      <c r="L27" s="19" t="e">
        <f>LOOKUP(2,1/(Tabela.passagens[id]=Tabela.cadastro[[#This Row],[ID]]),Tabela.passagens[Data])</f>
        <v>#N/A</v>
      </c>
      <c r="M27" s="43">
        <f>Tabela.cadastro[[#This Row],[ID]]</f>
        <v>26</v>
      </c>
    </row>
    <row r="28" spans="1:13" x14ac:dyDescent="0.25">
      <c r="A28" s="25">
        <f t="shared" si="0"/>
        <v>27</v>
      </c>
      <c r="B28" s="136"/>
      <c r="C28" s="138"/>
      <c r="D28" s="135"/>
      <c r="E28" s="135"/>
      <c r="F28" s="135"/>
      <c r="G28" s="135"/>
      <c r="H28" s="135"/>
      <c r="I28" s="137"/>
      <c r="J28" s="134"/>
      <c r="K28" s="107"/>
      <c r="L28" s="19" t="e">
        <f>LOOKUP(2,1/(Tabela.passagens[id]=Tabela.cadastro[[#This Row],[ID]]),Tabela.passagens[Data])</f>
        <v>#N/A</v>
      </c>
      <c r="M28" s="43">
        <f>Tabela.cadastro[[#This Row],[ID]]</f>
        <v>27</v>
      </c>
    </row>
    <row r="29" spans="1:13" x14ac:dyDescent="0.25">
      <c r="A29" s="25">
        <f t="shared" si="0"/>
        <v>28</v>
      </c>
      <c r="B29" s="136"/>
      <c r="C29" s="138"/>
      <c r="D29" s="135"/>
      <c r="E29" s="135"/>
      <c r="F29" s="135"/>
      <c r="G29" s="135"/>
      <c r="H29" s="135"/>
      <c r="I29" s="137"/>
      <c r="J29" s="134"/>
      <c r="K29" s="107"/>
      <c r="L29" s="19" t="e">
        <f>LOOKUP(2,1/(Tabela.passagens[id]=Tabela.cadastro[[#This Row],[ID]]),Tabela.passagens[Data])</f>
        <v>#N/A</v>
      </c>
      <c r="M29" s="43">
        <f>Tabela.cadastro[[#This Row],[ID]]</f>
        <v>28</v>
      </c>
    </row>
    <row r="30" spans="1:13" x14ac:dyDescent="0.25">
      <c r="A30" s="25">
        <f t="shared" si="0"/>
        <v>29</v>
      </c>
      <c r="B30" s="136"/>
      <c r="C30" s="138"/>
      <c r="D30" s="135"/>
      <c r="E30" s="135"/>
      <c r="F30" s="135"/>
      <c r="G30" s="135"/>
      <c r="H30" s="135"/>
      <c r="I30" s="137"/>
      <c r="J30" s="134"/>
      <c r="K30" s="107"/>
      <c r="L30" s="19" t="e">
        <f>LOOKUP(2,1/(Tabela.passagens[id]=Tabela.cadastro[[#This Row],[ID]]),Tabela.passagens[Data])</f>
        <v>#N/A</v>
      </c>
      <c r="M30" s="43">
        <f>Tabela.cadastro[[#This Row],[ID]]</f>
        <v>29</v>
      </c>
    </row>
    <row r="31" spans="1:13" x14ac:dyDescent="0.25">
      <c r="A31" s="25">
        <f t="shared" si="0"/>
        <v>30</v>
      </c>
      <c r="B31" s="136"/>
      <c r="C31" s="138"/>
      <c r="D31" s="135"/>
      <c r="E31" s="135"/>
      <c r="F31" s="135"/>
      <c r="G31" s="135"/>
      <c r="H31" s="135"/>
      <c r="I31" s="137"/>
      <c r="J31" s="134"/>
      <c r="K31" s="107"/>
      <c r="L31" s="19" t="e">
        <f>LOOKUP(2,1/(Tabela.passagens[id]=Tabela.cadastro[[#This Row],[ID]]),Tabela.passagens[Data])</f>
        <v>#N/A</v>
      </c>
      <c r="M31" s="43">
        <f>Tabela.cadastro[[#This Row],[ID]]</f>
        <v>30</v>
      </c>
    </row>
    <row r="32" spans="1:13" x14ac:dyDescent="0.25">
      <c r="A32" s="25">
        <f t="shared" si="0"/>
        <v>31</v>
      </c>
      <c r="B32" s="136"/>
      <c r="C32" s="138"/>
      <c r="D32" s="135"/>
      <c r="E32" s="135"/>
      <c r="F32" s="135"/>
      <c r="G32" s="135"/>
      <c r="H32" s="135"/>
      <c r="I32" s="137"/>
      <c r="J32" s="134"/>
      <c r="K32" s="107"/>
      <c r="L32" s="19" t="e">
        <f>LOOKUP(2,1/(Tabela.passagens[id]=Tabela.cadastro[[#This Row],[ID]]),Tabela.passagens[Data])</f>
        <v>#N/A</v>
      </c>
      <c r="M32" s="43">
        <f>Tabela.cadastro[[#This Row],[ID]]</f>
        <v>31</v>
      </c>
    </row>
    <row r="33" spans="1:13" x14ac:dyDescent="0.25">
      <c r="A33" s="25">
        <f t="shared" si="0"/>
        <v>32</v>
      </c>
      <c r="B33" s="136"/>
      <c r="C33" s="138"/>
      <c r="D33" s="135"/>
      <c r="E33" s="135"/>
      <c r="F33" s="135"/>
      <c r="G33" s="135"/>
      <c r="H33" s="135"/>
      <c r="I33" s="137"/>
      <c r="J33" s="134"/>
      <c r="K33" s="107"/>
      <c r="L33" s="19" t="e">
        <f>LOOKUP(2,1/(Tabela.passagens[id]=Tabela.cadastro[[#This Row],[ID]]),Tabela.passagens[Data])</f>
        <v>#N/A</v>
      </c>
      <c r="M33" s="43">
        <f>Tabela.cadastro[[#This Row],[ID]]</f>
        <v>32</v>
      </c>
    </row>
    <row r="34" spans="1:13" x14ac:dyDescent="0.25">
      <c r="A34" s="25">
        <f t="shared" si="0"/>
        <v>33</v>
      </c>
      <c r="B34" s="136"/>
      <c r="C34" s="138"/>
      <c r="D34" s="135"/>
      <c r="E34" s="135"/>
      <c r="F34" s="135"/>
      <c r="G34" s="135"/>
      <c r="H34" s="135"/>
      <c r="I34" s="137"/>
      <c r="J34" s="134"/>
      <c r="K34" s="107"/>
      <c r="L34" s="19" t="e">
        <f>LOOKUP(2,1/(Tabela.passagens[id]=Tabela.cadastro[[#This Row],[ID]]),Tabela.passagens[Data])</f>
        <v>#N/A</v>
      </c>
      <c r="M34" s="43">
        <f>Tabela.cadastro[[#This Row],[ID]]</f>
        <v>33</v>
      </c>
    </row>
    <row r="35" spans="1:13" x14ac:dyDescent="0.25">
      <c r="A35" s="25">
        <f t="shared" si="0"/>
        <v>34</v>
      </c>
      <c r="B35" s="44"/>
      <c r="C35" s="90"/>
      <c r="D35" s="45"/>
      <c r="E35" s="45"/>
      <c r="F35" s="45"/>
      <c r="G35" s="45"/>
      <c r="H35" s="45"/>
      <c r="I35" s="46"/>
      <c r="J35" s="47"/>
      <c r="K35" s="106"/>
      <c r="L35" s="140" t="e">
        <f>LOOKUP(2,1/(Tabela.passagens[id]=Tabela.cadastro[[#This Row],[ID]]),Tabela.passagens[Data])</f>
        <v>#N/A</v>
      </c>
      <c r="M35" s="48">
        <f>Tabela.cadastro[[#This Row],[ID]]</f>
        <v>34</v>
      </c>
    </row>
    <row r="36" spans="1:13" x14ac:dyDescent="0.25">
      <c r="A36" s="155">
        <f t="shared" ref="A36:A41" si="1">ROW(A35)</f>
        <v>35</v>
      </c>
      <c r="B36" s="156"/>
      <c r="C36" s="157"/>
      <c r="D36" s="158"/>
      <c r="E36" s="158"/>
      <c r="F36" s="158"/>
      <c r="G36" s="158"/>
      <c r="H36" s="158"/>
      <c r="I36" s="159"/>
      <c r="J36" s="154"/>
      <c r="K36" s="160"/>
      <c r="L36" s="19" t="e">
        <f>LOOKUP(2,1/(Tabela.passagens[id]=Tabela.cadastro[[#This Row],[ID]]),Tabela.passagens[Data])</f>
        <v>#N/A</v>
      </c>
      <c r="M36" s="161">
        <f>Tabela.cadastro[[#This Row],[ID]]</f>
        <v>35</v>
      </c>
    </row>
    <row r="37" spans="1:13" x14ac:dyDescent="0.25">
      <c r="A37" s="155">
        <f t="shared" si="1"/>
        <v>36</v>
      </c>
      <c r="B37" s="156"/>
      <c r="C37" s="157"/>
      <c r="D37" s="158"/>
      <c r="E37" s="158"/>
      <c r="F37" s="158"/>
      <c r="G37" s="158"/>
      <c r="H37" s="158"/>
      <c r="I37" s="159"/>
      <c r="J37" s="154"/>
      <c r="K37" s="160"/>
      <c r="L37" s="19" t="e">
        <f>LOOKUP(2,1/(Tabela.passagens[id]=Tabela.cadastro[[#This Row],[ID]]),Tabela.passagens[Data])</f>
        <v>#N/A</v>
      </c>
      <c r="M37" s="161">
        <f>Tabela.cadastro[[#This Row],[ID]]</f>
        <v>36</v>
      </c>
    </row>
    <row r="38" spans="1:13" x14ac:dyDescent="0.25">
      <c r="A38" s="155">
        <f t="shared" si="1"/>
        <v>37</v>
      </c>
      <c r="B38" s="156"/>
      <c r="C38" s="157"/>
      <c r="D38" s="158"/>
      <c r="E38" s="158"/>
      <c r="F38" s="158"/>
      <c r="G38" s="158"/>
      <c r="H38" s="158"/>
      <c r="I38" s="159"/>
      <c r="J38" s="154"/>
      <c r="K38" s="160"/>
      <c r="L38" s="19" t="e">
        <f>LOOKUP(2,1/(Tabela.passagens[id]=Tabela.cadastro[[#This Row],[ID]]),Tabela.passagens[Data])</f>
        <v>#N/A</v>
      </c>
      <c r="M38" s="161">
        <f>Tabela.cadastro[[#This Row],[ID]]</f>
        <v>37</v>
      </c>
    </row>
    <row r="39" spans="1:13" x14ac:dyDescent="0.25">
      <c r="A39" s="155">
        <f t="shared" si="1"/>
        <v>38</v>
      </c>
      <c r="B39" s="156"/>
      <c r="C39" s="157"/>
      <c r="D39" s="158"/>
      <c r="E39" s="158"/>
      <c r="F39" s="158"/>
      <c r="G39" s="158"/>
      <c r="H39" s="158"/>
      <c r="I39" s="159"/>
      <c r="J39" s="154"/>
      <c r="K39" s="160"/>
      <c r="L39" s="19" t="e">
        <f>LOOKUP(2,1/(Tabela.passagens[id]=Tabela.cadastro[[#This Row],[ID]]),Tabela.passagens[Data])</f>
        <v>#N/A</v>
      </c>
      <c r="M39" s="161">
        <f>Tabela.cadastro[[#This Row],[ID]]</f>
        <v>38</v>
      </c>
    </row>
    <row r="40" spans="1:13" x14ac:dyDescent="0.25">
      <c r="A40" s="155">
        <f t="shared" si="1"/>
        <v>39</v>
      </c>
      <c r="B40" s="156"/>
      <c r="C40" s="157"/>
      <c r="D40" s="158"/>
      <c r="E40" s="158"/>
      <c r="F40" s="158"/>
      <c r="G40" s="158"/>
      <c r="H40" s="158"/>
      <c r="I40" s="159"/>
      <c r="J40" s="154"/>
      <c r="K40" s="160"/>
      <c r="L40" s="19" t="e">
        <f>LOOKUP(2,1/(Tabela.passagens[id]=Tabela.cadastro[[#This Row],[ID]]),Tabela.passagens[Data])</f>
        <v>#N/A</v>
      </c>
      <c r="M40" s="161">
        <f>Tabela.cadastro[[#This Row],[ID]]</f>
        <v>39</v>
      </c>
    </row>
    <row r="41" spans="1:13" x14ac:dyDescent="0.25">
      <c r="A41" s="162">
        <f t="shared" si="1"/>
        <v>40</v>
      </c>
      <c r="B41" s="163"/>
      <c r="C41" s="164"/>
      <c r="D41" s="165"/>
      <c r="E41" s="165"/>
      <c r="F41" s="165"/>
      <c r="G41" s="165"/>
      <c r="H41" s="165"/>
      <c r="I41" s="166"/>
      <c r="J41" s="167"/>
      <c r="K41" s="168"/>
      <c r="L41" s="140" t="e">
        <f>LOOKUP(2,1/(Tabela.passagens[id]=Tabela.cadastro[[#This Row],[ID]]),Tabela.passagens[Data])</f>
        <v>#N/A</v>
      </c>
      <c r="M41" s="169">
        <f>Tabela.cadastro[[#This Row],[ID]]</f>
        <v>40</v>
      </c>
    </row>
  </sheetData>
  <sheetProtection autoFilter="0"/>
  <protectedRanges>
    <protectedRange sqref="B22:L1048576 B1:K21" name="Cadastro_preenchimento"/>
  </protectedRanges>
  <conditionalFormatting sqref="M22:M1048576 L2:L41">
    <cfRule type="containsErrors" dxfId="198" priority="47">
      <formula>ISERROR(L2)</formula>
    </cfRule>
  </conditionalFormatting>
  <conditionalFormatting sqref="B5">
    <cfRule type="containsErrors" dxfId="197" priority="34">
      <formula>ISERROR(B5)</formula>
    </cfRule>
  </conditionalFormatting>
  <conditionalFormatting sqref="B1:B1048576">
    <cfRule type="duplicateValues" dxfId="196" priority="156"/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32"/>
  <sheetViews>
    <sheetView zoomScaleNormal="100" workbookViewId="0">
      <selection activeCell="G21" sqref="G21"/>
    </sheetView>
  </sheetViews>
  <sheetFormatPr defaultRowHeight="15" x14ac:dyDescent="0.25"/>
  <cols>
    <col min="1" max="1" width="8.7109375" style="149" customWidth="1"/>
    <col min="2" max="2" width="34.85546875" style="150" customWidth="1"/>
    <col min="3" max="3" width="29.28515625" style="150" customWidth="1"/>
    <col min="4" max="4" width="13.42578125" style="145" customWidth="1"/>
    <col min="5" max="5" width="26.140625" style="145" customWidth="1"/>
    <col min="6" max="6" width="15" style="145" customWidth="1"/>
    <col min="7" max="7" width="52.42578125" style="147" customWidth="1"/>
    <col min="8" max="16384" width="9.140625" style="145"/>
  </cols>
  <sheetData>
    <row r="1" spans="1:7" ht="17.100000000000001" customHeight="1" x14ac:dyDescent="0.25">
      <c r="A1" s="141" t="s">
        <v>3</v>
      </c>
      <c r="B1" s="142" t="s">
        <v>20</v>
      </c>
      <c r="C1" s="142" t="s">
        <v>18</v>
      </c>
      <c r="D1" s="143" t="s">
        <v>8</v>
      </c>
      <c r="E1" s="143" t="s">
        <v>6</v>
      </c>
      <c r="F1" s="143" t="s">
        <v>14</v>
      </c>
      <c r="G1" s="144" t="s">
        <v>7</v>
      </c>
    </row>
    <row r="2" spans="1:7" x14ac:dyDescent="0.25">
      <c r="A2" s="149">
        <v>1</v>
      </c>
      <c r="B2" s="21" t="str">
        <f>VLOOKUP(Tabela.passagens[[#This Row],[id]],Tabela.cadastro[],2)</f>
        <v>Maria do Carmo</v>
      </c>
      <c r="C2" s="25" t="str">
        <f>VLOOKUP(Tabela.passagens[[#This Row],[id]],Tabela.cadastro[],3)</f>
        <v>Não apresentou</v>
      </c>
      <c r="D2" s="145">
        <v>5733</v>
      </c>
      <c r="E2" s="145" t="s">
        <v>9</v>
      </c>
      <c r="F2" s="146">
        <v>41881</v>
      </c>
      <c r="G2" s="148"/>
    </row>
    <row r="3" spans="1:7" x14ac:dyDescent="0.25">
      <c r="A3" s="149">
        <v>4</v>
      </c>
      <c r="B3" s="21" t="str">
        <f>VLOOKUP(Tabela.passagens[[#This Row],[id]],Tabela.cadastro[],2)</f>
        <v>João Pereira</v>
      </c>
      <c r="C3" s="25" t="str">
        <f>VLOOKUP(Tabela.passagens[[#This Row],[id]],Tabela.cadastro[],3)</f>
        <v>BO: 1128-2014-0009997</v>
      </c>
      <c r="D3" s="145">
        <v>5734</v>
      </c>
      <c r="E3" s="145" t="s">
        <v>151</v>
      </c>
      <c r="F3" s="146">
        <v>41882</v>
      </c>
      <c r="G3" s="148"/>
    </row>
    <row r="4" spans="1:7" x14ac:dyDescent="0.25">
      <c r="A4" s="149">
        <v>6</v>
      </c>
      <c r="B4" s="21" t="str">
        <f>VLOOKUP(Tabela.passagens[[#This Row],[id]],Tabela.cadastro[],2)</f>
        <v>Marcos Costa</v>
      </c>
      <c r="C4" s="25" t="str">
        <f>VLOOKUP(Tabela.passagens[[#This Row],[id]],Tabela.cadastro[],3)</f>
        <v>Não apresentou</v>
      </c>
      <c r="D4" s="145">
        <v>5735</v>
      </c>
      <c r="E4" s="145" t="s">
        <v>10</v>
      </c>
      <c r="F4" s="146">
        <v>41883</v>
      </c>
      <c r="G4" s="148"/>
    </row>
    <row r="5" spans="1:7" x14ac:dyDescent="0.25">
      <c r="A5" s="149">
        <v>8</v>
      </c>
      <c r="B5" s="21" t="str">
        <f>VLOOKUP(Tabela.passagens[[#This Row],[id]],Tabela.cadastro[],2)</f>
        <v>Luiz Souza</v>
      </c>
      <c r="C5" s="25" t="str">
        <f>VLOOKUP(Tabela.passagens[[#This Row],[id]],Tabela.cadastro[],3)</f>
        <v>RG: 11.222.333 MG</v>
      </c>
      <c r="D5" s="145">
        <v>5736</v>
      </c>
      <c r="E5" s="145" t="s">
        <v>11</v>
      </c>
      <c r="F5" s="146">
        <v>41884</v>
      </c>
      <c r="G5" s="148"/>
    </row>
    <row r="6" spans="1:7" x14ac:dyDescent="0.25">
      <c r="A6" s="149">
        <v>4</v>
      </c>
      <c r="B6" s="21" t="str">
        <f>VLOOKUP(Tabela.passagens[[#This Row],[id]],Tabela.cadastro[],2)</f>
        <v>João Pereira</v>
      </c>
      <c r="C6" s="25" t="str">
        <f>VLOOKUP(Tabela.passagens[[#This Row],[id]],Tabela.cadastro[],3)</f>
        <v>BO: 1128-2014-0009997</v>
      </c>
      <c r="D6" s="145">
        <v>5737</v>
      </c>
      <c r="E6" s="145" t="s">
        <v>9</v>
      </c>
      <c r="F6" s="146">
        <v>41885</v>
      </c>
      <c r="G6" s="148"/>
    </row>
    <row r="7" spans="1:7" x14ac:dyDescent="0.25">
      <c r="A7" s="149">
        <v>2</v>
      </c>
      <c r="B7" s="21" t="str">
        <f>VLOOKUP(Tabela.passagens[[#This Row],[id]],Tabela.cadastro[],2)</f>
        <v>José Augusto</v>
      </c>
      <c r="C7" s="25" t="str">
        <f>VLOOKUP(Tabela.passagens[[#This Row],[id]],Tabela.cadastro[],3)</f>
        <v>BO: 1128-2014-0009999</v>
      </c>
      <c r="D7" s="145">
        <v>5738</v>
      </c>
      <c r="E7" s="145" t="s">
        <v>151</v>
      </c>
      <c r="F7" s="146">
        <v>41886</v>
      </c>
      <c r="G7" s="148"/>
    </row>
    <row r="8" spans="1:7" x14ac:dyDescent="0.25">
      <c r="A8" s="149">
        <v>12</v>
      </c>
      <c r="B8" s="21" t="str">
        <f>VLOOKUP(Tabela.passagens[[#This Row],[id]],Tabela.cadastro[],2)</f>
        <v>Marina Rodrigues</v>
      </c>
      <c r="C8" s="25" t="str">
        <f>VLOOKUP(Tabela.passagens[[#This Row],[id]],Tabela.cadastro[],3)</f>
        <v>RG: 11.222.333 MG</v>
      </c>
      <c r="D8" s="145">
        <v>5739</v>
      </c>
      <c r="E8" s="145" t="s">
        <v>10</v>
      </c>
      <c r="F8" s="146">
        <v>41887</v>
      </c>
      <c r="G8" s="148"/>
    </row>
    <row r="9" spans="1:7" x14ac:dyDescent="0.25">
      <c r="A9" s="149">
        <v>8</v>
      </c>
      <c r="B9" s="21" t="str">
        <f>VLOOKUP(Tabela.passagens[[#This Row],[id]],Tabela.cadastro[],2)</f>
        <v>Luiz Souza</v>
      </c>
      <c r="C9" s="25" t="str">
        <f>VLOOKUP(Tabela.passagens[[#This Row],[id]],Tabela.cadastro[],3)</f>
        <v>RG: 11.222.333 MG</v>
      </c>
      <c r="D9" s="145">
        <v>5740</v>
      </c>
      <c r="E9" s="145" t="s">
        <v>11</v>
      </c>
      <c r="F9" s="146">
        <v>42005</v>
      </c>
      <c r="G9" s="148"/>
    </row>
    <row r="10" spans="1:7" x14ac:dyDescent="0.25">
      <c r="A10" s="149">
        <v>4</v>
      </c>
      <c r="B10" s="21" t="str">
        <f>VLOOKUP(Tabela.passagens[[#This Row],[id]],Tabela.cadastro[],2)</f>
        <v>João Pereira</v>
      </c>
      <c r="C10" s="25" t="str">
        <f>VLOOKUP(Tabela.passagens[[#This Row],[id]],Tabela.cadastro[],3)</f>
        <v>BO: 1128-2014-0009997</v>
      </c>
      <c r="D10" s="145">
        <v>5741</v>
      </c>
      <c r="E10" s="145" t="s">
        <v>9</v>
      </c>
      <c r="F10" s="146">
        <v>42036</v>
      </c>
      <c r="G10" s="148"/>
    </row>
    <row r="11" spans="1:7" x14ac:dyDescent="0.25">
      <c r="A11" s="149">
        <v>20</v>
      </c>
      <c r="B11" s="21" t="str">
        <f>VLOOKUP(Tabela.passagens[[#This Row],[id]],Tabela.cadastro[],2)</f>
        <v>Josefina Andrade</v>
      </c>
      <c r="C11" s="25" t="str">
        <f>VLOOKUP(Tabela.passagens[[#This Row],[id]],Tabela.cadastro[],3)</f>
        <v>RG: 11.222.333 MG</v>
      </c>
      <c r="D11" s="145">
        <v>5742</v>
      </c>
      <c r="E11" s="145" t="s">
        <v>151</v>
      </c>
      <c r="F11" s="146">
        <v>42064</v>
      </c>
      <c r="G11" s="148"/>
    </row>
    <row r="12" spans="1:7" x14ac:dyDescent="0.25">
      <c r="B12" s="21" t="e">
        <f>VLOOKUP(Tabela.passagens[[#This Row],[id]],Tabela.cadastro[],2)</f>
        <v>#N/A</v>
      </c>
      <c r="C12" s="25" t="e">
        <f>VLOOKUP(Tabela.passagens[[#This Row],[id]],Tabela.cadastro[],3)</f>
        <v>#N/A</v>
      </c>
      <c r="D12" s="145">
        <v>5743</v>
      </c>
      <c r="F12" s="146"/>
      <c r="G12" s="148"/>
    </row>
    <row r="13" spans="1:7" x14ac:dyDescent="0.25">
      <c r="B13" s="21" t="e">
        <f>VLOOKUP(Tabela.passagens[[#This Row],[id]],Tabela.cadastro[],2)</f>
        <v>#N/A</v>
      </c>
      <c r="C13" s="25" t="e">
        <f>VLOOKUP(Tabela.passagens[[#This Row],[id]],Tabela.cadastro[],3)</f>
        <v>#N/A</v>
      </c>
      <c r="D13" s="145">
        <v>5744</v>
      </c>
      <c r="F13" s="146"/>
      <c r="G13" s="148"/>
    </row>
    <row r="14" spans="1:7" x14ac:dyDescent="0.25">
      <c r="B14" s="21" t="e">
        <f>VLOOKUP(Tabela.passagens[[#This Row],[id]],Tabela.cadastro[],2)</f>
        <v>#N/A</v>
      </c>
      <c r="C14" s="25" t="e">
        <f>VLOOKUP(Tabela.passagens[[#This Row],[id]],Tabela.cadastro[],3)</f>
        <v>#N/A</v>
      </c>
      <c r="D14" s="145">
        <v>5745</v>
      </c>
      <c r="F14" s="146"/>
      <c r="G14" s="148"/>
    </row>
    <row r="15" spans="1:7" x14ac:dyDescent="0.25">
      <c r="B15" s="21" t="e">
        <f>VLOOKUP(Tabela.passagens[[#This Row],[id]],Tabela.cadastro[],2)</f>
        <v>#N/A</v>
      </c>
      <c r="C15" s="25" t="e">
        <f>VLOOKUP(Tabela.passagens[[#This Row],[id]],Tabela.cadastro[],3)</f>
        <v>#N/A</v>
      </c>
      <c r="D15" s="145">
        <v>5746</v>
      </c>
      <c r="F15" s="146"/>
      <c r="G15" s="148"/>
    </row>
    <row r="16" spans="1:7" x14ac:dyDescent="0.25">
      <c r="B16" s="21" t="e">
        <f>VLOOKUP(Tabela.passagens[[#This Row],[id]],Tabela.cadastro[],2)</f>
        <v>#N/A</v>
      </c>
      <c r="C16" s="25" t="e">
        <f>VLOOKUP(Tabela.passagens[[#This Row],[id]],Tabela.cadastro[],3)</f>
        <v>#N/A</v>
      </c>
      <c r="D16" s="145">
        <v>5747</v>
      </c>
      <c r="F16" s="146"/>
      <c r="G16" s="148"/>
    </row>
    <row r="17" spans="2:7" x14ac:dyDescent="0.25">
      <c r="B17" s="21" t="e">
        <f>VLOOKUP(Tabela.passagens[[#This Row],[id]],Tabela.cadastro[],2)</f>
        <v>#N/A</v>
      </c>
      <c r="C17" s="25" t="e">
        <f>VLOOKUP(Tabela.passagens[[#This Row],[id]],Tabela.cadastro[],3)</f>
        <v>#N/A</v>
      </c>
      <c r="D17" s="145">
        <v>5748</v>
      </c>
      <c r="F17" s="146"/>
      <c r="G17" s="148"/>
    </row>
    <row r="18" spans="2:7" x14ac:dyDescent="0.25">
      <c r="B18" s="21" t="e">
        <f>VLOOKUP(Tabela.passagens[[#This Row],[id]],Tabela.cadastro[],2)</f>
        <v>#N/A</v>
      </c>
      <c r="C18" s="25" t="e">
        <f>VLOOKUP(Tabela.passagens[[#This Row],[id]],Tabela.cadastro[],3)</f>
        <v>#N/A</v>
      </c>
      <c r="D18" s="145">
        <v>5749</v>
      </c>
      <c r="F18" s="146"/>
      <c r="G18" s="148"/>
    </row>
    <row r="19" spans="2:7" x14ac:dyDescent="0.25">
      <c r="B19" s="21" t="e">
        <f>VLOOKUP(Tabela.passagens[[#This Row],[id]],Tabela.cadastro[],2)</f>
        <v>#N/A</v>
      </c>
      <c r="C19" s="25" t="e">
        <f>VLOOKUP(Tabela.passagens[[#This Row],[id]],Tabela.cadastro[],3)</f>
        <v>#N/A</v>
      </c>
      <c r="D19" s="145">
        <v>5750</v>
      </c>
      <c r="F19" s="146"/>
      <c r="G19" s="148"/>
    </row>
    <row r="20" spans="2:7" x14ac:dyDescent="0.25">
      <c r="B20" s="21" t="e">
        <f>VLOOKUP(Tabela.passagens[[#This Row],[id]],Tabela.cadastro[],2)</f>
        <v>#N/A</v>
      </c>
      <c r="C20" s="25" t="e">
        <f>VLOOKUP(Tabela.passagens[[#This Row],[id]],Tabela.cadastro[],3)</f>
        <v>#N/A</v>
      </c>
      <c r="D20" s="145">
        <v>5751</v>
      </c>
      <c r="F20" s="146"/>
      <c r="G20" s="148"/>
    </row>
    <row r="21" spans="2:7" x14ac:dyDescent="0.25">
      <c r="B21" s="21" t="e">
        <f>VLOOKUP(Tabela.passagens[[#This Row],[id]],Tabela.cadastro[],2)</f>
        <v>#N/A</v>
      </c>
      <c r="C21" s="25" t="e">
        <f>VLOOKUP(Tabela.passagens[[#This Row],[id]],Tabela.cadastro[],3)</f>
        <v>#N/A</v>
      </c>
      <c r="D21" s="145">
        <v>5752</v>
      </c>
      <c r="F21" s="146"/>
      <c r="G21" s="148"/>
    </row>
    <row r="22" spans="2:7" x14ac:dyDescent="0.25">
      <c r="B22" s="21" t="e">
        <f>VLOOKUP(Tabela.passagens[[#This Row],[id]],Tabela.cadastro[],2)</f>
        <v>#N/A</v>
      </c>
      <c r="C22" s="25" t="e">
        <f>VLOOKUP(Tabela.passagens[[#This Row],[id]],Tabela.cadastro[],3)</f>
        <v>#N/A</v>
      </c>
      <c r="D22" s="145">
        <v>5753</v>
      </c>
      <c r="F22" s="146"/>
      <c r="G22" s="148"/>
    </row>
    <row r="23" spans="2:7" x14ac:dyDescent="0.25">
      <c r="B23" s="21" t="e">
        <f>VLOOKUP(Tabela.passagens[[#This Row],[id]],Tabela.cadastro[],2)</f>
        <v>#N/A</v>
      </c>
      <c r="C23" s="25" t="e">
        <f>VLOOKUP(Tabela.passagens[[#This Row],[id]],Tabela.cadastro[],3)</f>
        <v>#N/A</v>
      </c>
      <c r="D23" s="145">
        <v>5754</v>
      </c>
      <c r="F23" s="146"/>
      <c r="G23" s="148"/>
    </row>
    <row r="24" spans="2:7" x14ac:dyDescent="0.25">
      <c r="B24" s="21" t="e">
        <f>VLOOKUP(Tabela.passagens[[#This Row],[id]],Tabela.cadastro[],2)</f>
        <v>#N/A</v>
      </c>
      <c r="C24" s="25" t="e">
        <f>VLOOKUP(Tabela.passagens[[#This Row],[id]],Tabela.cadastro[],3)</f>
        <v>#N/A</v>
      </c>
      <c r="D24" s="145">
        <v>5755</v>
      </c>
      <c r="F24" s="146"/>
      <c r="G24" s="148"/>
    </row>
    <row r="25" spans="2:7" x14ac:dyDescent="0.25">
      <c r="B25" s="21" t="e">
        <f>VLOOKUP(Tabela.passagens[[#This Row],[id]],Tabela.cadastro[],2)</f>
        <v>#N/A</v>
      </c>
      <c r="C25" s="25" t="e">
        <f>VLOOKUP(Tabela.passagens[[#This Row],[id]],Tabela.cadastro[],3)</f>
        <v>#N/A</v>
      </c>
      <c r="D25" s="145">
        <v>5756</v>
      </c>
      <c r="F25" s="146"/>
      <c r="G25" s="148"/>
    </row>
    <row r="26" spans="2:7" x14ac:dyDescent="0.25">
      <c r="B26" s="21" t="e">
        <f>VLOOKUP(Tabela.passagens[[#This Row],[id]],Tabela.cadastro[],2)</f>
        <v>#N/A</v>
      </c>
      <c r="C26" s="25" t="e">
        <f>VLOOKUP(Tabela.passagens[[#This Row],[id]],Tabela.cadastro[],3)</f>
        <v>#N/A</v>
      </c>
      <c r="D26" s="145">
        <v>5757</v>
      </c>
      <c r="F26" s="146"/>
      <c r="G26" s="148"/>
    </row>
    <row r="27" spans="2:7" x14ac:dyDescent="0.25">
      <c r="B27" s="21" t="e">
        <f>VLOOKUP(Tabela.passagens[[#This Row],[id]],Tabela.cadastro[],2)</f>
        <v>#N/A</v>
      </c>
      <c r="C27" s="25" t="e">
        <f>VLOOKUP(Tabela.passagens[[#This Row],[id]],Tabela.cadastro[],3)</f>
        <v>#N/A</v>
      </c>
      <c r="D27" s="145">
        <v>5758</v>
      </c>
      <c r="F27" s="146"/>
      <c r="G27" s="148"/>
    </row>
    <row r="28" spans="2:7" x14ac:dyDescent="0.25">
      <c r="B28" s="21" t="e">
        <f>VLOOKUP(Tabela.passagens[[#This Row],[id]],Tabela.cadastro[],2)</f>
        <v>#N/A</v>
      </c>
      <c r="C28" s="25" t="e">
        <f>VLOOKUP(Tabela.passagens[[#This Row],[id]],Tabela.cadastro[],3)</f>
        <v>#N/A</v>
      </c>
      <c r="D28" s="145">
        <v>5759</v>
      </c>
      <c r="F28" s="146"/>
      <c r="G28" s="148"/>
    </row>
    <row r="29" spans="2:7" x14ac:dyDescent="0.25">
      <c r="B29" s="21" t="e">
        <f>VLOOKUP(Tabela.passagens[[#This Row],[id]],Tabela.cadastro[],2)</f>
        <v>#N/A</v>
      </c>
      <c r="C29" s="25" t="e">
        <f>VLOOKUP(Tabela.passagens[[#This Row],[id]],Tabela.cadastro[],3)</f>
        <v>#N/A</v>
      </c>
      <c r="D29" s="145">
        <v>5760</v>
      </c>
      <c r="F29" s="146"/>
      <c r="G29" s="148"/>
    </row>
    <row r="30" spans="2:7" x14ac:dyDescent="0.25">
      <c r="B30" s="21" t="e">
        <f>VLOOKUP(Tabela.passagens[[#This Row],[id]],Tabela.cadastro[],2)</f>
        <v>#N/A</v>
      </c>
      <c r="C30" s="25" t="e">
        <f>VLOOKUP(Tabela.passagens[[#This Row],[id]],Tabela.cadastro[],3)</f>
        <v>#N/A</v>
      </c>
      <c r="D30" s="145">
        <v>5761</v>
      </c>
      <c r="F30" s="146"/>
      <c r="G30" s="148"/>
    </row>
    <row r="31" spans="2:7" x14ac:dyDescent="0.25">
      <c r="B31" s="21" t="e">
        <f>VLOOKUP(Tabela.passagens[[#This Row],[id]],Tabela.cadastro[],2)</f>
        <v>#N/A</v>
      </c>
      <c r="C31" s="25" t="e">
        <f>VLOOKUP(Tabela.passagens[[#This Row],[id]],Tabela.cadastro[],3)</f>
        <v>#N/A</v>
      </c>
      <c r="D31" s="145">
        <v>5762</v>
      </c>
      <c r="F31" s="146"/>
      <c r="G31" s="148"/>
    </row>
    <row r="32" spans="2:7" x14ac:dyDescent="0.25">
      <c r="B32" s="142" t="e">
        <f>VLOOKUP(Tabela.passagens[[#This Row],[id]],Tabela.cadastro[],2)</f>
        <v>#N/A</v>
      </c>
      <c r="C32" s="13" t="e">
        <f>VLOOKUP(Tabela.passagens[[#This Row],[id]],Tabela.cadastro[],3)</f>
        <v>#N/A</v>
      </c>
    </row>
  </sheetData>
  <sheetProtection autoFilter="0"/>
  <protectedRanges>
    <protectedRange sqref="A2:A467" name="Passagens novas ID"/>
    <protectedRange sqref="D2:G467" name="Passagens novas Informacoes"/>
  </protectedRanges>
  <conditionalFormatting sqref="B2:C32">
    <cfRule type="containsErrors" dxfId="166" priority="3">
      <formula>ISERROR(B2)</formula>
    </cfRule>
  </conditionalFormatting>
  <dataValidations count="1">
    <dataValidation type="date" operator="greaterThan" allowBlank="1" showErrorMessage="1" errorTitle="Erro de formato" error="Favor preencher data no formato dd/mm/aaaa" sqref="F2:F32">
      <formula1>41640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F212"/>
  <sheetViews>
    <sheetView zoomScaleNormal="100" workbookViewId="0">
      <selection activeCell="K14" sqref="K14"/>
    </sheetView>
  </sheetViews>
  <sheetFormatPr defaultRowHeight="15.75" x14ac:dyDescent="0.25"/>
  <cols>
    <col min="1" max="1" width="9.140625" style="35" customWidth="1"/>
    <col min="2" max="2" width="75.5703125" style="27" customWidth="1"/>
    <col min="3" max="3" width="16.140625" style="16" customWidth="1"/>
    <col min="4" max="4" width="14.5703125" style="28" customWidth="1"/>
    <col min="5" max="5" width="14.42578125" style="29" customWidth="1"/>
    <col min="6" max="6" width="14.140625" style="119" customWidth="1"/>
    <col min="7" max="16384" width="9.140625" style="1"/>
  </cols>
  <sheetData>
    <row r="1" spans="1:5" ht="17.100000000000001" customHeight="1" x14ac:dyDescent="0.25">
      <c r="A1" s="96" t="s">
        <v>3</v>
      </c>
      <c r="B1" s="22" t="s">
        <v>12</v>
      </c>
      <c r="C1" s="22" t="s">
        <v>14</v>
      </c>
      <c r="D1" s="22" t="s">
        <v>13</v>
      </c>
      <c r="E1" s="72" t="s">
        <v>36</v>
      </c>
    </row>
    <row r="2" spans="1:5" ht="17.100000000000001" customHeight="1" x14ac:dyDescent="0.25">
      <c r="A2" s="26">
        <f>IFERROR(VLOOKUP(Tabela.frequencia[[#This Row],[Usuário]],Tabela.cadastro[[Nome]:[id2]],12,0),"")</f>
        <v>1</v>
      </c>
      <c r="B2" s="10" t="s">
        <v>124</v>
      </c>
      <c r="C2" s="132">
        <v>41821</v>
      </c>
      <c r="D2" s="23">
        <f>ROUNDDOWN(((Tabela.frequencia[[#This Row],[Data]]-VLOOKUP(Tabela.frequencia[[#This Row],[Usuário]],Tabela.cadastro[[Nome]:[id2]],7,0))/365.25),0)</f>
        <v>19</v>
      </c>
      <c r="E2" s="71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" spans="1:5" ht="17.100000000000001" customHeight="1" x14ac:dyDescent="0.25">
      <c r="A3" s="26">
        <f>IFERROR(VLOOKUP(Tabela.frequencia[[#This Row],[Usuário]],Tabela.cadastro[[Nome]:[id2]],12,0),"")</f>
        <v>2</v>
      </c>
      <c r="B3" s="10" t="s">
        <v>125</v>
      </c>
      <c r="C3" s="132">
        <v>41821</v>
      </c>
      <c r="D3" s="23">
        <f>ROUNDDOWN(((Tabela.frequencia[[#This Row],[Data]]-VLOOKUP(Tabela.frequencia[[#This Row],[Usuário]],Tabela.cadastro[[Nome]:[id2]],7,0))/365.25),0)</f>
        <v>31</v>
      </c>
      <c r="E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" spans="1:5" ht="17.100000000000001" customHeight="1" x14ac:dyDescent="0.25">
      <c r="A4" s="26">
        <f>IFERROR(VLOOKUP(Tabela.frequencia[[#This Row],[Usuário]],Tabela.cadastro[[Nome]:[id2]],12,0),"")</f>
        <v>3</v>
      </c>
      <c r="B4" s="10" t="s">
        <v>126</v>
      </c>
      <c r="C4" s="132">
        <v>41821</v>
      </c>
      <c r="D4" s="23">
        <f>ROUNDDOWN(((Tabela.frequencia[[#This Row],[Data]]-VLOOKUP(Tabela.frequencia[[#This Row],[Usuário]],Tabela.cadastro[[Nome]:[id2]],7,0))/365.25),0)</f>
        <v>29</v>
      </c>
      <c r="E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" spans="1:5" ht="17.100000000000001" customHeight="1" x14ac:dyDescent="0.25">
      <c r="A5" s="26">
        <f>IFERROR(VLOOKUP(Tabela.frequencia[[#This Row],[Usuário]],Tabela.cadastro[[Nome]:[id2]],12,0),"")</f>
        <v>4</v>
      </c>
      <c r="B5" s="49" t="s">
        <v>127</v>
      </c>
      <c r="C5" s="98">
        <v>41821</v>
      </c>
      <c r="D5" s="23">
        <f>ROUNDDOWN(((Tabela.frequencia[[#This Row],[Data]]-VLOOKUP(Tabela.frequencia[[#This Row],[Usuário]],Tabela.cadastro[[Nome]:[id2]],7,0))/365.25),0)</f>
        <v>41</v>
      </c>
      <c r="E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6" spans="1:5" ht="17.100000000000001" customHeight="1" x14ac:dyDescent="0.25">
      <c r="A6" s="26">
        <f>IFERROR(VLOOKUP(Tabela.frequencia[[#This Row],[Usuário]],Tabela.cadastro[[Nome]:[id2]],12,0),"")</f>
        <v>5</v>
      </c>
      <c r="B6" s="10" t="s">
        <v>128</v>
      </c>
      <c r="C6" s="132">
        <v>41821</v>
      </c>
      <c r="D6" s="23">
        <f>ROUNDDOWN(((Tabela.frequencia[[#This Row],[Data]]-VLOOKUP(Tabela.frequencia[[#This Row],[Usuário]],Tabela.cadastro[[Nome]:[id2]],7,0))/365.25),0)</f>
        <v>69</v>
      </c>
      <c r="E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7" spans="1:5" ht="17.100000000000001" customHeight="1" x14ac:dyDescent="0.25">
      <c r="A7" s="26">
        <f>IFERROR(VLOOKUP(Tabela.frequencia[[#This Row],[Usuário]],Tabela.cadastro[[Nome]:[id2]],12,0),"")</f>
        <v>6</v>
      </c>
      <c r="B7" s="10" t="s">
        <v>129</v>
      </c>
      <c r="C7" s="132">
        <v>41821</v>
      </c>
      <c r="D7" s="23">
        <f>ROUNDDOWN(((Tabela.frequencia[[#This Row],[Data]]-VLOOKUP(Tabela.frequencia[[#This Row],[Usuário]],Tabela.cadastro[[Nome]:[id2]],7,0))/365.25),0)</f>
        <v>14</v>
      </c>
      <c r="E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8" spans="1:5" ht="17.100000000000001" customHeight="1" x14ac:dyDescent="0.25">
      <c r="A8" s="26">
        <f>IFERROR(VLOOKUP(Tabela.frequencia[[#This Row],[Usuário]],Tabela.cadastro[[Nome]:[id2]],12,0),"")</f>
        <v>7</v>
      </c>
      <c r="B8" t="s">
        <v>130</v>
      </c>
      <c r="C8" s="132">
        <v>41821</v>
      </c>
      <c r="D8" s="23">
        <f>ROUNDDOWN(((Tabela.frequencia[[#This Row],[Data]]-VLOOKUP(Tabela.frequencia[[#This Row],[Usuário]],Tabela.cadastro[[Nome]:[id2]],7,0))/365.25),0)</f>
        <v>74</v>
      </c>
      <c r="E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9" spans="1:5" ht="17.100000000000001" customHeight="1" x14ac:dyDescent="0.25">
      <c r="A9" s="26">
        <f>IFERROR(VLOOKUP(Tabela.frequencia[[#This Row],[Usuário]],Tabela.cadastro[[Nome]:[id2]],12,0),"")</f>
        <v>8</v>
      </c>
      <c r="B9" s="10" t="s">
        <v>131</v>
      </c>
      <c r="C9" s="132">
        <v>41821</v>
      </c>
      <c r="D9" s="23">
        <f>ROUNDDOWN(((Tabela.frequencia[[#This Row],[Data]]-VLOOKUP(Tabela.frequencia[[#This Row],[Usuário]],Tabela.cadastro[[Nome]:[id2]],7,0))/365.25),0)</f>
        <v>27</v>
      </c>
      <c r="E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0" spans="1:5" ht="17.100000000000001" customHeight="1" x14ac:dyDescent="0.25">
      <c r="A10" s="26">
        <f>IFERROR(VLOOKUP(Tabela.frequencia[[#This Row],[Usuário]],Tabela.cadastro[[Nome]:[id2]],12,0),"")</f>
        <v>9</v>
      </c>
      <c r="B10" s="10" t="s">
        <v>132</v>
      </c>
      <c r="C10" s="132">
        <v>41821</v>
      </c>
      <c r="D10" s="23">
        <f>ROUNDDOWN(((Tabela.frequencia[[#This Row],[Data]]-VLOOKUP(Tabela.frequencia[[#This Row],[Usuário]],Tabela.cadastro[[Nome]:[id2]],7,0))/365.25),0)</f>
        <v>44</v>
      </c>
      <c r="E1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1" spans="1:5" ht="17.100000000000001" customHeight="1" x14ac:dyDescent="0.25">
      <c r="A11" s="26">
        <f>IFERROR(VLOOKUP(Tabela.frequencia[[#This Row],[Usuário]],Tabela.cadastro[[Nome]:[id2]],12,0),"")</f>
        <v>10</v>
      </c>
      <c r="B11" s="10" t="s">
        <v>133</v>
      </c>
      <c r="C11" s="132">
        <v>41821</v>
      </c>
      <c r="D11" s="23">
        <f>ROUNDDOWN(((Tabela.frequencia[[#This Row],[Data]]-VLOOKUP(Tabela.frequencia[[#This Row],[Usuário]],Tabela.cadastro[[Nome]:[id2]],7,0))/365.25),0)</f>
        <v>31</v>
      </c>
      <c r="E1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2" spans="1:5" ht="17.100000000000001" customHeight="1" x14ac:dyDescent="0.25">
      <c r="A12" s="26">
        <f>IFERROR(VLOOKUP(Tabela.frequencia[[#This Row],[Usuário]],Tabela.cadastro[[Nome]:[id2]],12,0),"")</f>
        <v>11</v>
      </c>
      <c r="B12" s="10" t="s">
        <v>134</v>
      </c>
      <c r="C12" s="132">
        <v>41821</v>
      </c>
      <c r="D12" s="23">
        <f>ROUNDDOWN(((Tabela.frequencia[[#This Row],[Data]]-VLOOKUP(Tabela.frequencia[[#This Row],[Usuário]],Tabela.cadastro[[Nome]:[id2]],7,0))/365.25),0)</f>
        <v>31</v>
      </c>
      <c r="E1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3" spans="1:5" ht="17.100000000000001" customHeight="1" x14ac:dyDescent="0.25">
      <c r="A13" s="26">
        <f>IFERROR(VLOOKUP(Tabela.frequencia[[#This Row],[Usuário]],Tabela.cadastro[[Nome]:[id2]],12,0),"")</f>
        <v>12</v>
      </c>
      <c r="B13" s="10" t="s">
        <v>135</v>
      </c>
      <c r="C13" s="132">
        <v>41821</v>
      </c>
      <c r="D13" s="23">
        <f>ROUNDDOWN(((Tabela.frequencia[[#This Row],[Data]]-VLOOKUP(Tabela.frequencia[[#This Row],[Usuário]],Tabela.cadastro[[Nome]:[id2]],7,0))/365.25),0)</f>
        <v>25</v>
      </c>
      <c r="E1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4" spans="1:5" ht="17.100000000000001" customHeight="1" x14ac:dyDescent="0.25">
      <c r="A14" s="26">
        <f>IFERROR(VLOOKUP(Tabela.frequencia[[#This Row],[Usuário]],Tabela.cadastro[[Nome]:[id2]],12,0),"")</f>
        <v>13</v>
      </c>
      <c r="B14" s="10" t="s">
        <v>136</v>
      </c>
      <c r="C14" s="132">
        <v>41821</v>
      </c>
      <c r="D14" s="23">
        <f>ROUNDDOWN(((Tabela.frequencia[[#This Row],[Data]]-VLOOKUP(Tabela.frequencia[[#This Row],[Usuário]],Tabela.cadastro[[Nome]:[id2]],7,0))/365.25),0)</f>
        <v>21</v>
      </c>
      <c r="E1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5" spans="1:5" ht="17.100000000000001" customHeight="1" x14ac:dyDescent="0.25">
      <c r="A15" s="26">
        <f>IFERROR(VLOOKUP(Tabela.frequencia[[#This Row],[Usuário]],Tabela.cadastro[[Nome]:[id2]],12,0),"")</f>
        <v>14</v>
      </c>
      <c r="B15" s="10" t="s">
        <v>137</v>
      </c>
      <c r="C15" s="132">
        <v>41821</v>
      </c>
      <c r="D15" s="23">
        <f>ROUNDDOWN(((Tabela.frequencia[[#This Row],[Data]]-VLOOKUP(Tabela.frequencia[[#This Row],[Usuário]],Tabela.cadastro[[Nome]:[id2]],7,0))/365.25),0)</f>
        <v>20</v>
      </c>
      <c r="E1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6" spans="1:5" ht="17.100000000000001" customHeight="1" x14ac:dyDescent="0.25">
      <c r="A16" s="26">
        <f>IFERROR(VLOOKUP(Tabela.frequencia[[#This Row],[Usuário]],Tabela.cadastro[[Nome]:[id2]],12,0),"")</f>
        <v>15</v>
      </c>
      <c r="B16" s="10" t="s">
        <v>138</v>
      </c>
      <c r="C16" s="132">
        <v>41821</v>
      </c>
      <c r="D16" s="23">
        <f>ROUNDDOWN(((Tabela.frequencia[[#This Row],[Data]]-VLOOKUP(Tabela.frequencia[[#This Row],[Usuário]],Tabela.cadastro[[Nome]:[id2]],7,0))/365.25),0)</f>
        <v>36</v>
      </c>
      <c r="E1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7" spans="1:5" ht="17.100000000000001" customHeight="1" x14ac:dyDescent="0.25">
      <c r="A17" s="26">
        <f>IFERROR(VLOOKUP(Tabela.frequencia[[#This Row],[Usuário]],Tabela.cadastro[[Nome]:[id2]],12,0),"")</f>
        <v>16</v>
      </c>
      <c r="B17" s="11" t="s">
        <v>139</v>
      </c>
      <c r="C17" s="132">
        <v>41821</v>
      </c>
      <c r="D17" s="23">
        <f>ROUNDDOWN(((Tabela.frequencia[[#This Row],[Data]]-VLOOKUP(Tabela.frequencia[[#This Row],[Usuário]],Tabela.cadastro[[Nome]:[id2]],7,0))/365.25),0)</f>
        <v>26</v>
      </c>
      <c r="E1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8" spans="1:5" ht="17.100000000000001" customHeight="1" x14ac:dyDescent="0.25">
      <c r="A18" s="26">
        <f>IFERROR(VLOOKUP(Tabela.frequencia[[#This Row],[Usuário]],Tabela.cadastro[[Nome]:[id2]],12,0),"")</f>
        <v>17</v>
      </c>
      <c r="B18" s="10" t="s">
        <v>141</v>
      </c>
      <c r="C18" s="132">
        <v>41821</v>
      </c>
      <c r="D18" s="23">
        <f>ROUNDDOWN(((Tabela.frequencia[[#This Row],[Data]]-VLOOKUP(Tabela.frequencia[[#This Row],[Usuário]],Tabela.cadastro[[Nome]:[id2]],7,0))/365.25),0)</f>
        <v>31</v>
      </c>
      <c r="E1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19" spans="1:5" ht="17.100000000000001" customHeight="1" x14ac:dyDescent="0.25">
      <c r="A19" s="26">
        <f>IFERROR(VLOOKUP(Tabela.frequencia[[#This Row],[Usuário]],Tabela.cadastro[[Nome]:[id2]],12,0),"")</f>
        <v>18</v>
      </c>
      <c r="B19" s="10" t="s">
        <v>140</v>
      </c>
      <c r="C19" s="132">
        <v>41821</v>
      </c>
      <c r="D19" s="23">
        <f>ROUNDDOWN(((Tabela.frequencia[[#This Row],[Data]]-VLOOKUP(Tabela.frequencia[[#This Row],[Usuário]],Tabela.cadastro[[Nome]:[id2]],7,0))/365.25),0)</f>
        <v>34</v>
      </c>
      <c r="E1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0" spans="1:5" ht="17.100000000000001" customHeight="1" x14ac:dyDescent="0.25">
      <c r="A20" s="26">
        <f>IFERROR(VLOOKUP(Tabela.frequencia[[#This Row],[Usuário]],Tabela.cadastro[[Nome]:[id2]],12,0),"")</f>
        <v>19</v>
      </c>
      <c r="B20" s="10" t="s">
        <v>142</v>
      </c>
      <c r="C20" s="132">
        <v>41821</v>
      </c>
      <c r="D20" s="23">
        <f>ROUNDDOWN(((Tabela.frequencia[[#This Row],[Data]]-VLOOKUP(Tabela.frequencia[[#This Row],[Usuário]],Tabela.cadastro[[Nome]:[id2]],7,0))/365.25),0)</f>
        <v>29</v>
      </c>
      <c r="E2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1" spans="1:5" ht="17.100000000000001" customHeight="1" x14ac:dyDescent="0.25">
      <c r="A21" s="34">
        <f>IFERROR(VLOOKUP(Tabela.frequencia[[#This Row],[Usuário]],Tabela.cadastro[[Nome]:[id2]],12,0),"")</f>
        <v>20</v>
      </c>
      <c r="B21" s="10" t="s">
        <v>143</v>
      </c>
      <c r="C21" s="132">
        <v>41822</v>
      </c>
      <c r="D21" s="23">
        <f>ROUNDDOWN(((Tabela.frequencia[[#This Row],[Data]]-VLOOKUP(Tabela.frequencia[[#This Row],[Usuário]],Tabela.cadastro[[Nome]:[id2]],7,0))/365.25),0)</f>
        <v>44</v>
      </c>
      <c r="E2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2" spans="1:5" ht="17.100000000000001" customHeight="1" x14ac:dyDescent="0.25">
      <c r="A22" s="34">
        <f>IFERROR(VLOOKUP(Tabela.frequencia[[#This Row],[Usuário]],Tabela.cadastro[[Nome]:[id2]],12,0),"")</f>
        <v>1</v>
      </c>
      <c r="B22" s="10" t="s">
        <v>124</v>
      </c>
      <c r="C22" s="132">
        <v>41822</v>
      </c>
      <c r="D22" s="23">
        <f>ROUNDDOWN(((Tabela.frequencia[[#This Row],[Data]]-VLOOKUP(Tabela.frequencia[[#This Row],[Usuário]],Tabela.cadastro[[Nome]:[id2]],7,0))/365.25),0)</f>
        <v>19</v>
      </c>
      <c r="E2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3" spans="1:5" ht="17.100000000000001" customHeight="1" x14ac:dyDescent="0.25">
      <c r="A23" s="34">
        <f>IFERROR(VLOOKUP(Tabela.frequencia[[#This Row],[Usuário]],Tabela.cadastro[[Nome]:[id2]],12,0),"")</f>
        <v>2</v>
      </c>
      <c r="B23" s="10" t="s">
        <v>125</v>
      </c>
      <c r="C23" s="132">
        <v>41822</v>
      </c>
      <c r="D23" s="23">
        <f>ROUNDDOWN(((Tabela.frequencia[[#This Row],[Data]]-VLOOKUP(Tabela.frequencia[[#This Row],[Usuário]],Tabela.cadastro[[Nome]:[id2]],7,0))/365.25),0)</f>
        <v>31</v>
      </c>
      <c r="E2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4" spans="1:5" ht="17.100000000000001" customHeight="1" x14ac:dyDescent="0.25">
      <c r="A24" s="34">
        <f>IFERROR(VLOOKUP(Tabela.frequencia[[#This Row],[Usuário]],Tabela.cadastro[[Nome]:[id2]],12,0),"")</f>
        <v>3</v>
      </c>
      <c r="B24" s="10" t="s">
        <v>126</v>
      </c>
      <c r="C24" s="132">
        <v>41822</v>
      </c>
      <c r="D24" s="23">
        <f>ROUNDDOWN(((Tabela.frequencia[[#This Row],[Data]]-VLOOKUP(Tabela.frequencia[[#This Row],[Usuário]],Tabela.cadastro[[Nome]:[id2]],7,0))/365.25),0)</f>
        <v>29</v>
      </c>
      <c r="E2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5" spans="1:5" ht="17.100000000000001" customHeight="1" x14ac:dyDescent="0.25">
      <c r="A25" s="34">
        <f>IFERROR(VLOOKUP(Tabela.frequencia[[#This Row],[Usuário]],Tabela.cadastro[[Nome]:[id2]],12,0),"")</f>
        <v>4</v>
      </c>
      <c r="B25" s="49" t="s">
        <v>127</v>
      </c>
      <c r="C25" s="132">
        <v>41822</v>
      </c>
      <c r="D25" s="23">
        <f>ROUNDDOWN(((Tabela.frequencia[[#This Row],[Data]]-VLOOKUP(Tabela.frequencia[[#This Row],[Usuário]],Tabela.cadastro[[Nome]:[id2]],7,0))/365.25),0)</f>
        <v>41</v>
      </c>
      <c r="E2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6" spans="1:5" ht="17.100000000000001" customHeight="1" x14ac:dyDescent="0.25">
      <c r="A26" s="26">
        <f>IFERROR(VLOOKUP(Tabela.frequencia[[#This Row],[Usuário]],Tabela.cadastro[[Nome]:[id2]],12,0),"")</f>
        <v>5</v>
      </c>
      <c r="B26" s="10" t="s">
        <v>128</v>
      </c>
      <c r="C26" s="132">
        <v>41822</v>
      </c>
      <c r="D26" s="23">
        <f>ROUNDDOWN(((Tabela.frequencia[[#This Row],[Data]]-VLOOKUP(Tabela.frequencia[[#This Row],[Usuário]],Tabela.cadastro[[Nome]:[id2]],7,0))/365.25),0)</f>
        <v>69</v>
      </c>
      <c r="E2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7" spans="1:5" ht="17.100000000000001" customHeight="1" x14ac:dyDescent="0.25">
      <c r="A27" s="34">
        <f>IFERROR(VLOOKUP(Tabela.frequencia[[#This Row],[Usuário]],Tabela.cadastro[[Nome]:[id2]],12,0),"")</f>
        <v>6</v>
      </c>
      <c r="B27" s="10" t="s">
        <v>129</v>
      </c>
      <c r="C27" s="132">
        <v>41822</v>
      </c>
      <c r="D27" s="23">
        <f>ROUNDDOWN(((Tabela.frequencia[[#This Row],[Data]]-VLOOKUP(Tabela.frequencia[[#This Row],[Usuário]],Tabela.cadastro[[Nome]:[id2]],7,0))/365.25),0)</f>
        <v>14</v>
      </c>
      <c r="E2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8" spans="1:5" ht="17.100000000000001" customHeight="1" x14ac:dyDescent="0.25">
      <c r="A28" s="26">
        <f>IFERROR(VLOOKUP(Tabela.frequencia[[#This Row],[Usuário]],Tabela.cadastro[[Nome]:[id2]],12,0),"")</f>
        <v>7</v>
      </c>
      <c r="B28" t="s">
        <v>130</v>
      </c>
      <c r="C28" s="132">
        <v>41822</v>
      </c>
      <c r="D28" s="23">
        <f>ROUNDDOWN(((Tabela.frequencia[[#This Row],[Data]]-VLOOKUP(Tabela.frequencia[[#This Row],[Usuário]],Tabela.cadastro[[Nome]:[id2]],7,0))/365.25),0)</f>
        <v>74</v>
      </c>
      <c r="E2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29" spans="1:5" ht="17.100000000000001" customHeight="1" x14ac:dyDescent="0.25">
      <c r="A29" s="26">
        <f>IFERROR(VLOOKUP(Tabela.frequencia[[#This Row],[Usuário]],Tabela.cadastro[[Nome]:[id2]],12,0),"")</f>
        <v>8</v>
      </c>
      <c r="B29" s="10" t="s">
        <v>131</v>
      </c>
      <c r="C29" s="132">
        <v>41822</v>
      </c>
      <c r="D29" s="23">
        <f>ROUNDDOWN(((Tabela.frequencia[[#This Row],[Data]]-VLOOKUP(Tabela.frequencia[[#This Row],[Usuário]],Tabela.cadastro[[Nome]:[id2]],7,0))/365.25),0)</f>
        <v>27</v>
      </c>
      <c r="E2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0" spans="1:5" ht="17.100000000000001" customHeight="1" x14ac:dyDescent="0.25">
      <c r="A30" s="26">
        <f>IFERROR(VLOOKUP(Tabela.frequencia[[#This Row],[Usuário]],Tabela.cadastro[[Nome]:[id2]],12,0),"")</f>
        <v>12</v>
      </c>
      <c r="B30" s="10" t="s">
        <v>135</v>
      </c>
      <c r="C30" s="132">
        <v>41823</v>
      </c>
      <c r="D30" s="23">
        <f>ROUNDDOWN(((Tabela.frequencia[[#This Row],[Data]]-VLOOKUP(Tabela.frequencia[[#This Row],[Usuário]],Tabela.cadastro[[Nome]:[id2]],7,0))/365.25),0)</f>
        <v>25</v>
      </c>
      <c r="E3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1" spans="1:5" ht="17.100000000000001" customHeight="1" x14ac:dyDescent="0.25">
      <c r="A31" s="26">
        <f>IFERROR(VLOOKUP(Tabela.frequencia[[#This Row],[Usuário]],Tabela.cadastro[[Nome]:[id2]],12,0),"")</f>
        <v>13</v>
      </c>
      <c r="B31" s="10" t="s">
        <v>136</v>
      </c>
      <c r="C31" s="132">
        <v>41823</v>
      </c>
      <c r="D31" s="23">
        <f>ROUNDDOWN(((Tabela.frequencia[[#This Row],[Data]]-VLOOKUP(Tabela.frequencia[[#This Row],[Usuário]],Tabela.cadastro[[Nome]:[id2]],7,0))/365.25),0)</f>
        <v>21</v>
      </c>
      <c r="E3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2" spans="1:5" ht="17.100000000000001" customHeight="1" x14ac:dyDescent="0.25">
      <c r="A32" s="26">
        <f>IFERROR(VLOOKUP(Tabela.frequencia[[#This Row],[Usuário]],Tabela.cadastro[[Nome]:[id2]],12,0),"")</f>
        <v>14</v>
      </c>
      <c r="B32" s="10" t="s">
        <v>137</v>
      </c>
      <c r="C32" s="132">
        <v>41823</v>
      </c>
      <c r="D32" s="23">
        <f>ROUNDDOWN(((Tabela.frequencia[[#This Row],[Data]]-VLOOKUP(Tabela.frequencia[[#This Row],[Usuário]],Tabela.cadastro[[Nome]:[id2]],7,0))/365.25),0)</f>
        <v>20</v>
      </c>
      <c r="E3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3" spans="1:5" ht="17.100000000000001" customHeight="1" x14ac:dyDescent="0.25">
      <c r="A33" s="26">
        <f>IFERROR(VLOOKUP(Tabela.frequencia[[#This Row],[Usuário]],Tabela.cadastro[[Nome]:[id2]],12,0),"")</f>
        <v>15</v>
      </c>
      <c r="B33" s="10" t="s">
        <v>138</v>
      </c>
      <c r="C33" s="132">
        <v>41823</v>
      </c>
      <c r="D33" s="23">
        <f>ROUNDDOWN(((Tabela.frequencia[[#This Row],[Data]]-VLOOKUP(Tabela.frequencia[[#This Row],[Usuário]],Tabela.cadastro[[Nome]:[id2]],7,0))/365.25),0)</f>
        <v>36</v>
      </c>
      <c r="E3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4" spans="1:5" ht="17.100000000000001" customHeight="1" x14ac:dyDescent="0.25">
      <c r="A34" s="26">
        <f>IFERROR(VLOOKUP(Tabela.frequencia[[#This Row],[Usuário]],Tabela.cadastro[[Nome]:[id2]],12,0),"")</f>
        <v>16</v>
      </c>
      <c r="B34" s="11" t="s">
        <v>139</v>
      </c>
      <c r="C34" s="132">
        <v>41823</v>
      </c>
      <c r="D34" s="23">
        <f>ROUNDDOWN(((Tabela.frequencia[[#This Row],[Data]]-VLOOKUP(Tabela.frequencia[[#This Row],[Usuário]],Tabela.cadastro[[Nome]:[id2]],7,0))/365.25),0)</f>
        <v>26</v>
      </c>
      <c r="E3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5" spans="1:5" ht="17.100000000000001" customHeight="1" x14ac:dyDescent="0.25">
      <c r="A35" s="26">
        <f>IFERROR(VLOOKUP(Tabela.frequencia[[#This Row],[Usuário]],Tabela.cadastro[[Nome]:[id2]],12,0),"")</f>
        <v>17</v>
      </c>
      <c r="B35" s="10" t="s">
        <v>141</v>
      </c>
      <c r="C35" s="132">
        <v>41823</v>
      </c>
      <c r="D35" s="23">
        <f>ROUNDDOWN(((Tabela.frequencia[[#This Row],[Data]]-VLOOKUP(Tabela.frequencia[[#This Row],[Usuário]],Tabela.cadastro[[Nome]:[id2]],7,0))/365.25),0)</f>
        <v>31</v>
      </c>
      <c r="E3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6" spans="1:5" ht="17.100000000000001" customHeight="1" x14ac:dyDescent="0.25">
      <c r="A36" s="26">
        <f>IFERROR(VLOOKUP(Tabela.frequencia[[#This Row],[Usuário]],Tabela.cadastro[[Nome]:[id2]],12,0),"")</f>
        <v>18</v>
      </c>
      <c r="B36" s="10" t="s">
        <v>140</v>
      </c>
      <c r="C36" s="132">
        <v>41823</v>
      </c>
      <c r="D36" s="23">
        <f>ROUNDDOWN(((Tabela.frequencia[[#This Row],[Data]]-VLOOKUP(Tabela.frequencia[[#This Row],[Usuário]],Tabela.cadastro[[Nome]:[id2]],7,0))/365.25),0)</f>
        <v>34</v>
      </c>
      <c r="E3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7" spans="1:5" ht="17.100000000000001" customHeight="1" x14ac:dyDescent="0.25">
      <c r="A37" s="26">
        <f>IFERROR(VLOOKUP(Tabela.frequencia[[#This Row],[Usuário]],Tabela.cadastro[[Nome]:[id2]],12,0),"")</f>
        <v>19</v>
      </c>
      <c r="B37" s="10" t="s">
        <v>142</v>
      </c>
      <c r="C37" s="132">
        <v>41823</v>
      </c>
      <c r="D37" s="23">
        <f>ROUNDDOWN(((Tabela.frequencia[[#This Row],[Data]]-VLOOKUP(Tabela.frequencia[[#This Row],[Usuário]],Tabela.cadastro[[Nome]:[id2]],7,0))/365.25),0)</f>
        <v>29</v>
      </c>
      <c r="E3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8" spans="1:5" ht="17.100000000000001" customHeight="1" x14ac:dyDescent="0.25">
      <c r="A38" s="26">
        <f>IFERROR(VLOOKUP(Tabela.frequencia[[#This Row],[Usuário]],Tabela.cadastro[[Nome]:[id2]],12,0),"")</f>
        <v>20</v>
      </c>
      <c r="B38" s="10" t="s">
        <v>143</v>
      </c>
      <c r="C38" s="132">
        <v>41823</v>
      </c>
      <c r="D38" s="23">
        <f>ROUNDDOWN(((Tabela.frequencia[[#This Row],[Data]]-VLOOKUP(Tabela.frequencia[[#This Row],[Usuário]],Tabela.cadastro[[Nome]:[id2]],7,0))/365.25),0)</f>
        <v>44</v>
      </c>
      <c r="E3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39" spans="1:5" ht="17.100000000000001" customHeight="1" x14ac:dyDescent="0.25">
      <c r="A39" s="26">
        <f>IFERROR(VLOOKUP(Tabela.frequencia[[#This Row],[Usuário]],Tabela.cadastro[[Nome]:[id2]],12,0),"")</f>
        <v>1</v>
      </c>
      <c r="B39" s="10" t="s">
        <v>124</v>
      </c>
      <c r="C39" s="132">
        <v>41823</v>
      </c>
      <c r="D39" s="23">
        <f>ROUNDDOWN(((Tabela.frequencia[[#This Row],[Data]]-VLOOKUP(Tabela.frequencia[[#This Row],[Usuário]],Tabela.cadastro[[Nome]:[id2]],7,0))/365.25),0)</f>
        <v>19</v>
      </c>
      <c r="E3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0" spans="1:5" ht="17.100000000000001" customHeight="1" x14ac:dyDescent="0.25">
      <c r="A40" s="26">
        <f>IFERROR(VLOOKUP(Tabela.frequencia[[#This Row],[Usuário]],Tabela.cadastro[[Nome]:[id2]],12,0),"")</f>
        <v>2</v>
      </c>
      <c r="B40" s="10" t="s">
        <v>125</v>
      </c>
      <c r="C40" s="132">
        <v>41823</v>
      </c>
      <c r="D40" s="23">
        <f>ROUNDDOWN(((Tabela.frequencia[[#This Row],[Data]]-VLOOKUP(Tabela.frequencia[[#This Row],[Usuário]],Tabela.cadastro[[Nome]:[id2]],7,0))/365.25),0)</f>
        <v>31</v>
      </c>
      <c r="E4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1" spans="1:5" ht="17.100000000000001" customHeight="1" x14ac:dyDescent="0.25">
      <c r="A41" s="26">
        <f>IFERROR(VLOOKUP(Tabela.frequencia[[#This Row],[Usuário]],Tabela.cadastro[[Nome]:[id2]],12,0),"")</f>
        <v>6</v>
      </c>
      <c r="B41" s="10" t="s">
        <v>129</v>
      </c>
      <c r="C41" s="132">
        <v>41824</v>
      </c>
      <c r="D41" s="23">
        <f>ROUNDDOWN(((Tabela.frequencia[[#This Row],[Data]]-VLOOKUP(Tabela.frequencia[[#This Row],[Usuário]],Tabela.cadastro[[Nome]:[id2]],7,0))/365.25),0)</f>
        <v>14</v>
      </c>
      <c r="E4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2" spans="1:5" ht="17.100000000000001" customHeight="1" x14ac:dyDescent="0.25">
      <c r="A42" s="26">
        <f>IFERROR(VLOOKUP(Tabela.frequencia[[#This Row],[Usuário]],Tabela.cadastro[[Nome]:[id2]],12,0),"")</f>
        <v>7</v>
      </c>
      <c r="B42" t="s">
        <v>130</v>
      </c>
      <c r="C42" s="132">
        <v>41824</v>
      </c>
      <c r="D42" s="23">
        <f>ROUNDDOWN(((Tabela.frequencia[[#This Row],[Data]]-VLOOKUP(Tabela.frequencia[[#This Row],[Usuário]],Tabela.cadastro[[Nome]:[id2]],7,0))/365.25),0)</f>
        <v>74</v>
      </c>
      <c r="E4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3" spans="1:5" ht="17.100000000000001" customHeight="1" x14ac:dyDescent="0.25">
      <c r="A43" s="26">
        <f>IFERROR(VLOOKUP(Tabela.frequencia[[#This Row],[Usuário]],Tabela.cadastro[[Nome]:[id2]],12,0),"")</f>
        <v>8</v>
      </c>
      <c r="B43" s="10" t="s">
        <v>131</v>
      </c>
      <c r="C43" s="132">
        <v>41824</v>
      </c>
      <c r="D43" s="23">
        <f>ROUNDDOWN(((Tabela.frequencia[[#This Row],[Data]]-VLOOKUP(Tabela.frequencia[[#This Row],[Usuário]],Tabela.cadastro[[Nome]:[id2]],7,0))/365.25),0)</f>
        <v>27</v>
      </c>
      <c r="E4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4" spans="1:5" ht="17.100000000000001" customHeight="1" x14ac:dyDescent="0.25">
      <c r="A44" s="26">
        <f>IFERROR(VLOOKUP(Tabela.frequencia[[#This Row],[Usuário]],Tabela.cadastro[[Nome]:[id2]],12,0),"")</f>
        <v>9</v>
      </c>
      <c r="B44" s="10" t="s">
        <v>132</v>
      </c>
      <c r="C44" s="132">
        <v>41824</v>
      </c>
      <c r="D44" s="23">
        <f>ROUNDDOWN(((Tabela.frequencia[[#This Row],[Data]]-VLOOKUP(Tabela.frequencia[[#This Row],[Usuário]],Tabela.cadastro[[Nome]:[id2]],7,0))/365.25),0)</f>
        <v>44</v>
      </c>
      <c r="E4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5" spans="1:5" ht="17.100000000000001" customHeight="1" x14ac:dyDescent="0.25">
      <c r="A45" s="26">
        <f>IFERROR(VLOOKUP(Tabela.frequencia[[#This Row],[Usuário]],Tabela.cadastro[[Nome]:[id2]],12,0),"")</f>
        <v>10</v>
      </c>
      <c r="B45" s="10" t="s">
        <v>133</v>
      </c>
      <c r="C45" s="132">
        <v>41824</v>
      </c>
      <c r="D45" s="23">
        <f>ROUNDDOWN(((Tabela.frequencia[[#This Row],[Data]]-VLOOKUP(Tabela.frequencia[[#This Row],[Usuário]],Tabela.cadastro[[Nome]:[id2]],7,0))/365.25),0)</f>
        <v>31</v>
      </c>
      <c r="E4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6" spans="1:5" ht="17.100000000000001" customHeight="1" x14ac:dyDescent="0.25">
      <c r="A46" s="26">
        <f>IFERROR(VLOOKUP(Tabela.frequencia[[#This Row],[Usuário]],Tabela.cadastro[[Nome]:[id2]],12,0),"")</f>
        <v>11</v>
      </c>
      <c r="B46" s="10" t="s">
        <v>134</v>
      </c>
      <c r="C46" s="132">
        <v>41824</v>
      </c>
      <c r="D46" s="23">
        <f>ROUNDDOWN(((Tabela.frequencia[[#This Row],[Data]]-VLOOKUP(Tabela.frequencia[[#This Row],[Usuário]],Tabela.cadastro[[Nome]:[id2]],7,0))/365.25),0)</f>
        <v>31</v>
      </c>
      <c r="E4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7" spans="1:5" ht="17.100000000000001" customHeight="1" x14ac:dyDescent="0.25">
      <c r="A47" s="26">
        <f>IFERROR(VLOOKUP(Tabela.frequencia[[#This Row],[Usuário]],Tabela.cadastro[[Nome]:[id2]],12,0),"")</f>
        <v>12</v>
      </c>
      <c r="B47" s="10" t="s">
        <v>135</v>
      </c>
      <c r="C47" s="132">
        <v>41824</v>
      </c>
      <c r="D47" s="23">
        <f>ROUNDDOWN(((Tabela.frequencia[[#This Row],[Data]]-VLOOKUP(Tabela.frequencia[[#This Row],[Usuário]],Tabela.cadastro[[Nome]:[id2]],7,0))/365.25),0)</f>
        <v>25</v>
      </c>
      <c r="E4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8" spans="1:5" ht="17.100000000000001" customHeight="1" x14ac:dyDescent="0.25">
      <c r="A48" s="26">
        <f>IFERROR(VLOOKUP(Tabela.frequencia[[#This Row],[Usuário]],Tabela.cadastro[[Nome]:[id2]],12,0),"")</f>
        <v>13</v>
      </c>
      <c r="B48" s="10" t="s">
        <v>136</v>
      </c>
      <c r="C48" s="132">
        <v>41824</v>
      </c>
      <c r="D48" s="23">
        <f>ROUNDDOWN(((Tabela.frequencia[[#This Row],[Data]]-VLOOKUP(Tabela.frequencia[[#This Row],[Usuário]],Tabela.cadastro[[Nome]:[id2]],7,0))/365.25),0)</f>
        <v>21</v>
      </c>
      <c r="E4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49" spans="1:5" ht="17.100000000000001" customHeight="1" x14ac:dyDescent="0.25">
      <c r="A49" s="26">
        <f>IFERROR(VLOOKUP(Tabela.frequencia[[#This Row],[Usuário]],Tabela.cadastro[[Nome]:[id2]],12,0),"")</f>
        <v>14</v>
      </c>
      <c r="B49" s="10" t="s">
        <v>137</v>
      </c>
      <c r="C49" s="132">
        <v>41824</v>
      </c>
      <c r="D49" s="23">
        <f>ROUNDDOWN(((Tabela.frequencia[[#This Row],[Data]]-VLOOKUP(Tabela.frequencia[[#This Row],[Usuário]],Tabela.cadastro[[Nome]:[id2]],7,0))/365.25),0)</f>
        <v>20</v>
      </c>
      <c r="E4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0" spans="1:5" ht="17.100000000000001" customHeight="1" x14ac:dyDescent="0.25">
      <c r="A50" s="26">
        <f>IFERROR(VLOOKUP(Tabela.frequencia[[#This Row],[Usuário]],Tabela.cadastro[[Nome]:[id2]],12,0),"")</f>
        <v>15</v>
      </c>
      <c r="B50" s="10" t="s">
        <v>138</v>
      </c>
      <c r="C50" s="132">
        <v>41824</v>
      </c>
      <c r="D50" s="23">
        <f>ROUNDDOWN(((Tabela.frequencia[[#This Row],[Data]]-VLOOKUP(Tabela.frequencia[[#This Row],[Usuário]],Tabela.cadastro[[Nome]:[id2]],7,0))/365.25),0)</f>
        <v>36</v>
      </c>
      <c r="E5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1" spans="1:5" ht="17.100000000000001" customHeight="1" x14ac:dyDescent="0.25">
      <c r="A51" s="26">
        <f>IFERROR(VLOOKUP(Tabela.frequencia[[#This Row],[Usuário]],Tabela.cadastro[[Nome]:[id2]],12,0),"")</f>
        <v>16</v>
      </c>
      <c r="B51" s="11" t="s">
        <v>139</v>
      </c>
      <c r="C51" s="132">
        <v>41824</v>
      </c>
      <c r="D51" s="23">
        <f>ROUNDDOWN(((Tabela.frequencia[[#This Row],[Data]]-VLOOKUP(Tabela.frequencia[[#This Row],[Usuário]],Tabela.cadastro[[Nome]:[id2]],7,0))/365.25),0)</f>
        <v>26</v>
      </c>
      <c r="E5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2" spans="1:5" ht="17.100000000000001" customHeight="1" x14ac:dyDescent="0.25">
      <c r="A52" s="26">
        <f>IFERROR(VLOOKUP(Tabela.frequencia[[#This Row],[Usuário]],Tabela.cadastro[[Nome]:[id2]],12,0),"")</f>
        <v>17</v>
      </c>
      <c r="B52" s="10" t="s">
        <v>141</v>
      </c>
      <c r="C52" s="132">
        <v>41824</v>
      </c>
      <c r="D52" s="23">
        <f>ROUNDDOWN(((Tabela.frequencia[[#This Row],[Data]]-VLOOKUP(Tabela.frequencia[[#This Row],[Usuário]],Tabela.cadastro[[Nome]:[id2]],7,0))/365.25),0)</f>
        <v>31</v>
      </c>
      <c r="E5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3" spans="1:5" ht="17.100000000000001" customHeight="1" x14ac:dyDescent="0.25">
      <c r="A53" s="26">
        <f>IFERROR(VLOOKUP(Tabela.frequencia[[#This Row],[Usuário]],Tabela.cadastro[[Nome]:[id2]],12,0),"")</f>
        <v>18</v>
      </c>
      <c r="B53" s="10" t="s">
        <v>140</v>
      </c>
      <c r="C53" s="132">
        <v>41824</v>
      </c>
      <c r="D53" s="23">
        <f>ROUNDDOWN(((Tabela.frequencia[[#This Row],[Data]]-VLOOKUP(Tabela.frequencia[[#This Row],[Usuário]],Tabela.cadastro[[Nome]:[id2]],7,0))/365.25),0)</f>
        <v>34</v>
      </c>
      <c r="E5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4" spans="1:5" ht="17.100000000000001" customHeight="1" x14ac:dyDescent="0.25">
      <c r="A54" s="26">
        <f>IFERROR(VLOOKUP(Tabela.frequencia[[#This Row],[Usuário]],Tabela.cadastro[[Nome]:[id2]],12,0),"")</f>
        <v>19</v>
      </c>
      <c r="B54" s="10" t="s">
        <v>142</v>
      </c>
      <c r="C54" s="132">
        <v>41824</v>
      </c>
      <c r="D54" s="23">
        <f>ROUNDDOWN(((Tabela.frequencia[[#This Row],[Data]]-VLOOKUP(Tabela.frequencia[[#This Row],[Usuário]],Tabela.cadastro[[Nome]:[id2]],7,0))/365.25),0)</f>
        <v>29</v>
      </c>
      <c r="E5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5" spans="1:5" ht="17.100000000000001" customHeight="1" x14ac:dyDescent="0.25">
      <c r="A55" s="26">
        <f>IFERROR(VLOOKUP(Tabela.frequencia[[#This Row],[Usuário]],Tabela.cadastro[[Nome]:[id2]],12,0),"")</f>
        <v>20</v>
      </c>
      <c r="B55" s="10" t="s">
        <v>143</v>
      </c>
      <c r="C55" s="132">
        <v>41824</v>
      </c>
      <c r="D55" s="23">
        <f>ROUNDDOWN(((Tabela.frequencia[[#This Row],[Data]]-VLOOKUP(Tabela.frequencia[[#This Row],[Usuário]],Tabela.cadastro[[Nome]:[id2]],7,0))/365.25),0)</f>
        <v>44</v>
      </c>
      <c r="E5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6" spans="1:5" ht="17.100000000000001" customHeight="1" x14ac:dyDescent="0.25">
      <c r="A56" s="34">
        <f>IFERROR(VLOOKUP(Tabela.frequencia[[#This Row],[Usuário]],Tabela.cadastro[[Nome]:[id2]],12,0),"")</f>
        <v>1</v>
      </c>
      <c r="B56" s="10" t="s">
        <v>124</v>
      </c>
      <c r="C56" s="132">
        <v>41824</v>
      </c>
      <c r="D56" s="23">
        <f>ROUNDDOWN(((Tabela.frequencia[[#This Row],[Data]]-VLOOKUP(Tabela.frequencia[[#This Row],[Usuário]],Tabela.cadastro[[Nome]:[id2]],7,0))/365.25),0)</f>
        <v>19</v>
      </c>
      <c r="E5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7" spans="1:5" ht="17.100000000000001" customHeight="1" x14ac:dyDescent="0.25">
      <c r="A57" s="34">
        <f>IFERROR(VLOOKUP(Tabela.frequencia[[#This Row],[Usuário]],Tabela.cadastro[[Nome]:[id2]],12,0),"")</f>
        <v>2</v>
      </c>
      <c r="B57" s="10" t="s">
        <v>125</v>
      </c>
      <c r="C57" s="132">
        <v>41824</v>
      </c>
      <c r="D57" s="23">
        <f>ROUNDDOWN(((Tabela.frequencia[[#This Row],[Data]]-VLOOKUP(Tabela.frequencia[[#This Row],[Usuário]],Tabela.cadastro[[Nome]:[id2]],7,0))/365.25),0)</f>
        <v>31</v>
      </c>
      <c r="E5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8" spans="1:5" ht="17.100000000000001" customHeight="1" x14ac:dyDescent="0.25">
      <c r="A58" s="34">
        <f>IFERROR(VLOOKUP(Tabela.frequencia[[#This Row],[Usuário]],Tabela.cadastro[[Nome]:[id2]],12,0),"")</f>
        <v>3</v>
      </c>
      <c r="B58" s="10" t="s">
        <v>126</v>
      </c>
      <c r="C58" s="132">
        <v>41824</v>
      </c>
      <c r="D58" s="23">
        <f>ROUNDDOWN(((Tabela.frequencia[[#This Row],[Data]]-VLOOKUP(Tabela.frequencia[[#This Row],[Usuário]],Tabela.cadastro[[Nome]:[id2]],7,0))/365.25),0)</f>
        <v>29</v>
      </c>
      <c r="E5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59" spans="1:5" ht="17.100000000000001" customHeight="1" x14ac:dyDescent="0.25">
      <c r="A59" s="34">
        <f>IFERROR(VLOOKUP(Tabela.frequencia[[#This Row],[Usuário]],Tabela.cadastro[[Nome]:[id2]],12,0),"")</f>
        <v>4</v>
      </c>
      <c r="B59" s="49" t="s">
        <v>127</v>
      </c>
      <c r="C59" s="132">
        <v>41824</v>
      </c>
      <c r="D59" s="23">
        <f>ROUNDDOWN(((Tabela.frequencia[[#This Row],[Data]]-VLOOKUP(Tabela.frequencia[[#This Row],[Usuário]],Tabela.cadastro[[Nome]:[id2]],7,0))/365.25),0)</f>
        <v>41</v>
      </c>
      <c r="E5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60" spans="1:5" ht="17.100000000000001" customHeight="1" x14ac:dyDescent="0.25">
      <c r="A60" s="34">
        <f>IFERROR(VLOOKUP(Tabela.frequencia[[#This Row],[Usuário]],Tabela.cadastro[[Nome]:[id2]],12,0),"")</f>
        <v>5</v>
      </c>
      <c r="B60" s="10" t="s">
        <v>128</v>
      </c>
      <c r="C60" s="132">
        <v>41824</v>
      </c>
      <c r="D60" s="23">
        <f>ROUNDDOWN(((Tabela.frequencia[[#This Row],[Data]]-VLOOKUP(Tabela.frequencia[[#This Row],[Usuário]],Tabela.cadastro[[Nome]:[id2]],7,0))/365.25),0)</f>
        <v>69</v>
      </c>
      <c r="E6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jul/14</v>
      </c>
    </row>
    <row r="61" spans="1:5" ht="17.100000000000001" customHeight="1" x14ac:dyDescent="0.25">
      <c r="A61" s="34">
        <f>IFERROR(VLOOKUP(Tabela.frequencia[[#This Row],[Usuário]],Tabela.cadastro[[Nome]:[id2]],12,0),"")</f>
        <v>9</v>
      </c>
      <c r="B61" s="10" t="s">
        <v>132</v>
      </c>
      <c r="C61" s="98">
        <v>41852</v>
      </c>
      <c r="D61" s="23">
        <f>ROUNDDOWN(((Tabela.frequencia[[#This Row],[Data]]-VLOOKUP(Tabela.frequencia[[#This Row],[Usuário]],Tabela.cadastro[[Nome]:[id2]],7,0))/365.25),0)</f>
        <v>44</v>
      </c>
      <c r="E6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2" spans="1:5" ht="17.100000000000001" customHeight="1" x14ac:dyDescent="0.25">
      <c r="A62" s="26">
        <f>IFERROR(VLOOKUP(Tabela.frequencia[[#This Row],[Usuário]],Tabela.cadastro[[Nome]:[id2]],12,0),"")</f>
        <v>10</v>
      </c>
      <c r="B62" s="10" t="s">
        <v>133</v>
      </c>
      <c r="C62" s="132">
        <v>41852</v>
      </c>
      <c r="D62" s="23">
        <f>ROUNDDOWN(((Tabela.frequencia[[#This Row],[Data]]-VLOOKUP(Tabela.frequencia[[#This Row],[Usuário]],Tabela.cadastro[[Nome]:[id2]],7,0))/365.25),0)</f>
        <v>31</v>
      </c>
      <c r="E6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3" spans="1:5" ht="17.100000000000001" customHeight="1" x14ac:dyDescent="0.25">
      <c r="A63" s="26">
        <f>IFERROR(VLOOKUP(Tabela.frequencia[[#This Row],[Usuário]],Tabela.cadastro[[Nome]:[id2]],12,0),"")</f>
        <v>11</v>
      </c>
      <c r="B63" s="10" t="s">
        <v>134</v>
      </c>
      <c r="C63" s="132">
        <v>41852</v>
      </c>
      <c r="D63" s="23">
        <f>ROUNDDOWN(((Tabela.frequencia[[#This Row],[Data]]-VLOOKUP(Tabela.frequencia[[#This Row],[Usuário]],Tabela.cadastro[[Nome]:[id2]],7,0))/365.25),0)</f>
        <v>31</v>
      </c>
      <c r="E6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4" spans="1:5" ht="17.100000000000001" customHeight="1" x14ac:dyDescent="0.25">
      <c r="A64" s="26">
        <f>IFERROR(VLOOKUP(Tabela.frequencia[[#This Row],[Usuário]],Tabela.cadastro[[Nome]:[id2]],12,0),"")</f>
        <v>12</v>
      </c>
      <c r="B64" s="10" t="s">
        <v>135</v>
      </c>
      <c r="C64" s="132">
        <v>41852</v>
      </c>
      <c r="D64" s="23">
        <f>ROUNDDOWN(((Tabela.frequencia[[#This Row],[Data]]-VLOOKUP(Tabela.frequencia[[#This Row],[Usuário]],Tabela.cadastro[[Nome]:[id2]],7,0))/365.25),0)</f>
        <v>25</v>
      </c>
      <c r="E6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5" spans="1:5" ht="17.100000000000001" customHeight="1" x14ac:dyDescent="0.25">
      <c r="A65" s="26">
        <f>IFERROR(VLOOKUP(Tabela.frequencia[[#This Row],[Usuário]],Tabela.cadastro[[Nome]:[id2]],12,0),"")</f>
        <v>13</v>
      </c>
      <c r="B65" s="10" t="s">
        <v>136</v>
      </c>
      <c r="C65" s="132">
        <v>41852</v>
      </c>
      <c r="D65" s="23">
        <f>ROUNDDOWN(((Tabela.frequencia[[#This Row],[Data]]-VLOOKUP(Tabela.frequencia[[#This Row],[Usuário]],Tabela.cadastro[[Nome]:[id2]],7,0))/365.25),0)</f>
        <v>21</v>
      </c>
      <c r="E6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6" spans="1:5" ht="17.100000000000001" customHeight="1" x14ac:dyDescent="0.25">
      <c r="A66" s="26">
        <f>IFERROR(VLOOKUP(Tabela.frequencia[[#This Row],[Usuário]],Tabela.cadastro[[Nome]:[id2]],12,0),"")</f>
        <v>14</v>
      </c>
      <c r="B66" s="10" t="s">
        <v>137</v>
      </c>
      <c r="C66" s="132">
        <v>41852</v>
      </c>
      <c r="D66" s="23">
        <f>ROUNDDOWN(((Tabela.frequencia[[#This Row],[Data]]-VLOOKUP(Tabela.frequencia[[#This Row],[Usuário]],Tabela.cadastro[[Nome]:[id2]],7,0))/365.25),0)</f>
        <v>20</v>
      </c>
      <c r="E6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7" spans="1:5" ht="17.100000000000001" customHeight="1" x14ac:dyDescent="0.25">
      <c r="A67" s="26">
        <f>IFERROR(VLOOKUP(Tabela.frequencia[[#This Row],[Usuário]],Tabela.cadastro[[Nome]:[id2]],12,0),"")</f>
        <v>15</v>
      </c>
      <c r="B67" s="10" t="s">
        <v>138</v>
      </c>
      <c r="C67" s="132">
        <v>41852</v>
      </c>
      <c r="D67" s="23">
        <f>ROUNDDOWN(((Tabela.frequencia[[#This Row],[Data]]-VLOOKUP(Tabela.frequencia[[#This Row],[Usuário]],Tabela.cadastro[[Nome]:[id2]],7,0))/365.25),0)</f>
        <v>36</v>
      </c>
      <c r="E6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8" spans="1:5" ht="17.100000000000001" customHeight="1" x14ac:dyDescent="0.25">
      <c r="A68" s="26">
        <f>IFERROR(VLOOKUP(Tabela.frequencia[[#This Row],[Usuário]],Tabela.cadastro[[Nome]:[id2]],12,0),"")</f>
        <v>16</v>
      </c>
      <c r="B68" s="11" t="s">
        <v>139</v>
      </c>
      <c r="C68" s="132">
        <v>41852</v>
      </c>
      <c r="D68" s="23">
        <f>ROUNDDOWN(((Tabela.frequencia[[#This Row],[Data]]-VLOOKUP(Tabela.frequencia[[#This Row],[Usuário]],Tabela.cadastro[[Nome]:[id2]],7,0))/365.25),0)</f>
        <v>27</v>
      </c>
      <c r="E6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69" spans="1:5" ht="17.100000000000001" customHeight="1" x14ac:dyDescent="0.25">
      <c r="A69" s="26">
        <f>IFERROR(VLOOKUP(Tabela.frequencia[[#This Row],[Usuário]],Tabela.cadastro[[Nome]:[id2]],12,0),"")</f>
        <v>17</v>
      </c>
      <c r="B69" s="10" t="s">
        <v>141</v>
      </c>
      <c r="C69" s="132">
        <v>41852</v>
      </c>
      <c r="D69" s="23">
        <f>ROUNDDOWN(((Tabela.frequencia[[#This Row],[Data]]-VLOOKUP(Tabela.frequencia[[#This Row],[Usuário]],Tabela.cadastro[[Nome]:[id2]],7,0))/365.25),0)</f>
        <v>31</v>
      </c>
      <c r="E6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0" spans="1:5" ht="17.100000000000001" customHeight="1" x14ac:dyDescent="0.25">
      <c r="A70" s="26">
        <f>IFERROR(VLOOKUP(Tabela.frequencia[[#This Row],[Usuário]],Tabela.cadastro[[Nome]:[id2]],12,0),"")</f>
        <v>18</v>
      </c>
      <c r="B70" s="10" t="s">
        <v>140</v>
      </c>
      <c r="C70" s="132">
        <v>41852</v>
      </c>
      <c r="D70" s="23">
        <f>ROUNDDOWN(((Tabela.frequencia[[#This Row],[Data]]-VLOOKUP(Tabela.frequencia[[#This Row],[Usuário]],Tabela.cadastro[[Nome]:[id2]],7,0))/365.25),0)</f>
        <v>34</v>
      </c>
      <c r="E7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1" spans="1:5" x14ac:dyDescent="0.25">
      <c r="A71" s="26">
        <f>IFERROR(VLOOKUP(Tabela.frequencia[[#This Row],[Usuário]],Tabela.cadastro[[Nome]:[id2]],12,0),"")</f>
        <v>19</v>
      </c>
      <c r="B71" s="10" t="s">
        <v>142</v>
      </c>
      <c r="C71" s="132">
        <v>41852</v>
      </c>
      <c r="D71" s="23">
        <f>ROUNDDOWN(((Tabela.frequencia[[#This Row],[Data]]-VLOOKUP(Tabela.frequencia[[#This Row],[Usuário]],Tabela.cadastro[[Nome]:[id2]],7,0))/365.25),0)</f>
        <v>29</v>
      </c>
      <c r="E7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2" spans="1:5" x14ac:dyDescent="0.25">
      <c r="A72" s="26">
        <f>IFERROR(VLOOKUP(Tabela.frequencia[[#This Row],[Usuário]],Tabela.cadastro[[Nome]:[id2]],12,0),"")</f>
        <v>20</v>
      </c>
      <c r="B72" s="10" t="s">
        <v>143</v>
      </c>
      <c r="C72" s="132">
        <v>41852</v>
      </c>
      <c r="D72" s="23">
        <f>ROUNDDOWN(((Tabela.frequencia[[#This Row],[Data]]-VLOOKUP(Tabela.frequencia[[#This Row],[Usuário]],Tabela.cadastro[[Nome]:[id2]],7,0))/365.25),0)</f>
        <v>44</v>
      </c>
      <c r="E7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3" spans="1:5" x14ac:dyDescent="0.25">
      <c r="A73" s="26">
        <f>IFERROR(VLOOKUP(Tabela.frequencia[[#This Row],[Usuário]],Tabela.cadastro[[Nome]:[id2]],12,0),"")</f>
        <v>1</v>
      </c>
      <c r="B73" s="10" t="s">
        <v>124</v>
      </c>
      <c r="C73" s="132">
        <v>41852</v>
      </c>
      <c r="D73" s="23">
        <f>ROUNDDOWN(((Tabela.frequencia[[#This Row],[Data]]-VLOOKUP(Tabela.frequencia[[#This Row],[Usuário]],Tabela.cadastro[[Nome]:[id2]],7,0))/365.25),0)</f>
        <v>19</v>
      </c>
      <c r="E7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4" spans="1:5" x14ac:dyDescent="0.25">
      <c r="A74" s="26">
        <f>IFERROR(VLOOKUP(Tabela.frequencia[[#This Row],[Usuário]],Tabela.cadastro[[Nome]:[id2]],12,0),"")</f>
        <v>2</v>
      </c>
      <c r="B74" s="10" t="s">
        <v>125</v>
      </c>
      <c r="C74" s="132">
        <v>41852</v>
      </c>
      <c r="D74" s="23">
        <f>ROUNDDOWN(((Tabela.frequencia[[#This Row],[Data]]-VLOOKUP(Tabela.frequencia[[#This Row],[Usuário]],Tabela.cadastro[[Nome]:[id2]],7,0))/365.25),0)</f>
        <v>31</v>
      </c>
      <c r="E7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5" spans="1:5" x14ac:dyDescent="0.25">
      <c r="A75" s="26">
        <f>IFERROR(VLOOKUP(Tabela.frequencia[[#This Row],[Usuário]],Tabela.cadastro[[Nome]:[id2]],12,0),"")</f>
        <v>3</v>
      </c>
      <c r="B75" s="10" t="s">
        <v>126</v>
      </c>
      <c r="C75" s="132">
        <v>41852</v>
      </c>
      <c r="D75" s="23">
        <f>ROUNDDOWN(((Tabela.frequencia[[#This Row],[Data]]-VLOOKUP(Tabela.frequencia[[#This Row],[Usuário]],Tabela.cadastro[[Nome]:[id2]],7,0))/365.25),0)</f>
        <v>29</v>
      </c>
      <c r="E75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6" spans="1:5" x14ac:dyDescent="0.25">
      <c r="A76" s="26">
        <f>IFERROR(VLOOKUP(Tabela.frequencia[[#This Row],[Usuário]],Tabela.cadastro[[Nome]:[id2]],12,0),"")</f>
        <v>4</v>
      </c>
      <c r="B76" s="49" t="s">
        <v>127</v>
      </c>
      <c r="C76" s="132">
        <v>41852</v>
      </c>
      <c r="D76" s="23">
        <f>ROUNDDOWN(((Tabela.frequencia[[#This Row],[Data]]-VLOOKUP(Tabela.frequencia[[#This Row],[Usuário]],Tabela.cadastro[[Nome]:[id2]],7,0))/365.25),0)</f>
        <v>41</v>
      </c>
      <c r="E76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7" spans="1:5" x14ac:dyDescent="0.25">
      <c r="A77" s="26">
        <f>IFERROR(VLOOKUP(Tabela.frequencia[[#This Row],[Usuário]],Tabela.cadastro[[Nome]:[id2]],12,0),"")</f>
        <v>5</v>
      </c>
      <c r="B77" s="10" t="s">
        <v>128</v>
      </c>
      <c r="C77" s="132">
        <v>41852</v>
      </c>
      <c r="D77" s="23">
        <f>ROUNDDOWN(((Tabela.frequencia[[#This Row],[Data]]-VLOOKUP(Tabela.frequencia[[#This Row],[Usuário]],Tabela.cadastro[[Nome]:[id2]],7,0))/365.25),0)</f>
        <v>69</v>
      </c>
      <c r="E77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8" spans="1:5" x14ac:dyDescent="0.25">
      <c r="A78" s="26">
        <f>IFERROR(VLOOKUP(Tabela.frequencia[[#This Row],[Usuário]],Tabela.cadastro[[Nome]:[id2]],12,0),"")</f>
        <v>6</v>
      </c>
      <c r="B78" s="10" t="s">
        <v>129</v>
      </c>
      <c r="C78" s="132">
        <v>41852</v>
      </c>
      <c r="D78" s="23">
        <f>ROUNDDOWN(((Tabela.frequencia[[#This Row],[Data]]-VLOOKUP(Tabela.frequencia[[#This Row],[Usuário]],Tabela.cadastro[[Nome]:[id2]],7,0))/365.25),0)</f>
        <v>14</v>
      </c>
      <c r="E78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79" spans="1:5" x14ac:dyDescent="0.25">
      <c r="A79" s="26">
        <f>IFERROR(VLOOKUP(Tabela.frequencia[[#This Row],[Usuário]],Tabela.cadastro[[Nome]:[id2]],12,0),"")</f>
        <v>7</v>
      </c>
      <c r="B79" t="s">
        <v>130</v>
      </c>
      <c r="C79" s="132">
        <v>41852</v>
      </c>
      <c r="D79" s="23">
        <f>ROUNDDOWN(((Tabela.frequencia[[#This Row],[Data]]-VLOOKUP(Tabela.frequencia[[#This Row],[Usuário]],Tabela.cadastro[[Nome]:[id2]],7,0))/365.25),0)</f>
        <v>74</v>
      </c>
      <c r="E79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0" spans="1:5" x14ac:dyDescent="0.25">
      <c r="A80" s="26">
        <f>IFERROR(VLOOKUP(Tabela.frequencia[[#This Row],[Usuário]],Tabela.cadastro[[Nome]:[id2]],12,0),"")</f>
        <v>8</v>
      </c>
      <c r="B80" s="10" t="s">
        <v>131</v>
      </c>
      <c r="C80" s="132">
        <v>41852</v>
      </c>
      <c r="D80" s="23">
        <f>ROUNDDOWN(((Tabela.frequencia[[#This Row],[Data]]-VLOOKUP(Tabela.frequencia[[#This Row],[Usuário]],Tabela.cadastro[[Nome]:[id2]],7,0))/365.25),0)</f>
        <v>27</v>
      </c>
      <c r="E80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1" spans="1:5" x14ac:dyDescent="0.25">
      <c r="A81" s="26">
        <f>IFERROR(VLOOKUP(Tabela.frequencia[[#This Row],[Usuário]],Tabela.cadastro[[Nome]:[id2]],12,0),"")</f>
        <v>12</v>
      </c>
      <c r="B81" s="10" t="s">
        <v>135</v>
      </c>
      <c r="C81" s="132">
        <v>41852</v>
      </c>
      <c r="D81" s="23">
        <f>ROUNDDOWN(((Tabela.frequencia[[#This Row],[Data]]-VLOOKUP(Tabela.frequencia[[#This Row],[Usuário]],Tabela.cadastro[[Nome]:[id2]],7,0))/365.25),0)</f>
        <v>25</v>
      </c>
      <c r="E81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2" spans="1:5" x14ac:dyDescent="0.25">
      <c r="A82" s="26">
        <f>IFERROR(VLOOKUP(Tabela.frequencia[[#This Row],[Usuário]],Tabela.cadastro[[Nome]:[id2]],12,0),"")</f>
        <v>13</v>
      </c>
      <c r="B82" s="10" t="s">
        <v>136</v>
      </c>
      <c r="C82" s="132">
        <v>41852</v>
      </c>
      <c r="D82" s="23">
        <f>ROUNDDOWN(((Tabela.frequencia[[#This Row],[Data]]-VLOOKUP(Tabela.frequencia[[#This Row],[Usuário]],Tabela.cadastro[[Nome]:[id2]],7,0))/365.25),0)</f>
        <v>21</v>
      </c>
      <c r="E82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3" spans="1:5" x14ac:dyDescent="0.25">
      <c r="A83" s="26">
        <f>IFERROR(VLOOKUP(Tabela.frequencia[[#This Row],[Usuário]],Tabela.cadastro[[Nome]:[id2]],12,0),"")</f>
        <v>14</v>
      </c>
      <c r="B83" s="10" t="s">
        <v>137</v>
      </c>
      <c r="C83" s="132">
        <v>41852</v>
      </c>
      <c r="D83" s="23">
        <f>ROUNDDOWN(((Tabela.frequencia[[#This Row],[Data]]-VLOOKUP(Tabela.frequencia[[#This Row],[Usuário]],Tabela.cadastro[[Nome]:[id2]],7,0))/365.25),0)</f>
        <v>20</v>
      </c>
      <c r="E83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4" spans="1:5" x14ac:dyDescent="0.25">
      <c r="A84" s="26">
        <f>IFERROR(VLOOKUP(Tabela.frequencia[[#This Row],[Usuário]],Tabela.cadastro[[Nome]:[id2]],12,0),"")</f>
        <v>15</v>
      </c>
      <c r="B84" s="10" t="s">
        <v>138</v>
      </c>
      <c r="C84" s="132">
        <v>41852</v>
      </c>
      <c r="D84" s="23">
        <f>ROUNDDOWN(((Tabela.frequencia[[#This Row],[Data]]-VLOOKUP(Tabela.frequencia[[#This Row],[Usuário]],Tabela.cadastro[[Nome]:[id2]],7,0))/365.25),0)</f>
        <v>36</v>
      </c>
      <c r="E84" s="73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5" spans="1:5" x14ac:dyDescent="0.25">
      <c r="A85" s="34">
        <f>IFERROR(VLOOKUP(Tabela.frequencia[[#This Row],[Usuário]],Tabela.cadastro[[Nome]:[id2]],12,0),"")</f>
        <v>16</v>
      </c>
      <c r="B85" s="11" t="s">
        <v>139</v>
      </c>
      <c r="C85" s="132">
        <v>41852</v>
      </c>
      <c r="D85" s="23">
        <f>ROUNDDOWN(((Tabela.frequencia[[#This Row],[Data]]-VLOOKUP(Tabela.frequencia[[#This Row],[Usuário]],Tabela.cadastro[[Nome]:[id2]],7,0))/365.25),0)</f>
        <v>27</v>
      </c>
      <c r="E85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6" spans="1:5" x14ac:dyDescent="0.25">
      <c r="A86" s="34">
        <f>IFERROR(VLOOKUP(Tabela.frequencia[[#This Row],[Usuário]],Tabela.cadastro[[Nome]:[id2]],12,0),"")</f>
        <v>16</v>
      </c>
      <c r="B86" s="11" t="s">
        <v>139</v>
      </c>
      <c r="C86" s="132">
        <v>41853</v>
      </c>
      <c r="D86" s="23">
        <f>ROUNDDOWN(((Tabela.frequencia[[#This Row],[Data]]-VLOOKUP(Tabela.frequencia[[#This Row],[Usuário]],Tabela.cadastro[[Nome]:[id2]],7,0))/365.25),0)</f>
        <v>27</v>
      </c>
      <c r="E86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7" spans="1:5" x14ac:dyDescent="0.25">
      <c r="A87" s="34">
        <f>IFERROR(VLOOKUP(Tabela.frequencia[[#This Row],[Usuário]],Tabela.cadastro[[Nome]:[id2]],12,0),"")</f>
        <v>16</v>
      </c>
      <c r="B87" s="11" t="s">
        <v>139</v>
      </c>
      <c r="C87" s="132">
        <v>41854</v>
      </c>
      <c r="D87" s="23">
        <f>ROUNDDOWN(((Tabela.frequencia[[#This Row],[Data]]-VLOOKUP(Tabela.frequencia[[#This Row],[Usuário]],Tabela.cadastro[[Nome]:[id2]],7,0))/365.25),0)</f>
        <v>27</v>
      </c>
      <c r="E87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8" spans="1:5" x14ac:dyDescent="0.25">
      <c r="A88" s="34">
        <f>IFERROR(VLOOKUP(Tabela.frequencia[[#This Row],[Usuário]],Tabela.cadastro[[Nome]:[id2]],12,0),"")</f>
        <v>16</v>
      </c>
      <c r="B88" s="11" t="s">
        <v>139</v>
      </c>
      <c r="C88" s="132">
        <v>41855</v>
      </c>
      <c r="D88" s="23">
        <f>ROUNDDOWN(((Tabela.frequencia[[#This Row],[Data]]-VLOOKUP(Tabela.frequencia[[#This Row],[Usuário]],Tabela.cadastro[[Nome]:[id2]],7,0))/365.25),0)</f>
        <v>27</v>
      </c>
      <c r="E88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89" spans="1:5" x14ac:dyDescent="0.25">
      <c r="A89" s="34">
        <f>IFERROR(VLOOKUP(Tabela.frequencia[[#This Row],[Usuário]],Tabela.cadastro[[Nome]:[id2]],12,0),"")</f>
        <v>16</v>
      </c>
      <c r="B89" s="11" t="s">
        <v>139</v>
      </c>
      <c r="C89" s="132">
        <v>41856</v>
      </c>
      <c r="D89" s="23">
        <f>ROUNDDOWN(((Tabela.frequencia[[#This Row],[Data]]-VLOOKUP(Tabela.frequencia[[#This Row],[Usuário]],Tabela.cadastro[[Nome]:[id2]],7,0))/365.25),0)</f>
        <v>27</v>
      </c>
      <c r="E89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0" spans="1:5" x14ac:dyDescent="0.25">
      <c r="A90" s="34">
        <f>IFERROR(VLOOKUP(Tabela.frequencia[[#This Row],[Usuário]],Tabela.cadastro[[Nome]:[id2]],12,0),"")</f>
        <v>16</v>
      </c>
      <c r="B90" s="11" t="s">
        <v>139</v>
      </c>
      <c r="C90" s="132">
        <v>41857</v>
      </c>
      <c r="D90" s="23">
        <f>ROUNDDOWN(((Tabela.frequencia[[#This Row],[Data]]-VLOOKUP(Tabela.frequencia[[#This Row],[Usuário]],Tabela.cadastro[[Nome]:[id2]],7,0))/365.25),0)</f>
        <v>27</v>
      </c>
      <c r="E90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1" spans="1:5" x14ac:dyDescent="0.25">
      <c r="A91" s="34">
        <f>IFERROR(VLOOKUP(Tabela.frequencia[[#This Row],[Usuário]],Tabela.cadastro[[Nome]:[id2]],12,0),"")</f>
        <v>16</v>
      </c>
      <c r="B91" s="11" t="s">
        <v>139</v>
      </c>
      <c r="C91" s="132">
        <v>41858</v>
      </c>
      <c r="D91" s="23">
        <f>ROUNDDOWN(((Tabela.frequencia[[#This Row],[Data]]-VLOOKUP(Tabela.frequencia[[#This Row],[Usuário]],Tabela.cadastro[[Nome]:[id2]],7,0))/365.25),0)</f>
        <v>27</v>
      </c>
      <c r="E91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2" spans="1:5" x14ac:dyDescent="0.25">
      <c r="A92" s="34">
        <f>IFERROR(VLOOKUP(Tabela.frequencia[[#This Row],[Usuário]],Tabela.cadastro[[Nome]:[id2]],12,0),"")</f>
        <v>16</v>
      </c>
      <c r="B92" s="11" t="s">
        <v>139</v>
      </c>
      <c r="C92" s="132">
        <v>41859</v>
      </c>
      <c r="D92" s="23">
        <f>ROUNDDOWN(((Tabela.frequencia[[#This Row],[Data]]-VLOOKUP(Tabela.frequencia[[#This Row],[Usuário]],Tabela.cadastro[[Nome]:[id2]],7,0))/365.25),0)</f>
        <v>27</v>
      </c>
      <c r="E92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3" spans="1:5" x14ac:dyDescent="0.25">
      <c r="A93" s="34">
        <f>IFERROR(VLOOKUP(Tabela.frequencia[[#This Row],[Usuário]],Tabela.cadastro[[Nome]:[id2]],12,0),"")</f>
        <v>16</v>
      </c>
      <c r="B93" s="11" t="s">
        <v>139</v>
      </c>
      <c r="C93" s="132">
        <v>41860</v>
      </c>
      <c r="D93" s="23">
        <f>ROUNDDOWN(((Tabela.frequencia[[#This Row],[Data]]-VLOOKUP(Tabela.frequencia[[#This Row],[Usuário]],Tabela.cadastro[[Nome]:[id2]],7,0))/365.25),0)</f>
        <v>27</v>
      </c>
      <c r="E93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4" spans="1:5" x14ac:dyDescent="0.25">
      <c r="A94" s="34">
        <f>IFERROR(VLOOKUP(Tabela.frequencia[[#This Row],[Usuário]],Tabela.cadastro[[Nome]:[id2]],12,0),"")</f>
        <v>16</v>
      </c>
      <c r="B94" s="11" t="s">
        <v>139</v>
      </c>
      <c r="C94" s="132">
        <v>41861</v>
      </c>
      <c r="D94" s="23">
        <f>ROUNDDOWN(((Tabela.frequencia[[#This Row],[Data]]-VLOOKUP(Tabela.frequencia[[#This Row],[Usuário]],Tabela.cadastro[[Nome]:[id2]],7,0))/365.25),0)</f>
        <v>27</v>
      </c>
      <c r="E94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5" spans="1:5" x14ac:dyDescent="0.25">
      <c r="A95" s="34">
        <f>IFERROR(VLOOKUP(Tabela.frequencia[[#This Row],[Usuário]],Tabela.cadastro[[Nome]:[id2]],12,0),"")</f>
        <v>16</v>
      </c>
      <c r="B95" s="11" t="s">
        <v>139</v>
      </c>
      <c r="C95" s="132">
        <v>41862</v>
      </c>
      <c r="D95" s="23">
        <f>ROUNDDOWN(((Tabela.frequencia[[#This Row],[Data]]-VLOOKUP(Tabela.frequencia[[#This Row],[Usuário]],Tabela.cadastro[[Nome]:[id2]],7,0))/365.25),0)</f>
        <v>27</v>
      </c>
      <c r="E95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6" spans="1:5" x14ac:dyDescent="0.25">
      <c r="A96" s="34">
        <f>IFERROR(VLOOKUP(Tabela.frequencia[[#This Row],[Usuário]],Tabela.cadastro[[Nome]:[id2]],12,0),"")</f>
        <v>16</v>
      </c>
      <c r="B96" s="11" t="s">
        <v>139</v>
      </c>
      <c r="C96" s="132">
        <v>41863</v>
      </c>
      <c r="D96" s="23">
        <f>ROUNDDOWN(((Tabela.frequencia[[#This Row],[Data]]-VLOOKUP(Tabela.frequencia[[#This Row],[Usuário]],Tabela.cadastro[[Nome]:[id2]],7,0))/365.25),0)</f>
        <v>27</v>
      </c>
      <c r="E96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7" spans="1:5" x14ac:dyDescent="0.25">
      <c r="A97" s="34">
        <f>IFERROR(VLOOKUP(Tabela.frequencia[[#This Row],[Usuário]],Tabela.cadastro[[Nome]:[id2]],12,0),"")</f>
        <v>16</v>
      </c>
      <c r="B97" s="11" t="s">
        <v>139</v>
      </c>
      <c r="C97" s="132">
        <v>41864</v>
      </c>
      <c r="D97" s="23">
        <f>ROUNDDOWN(((Tabela.frequencia[[#This Row],[Data]]-VLOOKUP(Tabela.frequencia[[#This Row],[Usuário]],Tabela.cadastro[[Nome]:[id2]],7,0))/365.25),0)</f>
        <v>27</v>
      </c>
      <c r="E97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8" spans="1:5" x14ac:dyDescent="0.25">
      <c r="A98" s="34">
        <f>IFERROR(VLOOKUP(Tabela.frequencia[[#This Row],[Usuário]],Tabela.cadastro[[Nome]:[id2]],12,0),"")</f>
        <v>15</v>
      </c>
      <c r="B98" s="10" t="s">
        <v>138</v>
      </c>
      <c r="C98" s="132">
        <v>41865</v>
      </c>
      <c r="D98" s="23">
        <f>ROUNDDOWN(((Tabela.frequencia[[#This Row],[Data]]-VLOOKUP(Tabela.frequencia[[#This Row],[Usuário]],Tabela.cadastro[[Nome]:[id2]],7,0))/365.25),0)</f>
        <v>36</v>
      </c>
      <c r="E98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99" spans="1:5" x14ac:dyDescent="0.25">
      <c r="A99" s="34">
        <f>IFERROR(VLOOKUP(Tabela.frequencia[[#This Row],[Usuário]],Tabela.cadastro[[Nome]:[id2]],12,0),"")</f>
        <v>15</v>
      </c>
      <c r="B99" s="10" t="s">
        <v>138</v>
      </c>
      <c r="C99" s="132">
        <v>41866</v>
      </c>
      <c r="D99" s="23">
        <f>ROUNDDOWN(((Tabela.frequencia[[#This Row],[Data]]-VLOOKUP(Tabela.frequencia[[#This Row],[Usuário]],Tabela.cadastro[[Nome]:[id2]],7,0))/365.25),0)</f>
        <v>36</v>
      </c>
      <c r="E99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0" spans="1:5" x14ac:dyDescent="0.25">
      <c r="A100" s="34">
        <f>IFERROR(VLOOKUP(Tabela.frequencia[[#This Row],[Usuário]],Tabela.cadastro[[Nome]:[id2]],12,0),"")</f>
        <v>15</v>
      </c>
      <c r="B100" s="10" t="s">
        <v>138</v>
      </c>
      <c r="C100" s="132">
        <v>41867</v>
      </c>
      <c r="D100" s="23">
        <f>ROUNDDOWN(((Tabela.frequencia[[#This Row],[Data]]-VLOOKUP(Tabela.frequencia[[#This Row],[Usuário]],Tabela.cadastro[[Nome]:[id2]],7,0))/365.25),0)</f>
        <v>36</v>
      </c>
      <c r="E100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1" spans="1:5" x14ac:dyDescent="0.25">
      <c r="A101" s="34">
        <f>IFERROR(VLOOKUP(Tabela.frequencia[[#This Row],[Usuário]],Tabela.cadastro[[Nome]:[id2]],12,0),"")</f>
        <v>15</v>
      </c>
      <c r="B101" s="10" t="s">
        <v>138</v>
      </c>
      <c r="C101" s="132">
        <v>41868</v>
      </c>
      <c r="D101" s="23">
        <f>ROUNDDOWN(((Tabela.frequencia[[#This Row],[Data]]-VLOOKUP(Tabela.frequencia[[#This Row],[Usuário]],Tabela.cadastro[[Nome]:[id2]],7,0))/365.25),0)</f>
        <v>36</v>
      </c>
      <c r="E101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2" spans="1:5" x14ac:dyDescent="0.25">
      <c r="A102" s="34">
        <f>IFERROR(VLOOKUP(Tabela.frequencia[[#This Row],[Usuário]],Tabela.cadastro[[Nome]:[id2]],12,0),"")</f>
        <v>15</v>
      </c>
      <c r="B102" s="10" t="s">
        <v>138</v>
      </c>
      <c r="C102" s="132">
        <v>41869</v>
      </c>
      <c r="D102" s="23">
        <f>ROUNDDOWN(((Tabela.frequencia[[#This Row],[Data]]-VLOOKUP(Tabela.frequencia[[#This Row],[Usuário]],Tabela.cadastro[[Nome]:[id2]],7,0))/365.25),0)</f>
        <v>36</v>
      </c>
      <c r="E102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3" spans="1:5" x14ac:dyDescent="0.25">
      <c r="A103" s="34">
        <f>IFERROR(VLOOKUP(Tabela.frequencia[[#This Row],[Usuário]],Tabela.cadastro[[Nome]:[id2]],12,0),"")</f>
        <v>15</v>
      </c>
      <c r="B103" s="10" t="s">
        <v>138</v>
      </c>
      <c r="C103" s="132">
        <v>41870</v>
      </c>
      <c r="D103" s="23">
        <f>ROUNDDOWN(((Tabela.frequencia[[#This Row],[Data]]-VLOOKUP(Tabela.frequencia[[#This Row],[Usuário]],Tabela.cadastro[[Nome]:[id2]],7,0))/365.25),0)</f>
        <v>36</v>
      </c>
      <c r="E103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4" spans="1:5" x14ac:dyDescent="0.25">
      <c r="A104" s="34">
        <f>IFERROR(VLOOKUP(Tabela.frequencia[[#This Row],[Usuário]],Tabela.cadastro[[Nome]:[id2]],12,0),"")</f>
        <v>15</v>
      </c>
      <c r="B104" s="10" t="s">
        <v>138</v>
      </c>
      <c r="C104" s="132">
        <v>41871</v>
      </c>
      <c r="D104" s="23">
        <f>ROUNDDOWN(((Tabela.frequencia[[#This Row],[Data]]-VLOOKUP(Tabela.frequencia[[#This Row],[Usuário]],Tabela.cadastro[[Nome]:[id2]],7,0))/365.25),0)</f>
        <v>36</v>
      </c>
      <c r="E104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5" spans="1:5" x14ac:dyDescent="0.25">
      <c r="A105" s="34">
        <f>IFERROR(VLOOKUP(Tabela.frequencia[[#This Row],[Usuário]],Tabela.cadastro[[Nome]:[id2]],12,0),"")</f>
        <v>15</v>
      </c>
      <c r="B105" s="10" t="s">
        <v>138</v>
      </c>
      <c r="C105" s="132">
        <v>41872</v>
      </c>
      <c r="D105" s="23">
        <f>ROUNDDOWN(((Tabela.frequencia[[#This Row],[Data]]-VLOOKUP(Tabela.frequencia[[#This Row],[Usuário]],Tabela.cadastro[[Nome]:[id2]],7,0))/365.25),0)</f>
        <v>36</v>
      </c>
      <c r="E105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6" spans="1:5" x14ac:dyDescent="0.25">
      <c r="A106" s="34">
        <f>IFERROR(VLOOKUP(Tabela.frequencia[[#This Row],[Usuário]],Tabela.cadastro[[Nome]:[id2]],12,0),"")</f>
        <v>15</v>
      </c>
      <c r="B106" s="10" t="s">
        <v>138</v>
      </c>
      <c r="C106" s="132">
        <v>41873</v>
      </c>
      <c r="D106" s="23">
        <f>ROUNDDOWN(((Tabela.frequencia[[#This Row],[Data]]-VLOOKUP(Tabela.frequencia[[#This Row],[Usuário]],Tabela.cadastro[[Nome]:[id2]],7,0))/365.25),0)</f>
        <v>36</v>
      </c>
      <c r="E106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7" spans="1:5" x14ac:dyDescent="0.25">
      <c r="A107" s="34">
        <f>IFERROR(VLOOKUP(Tabela.frequencia[[#This Row],[Usuário]],Tabela.cadastro[[Nome]:[id2]],12,0),"")</f>
        <v>12</v>
      </c>
      <c r="B107" s="10" t="s">
        <v>135</v>
      </c>
      <c r="C107" s="132">
        <v>41874</v>
      </c>
      <c r="D107" s="23">
        <f>ROUNDDOWN(((Tabela.frequencia[[#This Row],[Data]]-VLOOKUP(Tabela.frequencia[[#This Row],[Usuário]],Tabela.cadastro[[Nome]:[id2]],7,0))/365.25),0)</f>
        <v>25</v>
      </c>
      <c r="E107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8" spans="1:5" x14ac:dyDescent="0.25">
      <c r="A108" s="34">
        <f>IFERROR(VLOOKUP(Tabela.frequencia[[#This Row],[Usuário]],Tabela.cadastro[[Nome]:[id2]],12,0),"")</f>
        <v>12</v>
      </c>
      <c r="B108" s="10" t="s">
        <v>135</v>
      </c>
      <c r="C108" s="132">
        <v>41875</v>
      </c>
      <c r="D108" s="23">
        <f>ROUNDDOWN(((Tabela.frequencia[[#This Row],[Data]]-VLOOKUP(Tabela.frequencia[[#This Row],[Usuário]],Tabela.cadastro[[Nome]:[id2]],7,0))/365.25),0)</f>
        <v>25</v>
      </c>
      <c r="E108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09" spans="1:5" x14ac:dyDescent="0.25">
      <c r="A109" s="34">
        <f>IFERROR(VLOOKUP(Tabela.frequencia[[#This Row],[Usuário]],Tabela.cadastro[[Nome]:[id2]],12,0),"")</f>
        <v>12</v>
      </c>
      <c r="B109" s="10" t="s">
        <v>135</v>
      </c>
      <c r="C109" s="132">
        <v>41876</v>
      </c>
      <c r="D109" s="23">
        <f>ROUNDDOWN(((Tabela.frequencia[[#This Row],[Data]]-VLOOKUP(Tabela.frequencia[[#This Row],[Usuário]],Tabela.cadastro[[Nome]:[id2]],7,0))/365.25),0)</f>
        <v>25</v>
      </c>
      <c r="E109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10" spans="1:5" x14ac:dyDescent="0.25">
      <c r="A110" s="34">
        <f>IFERROR(VLOOKUP(Tabela.frequencia[[#This Row],[Usuário]],Tabela.cadastro[[Nome]:[id2]],12,0),"")</f>
        <v>12</v>
      </c>
      <c r="B110" s="10" t="s">
        <v>135</v>
      </c>
      <c r="C110" s="132">
        <v>41877</v>
      </c>
      <c r="D110" s="23">
        <f>ROUNDDOWN(((Tabela.frequencia[[#This Row],[Data]]-VLOOKUP(Tabela.frequencia[[#This Row],[Usuário]],Tabela.cadastro[[Nome]:[id2]],7,0))/365.25),0)</f>
        <v>25</v>
      </c>
      <c r="E110" s="74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ago/14</v>
      </c>
    </row>
    <row r="111" spans="1:5" x14ac:dyDescent="0.25">
      <c r="A111" s="34">
        <f>IFERROR(VLOOKUP(Tabela.frequencia[[#This Row],[Usuário]],Tabela.cadastro[[Nome]:[id2]],12,0),"")</f>
        <v>1</v>
      </c>
      <c r="B111" s="10" t="s">
        <v>124</v>
      </c>
      <c r="C111" s="132">
        <v>42005</v>
      </c>
      <c r="D111" s="171">
        <f>ROUNDDOWN(((Tabela.frequencia[[#This Row],[Data]]-VLOOKUP(Tabela.frequencia[[#This Row],[Usuário]],Tabela.cadastro[[Nome]:[id2]],7,0))/365.25),0)</f>
        <v>19</v>
      </c>
      <c r="E11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2" spans="1:5" x14ac:dyDescent="0.25">
      <c r="A112" s="34">
        <f>IFERROR(VLOOKUP(Tabela.frequencia[[#This Row],[Usuário]],Tabela.cadastro[[Nome]:[id2]],12,0),"")</f>
        <v>2</v>
      </c>
      <c r="B112" s="10" t="s">
        <v>125</v>
      </c>
      <c r="C112" s="132">
        <v>42005</v>
      </c>
      <c r="D112" s="171">
        <f>ROUNDDOWN(((Tabela.frequencia[[#This Row],[Data]]-VLOOKUP(Tabela.frequencia[[#This Row],[Usuário]],Tabela.cadastro[[Nome]:[id2]],7,0))/365.25),0)</f>
        <v>32</v>
      </c>
      <c r="E11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3" spans="1:5" x14ac:dyDescent="0.25">
      <c r="A113" s="34">
        <f>IFERROR(VLOOKUP(Tabela.frequencia[[#This Row],[Usuário]],Tabela.cadastro[[Nome]:[id2]],12,0),"")</f>
        <v>3</v>
      </c>
      <c r="B113" s="10" t="s">
        <v>126</v>
      </c>
      <c r="C113" s="132">
        <v>42005</v>
      </c>
      <c r="D113" s="171">
        <f>ROUNDDOWN(((Tabela.frequencia[[#This Row],[Data]]-VLOOKUP(Tabela.frequencia[[#This Row],[Usuário]],Tabela.cadastro[[Nome]:[id2]],7,0))/365.25),0)</f>
        <v>30</v>
      </c>
      <c r="E11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4" spans="1:5" x14ac:dyDescent="0.25">
      <c r="A114" s="34">
        <f>IFERROR(VLOOKUP(Tabela.frequencia[[#This Row],[Usuário]],Tabela.cadastro[[Nome]:[id2]],12,0),"")</f>
        <v>4</v>
      </c>
      <c r="B114" s="49" t="s">
        <v>127</v>
      </c>
      <c r="C114" s="132">
        <v>42005</v>
      </c>
      <c r="D114" s="171">
        <f>ROUNDDOWN(((Tabela.frequencia[[#This Row],[Data]]-VLOOKUP(Tabela.frequencia[[#This Row],[Usuário]],Tabela.cadastro[[Nome]:[id2]],7,0))/365.25),0)</f>
        <v>42</v>
      </c>
      <c r="E11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5" spans="1:5" x14ac:dyDescent="0.25">
      <c r="A115" s="34">
        <f>IFERROR(VLOOKUP(Tabela.frequencia[[#This Row],[Usuário]],Tabela.cadastro[[Nome]:[id2]],12,0),"")</f>
        <v>5</v>
      </c>
      <c r="B115" s="10" t="s">
        <v>128</v>
      </c>
      <c r="C115" s="132">
        <v>42005</v>
      </c>
      <c r="D115" s="171">
        <f>ROUNDDOWN(((Tabela.frequencia[[#This Row],[Data]]-VLOOKUP(Tabela.frequencia[[#This Row],[Usuário]],Tabela.cadastro[[Nome]:[id2]],7,0))/365.25),0)</f>
        <v>69</v>
      </c>
      <c r="E11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6" spans="1:5" x14ac:dyDescent="0.25">
      <c r="A116" s="34">
        <f>IFERROR(VLOOKUP(Tabela.frequencia[[#This Row],[Usuário]],Tabela.cadastro[[Nome]:[id2]],12,0),"")</f>
        <v>6</v>
      </c>
      <c r="B116" s="10" t="s">
        <v>129</v>
      </c>
      <c r="C116" s="132">
        <v>42005</v>
      </c>
      <c r="D116" s="171">
        <f>ROUNDDOWN(((Tabela.frequencia[[#This Row],[Data]]-VLOOKUP(Tabela.frequencia[[#This Row],[Usuário]],Tabela.cadastro[[Nome]:[id2]],7,0))/365.25),0)</f>
        <v>15</v>
      </c>
      <c r="E11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7" spans="1:5" x14ac:dyDescent="0.25">
      <c r="A117" s="34">
        <f>IFERROR(VLOOKUP(Tabela.frequencia[[#This Row],[Usuário]],Tabela.cadastro[[Nome]:[id2]],12,0),"")</f>
        <v>7</v>
      </c>
      <c r="B117" t="s">
        <v>130</v>
      </c>
      <c r="C117" s="132">
        <v>42005</v>
      </c>
      <c r="D117" s="171">
        <f>ROUNDDOWN(((Tabela.frequencia[[#This Row],[Data]]-VLOOKUP(Tabela.frequencia[[#This Row],[Usuário]],Tabela.cadastro[[Nome]:[id2]],7,0))/365.25),0)</f>
        <v>75</v>
      </c>
      <c r="E11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8" spans="1:5" x14ac:dyDescent="0.25">
      <c r="A118" s="34">
        <f>IFERROR(VLOOKUP(Tabela.frequencia[[#This Row],[Usuário]],Tabela.cadastro[[Nome]:[id2]],12,0),"")</f>
        <v>8</v>
      </c>
      <c r="B118" s="10" t="s">
        <v>131</v>
      </c>
      <c r="C118" s="132">
        <v>42005</v>
      </c>
      <c r="D118" s="171">
        <f>ROUNDDOWN(((Tabela.frequencia[[#This Row],[Data]]-VLOOKUP(Tabela.frequencia[[#This Row],[Usuário]],Tabela.cadastro[[Nome]:[id2]],7,0))/365.25),0)</f>
        <v>27</v>
      </c>
      <c r="E11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19" spans="1:5" x14ac:dyDescent="0.25">
      <c r="A119" s="34">
        <f>IFERROR(VLOOKUP(Tabela.frequencia[[#This Row],[Usuário]],Tabela.cadastro[[Nome]:[id2]],12,0),"")</f>
        <v>9</v>
      </c>
      <c r="B119" s="10" t="s">
        <v>132</v>
      </c>
      <c r="C119" s="132">
        <v>42005</v>
      </c>
      <c r="D119" s="171">
        <f>ROUNDDOWN(((Tabela.frequencia[[#This Row],[Data]]-VLOOKUP(Tabela.frequencia[[#This Row],[Usuário]],Tabela.cadastro[[Nome]:[id2]],7,0))/365.25),0)</f>
        <v>44</v>
      </c>
      <c r="E11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0" spans="1:5" x14ac:dyDescent="0.25">
      <c r="A120" s="34">
        <f>IFERROR(VLOOKUP(Tabela.frequencia[[#This Row],[Usuário]],Tabela.cadastro[[Nome]:[id2]],12,0),"")</f>
        <v>10</v>
      </c>
      <c r="B120" s="10" t="s">
        <v>133</v>
      </c>
      <c r="C120" s="132">
        <v>42005</v>
      </c>
      <c r="D120" s="171">
        <f>ROUNDDOWN(((Tabela.frequencia[[#This Row],[Data]]-VLOOKUP(Tabela.frequencia[[#This Row],[Usuário]],Tabela.cadastro[[Nome]:[id2]],7,0))/365.25),0)</f>
        <v>31</v>
      </c>
      <c r="E12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1" spans="1:5" x14ac:dyDescent="0.25">
      <c r="A121" s="34">
        <f>IFERROR(VLOOKUP(Tabela.frequencia[[#This Row],[Usuário]],Tabela.cadastro[[Nome]:[id2]],12,0),"")</f>
        <v>11</v>
      </c>
      <c r="B121" s="10" t="s">
        <v>134</v>
      </c>
      <c r="C121" s="132">
        <v>42005</v>
      </c>
      <c r="D121" s="171">
        <f>ROUNDDOWN(((Tabela.frequencia[[#This Row],[Data]]-VLOOKUP(Tabela.frequencia[[#This Row],[Usuário]],Tabela.cadastro[[Nome]:[id2]],7,0))/365.25),0)</f>
        <v>32</v>
      </c>
      <c r="E12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2" spans="1:5" x14ac:dyDescent="0.25">
      <c r="A122" s="34">
        <f>IFERROR(VLOOKUP(Tabela.frequencia[[#This Row],[Usuário]],Tabela.cadastro[[Nome]:[id2]],12,0),"")</f>
        <v>12</v>
      </c>
      <c r="B122" s="10" t="s">
        <v>135</v>
      </c>
      <c r="C122" s="132">
        <v>42005</v>
      </c>
      <c r="D122" s="171">
        <f>ROUNDDOWN(((Tabela.frequencia[[#This Row],[Data]]-VLOOKUP(Tabela.frequencia[[#This Row],[Usuário]],Tabela.cadastro[[Nome]:[id2]],7,0))/365.25),0)</f>
        <v>25</v>
      </c>
      <c r="E12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3" spans="1:5" x14ac:dyDescent="0.25">
      <c r="A123" s="34">
        <f>IFERROR(VLOOKUP(Tabela.frequencia[[#This Row],[Usuário]],Tabela.cadastro[[Nome]:[id2]],12,0),"")</f>
        <v>13</v>
      </c>
      <c r="B123" s="10" t="s">
        <v>136</v>
      </c>
      <c r="C123" s="132">
        <v>42005</v>
      </c>
      <c r="D123" s="171">
        <f>ROUNDDOWN(((Tabela.frequencia[[#This Row],[Data]]-VLOOKUP(Tabela.frequencia[[#This Row],[Usuário]],Tabela.cadastro[[Nome]:[id2]],7,0))/365.25),0)</f>
        <v>22</v>
      </c>
      <c r="E12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4" spans="1:5" x14ac:dyDescent="0.25">
      <c r="A124" s="34">
        <f>IFERROR(VLOOKUP(Tabela.frequencia[[#This Row],[Usuário]],Tabela.cadastro[[Nome]:[id2]],12,0),"")</f>
        <v>14</v>
      </c>
      <c r="B124" s="10" t="s">
        <v>137</v>
      </c>
      <c r="C124" s="132">
        <v>42005</v>
      </c>
      <c r="D124" s="171">
        <f>ROUNDDOWN(((Tabela.frequencia[[#This Row],[Data]]-VLOOKUP(Tabela.frequencia[[#This Row],[Usuário]],Tabela.cadastro[[Nome]:[id2]],7,0))/365.25),0)</f>
        <v>20</v>
      </c>
      <c r="E12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5" spans="1:5" x14ac:dyDescent="0.25">
      <c r="A125" s="34">
        <f>IFERROR(VLOOKUP(Tabela.frequencia[[#This Row],[Usuário]],Tabela.cadastro[[Nome]:[id2]],12,0),"")</f>
        <v>15</v>
      </c>
      <c r="B125" s="10" t="s">
        <v>138</v>
      </c>
      <c r="C125" s="132">
        <v>42005</v>
      </c>
      <c r="D125" s="171">
        <f>ROUNDDOWN(((Tabela.frequencia[[#This Row],[Data]]-VLOOKUP(Tabela.frequencia[[#This Row],[Usuário]],Tabela.cadastro[[Nome]:[id2]],7,0))/365.25),0)</f>
        <v>37</v>
      </c>
      <c r="E12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jan/15</v>
      </c>
    </row>
    <row r="126" spans="1:5" x14ac:dyDescent="0.25">
      <c r="A126" s="34">
        <f>IFERROR(VLOOKUP(Tabela.frequencia[[#This Row],[Usuário]],Tabela.cadastro[[Nome]:[id2]],12,0),"")</f>
        <v>3</v>
      </c>
      <c r="B126" s="10" t="s">
        <v>126</v>
      </c>
      <c r="C126" s="132">
        <v>42156</v>
      </c>
      <c r="D126" s="171">
        <f>ROUNDDOWN(((Tabela.frequencia[[#This Row],[Data]]-VLOOKUP(Tabela.frequencia[[#This Row],[Usuário]],Tabela.cadastro[[Nome]:[id2]],7,0))/365.25),0)</f>
        <v>30</v>
      </c>
      <c r="E12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27" spans="1:5" x14ac:dyDescent="0.25">
      <c r="A127" s="34">
        <f>IFERROR(VLOOKUP(Tabela.frequencia[[#This Row],[Usuário]],Tabela.cadastro[[Nome]:[id2]],12,0),"")</f>
        <v>4</v>
      </c>
      <c r="B127" s="49" t="s">
        <v>127</v>
      </c>
      <c r="C127" s="132">
        <v>42156</v>
      </c>
      <c r="D127" s="171">
        <f>ROUNDDOWN(((Tabela.frequencia[[#This Row],[Data]]-VLOOKUP(Tabela.frequencia[[#This Row],[Usuário]],Tabela.cadastro[[Nome]:[id2]],7,0))/365.25),0)</f>
        <v>42</v>
      </c>
      <c r="E12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28" spans="1:5" x14ac:dyDescent="0.25">
      <c r="A128" s="34">
        <f>IFERROR(VLOOKUP(Tabela.frequencia[[#This Row],[Usuário]],Tabela.cadastro[[Nome]:[id2]],12,0),"")</f>
        <v>5</v>
      </c>
      <c r="B128" s="10" t="s">
        <v>128</v>
      </c>
      <c r="C128" s="132">
        <v>42156</v>
      </c>
      <c r="D128" s="171">
        <f>ROUNDDOWN(((Tabela.frequencia[[#This Row],[Data]]-VLOOKUP(Tabela.frequencia[[#This Row],[Usuário]],Tabela.cadastro[[Nome]:[id2]],7,0))/365.25),0)</f>
        <v>70</v>
      </c>
      <c r="E12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29" spans="1:5" x14ac:dyDescent="0.25">
      <c r="A129" s="34">
        <f>IFERROR(VLOOKUP(Tabela.frequencia[[#This Row],[Usuário]],Tabela.cadastro[[Nome]:[id2]],12,0),"")</f>
        <v>9</v>
      </c>
      <c r="B129" s="10" t="s">
        <v>132</v>
      </c>
      <c r="C129" s="132">
        <v>42156</v>
      </c>
      <c r="D129" s="171">
        <f>ROUNDDOWN(((Tabela.frequencia[[#This Row],[Data]]-VLOOKUP(Tabela.frequencia[[#This Row],[Usuário]],Tabela.cadastro[[Nome]:[id2]],7,0))/365.25),0)</f>
        <v>45</v>
      </c>
      <c r="E12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0" spans="1:5" x14ac:dyDescent="0.25">
      <c r="A130" s="34">
        <f>IFERROR(VLOOKUP(Tabela.frequencia[[#This Row],[Usuário]],Tabela.cadastro[[Nome]:[id2]],12,0),"")</f>
        <v>10</v>
      </c>
      <c r="B130" s="10" t="s">
        <v>133</v>
      </c>
      <c r="C130" s="132">
        <v>42156</v>
      </c>
      <c r="D130" s="171">
        <f>ROUNDDOWN(((Tabela.frequencia[[#This Row],[Data]]-VLOOKUP(Tabela.frequencia[[#This Row],[Usuário]],Tabela.cadastro[[Nome]:[id2]],7,0))/365.25),0)</f>
        <v>32</v>
      </c>
      <c r="E13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1" spans="1:5" x14ac:dyDescent="0.25">
      <c r="A131" s="34">
        <f>IFERROR(VLOOKUP(Tabela.frequencia[[#This Row],[Usuário]],Tabela.cadastro[[Nome]:[id2]],12,0),"")</f>
        <v>11</v>
      </c>
      <c r="B131" s="10" t="s">
        <v>134</v>
      </c>
      <c r="C131" s="132">
        <v>42156</v>
      </c>
      <c r="D131" s="171">
        <f>ROUNDDOWN(((Tabela.frequencia[[#This Row],[Data]]-VLOOKUP(Tabela.frequencia[[#This Row],[Usuário]],Tabela.cadastro[[Nome]:[id2]],7,0))/365.25),0)</f>
        <v>32</v>
      </c>
      <c r="E13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2" spans="1:5" x14ac:dyDescent="0.25">
      <c r="A132" s="34">
        <f>IFERROR(VLOOKUP(Tabela.frequencia[[#This Row],[Usuário]],Tabela.cadastro[[Nome]:[id2]],12,0),"")</f>
        <v>12</v>
      </c>
      <c r="B132" s="10" t="s">
        <v>135</v>
      </c>
      <c r="C132" s="132">
        <v>42156</v>
      </c>
      <c r="D132" s="171">
        <f>ROUNDDOWN(((Tabela.frequencia[[#This Row],[Data]]-VLOOKUP(Tabela.frequencia[[#This Row],[Usuário]],Tabela.cadastro[[Nome]:[id2]],7,0))/365.25),0)</f>
        <v>26</v>
      </c>
      <c r="E13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3" spans="1:5" x14ac:dyDescent="0.25">
      <c r="A133" s="34">
        <f>IFERROR(VLOOKUP(Tabela.frequencia[[#This Row],[Usuário]],Tabela.cadastro[[Nome]:[id2]],12,0),"")</f>
        <v>13</v>
      </c>
      <c r="B133" s="10" t="s">
        <v>136</v>
      </c>
      <c r="C133" s="132">
        <v>42156</v>
      </c>
      <c r="D133" s="171">
        <f>ROUNDDOWN(((Tabela.frequencia[[#This Row],[Data]]-VLOOKUP(Tabela.frequencia[[#This Row],[Usuário]],Tabela.cadastro[[Nome]:[id2]],7,0))/365.25),0)</f>
        <v>22</v>
      </c>
      <c r="E13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4" spans="1:5" x14ac:dyDescent="0.25">
      <c r="A134" s="34">
        <f>IFERROR(VLOOKUP(Tabela.frequencia[[#This Row],[Usuário]],Tabela.cadastro[[Nome]:[id2]],12,0),"")</f>
        <v>14</v>
      </c>
      <c r="B134" s="10" t="s">
        <v>137</v>
      </c>
      <c r="C134" s="132">
        <v>42156</v>
      </c>
      <c r="D134" s="171">
        <f>ROUNDDOWN(((Tabela.frequencia[[#This Row],[Data]]-VLOOKUP(Tabela.frequencia[[#This Row],[Usuário]],Tabela.cadastro[[Nome]:[id2]],7,0))/365.25),0)</f>
        <v>21</v>
      </c>
      <c r="E13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5" spans="1:5" x14ac:dyDescent="0.25">
      <c r="A135" s="34">
        <f>IFERROR(VLOOKUP(Tabela.frequencia[[#This Row],[Usuário]],Tabela.cadastro[[Nome]:[id2]],12,0),"")</f>
        <v>15</v>
      </c>
      <c r="B135" s="10" t="s">
        <v>138</v>
      </c>
      <c r="C135" s="132">
        <v>42156</v>
      </c>
      <c r="D135" s="171">
        <f>ROUNDDOWN(((Tabela.frequencia[[#This Row],[Data]]-VLOOKUP(Tabela.frequencia[[#This Row],[Usuário]],Tabela.cadastro[[Nome]:[id2]],7,0))/365.25),0)</f>
        <v>37</v>
      </c>
      <c r="E13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6" spans="1:5" x14ac:dyDescent="0.25">
      <c r="A136" s="34">
        <f>IFERROR(VLOOKUP(Tabela.frequencia[[#This Row],[Usuário]],Tabela.cadastro[[Nome]:[id2]],12,0),"")</f>
        <v>16</v>
      </c>
      <c r="B136" s="11" t="s">
        <v>139</v>
      </c>
      <c r="C136" s="132">
        <v>42156</v>
      </c>
      <c r="D136" s="171">
        <f>ROUNDDOWN(((Tabela.frequencia[[#This Row],[Data]]-VLOOKUP(Tabela.frequencia[[#This Row],[Usuário]],Tabela.cadastro[[Nome]:[id2]],7,0))/365.25),0)</f>
        <v>27</v>
      </c>
      <c r="E13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7" spans="1:5" x14ac:dyDescent="0.25">
      <c r="A137" s="34">
        <f>IFERROR(VLOOKUP(Tabela.frequencia[[#This Row],[Usuário]],Tabela.cadastro[[Nome]:[id2]],12,0),"")</f>
        <v>17</v>
      </c>
      <c r="B137" s="10" t="s">
        <v>141</v>
      </c>
      <c r="C137" s="132">
        <v>42156</v>
      </c>
      <c r="D137" s="171">
        <f>ROUNDDOWN(((Tabela.frequencia[[#This Row],[Data]]-VLOOKUP(Tabela.frequencia[[#This Row],[Usuário]],Tabela.cadastro[[Nome]:[id2]],7,0))/365.25),0)</f>
        <v>32</v>
      </c>
      <c r="E13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8" spans="1:5" x14ac:dyDescent="0.25">
      <c r="A138" s="34">
        <f>IFERROR(VLOOKUP(Tabela.frequencia[[#This Row],[Usuário]],Tabela.cadastro[[Nome]:[id2]],12,0),"")</f>
        <v>18</v>
      </c>
      <c r="B138" s="10" t="s">
        <v>140</v>
      </c>
      <c r="C138" s="132">
        <v>42156</v>
      </c>
      <c r="D138" s="171">
        <f>ROUNDDOWN(((Tabela.frequencia[[#This Row],[Data]]-VLOOKUP(Tabela.frequencia[[#This Row],[Usuário]],Tabela.cadastro[[Nome]:[id2]],7,0))/365.25),0)</f>
        <v>35</v>
      </c>
      <c r="E13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39" spans="1:5" x14ac:dyDescent="0.25">
      <c r="A139" s="34">
        <f>IFERROR(VLOOKUP(Tabela.frequencia[[#This Row],[Usuário]],Tabela.cadastro[[Nome]:[id2]],12,0),"")</f>
        <v>19</v>
      </c>
      <c r="B139" s="10" t="s">
        <v>142</v>
      </c>
      <c r="C139" s="132">
        <v>42156</v>
      </c>
      <c r="D139" s="171">
        <f>ROUNDDOWN(((Tabela.frequencia[[#This Row],[Data]]-VLOOKUP(Tabela.frequencia[[#This Row],[Usuário]],Tabela.cadastro[[Nome]:[id2]],7,0))/365.25),0)</f>
        <v>29</v>
      </c>
      <c r="E13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40" spans="1:5" x14ac:dyDescent="0.25">
      <c r="A140" s="34">
        <f>IFERROR(VLOOKUP(Tabela.frequencia[[#This Row],[Usuário]],Tabela.cadastro[[Nome]:[id2]],12,0),"")</f>
        <v>20</v>
      </c>
      <c r="B140" s="10" t="s">
        <v>143</v>
      </c>
      <c r="C140" s="132">
        <v>42156</v>
      </c>
      <c r="D140" s="171">
        <f>ROUNDDOWN(((Tabela.frequencia[[#This Row],[Data]]-VLOOKUP(Tabela.frequencia[[#This Row],[Usuário]],Tabela.cadastro[[Nome]:[id2]],7,0))/365.25),0)</f>
        <v>45</v>
      </c>
      <c r="E14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41" spans="1:5" x14ac:dyDescent="0.25">
      <c r="A141" s="34">
        <f>IFERROR(VLOOKUP(Tabela.frequencia[[#This Row],[Usuário]],Tabela.cadastro[[Nome]:[id2]],12,0),"")</f>
        <v>1</v>
      </c>
      <c r="B141" s="10" t="s">
        <v>124</v>
      </c>
      <c r="C141" s="132">
        <v>42156</v>
      </c>
      <c r="D141" s="171">
        <f>ROUNDDOWN(((Tabela.frequencia[[#This Row],[Data]]-VLOOKUP(Tabela.frequencia[[#This Row],[Usuário]],Tabela.cadastro[[Nome]:[id2]],7,0))/365.25),0)</f>
        <v>20</v>
      </c>
      <c r="E14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42" spans="1:5" x14ac:dyDescent="0.25">
      <c r="A142" s="34">
        <f>IFERROR(VLOOKUP(Tabela.frequencia[[#This Row],[Usuário]],Tabela.cadastro[[Nome]:[id2]],12,0),"")</f>
        <v>2</v>
      </c>
      <c r="B142" s="10" t="s">
        <v>125</v>
      </c>
      <c r="C142" s="132">
        <v>42156</v>
      </c>
      <c r="D142" s="171">
        <f>ROUNDDOWN(((Tabela.frequencia[[#This Row],[Data]]-VLOOKUP(Tabela.frequencia[[#This Row],[Usuário]],Tabela.cadastro[[Nome]:[id2]],7,0))/365.25),0)</f>
        <v>32</v>
      </c>
      <c r="E14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jun/15</v>
      </c>
    </row>
    <row r="143" spans="1:5" x14ac:dyDescent="0.25">
      <c r="A143" s="34">
        <f>IFERROR(VLOOKUP(Tabela.frequencia[[#This Row],[Usuário]],Tabela.cadastro[[Nome]:[id2]],12,0),"")</f>
        <v>15</v>
      </c>
      <c r="B143" s="10" t="s">
        <v>138</v>
      </c>
      <c r="C143" s="132">
        <v>42370</v>
      </c>
      <c r="D143" s="171">
        <f>ROUNDDOWN(((Tabela.frequencia[[#This Row],[Data]]-VLOOKUP(Tabela.frequencia[[#This Row],[Usuário]],Tabela.cadastro[[Nome]:[id2]],7,0))/365.25),0)</f>
        <v>38</v>
      </c>
      <c r="E14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4" spans="1:5" x14ac:dyDescent="0.25">
      <c r="A144" s="34">
        <f>IFERROR(VLOOKUP(Tabela.frequencia[[#This Row],[Usuário]],Tabela.cadastro[[Nome]:[id2]],12,0),"")</f>
        <v>16</v>
      </c>
      <c r="B144" s="11" t="s">
        <v>139</v>
      </c>
      <c r="C144" s="132">
        <v>42370</v>
      </c>
      <c r="D144" s="171">
        <f>ROUNDDOWN(((Tabela.frequencia[[#This Row],[Data]]-VLOOKUP(Tabela.frequencia[[#This Row],[Usuário]],Tabela.cadastro[[Nome]:[id2]],7,0))/365.25),0)</f>
        <v>28</v>
      </c>
      <c r="E14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5" spans="1:5" x14ac:dyDescent="0.25">
      <c r="A145" s="34">
        <f>IFERROR(VLOOKUP(Tabela.frequencia[[#This Row],[Usuário]],Tabela.cadastro[[Nome]:[id2]],12,0),"")</f>
        <v>17</v>
      </c>
      <c r="B145" s="10" t="s">
        <v>141</v>
      </c>
      <c r="C145" s="132">
        <v>42370</v>
      </c>
      <c r="D145" s="171">
        <f>ROUNDDOWN(((Tabela.frequencia[[#This Row],[Data]]-VLOOKUP(Tabela.frequencia[[#This Row],[Usuário]],Tabela.cadastro[[Nome]:[id2]],7,0))/365.25),0)</f>
        <v>32</v>
      </c>
      <c r="E14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6" spans="1:5" x14ac:dyDescent="0.25">
      <c r="A146" s="34">
        <f>IFERROR(VLOOKUP(Tabela.frequencia[[#This Row],[Usuário]],Tabela.cadastro[[Nome]:[id2]],12,0),"")</f>
        <v>18</v>
      </c>
      <c r="B146" s="10" t="s">
        <v>140</v>
      </c>
      <c r="C146" s="132">
        <v>42370</v>
      </c>
      <c r="D146" s="171">
        <f>ROUNDDOWN(((Tabela.frequencia[[#This Row],[Data]]-VLOOKUP(Tabela.frequencia[[#This Row],[Usuário]],Tabela.cadastro[[Nome]:[id2]],7,0))/365.25),0)</f>
        <v>36</v>
      </c>
      <c r="E14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7" spans="1:5" x14ac:dyDescent="0.25">
      <c r="A147" s="34">
        <f>IFERROR(VLOOKUP(Tabela.frequencia[[#This Row],[Usuário]],Tabela.cadastro[[Nome]:[id2]],12,0),"")</f>
        <v>19</v>
      </c>
      <c r="B147" s="10" t="s">
        <v>142</v>
      </c>
      <c r="C147" s="132">
        <v>42370</v>
      </c>
      <c r="D147" s="171">
        <f>ROUNDDOWN(((Tabela.frequencia[[#This Row],[Data]]-VLOOKUP(Tabela.frequencia[[#This Row],[Usuário]],Tabela.cadastro[[Nome]:[id2]],7,0))/365.25),0)</f>
        <v>30</v>
      </c>
      <c r="E14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8" spans="1:5" x14ac:dyDescent="0.25">
      <c r="A148" s="34">
        <f>IFERROR(VLOOKUP(Tabela.frequencia[[#This Row],[Usuário]],Tabela.cadastro[[Nome]:[id2]],12,0),"")</f>
        <v>20</v>
      </c>
      <c r="B148" s="10" t="s">
        <v>143</v>
      </c>
      <c r="C148" s="132">
        <v>42370</v>
      </c>
      <c r="D148" s="171">
        <f>ROUNDDOWN(((Tabela.frequencia[[#This Row],[Data]]-VLOOKUP(Tabela.frequencia[[#This Row],[Usuário]],Tabela.cadastro[[Nome]:[id2]],7,0))/365.25),0)</f>
        <v>45</v>
      </c>
      <c r="E14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49" spans="1:5" x14ac:dyDescent="0.25">
      <c r="A149" s="34">
        <f>IFERROR(VLOOKUP(Tabela.frequencia[[#This Row],[Usuário]],Tabela.cadastro[[Nome]:[id2]],12,0),"")</f>
        <v>1</v>
      </c>
      <c r="B149" s="10" t="s">
        <v>124</v>
      </c>
      <c r="C149" s="132">
        <v>42370</v>
      </c>
      <c r="D149" s="171">
        <f>ROUNDDOWN(((Tabela.frequencia[[#This Row],[Data]]-VLOOKUP(Tabela.frequencia[[#This Row],[Usuário]],Tabela.cadastro[[Nome]:[id2]],7,0))/365.25),0)</f>
        <v>20</v>
      </c>
      <c r="E14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0" spans="1:5" x14ac:dyDescent="0.25">
      <c r="A150" s="34">
        <f>IFERROR(VLOOKUP(Tabela.frequencia[[#This Row],[Usuário]],Tabela.cadastro[[Nome]:[id2]],12,0),"")</f>
        <v>2</v>
      </c>
      <c r="B150" s="10" t="s">
        <v>125</v>
      </c>
      <c r="C150" s="132">
        <v>42370</v>
      </c>
      <c r="D150" s="171">
        <f>ROUNDDOWN(((Tabela.frequencia[[#This Row],[Data]]-VLOOKUP(Tabela.frequencia[[#This Row],[Usuário]],Tabela.cadastro[[Nome]:[id2]],7,0))/365.25),0)</f>
        <v>33</v>
      </c>
      <c r="E15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1" spans="1:5" x14ac:dyDescent="0.25">
      <c r="A151" s="34">
        <f>IFERROR(VLOOKUP(Tabela.frequencia[[#This Row],[Usuário]],Tabela.cadastro[[Nome]:[id2]],12,0),"")</f>
        <v>3</v>
      </c>
      <c r="B151" s="10" t="s">
        <v>126</v>
      </c>
      <c r="C151" s="132">
        <v>42370</v>
      </c>
      <c r="D151" s="171">
        <f>ROUNDDOWN(((Tabela.frequencia[[#This Row],[Data]]-VLOOKUP(Tabela.frequencia[[#This Row],[Usuário]],Tabela.cadastro[[Nome]:[id2]],7,0))/365.25),0)</f>
        <v>31</v>
      </c>
      <c r="E15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2" spans="1:5" x14ac:dyDescent="0.25">
      <c r="A152" s="34">
        <f>IFERROR(VLOOKUP(Tabela.frequencia[[#This Row],[Usuário]],Tabela.cadastro[[Nome]:[id2]],12,0),"")</f>
        <v>4</v>
      </c>
      <c r="B152" s="49" t="s">
        <v>127</v>
      </c>
      <c r="C152" s="132">
        <v>42370</v>
      </c>
      <c r="D152" s="171">
        <f>ROUNDDOWN(((Tabela.frequencia[[#This Row],[Data]]-VLOOKUP(Tabela.frequencia[[#This Row],[Usuário]],Tabela.cadastro[[Nome]:[id2]],7,0))/365.25),0)</f>
        <v>43</v>
      </c>
      <c r="E15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3" spans="1:5" x14ac:dyDescent="0.25">
      <c r="A153" s="34">
        <f>IFERROR(VLOOKUP(Tabela.frequencia[[#This Row],[Usuário]],Tabela.cadastro[[Nome]:[id2]],12,0),"")</f>
        <v>5</v>
      </c>
      <c r="B153" s="10" t="s">
        <v>128</v>
      </c>
      <c r="C153" s="132">
        <v>42370</v>
      </c>
      <c r="D153" s="171">
        <f>ROUNDDOWN(((Tabela.frequencia[[#This Row],[Data]]-VLOOKUP(Tabela.frequencia[[#This Row],[Usuário]],Tabela.cadastro[[Nome]:[id2]],7,0))/365.25),0)</f>
        <v>70</v>
      </c>
      <c r="E15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4" spans="1:5" x14ac:dyDescent="0.25">
      <c r="A154" s="34">
        <f>IFERROR(VLOOKUP(Tabela.frequencia[[#This Row],[Usuário]],Tabela.cadastro[[Nome]:[id2]],12,0),"")</f>
        <v>9</v>
      </c>
      <c r="B154" s="10" t="s">
        <v>132</v>
      </c>
      <c r="C154" s="132">
        <v>42370</v>
      </c>
      <c r="D154" s="171">
        <f>ROUNDDOWN(((Tabela.frequencia[[#This Row],[Data]]-VLOOKUP(Tabela.frequencia[[#This Row],[Usuário]],Tabela.cadastro[[Nome]:[id2]],7,0))/365.25),0)</f>
        <v>45</v>
      </c>
      <c r="E15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5" spans="1:5" x14ac:dyDescent="0.25">
      <c r="A155" s="34">
        <f>IFERROR(VLOOKUP(Tabela.frequencia[[#This Row],[Usuário]],Tabela.cadastro[[Nome]:[id2]],12,0),"")</f>
        <v>10</v>
      </c>
      <c r="B155" s="10" t="s">
        <v>133</v>
      </c>
      <c r="C155" s="132">
        <v>42370</v>
      </c>
      <c r="D155" s="171">
        <f>ROUNDDOWN(((Tabela.frequencia[[#This Row],[Data]]-VLOOKUP(Tabela.frequencia[[#This Row],[Usuário]],Tabela.cadastro[[Nome]:[id2]],7,0))/365.25),0)</f>
        <v>32</v>
      </c>
      <c r="E15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jan/16</v>
      </c>
    </row>
    <row r="156" spans="1:5" x14ac:dyDescent="0.25">
      <c r="A156" s="34">
        <f>IFERROR(VLOOKUP(Tabela.frequencia[[#This Row],[Usuário]],Tabela.cadastro[[Nome]:[id2]],12,0),"")</f>
        <v>15</v>
      </c>
      <c r="B156" s="10" t="s">
        <v>138</v>
      </c>
      <c r="C156" s="132">
        <v>42736</v>
      </c>
      <c r="D156" s="171">
        <f>ROUNDDOWN(((Tabela.frequencia[[#This Row],[Data]]-VLOOKUP(Tabela.frequencia[[#This Row],[Usuário]],Tabela.cadastro[[Nome]:[id2]],7,0))/365.25),0)</f>
        <v>39</v>
      </c>
      <c r="E15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57" spans="1:5" x14ac:dyDescent="0.25">
      <c r="A157" s="34">
        <f>IFERROR(VLOOKUP(Tabela.frequencia[[#This Row],[Usuário]],Tabela.cadastro[[Nome]:[id2]],12,0),"")</f>
        <v>16</v>
      </c>
      <c r="B157" s="11" t="s">
        <v>139</v>
      </c>
      <c r="C157" s="132">
        <v>42736</v>
      </c>
      <c r="D157" s="171">
        <f>ROUNDDOWN(((Tabela.frequencia[[#This Row],[Data]]-VLOOKUP(Tabela.frequencia[[#This Row],[Usuário]],Tabela.cadastro[[Nome]:[id2]],7,0))/365.25),0)</f>
        <v>29</v>
      </c>
      <c r="E15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58" spans="1:5" x14ac:dyDescent="0.25">
      <c r="A158" s="34">
        <f>IFERROR(VLOOKUP(Tabela.frequencia[[#This Row],[Usuário]],Tabela.cadastro[[Nome]:[id2]],12,0),"")</f>
        <v>17</v>
      </c>
      <c r="B158" s="10" t="s">
        <v>141</v>
      </c>
      <c r="C158" s="132">
        <v>42736</v>
      </c>
      <c r="D158" s="171">
        <f>ROUNDDOWN(((Tabela.frequencia[[#This Row],[Data]]-VLOOKUP(Tabela.frequencia[[#This Row],[Usuário]],Tabela.cadastro[[Nome]:[id2]],7,0))/365.25),0)</f>
        <v>33</v>
      </c>
      <c r="E15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59" spans="1:5" x14ac:dyDescent="0.25">
      <c r="A159" s="34">
        <f>IFERROR(VLOOKUP(Tabela.frequencia[[#This Row],[Usuário]],Tabela.cadastro[[Nome]:[id2]],12,0),"")</f>
        <v>18</v>
      </c>
      <c r="B159" s="10" t="s">
        <v>140</v>
      </c>
      <c r="C159" s="132">
        <v>42736</v>
      </c>
      <c r="D159" s="171">
        <f>ROUNDDOWN(((Tabela.frequencia[[#This Row],[Data]]-VLOOKUP(Tabela.frequencia[[#This Row],[Usuário]],Tabela.cadastro[[Nome]:[id2]],7,0))/365.25),0)</f>
        <v>37</v>
      </c>
      <c r="E15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0" spans="1:5" x14ac:dyDescent="0.25">
      <c r="A160" s="34">
        <f>IFERROR(VLOOKUP(Tabela.frequencia[[#This Row],[Usuário]],Tabela.cadastro[[Nome]:[id2]],12,0),"")</f>
        <v>19</v>
      </c>
      <c r="B160" s="10" t="s">
        <v>142</v>
      </c>
      <c r="C160" s="132">
        <v>42736</v>
      </c>
      <c r="D160" s="171">
        <f>ROUNDDOWN(((Tabela.frequencia[[#This Row],[Data]]-VLOOKUP(Tabela.frequencia[[#This Row],[Usuário]],Tabela.cadastro[[Nome]:[id2]],7,0))/365.25),0)</f>
        <v>31</v>
      </c>
      <c r="E16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1" spans="1:5" x14ac:dyDescent="0.25">
      <c r="A161" s="34">
        <f>IFERROR(VLOOKUP(Tabela.frequencia[[#This Row],[Usuário]],Tabela.cadastro[[Nome]:[id2]],12,0),"")</f>
        <v>20</v>
      </c>
      <c r="B161" s="10" t="s">
        <v>143</v>
      </c>
      <c r="C161" s="132">
        <v>42736</v>
      </c>
      <c r="D161" s="171">
        <f>ROUNDDOWN(((Tabela.frequencia[[#This Row],[Data]]-VLOOKUP(Tabela.frequencia[[#This Row],[Usuário]],Tabela.cadastro[[Nome]:[id2]],7,0))/365.25),0)</f>
        <v>46</v>
      </c>
      <c r="E16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2" spans="1:5" x14ac:dyDescent="0.25">
      <c r="A162" s="34">
        <f>IFERROR(VLOOKUP(Tabela.frequencia[[#This Row],[Usuário]],Tabela.cadastro[[Nome]:[id2]],12,0),"")</f>
        <v>1</v>
      </c>
      <c r="B162" s="10" t="s">
        <v>124</v>
      </c>
      <c r="C162" s="132">
        <v>42736</v>
      </c>
      <c r="D162" s="171">
        <f>ROUNDDOWN(((Tabela.frequencia[[#This Row],[Data]]-VLOOKUP(Tabela.frequencia[[#This Row],[Usuário]],Tabela.cadastro[[Nome]:[id2]],7,0))/365.25),0)</f>
        <v>21</v>
      </c>
      <c r="E16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3" spans="1:5" x14ac:dyDescent="0.25">
      <c r="A163" s="34">
        <f>IFERROR(VLOOKUP(Tabela.frequencia[[#This Row],[Usuário]],Tabela.cadastro[[Nome]:[id2]],12,0),"")</f>
        <v>2</v>
      </c>
      <c r="B163" s="10" t="s">
        <v>125</v>
      </c>
      <c r="C163" s="132">
        <v>42736</v>
      </c>
      <c r="D163" s="171">
        <f>ROUNDDOWN(((Tabela.frequencia[[#This Row],[Data]]-VLOOKUP(Tabela.frequencia[[#This Row],[Usuário]],Tabela.cadastro[[Nome]:[id2]],7,0))/365.25),0)</f>
        <v>34</v>
      </c>
      <c r="E16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4" spans="1:5" x14ac:dyDescent="0.25">
      <c r="A164" s="34">
        <f>IFERROR(VLOOKUP(Tabela.frequencia[[#This Row],[Usuário]],Tabela.cadastro[[Nome]:[id2]],12,0),"")</f>
        <v>3</v>
      </c>
      <c r="B164" s="10" t="s">
        <v>126</v>
      </c>
      <c r="C164" s="132">
        <v>42736</v>
      </c>
      <c r="D164" s="171">
        <f>ROUNDDOWN(((Tabela.frequencia[[#This Row],[Data]]-VLOOKUP(Tabela.frequencia[[#This Row],[Usuário]],Tabela.cadastro[[Nome]:[id2]],7,0))/365.25),0)</f>
        <v>32</v>
      </c>
      <c r="E16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5" spans="1:5" x14ac:dyDescent="0.25">
      <c r="A165" s="34">
        <f>IFERROR(VLOOKUP(Tabela.frequencia[[#This Row],[Usuário]],Tabela.cadastro[[Nome]:[id2]],12,0),"")</f>
        <v>4</v>
      </c>
      <c r="B165" s="49" t="s">
        <v>127</v>
      </c>
      <c r="C165" s="132">
        <v>42736</v>
      </c>
      <c r="D165" s="171">
        <f>ROUNDDOWN(((Tabela.frequencia[[#This Row],[Data]]-VLOOKUP(Tabela.frequencia[[#This Row],[Usuário]],Tabela.cadastro[[Nome]:[id2]],7,0))/365.25),0)</f>
        <v>44</v>
      </c>
      <c r="E16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6" spans="1:5" x14ac:dyDescent="0.25">
      <c r="A166" s="34">
        <f>IFERROR(VLOOKUP(Tabela.frequencia[[#This Row],[Usuário]],Tabela.cadastro[[Nome]:[id2]],12,0),"")</f>
        <v>5</v>
      </c>
      <c r="B166" s="10" t="s">
        <v>128</v>
      </c>
      <c r="C166" s="132">
        <v>42736</v>
      </c>
      <c r="D166" s="171">
        <f>ROUNDDOWN(((Tabela.frequencia[[#This Row],[Data]]-VLOOKUP(Tabela.frequencia[[#This Row],[Usuário]],Tabela.cadastro[[Nome]:[id2]],7,0))/365.25),0)</f>
        <v>71</v>
      </c>
      <c r="E16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7" spans="1:5" x14ac:dyDescent="0.25">
      <c r="A167" s="34">
        <f>IFERROR(VLOOKUP(Tabela.frequencia[[#This Row],[Usuário]],Tabela.cadastro[[Nome]:[id2]],12,0),"")</f>
        <v>9</v>
      </c>
      <c r="B167" s="10" t="s">
        <v>132</v>
      </c>
      <c r="C167" s="132">
        <v>42736</v>
      </c>
      <c r="D167" s="171">
        <f>ROUNDDOWN(((Tabela.frequencia[[#This Row],[Data]]-VLOOKUP(Tabela.frequencia[[#This Row],[Usuário]],Tabela.cadastro[[Nome]:[id2]],7,0))/365.25),0)</f>
        <v>46</v>
      </c>
      <c r="E16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8" spans="1:5" x14ac:dyDescent="0.25">
      <c r="A168" s="34">
        <f>IFERROR(VLOOKUP(Tabela.frequencia[[#This Row],[Usuário]],Tabela.cadastro[[Nome]:[id2]],12,0),"")</f>
        <v>10</v>
      </c>
      <c r="B168" s="10" t="s">
        <v>133</v>
      </c>
      <c r="C168" s="132">
        <v>42736</v>
      </c>
      <c r="D168" s="171">
        <f>ROUNDDOWN(((Tabela.frequencia[[#This Row],[Data]]-VLOOKUP(Tabela.frequencia[[#This Row],[Usuário]],Tabela.cadastro[[Nome]:[id2]],7,0))/365.25),0)</f>
        <v>33</v>
      </c>
      <c r="E16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jan/17</v>
      </c>
    </row>
    <row r="169" spans="1:5" x14ac:dyDescent="0.25">
      <c r="A169" s="34">
        <f>IFERROR(VLOOKUP(Tabela.frequencia[[#This Row],[Usuário]],Tabela.cadastro[[Nome]:[id2]],12,0),"")</f>
        <v>1</v>
      </c>
      <c r="B169" s="10" t="s">
        <v>124</v>
      </c>
      <c r="C169" s="132">
        <v>42767</v>
      </c>
      <c r="D169" s="171">
        <f>ROUNDDOWN(((Tabela.frequencia[[#This Row],[Data]]-VLOOKUP(Tabela.frequencia[[#This Row],[Usuário]],Tabela.cadastro[[Nome]:[id2]],7,0))/365.25),0)</f>
        <v>22</v>
      </c>
      <c r="E16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0" spans="1:5" x14ac:dyDescent="0.25">
      <c r="A170" s="34">
        <f>IFERROR(VLOOKUP(Tabela.frequencia[[#This Row],[Usuário]],Tabela.cadastro[[Nome]:[id2]],12,0),"")</f>
        <v>2</v>
      </c>
      <c r="B170" s="10" t="s">
        <v>125</v>
      </c>
      <c r="C170" s="132">
        <v>42767</v>
      </c>
      <c r="D170" s="171">
        <f>ROUNDDOWN(((Tabela.frequencia[[#This Row],[Data]]-VLOOKUP(Tabela.frequencia[[#This Row],[Usuário]],Tabela.cadastro[[Nome]:[id2]],7,0))/365.25),0)</f>
        <v>34</v>
      </c>
      <c r="E17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1" spans="1:5" x14ac:dyDescent="0.25">
      <c r="A171" s="34">
        <f>IFERROR(VLOOKUP(Tabela.frequencia[[#This Row],[Usuário]],Tabela.cadastro[[Nome]:[id2]],12,0),"")</f>
        <v>3</v>
      </c>
      <c r="B171" s="10" t="s">
        <v>126</v>
      </c>
      <c r="C171" s="132">
        <v>42767</v>
      </c>
      <c r="D171" s="171">
        <f>ROUNDDOWN(((Tabela.frequencia[[#This Row],[Data]]-VLOOKUP(Tabela.frequencia[[#This Row],[Usuário]],Tabela.cadastro[[Nome]:[id2]],7,0))/365.25),0)</f>
        <v>32</v>
      </c>
      <c r="E17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2" spans="1:5" x14ac:dyDescent="0.25">
      <c r="A172" s="34">
        <f>IFERROR(VLOOKUP(Tabela.frequencia[[#This Row],[Usuário]],Tabela.cadastro[[Nome]:[id2]],12,0),"")</f>
        <v>4</v>
      </c>
      <c r="B172" s="49" t="s">
        <v>127</v>
      </c>
      <c r="C172" s="132">
        <v>42767</v>
      </c>
      <c r="D172" s="171">
        <f>ROUNDDOWN(((Tabela.frequencia[[#This Row],[Data]]-VLOOKUP(Tabela.frequencia[[#This Row],[Usuário]],Tabela.cadastro[[Nome]:[id2]],7,0))/365.25),0)</f>
        <v>44</v>
      </c>
      <c r="E17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3" spans="1:5" x14ac:dyDescent="0.25">
      <c r="A173" s="34">
        <f>IFERROR(VLOOKUP(Tabela.frequencia[[#This Row],[Usuário]],Tabela.cadastro[[Nome]:[id2]],12,0),"")</f>
        <v>5</v>
      </c>
      <c r="B173" s="10" t="s">
        <v>128</v>
      </c>
      <c r="C173" s="132">
        <v>42767</v>
      </c>
      <c r="D173" s="171">
        <f>ROUNDDOWN(((Tabela.frequencia[[#This Row],[Data]]-VLOOKUP(Tabela.frequencia[[#This Row],[Usuário]],Tabela.cadastro[[Nome]:[id2]],7,0))/365.25),0)</f>
        <v>71</v>
      </c>
      <c r="E17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4" spans="1:5" x14ac:dyDescent="0.25">
      <c r="A174" s="34">
        <f>IFERROR(VLOOKUP(Tabela.frequencia[[#This Row],[Usuário]],Tabela.cadastro[[Nome]:[id2]],12,0),"")</f>
        <v>6</v>
      </c>
      <c r="B174" s="10" t="s">
        <v>129</v>
      </c>
      <c r="C174" s="132">
        <v>42767</v>
      </c>
      <c r="D174" s="171">
        <f>ROUNDDOWN(((Tabela.frequencia[[#This Row],[Data]]-VLOOKUP(Tabela.frequencia[[#This Row],[Usuário]],Tabela.cadastro[[Nome]:[id2]],7,0))/365.25),0)</f>
        <v>17</v>
      </c>
      <c r="E17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5" spans="1:5" x14ac:dyDescent="0.25">
      <c r="A175" s="34">
        <f>IFERROR(VLOOKUP(Tabela.frequencia[[#This Row],[Usuário]],Tabela.cadastro[[Nome]:[id2]],12,0),"")</f>
        <v>7</v>
      </c>
      <c r="B175" t="s">
        <v>130</v>
      </c>
      <c r="C175" s="132">
        <v>42767</v>
      </c>
      <c r="D175" s="171">
        <f>ROUNDDOWN(((Tabela.frequencia[[#This Row],[Data]]-VLOOKUP(Tabela.frequencia[[#This Row],[Usuário]],Tabela.cadastro[[Nome]:[id2]],7,0))/365.25),0)</f>
        <v>77</v>
      </c>
      <c r="E17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6" spans="1:5" x14ac:dyDescent="0.25">
      <c r="A176" s="34">
        <f>IFERROR(VLOOKUP(Tabela.frequencia[[#This Row],[Usuário]],Tabela.cadastro[[Nome]:[id2]],12,0),"")</f>
        <v>8</v>
      </c>
      <c r="B176" s="10" t="s">
        <v>131</v>
      </c>
      <c r="C176" s="132">
        <v>42767</v>
      </c>
      <c r="D176" s="171">
        <f>ROUNDDOWN(((Tabela.frequencia[[#This Row],[Data]]-VLOOKUP(Tabela.frequencia[[#This Row],[Usuário]],Tabela.cadastro[[Nome]:[id2]],7,0))/365.25),0)</f>
        <v>29</v>
      </c>
      <c r="E17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7" spans="1:5" x14ac:dyDescent="0.25">
      <c r="A177" s="34">
        <f>IFERROR(VLOOKUP(Tabela.frequencia[[#This Row],[Usuário]],Tabela.cadastro[[Nome]:[id2]],12,0),"")</f>
        <v>9</v>
      </c>
      <c r="B177" s="10" t="s">
        <v>132</v>
      </c>
      <c r="C177" s="132">
        <v>42767</v>
      </c>
      <c r="D177" s="171">
        <f>ROUNDDOWN(((Tabela.frequencia[[#This Row],[Data]]-VLOOKUP(Tabela.frequencia[[#This Row],[Usuário]],Tabela.cadastro[[Nome]:[id2]],7,0))/365.25),0)</f>
        <v>46</v>
      </c>
      <c r="E17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8" spans="1:5" x14ac:dyDescent="0.25">
      <c r="A178" s="34">
        <f>IFERROR(VLOOKUP(Tabela.frequencia[[#This Row],[Usuário]],Tabela.cadastro[[Nome]:[id2]],12,0),"")</f>
        <v>10</v>
      </c>
      <c r="B178" s="10" t="s">
        <v>133</v>
      </c>
      <c r="C178" s="132">
        <v>42767</v>
      </c>
      <c r="D178" s="171">
        <f>ROUNDDOWN(((Tabela.frequencia[[#This Row],[Data]]-VLOOKUP(Tabela.frequencia[[#This Row],[Usuário]],Tabela.cadastro[[Nome]:[id2]],7,0))/365.25),0)</f>
        <v>33</v>
      </c>
      <c r="E17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79" spans="1:5" x14ac:dyDescent="0.25">
      <c r="A179" s="34">
        <f>IFERROR(VLOOKUP(Tabela.frequencia[[#This Row],[Usuário]],Tabela.cadastro[[Nome]:[id2]],12,0),"")</f>
        <v>11</v>
      </c>
      <c r="B179" s="10" t="s">
        <v>134</v>
      </c>
      <c r="C179" s="132">
        <v>42767</v>
      </c>
      <c r="D179" s="171">
        <f>ROUNDDOWN(((Tabela.frequencia[[#This Row],[Data]]-VLOOKUP(Tabela.frequencia[[#This Row],[Usuário]],Tabela.cadastro[[Nome]:[id2]],7,0))/365.25),0)</f>
        <v>34</v>
      </c>
      <c r="E17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0" spans="1:5" x14ac:dyDescent="0.25">
      <c r="A180" s="34">
        <f>IFERROR(VLOOKUP(Tabela.frequencia[[#This Row],[Usuário]],Tabela.cadastro[[Nome]:[id2]],12,0),"")</f>
        <v>12</v>
      </c>
      <c r="B180" s="10" t="s">
        <v>135</v>
      </c>
      <c r="C180" s="132">
        <v>42767</v>
      </c>
      <c r="D180" s="171">
        <f>ROUNDDOWN(((Tabela.frequencia[[#This Row],[Data]]-VLOOKUP(Tabela.frequencia[[#This Row],[Usuário]],Tabela.cadastro[[Nome]:[id2]],7,0))/365.25),0)</f>
        <v>27</v>
      </c>
      <c r="E18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1" spans="1:5" x14ac:dyDescent="0.25">
      <c r="A181" s="34">
        <f>IFERROR(VLOOKUP(Tabela.frequencia[[#This Row],[Usuário]],Tabela.cadastro[[Nome]:[id2]],12,0),"")</f>
        <v>13</v>
      </c>
      <c r="B181" s="10" t="s">
        <v>136</v>
      </c>
      <c r="C181" s="132">
        <v>42767</v>
      </c>
      <c r="D181" s="171">
        <f>ROUNDDOWN(((Tabela.frequencia[[#This Row],[Data]]-VLOOKUP(Tabela.frequencia[[#This Row],[Usuário]],Tabela.cadastro[[Nome]:[id2]],7,0))/365.25),0)</f>
        <v>24</v>
      </c>
      <c r="E18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2" spans="1:5" x14ac:dyDescent="0.25">
      <c r="A182" s="34">
        <f>IFERROR(VLOOKUP(Tabela.frequencia[[#This Row],[Usuário]],Tabela.cadastro[[Nome]:[id2]],12,0),"")</f>
        <v>14</v>
      </c>
      <c r="B182" s="10" t="s">
        <v>137</v>
      </c>
      <c r="C182" s="132">
        <v>42767</v>
      </c>
      <c r="D182" s="171">
        <f>ROUNDDOWN(((Tabela.frequencia[[#This Row],[Data]]-VLOOKUP(Tabela.frequencia[[#This Row],[Usuário]],Tabela.cadastro[[Nome]:[id2]],7,0))/365.25),0)</f>
        <v>22</v>
      </c>
      <c r="E18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3" spans="1:5" x14ac:dyDescent="0.25">
      <c r="A183" s="34">
        <f>IFERROR(VLOOKUP(Tabela.frequencia[[#This Row],[Usuário]],Tabela.cadastro[[Nome]:[id2]],12,0),"")</f>
        <v>15</v>
      </c>
      <c r="B183" s="10" t="s">
        <v>138</v>
      </c>
      <c r="C183" s="132">
        <v>42767</v>
      </c>
      <c r="D183" s="171">
        <f>ROUNDDOWN(((Tabela.frequencia[[#This Row],[Data]]-VLOOKUP(Tabela.frequencia[[#This Row],[Usuário]],Tabela.cadastro[[Nome]:[id2]],7,0))/365.25),0)</f>
        <v>39</v>
      </c>
      <c r="E18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4" spans="1:5" x14ac:dyDescent="0.25">
      <c r="A184" s="34">
        <f>IFERROR(VLOOKUP(Tabela.frequencia[[#This Row],[Usuário]],Tabela.cadastro[[Nome]:[id2]],12,0),"")</f>
        <v>16</v>
      </c>
      <c r="B184" s="11" t="s">
        <v>139</v>
      </c>
      <c r="C184" s="132">
        <v>42767</v>
      </c>
      <c r="D184" s="171">
        <f>ROUNDDOWN(((Tabela.frequencia[[#This Row],[Data]]-VLOOKUP(Tabela.frequencia[[#This Row],[Usuário]],Tabela.cadastro[[Nome]:[id2]],7,0))/365.25),0)</f>
        <v>29</v>
      </c>
      <c r="E18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5" spans="1:5" x14ac:dyDescent="0.25">
      <c r="A185" s="34">
        <f>IFERROR(VLOOKUP(Tabela.frequencia[[#This Row],[Usuário]],Tabela.cadastro[[Nome]:[id2]],12,0),"")</f>
        <v>17</v>
      </c>
      <c r="B185" s="10" t="s">
        <v>141</v>
      </c>
      <c r="C185" s="132">
        <v>42767</v>
      </c>
      <c r="D185" s="171">
        <f>ROUNDDOWN(((Tabela.frequencia[[#This Row],[Data]]-VLOOKUP(Tabela.frequencia[[#This Row],[Usuário]],Tabela.cadastro[[Nome]:[id2]],7,0))/365.25),0)</f>
        <v>33</v>
      </c>
      <c r="E18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6" spans="1:5" x14ac:dyDescent="0.25">
      <c r="A186" s="34">
        <f>IFERROR(VLOOKUP(Tabela.frequencia[[#This Row],[Usuário]],Tabela.cadastro[[Nome]:[id2]],12,0),"")</f>
        <v>18</v>
      </c>
      <c r="B186" s="10" t="s">
        <v>140</v>
      </c>
      <c r="C186" s="132">
        <v>42767</v>
      </c>
      <c r="D186" s="171">
        <f>ROUNDDOWN(((Tabela.frequencia[[#This Row],[Data]]-VLOOKUP(Tabela.frequencia[[#This Row],[Usuário]],Tabela.cadastro[[Nome]:[id2]],7,0))/365.25),0)</f>
        <v>37</v>
      </c>
      <c r="E18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7" spans="1:5" x14ac:dyDescent="0.25">
      <c r="A187" s="34">
        <f>IFERROR(VLOOKUP(Tabela.frequencia[[#This Row],[Usuário]],Tabela.cadastro[[Nome]:[id2]],12,0),"")</f>
        <v>19</v>
      </c>
      <c r="B187" s="10" t="s">
        <v>142</v>
      </c>
      <c r="C187" s="132">
        <v>42767</v>
      </c>
      <c r="D187" s="171">
        <f>ROUNDDOWN(((Tabela.frequencia[[#This Row],[Data]]-VLOOKUP(Tabela.frequencia[[#This Row],[Usuário]],Tabela.cadastro[[Nome]:[id2]],7,0))/365.25),0)</f>
        <v>31</v>
      </c>
      <c r="E18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8" spans="1:5" x14ac:dyDescent="0.25">
      <c r="A188" s="34">
        <f>IFERROR(VLOOKUP(Tabela.frequencia[[#This Row],[Usuário]],Tabela.cadastro[[Nome]:[id2]],12,0),"")</f>
        <v>20</v>
      </c>
      <c r="B188" s="10" t="s">
        <v>143</v>
      </c>
      <c r="C188" s="132">
        <v>42767</v>
      </c>
      <c r="D188" s="171">
        <f>ROUNDDOWN(((Tabela.frequencia[[#This Row],[Data]]-VLOOKUP(Tabela.frequencia[[#This Row],[Usuário]],Tabela.cadastro[[Nome]:[id2]],7,0))/365.25),0)</f>
        <v>47</v>
      </c>
      <c r="E18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>fev/17</v>
      </c>
    </row>
    <row r="189" spans="1:5" x14ac:dyDescent="0.25">
      <c r="A189" s="34" t="str">
        <f>IFERROR(VLOOKUP(Tabela.frequencia[[#This Row],[Usuário]],Tabela.cadastro[[Nome]:[id2]],12,0),"")</f>
        <v/>
      </c>
      <c r="B189" s="36"/>
      <c r="C189" s="132"/>
      <c r="D189" s="171" t="e">
        <f>ROUNDDOWN(((Tabela.frequencia[[#This Row],[Data]]-VLOOKUP(Tabela.frequencia[[#This Row],[Usuário]],Tabela.cadastro[[Nome]:[id2]],7,0))/365.25),0)</f>
        <v>#N/A</v>
      </c>
      <c r="E18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0" spans="1:5" x14ac:dyDescent="0.25">
      <c r="A190" s="34" t="str">
        <f>IFERROR(VLOOKUP(Tabela.frequencia[[#This Row],[Usuário]],Tabela.cadastro[[Nome]:[id2]],12,0),"")</f>
        <v/>
      </c>
      <c r="B190" s="36"/>
      <c r="C190" s="132"/>
      <c r="D190" s="171" t="e">
        <f>ROUNDDOWN(((Tabela.frequencia[[#This Row],[Data]]-VLOOKUP(Tabela.frequencia[[#This Row],[Usuário]],Tabela.cadastro[[Nome]:[id2]],7,0))/365.25),0)</f>
        <v>#N/A</v>
      </c>
      <c r="E19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1" spans="1:5" x14ac:dyDescent="0.25">
      <c r="A191" s="34" t="str">
        <f>IFERROR(VLOOKUP(Tabela.frequencia[[#This Row],[Usuário]],Tabela.cadastro[[Nome]:[id2]],12,0),"")</f>
        <v/>
      </c>
      <c r="B191" s="36"/>
      <c r="C191" s="132"/>
      <c r="D191" s="171" t="e">
        <f>ROUNDDOWN(((Tabela.frequencia[[#This Row],[Data]]-VLOOKUP(Tabela.frequencia[[#This Row],[Usuário]],Tabela.cadastro[[Nome]:[id2]],7,0))/365.25),0)</f>
        <v>#N/A</v>
      </c>
      <c r="E19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2" spans="1:5" x14ac:dyDescent="0.25">
      <c r="A192" s="34" t="str">
        <f>IFERROR(VLOOKUP(Tabela.frequencia[[#This Row],[Usuário]],Tabela.cadastro[[Nome]:[id2]],12,0),"")</f>
        <v/>
      </c>
      <c r="B192" s="36"/>
      <c r="C192" s="132"/>
      <c r="D192" s="171" t="e">
        <f>ROUNDDOWN(((Tabela.frequencia[[#This Row],[Data]]-VLOOKUP(Tabela.frequencia[[#This Row],[Usuário]],Tabela.cadastro[[Nome]:[id2]],7,0))/365.25),0)</f>
        <v>#N/A</v>
      </c>
      <c r="E19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3" spans="1:5" x14ac:dyDescent="0.25">
      <c r="A193" s="34" t="str">
        <f>IFERROR(VLOOKUP(Tabela.frequencia[[#This Row],[Usuário]],Tabela.cadastro[[Nome]:[id2]],12,0),"")</f>
        <v/>
      </c>
      <c r="B193" s="36"/>
      <c r="C193" s="132"/>
      <c r="D193" s="171" t="e">
        <f>ROUNDDOWN(((Tabela.frequencia[[#This Row],[Data]]-VLOOKUP(Tabela.frequencia[[#This Row],[Usuário]],Tabela.cadastro[[Nome]:[id2]],7,0))/365.25),0)</f>
        <v>#N/A</v>
      </c>
      <c r="E19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4" spans="1:5" x14ac:dyDescent="0.25">
      <c r="A194" s="34" t="str">
        <f>IFERROR(VLOOKUP(Tabela.frequencia[[#This Row],[Usuário]],Tabela.cadastro[[Nome]:[id2]],12,0),"")</f>
        <v/>
      </c>
      <c r="B194" s="36"/>
      <c r="C194" s="132"/>
      <c r="D194" s="171" t="e">
        <f>ROUNDDOWN(((Tabela.frequencia[[#This Row],[Data]]-VLOOKUP(Tabela.frequencia[[#This Row],[Usuário]],Tabela.cadastro[[Nome]:[id2]],7,0))/365.25),0)</f>
        <v>#N/A</v>
      </c>
      <c r="E19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5" spans="1:5" x14ac:dyDescent="0.25">
      <c r="A195" s="34" t="str">
        <f>IFERROR(VLOOKUP(Tabela.frequencia[[#This Row],[Usuário]],Tabela.cadastro[[Nome]:[id2]],12,0),"")</f>
        <v/>
      </c>
      <c r="B195" s="36"/>
      <c r="C195" s="132"/>
      <c r="D195" s="171" t="e">
        <f>ROUNDDOWN(((Tabela.frequencia[[#This Row],[Data]]-VLOOKUP(Tabela.frequencia[[#This Row],[Usuário]],Tabela.cadastro[[Nome]:[id2]],7,0))/365.25),0)</f>
        <v>#N/A</v>
      </c>
      <c r="E19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6" spans="1:5" x14ac:dyDescent="0.25">
      <c r="A196" s="34" t="str">
        <f>IFERROR(VLOOKUP(Tabela.frequencia[[#This Row],[Usuário]],Tabela.cadastro[[Nome]:[id2]],12,0),"")</f>
        <v/>
      </c>
      <c r="B196" s="36"/>
      <c r="C196" s="132"/>
      <c r="D196" s="171" t="e">
        <f>ROUNDDOWN(((Tabela.frequencia[[#This Row],[Data]]-VLOOKUP(Tabela.frequencia[[#This Row],[Usuário]],Tabela.cadastro[[Nome]:[id2]],7,0))/365.25),0)</f>
        <v>#N/A</v>
      </c>
      <c r="E19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7" spans="1:5" x14ac:dyDescent="0.25">
      <c r="A197" s="34" t="str">
        <f>IFERROR(VLOOKUP(Tabela.frequencia[[#This Row],[Usuário]],Tabela.cadastro[[Nome]:[id2]],12,0),"")</f>
        <v/>
      </c>
      <c r="B197" s="36"/>
      <c r="C197" s="132"/>
      <c r="D197" s="171" t="e">
        <f>ROUNDDOWN(((Tabela.frequencia[[#This Row],[Data]]-VLOOKUP(Tabela.frequencia[[#This Row],[Usuário]],Tabela.cadastro[[Nome]:[id2]],7,0))/365.25),0)</f>
        <v>#N/A</v>
      </c>
      <c r="E19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8" spans="1:5" x14ac:dyDescent="0.25">
      <c r="A198" s="34" t="str">
        <f>IFERROR(VLOOKUP(Tabela.frequencia[[#This Row],[Usuário]],Tabela.cadastro[[Nome]:[id2]],12,0),"")</f>
        <v/>
      </c>
      <c r="B198" s="36"/>
      <c r="C198" s="132"/>
      <c r="D198" s="171" t="e">
        <f>ROUNDDOWN(((Tabela.frequencia[[#This Row],[Data]]-VLOOKUP(Tabela.frequencia[[#This Row],[Usuário]],Tabela.cadastro[[Nome]:[id2]],7,0))/365.25),0)</f>
        <v>#N/A</v>
      </c>
      <c r="E19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199" spans="1:5" x14ac:dyDescent="0.25">
      <c r="A199" s="34" t="str">
        <f>IFERROR(VLOOKUP(Tabela.frequencia[[#This Row],[Usuário]],Tabela.cadastro[[Nome]:[id2]],12,0),"")</f>
        <v/>
      </c>
      <c r="B199" s="36"/>
      <c r="C199" s="132"/>
      <c r="D199" s="171" t="e">
        <f>ROUNDDOWN(((Tabela.frequencia[[#This Row],[Data]]-VLOOKUP(Tabela.frequencia[[#This Row],[Usuário]],Tabela.cadastro[[Nome]:[id2]],7,0))/365.25),0)</f>
        <v>#N/A</v>
      </c>
      <c r="E19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0" spans="1:5" x14ac:dyDescent="0.25">
      <c r="A200" s="34" t="str">
        <f>IFERROR(VLOOKUP(Tabela.frequencia[[#This Row],[Usuário]],Tabela.cadastro[[Nome]:[id2]],12,0),"")</f>
        <v/>
      </c>
      <c r="B200" s="36"/>
      <c r="C200" s="132"/>
      <c r="D200" s="171" t="e">
        <f>ROUNDDOWN(((Tabela.frequencia[[#This Row],[Data]]-VLOOKUP(Tabela.frequencia[[#This Row],[Usuário]],Tabela.cadastro[[Nome]:[id2]],7,0))/365.25),0)</f>
        <v>#N/A</v>
      </c>
      <c r="E20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1" spans="1:5" x14ac:dyDescent="0.25">
      <c r="A201" s="34" t="str">
        <f>IFERROR(VLOOKUP(Tabela.frequencia[[#This Row],[Usuário]],Tabela.cadastro[[Nome]:[id2]],12,0),"")</f>
        <v/>
      </c>
      <c r="B201" s="36"/>
      <c r="C201" s="132"/>
      <c r="D201" s="171" t="e">
        <f>ROUNDDOWN(((Tabela.frequencia[[#This Row],[Data]]-VLOOKUP(Tabela.frequencia[[#This Row],[Usuário]],Tabela.cadastro[[Nome]:[id2]],7,0))/365.25),0)</f>
        <v>#N/A</v>
      </c>
      <c r="E20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2" spans="1:5" x14ac:dyDescent="0.25">
      <c r="A202" s="34" t="str">
        <f>IFERROR(VLOOKUP(Tabela.frequencia[[#This Row],[Usuário]],Tabela.cadastro[[Nome]:[id2]],12,0),"")</f>
        <v/>
      </c>
      <c r="B202" s="36"/>
      <c r="C202" s="132"/>
      <c r="D202" s="171" t="e">
        <f>ROUNDDOWN(((Tabela.frequencia[[#This Row],[Data]]-VLOOKUP(Tabela.frequencia[[#This Row],[Usuário]],Tabela.cadastro[[Nome]:[id2]],7,0))/365.25),0)</f>
        <v>#N/A</v>
      </c>
      <c r="E20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3" spans="1:5" x14ac:dyDescent="0.25">
      <c r="A203" s="34" t="str">
        <f>IFERROR(VLOOKUP(Tabela.frequencia[[#This Row],[Usuário]],Tabela.cadastro[[Nome]:[id2]],12,0),"")</f>
        <v/>
      </c>
      <c r="B203" s="36"/>
      <c r="C203" s="132"/>
      <c r="D203" s="171" t="e">
        <f>ROUNDDOWN(((Tabela.frequencia[[#This Row],[Data]]-VLOOKUP(Tabela.frequencia[[#This Row],[Usuário]],Tabela.cadastro[[Nome]:[id2]],7,0))/365.25),0)</f>
        <v>#N/A</v>
      </c>
      <c r="E203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4" spans="1:5" x14ac:dyDescent="0.25">
      <c r="A204" s="34" t="str">
        <f>IFERROR(VLOOKUP(Tabela.frequencia[[#This Row],[Usuário]],Tabela.cadastro[[Nome]:[id2]],12,0),"")</f>
        <v/>
      </c>
      <c r="B204" s="36"/>
      <c r="C204" s="132"/>
      <c r="D204" s="171" t="e">
        <f>ROUNDDOWN(((Tabela.frequencia[[#This Row],[Data]]-VLOOKUP(Tabela.frequencia[[#This Row],[Usuário]],Tabela.cadastro[[Nome]:[id2]],7,0))/365.25),0)</f>
        <v>#N/A</v>
      </c>
      <c r="E204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5" spans="1:5" x14ac:dyDescent="0.25">
      <c r="A205" s="34" t="str">
        <f>IFERROR(VLOOKUP(Tabela.frequencia[[#This Row],[Usuário]],Tabela.cadastro[[Nome]:[id2]],12,0),"")</f>
        <v/>
      </c>
      <c r="B205" s="36"/>
      <c r="C205" s="132"/>
      <c r="D205" s="171" t="e">
        <f>ROUNDDOWN(((Tabela.frequencia[[#This Row],[Data]]-VLOOKUP(Tabela.frequencia[[#This Row],[Usuário]],Tabela.cadastro[[Nome]:[id2]],7,0))/365.25),0)</f>
        <v>#N/A</v>
      </c>
      <c r="E205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6" spans="1:5" x14ac:dyDescent="0.25">
      <c r="A206" s="34" t="str">
        <f>IFERROR(VLOOKUP(Tabela.frequencia[[#This Row],[Usuário]],Tabela.cadastro[[Nome]:[id2]],12,0),"")</f>
        <v/>
      </c>
      <c r="B206" s="36"/>
      <c r="C206" s="132"/>
      <c r="D206" s="171" t="e">
        <f>ROUNDDOWN(((Tabela.frequencia[[#This Row],[Data]]-VLOOKUP(Tabela.frequencia[[#This Row],[Usuário]],Tabela.cadastro[[Nome]:[id2]],7,0))/365.25),0)</f>
        <v>#N/A</v>
      </c>
      <c r="E206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7" spans="1:5" x14ac:dyDescent="0.25">
      <c r="A207" s="34" t="str">
        <f>IFERROR(VLOOKUP(Tabela.frequencia[[#This Row],[Usuário]],Tabela.cadastro[[Nome]:[id2]],12,0),"")</f>
        <v/>
      </c>
      <c r="B207" s="36"/>
      <c r="C207" s="132"/>
      <c r="D207" s="171" t="e">
        <f>ROUNDDOWN(((Tabela.frequencia[[#This Row],[Data]]-VLOOKUP(Tabela.frequencia[[#This Row],[Usuário]],Tabela.cadastro[[Nome]:[id2]],7,0))/365.25),0)</f>
        <v>#N/A</v>
      </c>
      <c r="E207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8" spans="1:5" x14ac:dyDescent="0.25">
      <c r="A208" s="34" t="str">
        <f>IFERROR(VLOOKUP(Tabela.frequencia[[#This Row],[Usuário]],Tabela.cadastro[[Nome]:[id2]],12,0),"")</f>
        <v/>
      </c>
      <c r="B208" s="36"/>
      <c r="C208" s="132"/>
      <c r="D208" s="171" t="e">
        <f>ROUNDDOWN(((Tabela.frequencia[[#This Row],[Data]]-VLOOKUP(Tabela.frequencia[[#This Row],[Usuário]],Tabela.cadastro[[Nome]:[id2]],7,0))/365.25),0)</f>
        <v>#N/A</v>
      </c>
      <c r="E208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09" spans="1:5" x14ac:dyDescent="0.25">
      <c r="A209" s="34" t="str">
        <f>IFERROR(VLOOKUP(Tabela.frequencia[[#This Row],[Usuário]],Tabela.cadastro[[Nome]:[id2]],12,0),"")</f>
        <v/>
      </c>
      <c r="B209" s="36"/>
      <c r="C209" s="132"/>
      <c r="D209" s="171" t="e">
        <f>ROUNDDOWN(((Tabela.frequencia[[#This Row],[Data]]-VLOOKUP(Tabela.frequencia[[#This Row],[Usuário]],Tabela.cadastro[[Nome]:[id2]],7,0))/365.25),0)</f>
        <v>#N/A</v>
      </c>
      <c r="E209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10" spans="1:5" x14ac:dyDescent="0.25">
      <c r="A210" s="34" t="str">
        <f>IFERROR(VLOOKUP(Tabela.frequencia[[#This Row],[Usuário]],Tabela.cadastro[[Nome]:[id2]],12,0),"")</f>
        <v/>
      </c>
      <c r="B210" s="36"/>
      <c r="C210" s="132"/>
      <c r="D210" s="171" t="e">
        <f>ROUNDDOWN(((Tabela.frequencia[[#This Row],[Data]]-VLOOKUP(Tabela.frequencia[[#This Row],[Usuário]],Tabela.cadastro[[Nome]:[id2]],7,0))/365.25),0)</f>
        <v>#N/A</v>
      </c>
      <c r="E210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11" spans="1:5" x14ac:dyDescent="0.25">
      <c r="A211" s="34" t="str">
        <f>IFERROR(VLOOKUP(Tabela.frequencia[[#This Row],[Usuário]],Tabela.cadastro[[Nome]:[id2]],12,0),"")</f>
        <v/>
      </c>
      <c r="B211" s="36"/>
      <c r="C211" s="132"/>
      <c r="D211" s="171" t="e">
        <f>ROUNDDOWN(((Tabela.frequencia[[#This Row],[Data]]-VLOOKUP(Tabela.frequencia[[#This Row],[Usuário]],Tabela.cadastro[[Nome]:[id2]],7,0))/365.25),0)</f>
        <v>#N/A</v>
      </c>
      <c r="E211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  <row r="212" spans="1:5" x14ac:dyDescent="0.25">
      <c r="A212" s="34" t="str">
        <f>IFERROR(VLOOKUP(Tabela.frequencia[[#This Row],[Usuário]],Tabela.cadastro[[Nome]:[id2]],12,0),"")</f>
        <v/>
      </c>
      <c r="B212" s="36"/>
      <c r="C212" s="132"/>
      <c r="D212" s="171" t="e">
        <f>ROUNDDOWN(((Tabela.frequencia[[#This Row],[Data]]-VLOOKUP(Tabela.frequencia[[#This Row],[Usuário]],Tabela.cadastro[[Nome]:[id2]],7,0))/365.25),0)</f>
        <v>#N/A</v>
      </c>
      <c r="E212" s="120" t="str">
        <f>IF(LOWER(TEXT(Tabela.frequencia[[#This Row],[Data]],"MMMM")) &amp; "/" &amp; YEAR(Tabela.frequencia[[#This Row],[Data]])="janeiro/1900","",LOWER(TEXT(Tabela.frequencia[[#This Row],[Data]],"MMM")) &amp; "/" &amp; TEXT(Tabela.frequencia[[#This Row],[Data]],"AA"))</f>
        <v/>
      </c>
    </row>
  </sheetData>
  <sheetProtection sort="0" autoFilter="0"/>
  <protectedRanges>
    <protectedRange sqref="B1:C1 B189:C1048576 C2:C188" name="Frequencia_preenchimento"/>
    <protectedRange sqref="B2:B188" name="Cadastro_preenchimento_47"/>
  </protectedRanges>
  <dataValidations count="1">
    <dataValidation type="date" operator="greaterThan" allowBlank="1" showErrorMessage="1" errorTitle="Erro de formato" error="Favor preencher a data com o formato dd/mm/aaaa" sqref="C2:C212">
      <formula1>40179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G7765"/>
  <sheetViews>
    <sheetView workbookViewId="0">
      <selection activeCell="D71" sqref="D71"/>
    </sheetView>
  </sheetViews>
  <sheetFormatPr defaultRowHeight="15.75" x14ac:dyDescent="0.25"/>
  <cols>
    <col min="1" max="1" width="9.140625" style="35" customWidth="1"/>
    <col min="2" max="2" width="75.5703125" style="27" customWidth="1"/>
    <col min="3" max="3" width="16.140625" style="32" customWidth="1"/>
    <col min="4" max="5" width="16.140625" style="16" customWidth="1"/>
    <col min="6" max="6" width="14.5703125" style="28" customWidth="1"/>
    <col min="7" max="7" width="14.140625" style="75" customWidth="1"/>
    <col min="8" max="16384" width="9.140625" style="1"/>
  </cols>
  <sheetData>
    <row r="1" spans="1:7" x14ac:dyDescent="0.25">
      <c r="A1" s="114"/>
      <c r="B1" s="115"/>
      <c r="C1" s="118"/>
      <c r="D1" s="259" t="s">
        <v>82</v>
      </c>
      <c r="E1" s="260"/>
      <c r="F1" s="116"/>
      <c r="G1" s="117"/>
    </row>
    <row r="2" spans="1:7" ht="17.100000000000001" customHeight="1" x14ac:dyDescent="0.25">
      <c r="A2" s="96" t="s">
        <v>3</v>
      </c>
      <c r="B2" s="22" t="s">
        <v>12</v>
      </c>
      <c r="C2" s="22" t="s">
        <v>14</v>
      </c>
      <c r="D2" s="22" t="s">
        <v>81</v>
      </c>
      <c r="E2" s="22" t="s">
        <v>80</v>
      </c>
      <c r="F2" s="22" t="s">
        <v>13</v>
      </c>
      <c r="G2" s="72" t="s">
        <v>36</v>
      </c>
    </row>
    <row r="3" spans="1:7" ht="17.100000000000001" customHeight="1" x14ac:dyDescent="0.25">
      <c r="A3" s="26">
        <f>IFERROR(VLOOKUP(Tabela.abordagens[[#This Row],[Usuário]],Tabela.cadastro[[Nome]:[id2]],12,0),"")</f>
        <v>1</v>
      </c>
      <c r="B3" s="131" t="s">
        <v>124</v>
      </c>
      <c r="C3" s="133">
        <v>41821</v>
      </c>
      <c r="D3" s="33" t="s">
        <v>16</v>
      </c>
      <c r="E3" s="42" t="s">
        <v>16</v>
      </c>
      <c r="F3" s="23">
        <f>ROUNDDOWN(((Tabela.abordagens[[#This Row],[Data]]-VLOOKUP(Tabela.abordagens[[#This Row],[Usuário]],Tabela.cadastro[[Nome]:[id2]],7,0))/365.25),0)</f>
        <v>19</v>
      </c>
      <c r="G3" s="71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" spans="1:7" ht="17.100000000000001" customHeight="1" x14ac:dyDescent="0.25">
      <c r="A4" s="26">
        <f>IFERROR(VLOOKUP(Tabela.abordagens[[#This Row],[Usuário]],Tabela.cadastro[[Nome]:[id2]],12,0),"")</f>
        <v>2</v>
      </c>
      <c r="B4" s="131" t="s">
        <v>125</v>
      </c>
      <c r="C4" s="133">
        <v>41821</v>
      </c>
      <c r="D4" s="33" t="s">
        <v>16</v>
      </c>
      <c r="E4" s="42" t="s">
        <v>16</v>
      </c>
      <c r="F4" s="23">
        <f>ROUNDDOWN(((Tabela.abordagens[[#This Row],[Data]]-VLOOKUP(Tabela.abordagens[[#This Row],[Usuário]],Tabela.cadastro[[Nome]:[id2]],7,0))/365.25),0)</f>
        <v>31</v>
      </c>
      <c r="G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" spans="1:7" ht="17.100000000000001" customHeight="1" x14ac:dyDescent="0.25">
      <c r="A5" s="26">
        <f>IFERROR(VLOOKUP(Tabela.abordagens[[#This Row],[Usuário]],Tabela.cadastro[[Nome]:[id2]],12,0),"")</f>
        <v>3</v>
      </c>
      <c r="B5" s="131" t="s">
        <v>126</v>
      </c>
      <c r="C5" s="133">
        <v>41821</v>
      </c>
      <c r="D5" s="42" t="s">
        <v>17</v>
      </c>
      <c r="E5" s="42" t="s">
        <v>17</v>
      </c>
      <c r="F5" s="23">
        <f>ROUNDDOWN(((Tabela.abordagens[[#This Row],[Data]]-VLOOKUP(Tabela.abordagens[[#This Row],[Usuário]],Tabela.cadastro[[Nome]:[id2]],7,0))/365.25),0)</f>
        <v>29</v>
      </c>
      <c r="G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6" spans="1:7" ht="17.100000000000001" customHeight="1" x14ac:dyDescent="0.25">
      <c r="A6" s="26">
        <f>IFERROR(VLOOKUP(Tabela.abordagens[[#This Row],[Usuário]],Tabela.cadastro[[Nome]:[id2]],12,0),"")</f>
        <v>4</v>
      </c>
      <c r="B6" s="49" t="s">
        <v>127</v>
      </c>
      <c r="C6" s="133">
        <v>41821</v>
      </c>
      <c r="D6" s="42" t="s">
        <v>16</v>
      </c>
      <c r="E6" s="42" t="s">
        <v>16</v>
      </c>
      <c r="F6" s="23">
        <f>ROUNDDOWN(((Tabela.abordagens[[#This Row],[Data]]-VLOOKUP(Tabela.abordagens[[#This Row],[Usuário]],Tabela.cadastro[[Nome]:[id2]],7,0))/365.25),0)</f>
        <v>41</v>
      </c>
      <c r="G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7" spans="1:7" ht="17.100000000000001" customHeight="1" x14ac:dyDescent="0.25">
      <c r="A7" s="26">
        <f>IFERROR(VLOOKUP(Tabela.abordagens[[#This Row],[Usuário]],Tabela.cadastro[[Nome]:[id2]],12,0),"")</f>
        <v>5</v>
      </c>
      <c r="B7" s="131" t="s">
        <v>128</v>
      </c>
      <c r="C7" s="133">
        <v>41821</v>
      </c>
      <c r="D7" s="42" t="s">
        <v>16</v>
      </c>
      <c r="E7" s="42" t="s">
        <v>16</v>
      </c>
      <c r="F7" s="23">
        <f>ROUNDDOWN(((Tabela.abordagens[[#This Row],[Data]]-VLOOKUP(Tabela.abordagens[[#This Row],[Usuário]],Tabela.cadastro[[Nome]:[id2]],7,0))/365.25),0)</f>
        <v>69</v>
      </c>
      <c r="G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8" spans="1:7" ht="17.100000000000001" customHeight="1" x14ac:dyDescent="0.25">
      <c r="A8" s="26">
        <f>IFERROR(VLOOKUP(Tabela.abordagens[[#This Row],[Usuário]],Tabela.cadastro[[Nome]:[id2]],12,0),"")</f>
        <v>6</v>
      </c>
      <c r="B8" s="131" t="s">
        <v>129</v>
      </c>
      <c r="C8" s="133">
        <v>41821</v>
      </c>
      <c r="D8" s="42" t="s">
        <v>16</v>
      </c>
      <c r="E8" s="42" t="s">
        <v>17</v>
      </c>
      <c r="F8" s="23">
        <f>ROUNDDOWN(((Tabela.abordagens[[#This Row],[Data]]-VLOOKUP(Tabela.abordagens[[#This Row],[Usuário]],Tabela.cadastro[[Nome]:[id2]],7,0))/365.25),0)</f>
        <v>14</v>
      </c>
      <c r="G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9" spans="1:7" ht="17.100000000000001" customHeight="1" x14ac:dyDescent="0.25">
      <c r="A9" s="26">
        <f>IFERROR(VLOOKUP(Tabela.abordagens[[#This Row],[Usuário]],Tabela.cadastro[[Nome]:[id2]],12,0),"")</f>
        <v>7</v>
      </c>
      <c r="B9" s="139" t="s">
        <v>130</v>
      </c>
      <c r="C9" s="133">
        <v>41821</v>
      </c>
      <c r="D9" s="42" t="s">
        <v>16</v>
      </c>
      <c r="E9" s="42" t="s">
        <v>16</v>
      </c>
      <c r="F9" s="23">
        <f>ROUNDDOWN(((Tabela.abordagens[[#This Row],[Data]]-VLOOKUP(Tabela.abordagens[[#This Row],[Usuário]],Tabela.cadastro[[Nome]:[id2]],7,0))/365.25),0)</f>
        <v>74</v>
      </c>
      <c r="G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0" spans="1:7" ht="17.100000000000001" customHeight="1" x14ac:dyDescent="0.25">
      <c r="A10" s="26">
        <f>IFERROR(VLOOKUP(Tabela.abordagens[[#This Row],[Usuário]],Tabela.cadastro[[Nome]:[id2]],12,0),"")</f>
        <v>8</v>
      </c>
      <c r="B10" s="131" t="s">
        <v>131</v>
      </c>
      <c r="C10" s="133">
        <v>41821</v>
      </c>
      <c r="D10" s="42" t="s">
        <v>16</v>
      </c>
      <c r="E10" s="42" t="s">
        <v>16</v>
      </c>
      <c r="F10" s="23">
        <f>ROUNDDOWN(((Tabela.abordagens[[#This Row],[Data]]-VLOOKUP(Tabela.abordagens[[#This Row],[Usuário]],Tabela.cadastro[[Nome]:[id2]],7,0))/365.25),0)</f>
        <v>27</v>
      </c>
      <c r="G1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1" spans="1:7" ht="17.100000000000001" customHeight="1" x14ac:dyDescent="0.25">
      <c r="A11" s="26">
        <f>IFERROR(VLOOKUP(Tabela.abordagens[[#This Row],[Usuário]],Tabela.cadastro[[Nome]:[id2]],12,0),"")</f>
        <v>9</v>
      </c>
      <c r="B11" s="131" t="s">
        <v>132</v>
      </c>
      <c r="C11" s="133">
        <v>41821</v>
      </c>
      <c r="D11" s="42" t="s">
        <v>16</v>
      </c>
      <c r="E11" s="42" t="s">
        <v>16</v>
      </c>
      <c r="F11" s="23">
        <f>ROUNDDOWN(((Tabela.abordagens[[#This Row],[Data]]-VLOOKUP(Tabela.abordagens[[#This Row],[Usuário]],Tabela.cadastro[[Nome]:[id2]],7,0))/365.25),0)</f>
        <v>44</v>
      </c>
      <c r="G1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2" spans="1:7" ht="17.100000000000001" customHeight="1" x14ac:dyDescent="0.25">
      <c r="A12" s="26">
        <f>IFERROR(VLOOKUP(Tabela.abordagens[[#This Row],[Usuário]],Tabela.cadastro[[Nome]:[id2]],12,0),"")</f>
        <v>10</v>
      </c>
      <c r="B12" s="131" t="s">
        <v>133</v>
      </c>
      <c r="C12" s="133">
        <v>41821</v>
      </c>
      <c r="D12" s="42" t="s">
        <v>16</v>
      </c>
      <c r="E12" s="42" t="s">
        <v>16</v>
      </c>
      <c r="F12" s="23">
        <f>ROUNDDOWN(((Tabela.abordagens[[#This Row],[Data]]-VLOOKUP(Tabela.abordagens[[#This Row],[Usuário]],Tabela.cadastro[[Nome]:[id2]],7,0))/365.25),0)</f>
        <v>31</v>
      </c>
      <c r="G1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3" spans="1:7" ht="17.100000000000001" customHeight="1" x14ac:dyDescent="0.25">
      <c r="A13" s="26">
        <f>IFERROR(VLOOKUP(Tabela.abordagens[[#This Row],[Usuário]],Tabela.cadastro[[Nome]:[id2]],12,0),"")</f>
        <v>11</v>
      </c>
      <c r="B13" s="131" t="s">
        <v>134</v>
      </c>
      <c r="C13" s="133">
        <v>41821</v>
      </c>
      <c r="D13" s="42" t="s">
        <v>16</v>
      </c>
      <c r="E13" s="42" t="s">
        <v>16</v>
      </c>
      <c r="F13" s="23">
        <f>ROUNDDOWN(((Tabela.abordagens[[#This Row],[Data]]-VLOOKUP(Tabela.abordagens[[#This Row],[Usuário]],Tabela.cadastro[[Nome]:[id2]],7,0))/365.25),0)</f>
        <v>31</v>
      </c>
      <c r="G1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4" spans="1:7" ht="17.100000000000001" customHeight="1" x14ac:dyDescent="0.25">
      <c r="A14" s="26">
        <f>IFERROR(VLOOKUP(Tabela.abordagens[[#This Row],[Usuário]],Tabela.cadastro[[Nome]:[id2]],12,0),"")</f>
        <v>12</v>
      </c>
      <c r="B14" s="131" t="s">
        <v>135</v>
      </c>
      <c r="C14" s="133">
        <v>41821</v>
      </c>
      <c r="D14" s="42" t="s">
        <v>17</v>
      </c>
      <c r="E14" s="42" t="s">
        <v>16</v>
      </c>
      <c r="F14" s="23">
        <f>ROUNDDOWN(((Tabela.abordagens[[#This Row],[Data]]-VLOOKUP(Tabela.abordagens[[#This Row],[Usuário]],Tabela.cadastro[[Nome]:[id2]],7,0))/365.25),0)</f>
        <v>25</v>
      </c>
      <c r="G1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5" spans="1:7" ht="17.100000000000001" customHeight="1" x14ac:dyDescent="0.25">
      <c r="A15" s="26">
        <f>IFERROR(VLOOKUP(Tabela.abordagens[[#This Row],[Usuário]],Tabela.cadastro[[Nome]:[id2]],12,0),"")</f>
        <v>13</v>
      </c>
      <c r="B15" s="131" t="s">
        <v>136</v>
      </c>
      <c r="C15" s="133">
        <v>41821</v>
      </c>
      <c r="D15" s="42" t="s">
        <v>16</v>
      </c>
      <c r="E15" s="42" t="s">
        <v>16</v>
      </c>
      <c r="F15" s="23">
        <f>ROUNDDOWN(((Tabela.abordagens[[#This Row],[Data]]-VLOOKUP(Tabela.abordagens[[#This Row],[Usuário]],Tabela.cadastro[[Nome]:[id2]],7,0))/365.25),0)</f>
        <v>21</v>
      </c>
      <c r="G1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6" spans="1:7" ht="17.100000000000001" customHeight="1" x14ac:dyDescent="0.25">
      <c r="A16" s="26">
        <f>IFERROR(VLOOKUP(Tabela.abordagens[[#This Row],[Usuário]],Tabela.cadastro[[Nome]:[id2]],12,0),"")</f>
        <v>14</v>
      </c>
      <c r="B16" s="131" t="s">
        <v>137</v>
      </c>
      <c r="C16" s="133">
        <v>41821</v>
      </c>
      <c r="D16" s="42" t="s">
        <v>16</v>
      </c>
      <c r="E16" s="42" t="s">
        <v>16</v>
      </c>
      <c r="F16" s="23">
        <f>ROUNDDOWN(((Tabela.abordagens[[#This Row],[Data]]-VLOOKUP(Tabela.abordagens[[#This Row],[Usuário]],Tabela.cadastro[[Nome]:[id2]],7,0))/365.25),0)</f>
        <v>20</v>
      </c>
      <c r="G1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7" spans="1:7" ht="17.100000000000001" customHeight="1" x14ac:dyDescent="0.25">
      <c r="A17" s="26">
        <f>IFERROR(VLOOKUP(Tabela.abordagens[[#This Row],[Usuário]],Tabela.cadastro[[Nome]:[id2]],12,0),"")</f>
        <v>15</v>
      </c>
      <c r="B17" s="131" t="s">
        <v>138</v>
      </c>
      <c r="C17" s="133">
        <v>41821</v>
      </c>
      <c r="D17" s="42" t="s">
        <v>16</v>
      </c>
      <c r="E17" s="42" t="s">
        <v>16</v>
      </c>
      <c r="F17" s="23">
        <f>ROUNDDOWN(((Tabela.abordagens[[#This Row],[Data]]-VLOOKUP(Tabela.abordagens[[#This Row],[Usuário]],Tabela.cadastro[[Nome]:[id2]],7,0))/365.25),0)</f>
        <v>36</v>
      </c>
      <c r="G1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8" spans="1:7" ht="17.100000000000001" customHeight="1" x14ac:dyDescent="0.25">
      <c r="A18" s="26">
        <f>IFERROR(VLOOKUP(Tabela.abordagens[[#This Row],[Usuário]],Tabela.cadastro[[Nome]:[id2]],12,0),"")</f>
        <v>16</v>
      </c>
      <c r="B18" s="175" t="s">
        <v>139</v>
      </c>
      <c r="C18" s="133">
        <v>41821</v>
      </c>
      <c r="D18" s="42" t="s">
        <v>16</v>
      </c>
      <c r="E18" s="42" t="s">
        <v>16</v>
      </c>
      <c r="F18" s="23">
        <f>ROUNDDOWN(((Tabela.abordagens[[#This Row],[Data]]-VLOOKUP(Tabela.abordagens[[#This Row],[Usuário]],Tabela.cadastro[[Nome]:[id2]],7,0))/365.25),0)</f>
        <v>26</v>
      </c>
      <c r="G1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19" spans="1:7" ht="17.100000000000001" customHeight="1" x14ac:dyDescent="0.25">
      <c r="A19" s="26">
        <f>IFERROR(VLOOKUP(Tabela.abordagens[[#This Row],[Usuário]],Tabela.cadastro[[Nome]:[id2]],12,0),"")</f>
        <v>17</v>
      </c>
      <c r="B19" s="131" t="s">
        <v>141</v>
      </c>
      <c r="C19" s="133">
        <v>41821</v>
      </c>
      <c r="D19" s="42" t="s">
        <v>16</v>
      </c>
      <c r="E19" s="42" t="s">
        <v>16</v>
      </c>
      <c r="F19" s="23">
        <f>ROUNDDOWN(((Tabela.abordagens[[#This Row],[Data]]-VLOOKUP(Tabela.abordagens[[#This Row],[Usuário]],Tabela.cadastro[[Nome]:[id2]],7,0))/365.25),0)</f>
        <v>31</v>
      </c>
      <c r="G1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0" spans="1:7" ht="17.100000000000001" customHeight="1" x14ac:dyDescent="0.25">
      <c r="A20" s="26">
        <f>IFERROR(VLOOKUP(Tabela.abordagens[[#This Row],[Usuário]],Tabela.cadastro[[Nome]:[id2]],12,0),"")</f>
        <v>18</v>
      </c>
      <c r="B20" s="131" t="s">
        <v>140</v>
      </c>
      <c r="C20" s="133">
        <v>41821</v>
      </c>
      <c r="D20" s="42" t="s">
        <v>16</v>
      </c>
      <c r="E20" s="42" t="s">
        <v>17</v>
      </c>
      <c r="F20" s="23">
        <f>ROUNDDOWN(((Tabela.abordagens[[#This Row],[Data]]-VLOOKUP(Tabela.abordagens[[#This Row],[Usuário]],Tabela.cadastro[[Nome]:[id2]],7,0))/365.25),0)</f>
        <v>34</v>
      </c>
      <c r="G2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1" spans="1:7" ht="17.100000000000001" customHeight="1" x14ac:dyDescent="0.25">
      <c r="A21" s="26">
        <f>IFERROR(VLOOKUP(Tabela.abordagens[[#This Row],[Usuário]],Tabela.cadastro[[Nome]:[id2]],12,0),"")</f>
        <v>19</v>
      </c>
      <c r="B21" s="131" t="s">
        <v>142</v>
      </c>
      <c r="C21" s="133">
        <v>41821</v>
      </c>
      <c r="D21" s="42" t="s">
        <v>17</v>
      </c>
      <c r="E21" s="42" t="s">
        <v>16</v>
      </c>
      <c r="F21" s="23">
        <f>ROUNDDOWN(((Tabela.abordagens[[#This Row],[Data]]-VLOOKUP(Tabela.abordagens[[#This Row],[Usuário]],Tabela.cadastro[[Nome]:[id2]],7,0))/365.25),0)</f>
        <v>29</v>
      </c>
      <c r="G2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2" spans="1:7" ht="17.100000000000001" customHeight="1" x14ac:dyDescent="0.25">
      <c r="A22" s="34">
        <f>IFERROR(VLOOKUP(Tabela.abordagens[[#This Row],[Usuário]],Tabela.cadastro[[Nome]:[id2]],12,0),"")</f>
        <v>20</v>
      </c>
      <c r="B22" s="131" t="s">
        <v>143</v>
      </c>
      <c r="C22" s="133">
        <v>41822</v>
      </c>
      <c r="D22" s="42" t="s">
        <v>16</v>
      </c>
      <c r="E22" s="42" t="s">
        <v>16</v>
      </c>
      <c r="F22" s="23">
        <f>ROUNDDOWN(((Tabela.abordagens[[#This Row],[Data]]-VLOOKUP(Tabela.abordagens[[#This Row],[Usuário]],Tabela.cadastro[[Nome]:[id2]],7,0))/365.25),0)</f>
        <v>44</v>
      </c>
      <c r="G2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3" spans="1:7" ht="17.100000000000001" customHeight="1" x14ac:dyDescent="0.25">
      <c r="A23" s="34">
        <f>IFERROR(VLOOKUP(Tabela.abordagens[[#This Row],[Usuário]],Tabela.cadastro[[Nome]:[id2]],12,0),"")</f>
        <v>1</v>
      </c>
      <c r="B23" s="131" t="s">
        <v>124</v>
      </c>
      <c r="C23" s="133">
        <v>41822</v>
      </c>
      <c r="D23" s="42" t="s">
        <v>16</v>
      </c>
      <c r="E23" s="42" t="s">
        <v>16</v>
      </c>
      <c r="F23" s="23">
        <f>ROUNDDOWN(((Tabela.abordagens[[#This Row],[Data]]-VLOOKUP(Tabela.abordagens[[#This Row],[Usuário]],Tabela.cadastro[[Nome]:[id2]],7,0))/365.25),0)</f>
        <v>19</v>
      </c>
      <c r="G2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4" spans="1:7" ht="17.100000000000001" customHeight="1" x14ac:dyDescent="0.25">
      <c r="A24" s="34">
        <f>IFERROR(VLOOKUP(Tabela.abordagens[[#This Row],[Usuário]],Tabela.cadastro[[Nome]:[id2]],12,0),"")</f>
        <v>2</v>
      </c>
      <c r="B24" s="131" t="s">
        <v>125</v>
      </c>
      <c r="C24" s="133">
        <v>41822</v>
      </c>
      <c r="D24" s="42" t="s">
        <v>16</v>
      </c>
      <c r="E24" s="42" t="s">
        <v>16</v>
      </c>
      <c r="F24" s="23">
        <f>ROUNDDOWN(((Tabela.abordagens[[#This Row],[Data]]-VLOOKUP(Tabela.abordagens[[#This Row],[Usuário]],Tabela.cadastro[[Nome]:[id2]],7,0))/365.25),0)</f>
        <v>31</v>
      </c>
      <c r="G2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5" spans="1:7" ht="17.100000000000001" customHeight="1" x14ac:dyDescent="0.25">
      <c r="A25" s="34">
        <f>IFERROR(VLOOKUP(Tabela.abordagens[[#This Row],[Usuário]],Tabela.cadastro[[Nome]:[id2]],12,0),"")</f>
        <v>3</v>
      </c>
      <c r="B25" s="131" t="s">
        <v>126</v>
      </c>
      <c r="C25" s="133">
        <v>41822</v>
      </c>
      <c r="D25" s="42" t="s">
        <v>16</v>
      </c>
      <c r="E25" s="42" t="s">
        <v>16</v>
      </c>
      <c r="F25" s="23">
        <f>ROUNDDOWN(((Tabela.abordagens[[#This Row],[Data]]-VLOOKUP(Tabela.abordagens[[#This Row],[Usuário]],Tabela.cadastro[[Nome]:[id2]],7,0))/365.25),0)</f>
        <v>29</v>
      </c>
      <c r="G2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6" spans="1:7" ht="17.100000000000001" customHeight="1" x14ac:dyDescent="0.25">
      <c r="A26" s="34">
        <f>IFERROR(VLOOKUP(Tabela.abordagens[[#This Row],[Usuário]],Tabela.cadastro[[Nome]:[id2]],12,0),"")</f>
        <v>4</v>
      </c>
      <c r="B26" s="49" t="s">
        <v>127</v>
      </c>
      <c r="C26" s="133">
        <v>41822</v>
      </c>
      <c r="D26" s="42" t="s">
        <v>16</v>
      </c>
      <c r="E26" s="42" t="s">
        <v>16</v>
      </c>
      <c r="F26" s="23">
        <f>ROUNDDOWN(((Tabela.abordagens[[#This Row],[Data]]-VLOOKUP(Tabela.abordagens[[#This Row],[Usuário]],Tabela.cadastro[[Nome]:[id2]],7,0))/365.25),0)</f>
        <v>41</v>
      </c>
      <c r="G2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7" spans="1:7" ht="17.100000000000001" customHeight="1" x14ac:dyDescent="0.25">
      <c r="A27" s="26">
        <f>IFERROR(VLOOKUP(Tabela.abordagens[[#This Row],[Usuário]],Tabela.cadastro[[Nome]:[id2]],12,0),"")</f>
        <v>5</v>
      </c>
      <c r="B27" s="131" t="s">
        <v>128</v>
      </c>
      <c r="C27" s="133">
        <v>41822</v>
      </c>
      <c r="D27" s="42" t="s">
        <v>16</v>
      </c>
      <c r="E27" s="42" t="s">
        <v>16</v>
      </c>
      <c r="F27" s="23">
        <f>ROUNDDOWN(((Tabela.abordagens[[#This Row],[Data]]-VLOOKUP(Tabela.abordagens[[#This Row],[Usuário]],Tabela.cadastro[[Nome]:[id2]],7,0))/365.25),0)</f>
        <v>69</v>
      </c>
      <c r="G2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8" spans="1:7" ht="17.100000000000001" customHeight="1" x14ac:dyDescent="0.25">
      <c r="A28" s="34">
        <f>IFERROR(VLOOKUP(Tabela.abordagens[[#This Row],[Usuário]],Tabela.cadastro[[Nome]:[id2]],12,0),"")</f>
        <v>6</v>
      </c>
      <c r="B28" s="131" t="s">
        <v>129</v>
      </c>
      <c r="C28" s="133">
        <v>41822</v>
      </c>
      <c r="D28" s="42" t="s">
        <v>17</v>
      </c>
      <c r="E28" s="42" t="s">
        <v>16</v>
      </c>
      <c r="F28" s="23">
        <f>ROUNDDOWN(((Tabela.abordagens[[#This Row],[Data]]-VLOOKUP(Tabela.abordagens[[#This Row],[Usuário]],Tabela.cadastro[[Nome]:[id2]],7,0))/365.25),0)</f>
        <v>14</v>
      </c>
      <c r="G2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29" spans="1:7" ht="17.100000000000001" customHeight="1" x14ac:dyDescent="0.25">
      <c r="A29" s="26">
        <f>IFERROR(VLOOKUP(Tabela.abordagens[[#This Row],[Usuário]],Tabela.cadastro[[Nome]:[id2]],12,0),"")</f>
        <v>7</v>
      </c>
      <c r="B29" s="139" t="s">
        <v>130</v>
      </c>
      <c r="C29" s="133">
        <v>41822</v>
      </c>
      <c r="D29" s="42" t="s">
        <v>16</v>
      </c>
      <c r="E29" s="42" t="s">
        <v>16</v>
      </c>
      <c r="F29" s="23">
        <f>ROUNDDOWN(((Tabela.abordagens[[#This Row],[Data]]-VLOOKUP(Tabela.abordagens[[#This Row],[Usuário]],Tabela.cadastro[[Nome]:[id2]],7,0))/365.25),0)</f>
        <v>74</v>
      </c>
      <c r="G2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0" spans="1:7" ht="17.100000000000001" customHeight="1" x14ac:dyDescent="0.25">
      <c r="A30" s="26">
        <f>IFERROR(VLOOKUP(Tabela.abordagens[[#This Row],[Usuário]],Tabela.cadastro[[Nome]:[id2]],12,0),"")</f>
        <v>8</v>
      </c>
      <c r="B30" s="131" t="s">
        <v>131</v>
      </c>
      <c r="C30" s="133">
        <v>41822</v>
      </c>
      <c r="D30" s="42" t="s">
        <v>16</v>
      </c>
      <c r="E30" s="33" t="s">
        <v>16</v>
      </c>
      <c r="F30" s="23">
        <f>ROUNDDOWN(((Tabela.abordagens[[#This Row],[Data]]-VLOOKUP(Tabela.abordagens[[#This Row],[Usuário]],Tabela.cadastro[[Nome]:[id2]],7,0))/365.25),0)</f>
        <v>27</v>
      </c>
      <c r="G3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1" spans="1:7" ht="17.100000000000001" customHeight="1" x14ac:dyDescent="0.25">
      <c r="A31" s="26">
        <f>IFERROR(VLOOKUP(Tabela.abordagens[[#This Row],[Usuário]],Tabela.cadastro[[Nome]:[id2]],12,0),"")</f>
        <v>12</v>
      </c>
      <c r="B31" s="131" t="s">
        <v>135</v>
      </c>
      <c r="C31" s="133">
        <v>41823</v>
      </c>
      <c r="D31" s="33" t="s">
        <v>16</v>
      </c>
      <c r="E31" s="33" t="s">
        <v>16</v>
      </c>
      <c r="F31" s="23">
        <f>ROUNDDOWN(((Tabela.abordagens[[#This Row],[Data]]-VLOOKUP(Tabela.abordagens[[#This Row],[Usuário]],Tabela.cadastro[[Nome]:[id2]],7,0))/365.25),0)</f>
        <v>25</v>
      </c>
      <c r="G3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2" spans="1:7" ht="17.100000000000001" customHeight="1" x14ac:dyDescent="0.25">
      <c r="A32" s="26">
        <f>IFERROR(VLOOKUP(Tabela.abordagens[[#This Row],[Usuário]],Tabela.cadastro[[Nome]:[id2]],12,0),"")</f>
        <v>13</v>
      </c>
      <c r="B32" s="131" t="s">
        <v>136</v>
      </c>
      <c r="C32" s="133">
        <v>41823</v>
      </c>
      <c r="D32" s="33" t="s">
        <v>16</v>
      </c>
      <c r="E32" s="33" t="s">
        <v>16</v>
      </c>
      <c r="F32" s="23">
        <f>ROUNDDOWN(((Tabela.abordagens[[#This Row],[Data]]-VLOOKUP(Tabela.abordagens[[#This Row],[Usuário]],Tabela.cadastro[[Nome]:[id2]],7,0))/365.25),0)</f>
        <v>21</v>
      </c>
      <c r="G3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3" spans="1:7" ht="17.100000000000001" customHeight="1" x14ac:dyDescent="0.25">
      <c r="A33" s="26">
        <f>IFERROR(VLOOKUP(Tabela.abordagens[[#This Row],[Usuário]],Tabela.cadastro[[Nome]:[id2]],12,0),"")</f>
        <v>14</v>
      </c>
      <c r="B33" s="131" t="s">
        <v>137</v>
      </c>
      <c r="C33" s="133">
        <v>41823</v>
      </c>
      <c r="D33" s="33" t="s">
        <v>16</v>
      </c>
      <c r="E33" s="33" t="s">
        <v>16</v>
      </c>
      <c r="F33" s="23">
        <f>ROUNDDOWN(((Tabela.abordagens[[#This Row],[Data]]-VLOOKUP(Tabela.abordagens[[#This Row],[Usuário]],Tabela.cadastro[[Nome]:[id2]],7,0))/365.25),0)</f>
        <v>20</v>
      </c>
      <c r="G3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4" spans="1:7" ht="17.100000000000001" customHeight="1" x14ac:dyDescent="0.25">
      <c r="A34" s="26">
        <f>IFERROR(VLOOKUP(Tabela.abordagens[[#This Row],[Usuário]],Tabela.cadastro[[Nome]:[id2]],12,0),"")</f>
        <v>15</v>
      </c>
      <c r="B34" s="131" t="s">
        <v>138</v>
      </c>
      <c r="C34" s="133">
        <v>41823</v>
      </c>
      <c r="D34" s="33" t="s">
        <v>16</v>
      </c>
      <c r="E34" s="33" t="s">
        <v>16</v>
      </c>
      <c r="F34" s="23">
        <f>ROUNDDOWN(((Tabela.abordagens[[#This Row],[Data]]-VLOOKUP(Tabela.abordagens[[#This Row],[Usuário]],Tabela.cadastro[[Nome]:[id2]],7,0))/365.25),0)</f>
        <v>36</v>
      </c>
      <c r="G3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5" spans="1:7" ht="17.100000000000001" customHeight="1" x14ac:dyDescent="0.25">
      <c r="A35" s="26">
        <f>IFERROR(VLOOKUP(Tabela.abordagens[[#This Row],[Usuário]],Tabela.cadastro[[Nome]:[id2]],12,0),"")</f>
        <v>16</v>
      </c>
      <c r="B35" s="175" t="s">
        <v>139</v>
      </c>
      <c r="C35" s="133">
        <v>41823</v>
      </c>
      <c r="D35" s="33" t="s">
        <v>16</v>
      </c>
      <c r="E35" s="33" t="s">
        <v>16</v>
      </c>
      <c r="F35" s="23">
        <f>ROUNDDOWN(((Tabela.abordagens[[#This Row],[Data]]-VLOOKUP(Tabela.abordagens[[#This Row],[Usuário]],Tabela.cadastro[[Nome]:[id2]],7,0))/365.25),0)</f>
        <v>26</v>
      </c>
      <c r="G3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6" spans="1:7" ht="17.100000000000001" customHeight="1" x14ac:dyDescent="0.25">
      <c r="A36" s="26">
        <f>IFERROR(VLOOKUP(Tabela.abordagens[[#This Row],[Usuário]],Tabela.cadastro[[Nome]:[id2]],12,0),"")</f>
        <v>17</v>
      </c>
      <c r="B36" s="131" t="s">
        <v>141</v>
      </c>
      <c r="C36" s="133">
        <v>41823</v>
      </c>
      <c r="D36" s="33" t="s">
        <v>16</v>
      </c>
      <c r="E36" s="33" t="s">
        <v>17</v>
      </c>
      <c r="F36" s="23">
        <f>ROUNDDOWN(((Tabela.abordagens[[#This Row],[Data]]-VLOOKUP(Tabela.abordagens[[#This Row],[Usuário]],Tabela.cadastro[[Nome]:[id2]],7,0))/365.25),0)</f>
        <v>31</v>
      </c>
      <c r="G3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7" spans="1:7" ht="17.100000000000001" customHeight="1" x14ac:dyDescent="0.25">
      <c r="A37" s="26">
        <f>IFERROR(VLOOKUP(Tabela.abordagens[[#This Row],[Usuário]],Tabela.cadastro[[Nome]:[id2]],12,0),"")</f>
        <v>18</v>
      </c>
      <c r="B37" s="131" t="s">
        <v>140</v>
      </c>
      <c r="C37" s="133">
        <v>41823</v>
      </c>
      <c r="D37" s="33" t="s">
        <v>16</v>
      </c>
      <c r="E37" s="33" t="s">
        <v>16</v>
      </c>
      <c r="F37" s="23">
        <f>ROUNDDOWN(((Tabela.abordagens[[#This Row],[Data]]-VLOOKUP(Tabela.abordagens[[#This Row],[Usuário]],Tabela.cadastro[[Nome]:[id2]],7,0))/365.25),0)</f>
        <v>34</v>
      </c>
      <c r="G3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8" spans="1:7" ht="17.100000000000001" customHeight="1" x14ac:dyDescent="0.25">
      <c r="A38" s="26">
        <f>IFERROR(VLOOKUP(Tabela.abordagens[[#This Row],[Usuário]],Tabela.cadastro[[Nome]:[id2]],12,0),"")</f>
        <v>19</v>
      </c>
      <c r="B38" s="131" t="s">
        <v>142</v>
      </c>
      <c r="C38" s="133">
        <v>41823</v>
      </c>
      <c r="D38" s="33" t="s">
        <v>16</v>
      </c>
      <c r="E38" s="33" t="s">
        <v>16</v>
      </c>
      <c r="F38" s="23">
        <f>ROUNDDOWN(((Tabela.abordagens[[#This Row],[Data]]-VLOOKUP(Tabela.abordagens[[#This Row],[Usuário]],Tabela.cadastro[[Nome]:[id2]],7,0))/365.25),0)</f>
        <v>29</v>
      </c>
      <c r="G3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39" spans="1:7" ht="17.100000000000001" customHeight="1" x14ac:dyDescent="0.25">
      <c r="A39" s="26">
        <f>IFERROR(VLOOKUP(Tabela.abordagens[[#This Row],[Usuário]],Tabela.cadastro[[Nome]:[id2]],12,0),"")</f>
        <v>20</v>
      </c>
      <c r="B39" s="131" t="s">
        <v>143</v>
      </c>
      <c r="C39" s="133">
        <v>41823</v>
      </c>
      <c r="D39" s="33" t="s">
        <v>16</v>
      </c>
      <c r="E39" s="33" t="s">
        <v>17</v>
      </c>
      <c r="F39" s="23">
        <f>ROUNDDOWN(((Tabela.abordagens[[#This Row],[Data]]-VLOOKUP(Tabela.abordagens[[#This Row],[Usuário]],Tabela.cadastro[[Nome]:[id2]],7,0))/365.25),0)</f>
        <v>44</v>
      </c>
      <c r="G3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0" spans="1:7" ht="17.100000000000001" customHeight="1" x14ac:dyDescent="0.25">
      <c r="A40" s="26">
        <f>IFERROR(VLOOKUP(Tabela.abordagens[[#This Row],[Usuário]],Tabela.cadastro[[Nome]:[id2]],12,0),"")</f>
        <v>1</v>
      </c>
      <c r="B40" s="131" t="s">
        <v>124</v>
      </c>
      <c r="C40" s="133">
        <v>41823</v>
      </c>
      <c r="D40" s="33" t="s">
        <v>16</v>
      </c>
      <c r="E40" s="33" t="s">
        <v>16</v>
      </c>
      <c r="F40" s="23">
        <f>ROUNDDOWN(((Tabela.abordagens[[#This Row],[Data]]-VLOOKUP(Tabela.abordagens[[#This Row],[Usuário]],Tabela.cadastro[[Nome]:[id2]],7,0))/365.25),0)</f>
        <v>19</v>
      </c>
      <c r="G4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1" spans="1:7" ht="17.100000000000001" customHeight="1" x14ac:dyDescent="0.25">
      <c r="A41" s="26">
        <f>IFERROR(VLOOKUP(Tabela.abordagens[[#This Row],[Usuário]],Tabela.cadastro[[Nome]:[id2]],12,0),"")</f>
        <v>2</v>
      </c>
      <c r="B41" s="131" t="s">
        <v>125</v>
      </c>
      <c r="C41" s="133">
        <v>41823</v>
      </c>
      <c r="D41" s="33" t="s">
        <v>16</v>
      </c>
      <c r="E41" s="33" t="s">
        <v>16</v>
      </c>
      <c r="F41" s="23">
        <f>ROUNDDOWN(((Tabela.abordagens[[#This Row],[Data]]-VLOOKUP(Tabela.abordagens[[#This Row],[Usuário]],Tabela.cadastro[[Nome]:[id2]],7,0))/365.25),0)</f>
        <v>31</v>
      </c>
      <c r="G4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2" spans="1:7" ht="17.100000000000001" customHeight="1" x14ac:dyDescent="0.25">
      <c r="A42" s="26">
        <f>IFERROR(VLOOKUP(Tabela.abordagens[[#This Row],[Usuário]],Tabela.cadastro[[Nome]:[id2]],12,0),"")</f>
        <v>6</v>
      </c>
      <c r="B42" s="131" t="s">
        <v>129</v>
      </c>
      <c r="C42" s="133">
        <v>41824</v>
      </c>
      <c r="D42" s="33" t="s">
        <v>16</v>
      </c>
      <c r="E42" s="33" t="s">
        <v>16</v>
      </c>
      <c r="F42" s="23">
        <f>ROUNDDOWN(((Tabela.abordagens[[#This Row],[Data]]-VLOOKUP(Tabela.abordagens[[#This Row],[Usuário]],Tabela.cadastro[[Nome]:[id2]],7,0))/365.25),0)</f>
        <v>14</v>
      </c>
      <c r="G4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3" spans="1:7" ht="17.100000000000001" customHeight="1" x14ac:dyDescent="0.25">
      <c r="A43" s="26">
        <f>IFERROR(VLOOKUP(Tabela.abordagens[[#This Row],[Usuário]],Tabela.cadastro[[Nome]:[id2]],12,0),"")</f>
        <v>7</v>
      </c>
      <c r="B43" s="139" t="s">
        <v>130</v>
      </c>
      <c r="C43" s="133">
        <v>41824</v>
      </c>
      <c r="D43" s="33" t="s">
        <v>17</v>
      </c>
      <c r="E43" s="33" t="s">
        <v>16</v>
      </c>
      <c r="F43" s="23">
        <f>ROUNDDOWN(((Tabela.abordagens[[#This Row],[Data]]-VLOOKUP(Tabela.abordagens[[#This Row],[Usuário]],Tabela.cadastro[[Nome]:[id2]],7,0))/365.25),0)</f>
        <v>74</v>
      </c>
      <c r="G4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4" spans="1:7" ht="17.100000000000001" customHeight="1" x14ac:dyDescent="0.25">
      <c r="A44" s="26">
        <f>IFERROR(VLOOKUP(Tabela.abordagens[[#This Row],[Usuário]],Tabela.cadastro[[Nome]:[id2]],12,0),"")</f>
        <v>8</v>
      </c>
      <c r="B44" s="131" t="s">
        <v>131</v>
      </c>
      <c r="C44" s="133">
        <v>41824</v>
      </c>
      <c r="D44" s="33" t="s">
        <v>16</v>
      </c>
      <c r="E44" s="33" t="s">
        <v>16</v>
      </c>
      <c r="F44" s="23">
        <f>ROUNDDOWN(((Tabela.abordagens[[#This Row],[Data]]-VLOOKUP(Tabela.abordagens[[#This Row],[Usuário]],Tabela.cadastro[[Nome]:[id2]],7,0))/365.25),0)</f>
        <v>27</v>
      </c>
      <c r="G4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5" spans="1:7" ht="17.100000000000001" customHeight="1" x14ac:dyDescent="0.25">
      <c r="A45" s="26">
        <f>IFERROR(VLOOKUP(Tabela.abordagens[[#This Row],[Usuário]],Tabela.cadastro[[Nome]:[id2]],12,0),"")</f>
        <v>9</v>
      </c>
      <c r="B45" s="131" t="s">
        <v>132</v>
      </c>
      <c r="C45" s="133">
        <v>41824</v>
      </c>
      <c r="D45" s="33" t="s">
        <v>16</v>
      </c>
      <c r="E45" s="33" t="s">
        <v>16</v>
      </c>
      <c r="F45" s="23">
        <f>ROUNDDOWN(((Tabela.abordagens[[#This Row],[Data]]-VLOOKUP(Tabela.abordagens[[#This Row],[Usuário]],Tabela.cadastro[[Nome]:[id2]],7,0))/365.25),0)</f>
        <v>44</v>
      </c>
      <c r="G4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6" spans="1:7" ht="17.100000000000001" customHeight="1" x14ac:dyDescent="0.25">
      <c r="A46" s="26">
        <f>IFERROR(VLOOKUP(Tabela.abordagens[[#This Row],[Usuário]],Tabela.cadastro[[Nome]:[id2]],12,0),"")</f>
        <v>10</v>
      </c>
      <c r="B46" s="131" t="s">
        <v>133</v>
      </c>
      <c r="C46" s="133">
        <v>41824</v>
      </c>
      <c r="D46" s="33" t="s">
        <v>16</v>
      </c>
      <c r="E46" s="33" t="s">
        <v>16</v>
      </c>
      <c r="F46" s="23">
        <f>ROUNDDOWN(((Tabela.abordagens[[#This Row],[Data]]-VLOOKUP(Tabela.abordagens[[#This Row],[Usuário]],Tabela.cadastro[[Nome]:[id2]],7,0))/365.25),0)</f>
        <v>31</v>
      </c>
      <c r="G4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7" spans="1:7" ht="17.100000000000001" customHeight="1" x14ac:dyDescent="0.25">
      <c r="A47" s="26">
        <f>IFERROR(VLOOKUP(Tabela.abordagens[[#This Row],[Usuário]],Tabela.cadastro[[Nome]:[id2]],12,0),"")</f>
        <v>11</v>
      </c>
      <c r="B47" s="131" t="s">
        <v>134</v>
      </c>
      <c r="C47" s="133">
        <v>41824</v>
      </c>
      <c r="D47" s="33" t="s">
        <v>16</v>
      </c>
      <c r="E47" s="33" t="s">
        <v>16</v>
      </c>
      <c r="F47" s="23">
        <f>ROUNDDOWN(((Tabela.abordagens[[#This Row],[Data]]-VLOOKUP(Tabela.abordagens[[#This Row],[Usuário]],Tabela.cadastro[[Nome]:[id2]],7,0))/365.25),0)</f>
        <v>31</v>
      </c>
      <c r="G4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8" spans="1:7" ht="17.100000000000001" customHeight="1" x14ac:dyDescent="0.25">
      <c r="A48" s="26">
        <f>IFERROR(VLOOKUP(Tabela.abordagens[[#This Row],[Usuário]],Tabela.cadastro[[Nome]:[id2]],12,0),"")</f>
        <v>12</v>
      </c>
      <c r="B48" s="131" t="s">
        <v>135</v>
      </c>
      <c r="C48" s="133">
        <v>41824</v>
      </c>
      <c r="D48" s="33" t="s">
        <v>16</v>
      </c>
      <c r="E48" s="33" t="s">
        <v>16</v>
      </c>
      <c r="F48" s="23">
        <f>ROUNDDOWN(((Tabela.abordagens[[#This Row],[Data]]-VLOOKUP(Tabela.abordagens[[#This Row],[Usuário]],Tabela.cadastro[[Nome]:[id2]],7,0))/365.25),0)</f>
        <v>25</v>
      </c>
      <c r="G4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49" spans="1:7" ht="17.100000000000001" customHeight="1" x14ac:dyDescent="0.25">
      <c r="A49" s="26">
        <f>IFERROR(VLOOKUP(Tabela.abordagens[[#This Row],[Usuário]],Tabela.cadastro[[Nome]:[id2]],12,0),"")</f>
        <v>13</v>
      </c>
      <c r="B49" s="131" t="s">
        <v>136</v>
      </c>
      <c r="C49" s="133">
        <v>41824</v>
      </c>
      <c r="D49" s="33" t="s">
        <v>16</v>
      </c>
      <c r="E49" s="33" t="s">
        <v>16</v>
      </c>
      <c r="F49" s="23">
        <f>ROUNDDOWN(((Tabela.abordagens[[#This Row],[Data]]-VLOOKUP(Tabela.abordagens[[#This Row],[Usuário]],Tabela.cadastro[[Nome]:[id2]],7,0))/365.25),0)</f>
        <v>21</v>
      </c>
      <c r="G4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0" spans="1:7" ht="17.100000000000001" customHeight="1" x14ac:dyDescent="0.25">
      <c r="A50" s="26">
        <f>IFERROR(VLOOKUP(Tabela.abordagens[[#This Row],[Usuário]],Tabela.cadastro[[Nome]:[id2]],12,0),"")</f>
        <v>14</v>
      </c>
      <c r="B50" s="131" t="s">
        <v>137</v>
      </c>
      <c r="C50" s="133">
        <v>41824</v>
      </c>
      <c r="D50" s="33" t="s">
        <v>16</v>
      </c>
      <c r="E50" s="33" t="s">
        <v>16</v>
      </c>
      <c r="F50" s="23">
        <f>ROUNDDOWN(((Tabela.abordagens[[#This Row],[Data]]-VLOOKUP(Tabela.abordagens[[#This Row],[Usuário]],Tabela.cadastro[[Nome]:[id2]],7,0))/365.25),0)</f>
        <v>20</v>
      </c>
      <c r="G5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1" spans="1:7" ht="17.100000000000001" customHeight="1" x14ac:dyDescent="0.25">
      <c r="A51" s="26">
        <f>IFERROR(VLOOKUP(Tabela.abordagens[[#This Row],[Usuário]],Tabela.cadastro[[Nome]:[id2]],12,0),"")</f>
        <v>15</v>
      </c>
      <c r="B51" s="131" t="s">
        <v>138</v>
      </c>
      <c r="C51" s="133">
        <v>41824</v>
      </c>
      <c r="D51" s="33" t="s">
        <v>16</v>
      </c>
      <c r="E51" s="33" t="s">
        <v>17</v>
      </c>
      <c r="F51" s="23">
        <f>ROUNDDOWN(((Tabela.abordagens[[#This Row],[Data]]-VLOOKUP(Tabela.abordagens[[#This Row],[Usuário]],Tabela.cadastro[[Nome]:[id2]],7,0))/365.25),0)</f>
        <v>36</v>
      </c>
      <c r="G5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2" spans="1:7" ht="17.100000000000001" customHeight="1" x14ac:dyDescent="0.25">
      <c r="A52" s="26">
        <f>IFERROR(VLOOKUP(Tabela.abordagens[[#This Row],[Usuário]],Tabela.cadastro[[Nome]:[id2]],12,0),"")</f>
        <v>16</v>
      </c>
      <c r="B52" s="175" t="s">
        <v>139</v>
      </c>
      <c r="C52" s="133">
        <v>41824</v>
      </c>
      <c r="D52" s="42" t="s">
        <v>16</v>
      </c>
      <c r="E52" s="42" t="s">
        <v>16</v>
      </c>
      <c r="F52" s="23">
        <f>ROUNDDOWN(((Tabela.abordagens[[#This Row],[Data]]-VLOOKUP(Tabela.abordagens[[#This Row],[Usuário]],Tabela.cadastro[[Nome]:[id2]],7,0))/365.25),0)</f>
        <v>26</v>
      </c>
      <c r="G5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3" spans="1:7" ht="17.100000000000001" customHeight="1" x14ac:dyDescent="0.25">
      <c r="A53" s="26">
        <f>IFERROR(VLOOKUP(Tabela.abordagens[[#This Row],[Usuário]],Tabela.cadastro[[Nome]:[id2]],12,0),"")</f>
        <v>17</v>
      </c>
      <c r="B53" s="131" t="s">
        <v>141</v>
      </c>
      <c r="C53" s="133">
        <v>41824</v>
      </c>
      <c r="D53" s="42" t="s">
        <v>16</v>
      </c>
      <c r="E53" s="42" t="s">
        <v>16</v>
      </c>
      <c r="F53" s="23">
        <f>ROUNDDOWN(((Tabela.abordagens[[#This Row],[Data]]-VLOOKUP(Tabela.abordagens[[#This Row],[Usuário]],Tabela.cadastro[[Nome]:[id2]],7,0))/365.25),0)</f>
        <v>31</v>
      </c>
      <c r="G5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4" spans="1:7" ht="17.100000000000001" customHeight="1" x14ac:dyDescent="0.25">
      <c r="A54" s="26">
        <f>IFERROR(VLOOKUP(Tabela.abordagens[[#This Row],[Usuário]],Tabela.cadastro[[Nome]:[id2]],12,0),"")</f>
        <v>18</v>
      </c>
      <c r="B54" s="131" t="s">
        <v>140</v>
      </c>
      <c r="C54" s="133">
        <v>41824</v>
      </c>
      <c r="D54" s="42" t="s">
        <v>17</v>
      </c>
      <c r="E54" s="42" t="s">
        <v>16</v>
      </c>
      <c r="F54" s="23">
        <f>ROUNDDOWN(((Tabela.abordagens[[#This Row],[Data]]-VLOOKUP(Tabela.abordagens[[#This Row],[Usuário]],Tabela.cadastro[[Nome]:[id2]],7,0))/365.25),0)</f>
        <v>34</v>
      </c>
      <c r="G5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5" spans="1:7" ht="17.100000000000001" customHeight="1" x14ac:dyDescent="0.25">
      <c r="A55" s="26">
        <f>IFERROR(VLOOKUP(Tabela.abordagens[[#This Row],[Usuário]],Tabela.cadastro[[Nome]:[id2]],12,0),"")</f>
        <v>19</v>
      </c>
      <c r="B55" s="131" t="s">
        <v>142</v>
      </c>
      <c r="C55" s="133">
        <v>41824</v>
      </c>
      <c r="D55" s="42" t="s">
        <v>16</v>
      </c>
      <c r="E55" s="42" t="s">
        <v>16</v>
      </c>
      <c r="F55" s="23">
        <f>ROUNDDOWN(((Tabela.abordagens[[#This Row],[Data]]-VLOOKUP(Tabela.abordagens[[#This Row],[Usuário]],Tabela.cadastro[[Nome]:[id2]],7,0))/365.25),0)</f>
        <v>29</v>
      </c>
      <c r="G5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6" spans="1:7" ht="17.100000000000001" customHeight="1" x14ac:dyDescent="0.25">
      <c r="A56" s="26">
        <f>IFERROR(VLOOKUP(Tabela.abordagens[[#This Row],[Usuário]],Tabela.cadastro[[Nome]:[id2]],12,0),"")</f>
        <v>20</v>
      </c>
      <c r="B56" s="131" t="s">
        <v>143</v>
      </c>
      <c r="C56" s="133">
        <v>41824</v>
      </c>
      <c r="D56" s="42" t="s">
        <v>16</v>
      </c>
      <c r="E56" s="42" t="s">
        <v>16</v>
      </c>
      <c r="F56" s="23">
        <f>ROUNDDOWN(((Tabela.abordagens[[#This Row],[Data]]-VLOOKUP(Tabela.abordagens[[#This Row],[Usuário]],Tabela.cadastro[[Nome]:[id2]],7,0))/365.25),0)</f>
        <v>44</v>
      </c>
      <c r="G5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7" spans="1:7" ht="17.100000000000001" customHeight="1" x14ac:dyDescent="0.25">
      <c r="A57" s="34">
        <f>IFERROR(VLOOKUP(Tabela.abordagens[[#This Row],[Usuário]],Tabela.cadastro[[Nome]:[id2]],12,0),"")</f>
        <v>1</v>
      </c>
      <c r="B57" s="131" t="s">
        <v>124</v>
      </c>
      <c r="C57" s="133">
        <v>41824</v>
      </c>
      <c r="D57" s="42" t="s">
        <v>16</v>
      </c>
      <c r="E57" s="42" t="s">
        <v>16</v>
      </c>
      <c r="F57" s="23">
        <f>ROUNDDOWN(((Tabela.abordagens[[#This Row],[Data]]-VLOOKUP(Tabela.abordagens[[#This Row],[Usuário]],Tabela.cadastro[[Nome]:[id2]],7,0))/365.25),0)</f>
        <v>19</v>
      </c>
      <c r="G5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8" spans="1:7" ht="17.100000000000001" customHeight="1" x14ac:dyDescent="0.25">
      <c r="A58" s="34">
        <f>IFERROR(VLOOKUP(Tabela.abordagens[[#This Row],[Usuário]],Tabela.cadastro[[Nome]:[id2]],12,0),"")</f>
        <v>2</v>
      </c>
      <c r="B58" s="131" t="s">
        <v>125</v>
      </c>
      <c r="C58" s="133">
        <v>41824</v>
      </c>
      <c r="D58" s="42" t="s">
        <v>16</v>
      </c>
      <c r="E58" s="42" t="s">
        <v>16</v>
      </c>
      <c r="F58" s="23">
        <f>ROUNDDOWN(((Tabela.abordagens[[#This Row],[Data]]-VLOOKUP(Tabela.abordagens[[#This Row],[Usuário]],Tabela.cadastro[[Nome]:[id2]],7,0))/365.25),0)</f>
        <v>31</v>
      </c>
      <c r="G5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59" spans="1:7" ht="17.100000000000001" customHeight="1" x14ac:dyDescent="0.25">
      <c r="A59" s="34">
        <f>IFERROR(VLOOKUP(Tabela.abordagens[[#This Row],[Usuário]],Tabela.cadastro[[Nome]:[id2]],12,0),"")</f>
        <v>3</v>
      </c>
      <c r="B59" s="131" t="s">
        <v>126</v>
      </c>
      <c r="C59" s="133">
        <v>41824</v>
      </c>
      <c r="D59" s="42" t="s">
        <v>16</v>
      </c>
      <c r="E59" s="42" t="s">
        <v>16</v>
      </c>
      <c r="F59" s="23">
        <f>ROUNDDOWN(((Tabela.abordagens[[#This Row],[Data]]-VLOOKUP(Tabela.abordagens[[#This Row],[Usuário]],Tabela.cadastro[[Nome]:[id2]],7,0))/365.25),0)</f>
        <v>29</v>
      </c>
      <c r="G5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60" spans="1:7" ht="17.100000000000001" customHeight="1" x14ac:dyDescent="0.25">
      <c r="A60" s="34">
        <f>IFERROR(VLOOKUP(Tabela.abordagens[[#This Row],[Usuário]],Tabela.cadastro[[Nome]:[id2]],12,0),"")</f>
        <v>4</v>
      </c>
      <c r="B60" s="49" t="s">
        <v>127</v>
      </c>
      <c r="C60" s="133">
        <v>41824</v>
      </c>
      <c r="D60" s="42" t="s">
        <v>16</v>
      </c>
      <c r="E60" s="42" t="s">
        <v>16</v>
      </c>
      <c r="F60" s="23">
        <f>ROUNDDOWN(((Tabela.abordagens[[#This Row],[Data]]-VLOOKUP(Tabela.abordagens[[#This Row],[Usuário]],Tabela.cadastro[[Nome]:[id2]],7,0))/365.25),0)</f>
        <v>41</v>
      </c>
      <c r="G6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61" spans="1:7" ht="17.100000000000001" customHeight="1" x14ac:dyDescent="0.25">
      <c r="A61" s="34">
        <f>IFERROR(VLOOKUP(Tabela.abordagens[[#This Row],[Usuário]],Tabela.cadastro[[Nome]:[id2]],12,0),"")</f>
        <v>5</v>
      </c>
      <c r="B61" s="131" t="s">
        <v>128</v>
      </c>
      <c r="C61" s="133">
        <v>41824</v>
      </c>
      <c r="D61" s="42" t="s">
        <v>16</v>
      </c>
      <c r="E61" s="42" t="s">
        <v>16</v>
      </c>
      <c r="F61" s="23">
        <f>ROUNDDOWN(((Tabela.abordagens[[#This Row],[Data]]-VLOOKUP(Tabela.abordagens[[#This Row],[Usuário]],Tabela.cadastro[[Nome]:[id2]],7,0))/365.25),0)</f>
        <v>69</v>
      </c>
      <c r="G6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jul/14</v>
      </c>
    </row>
    <row r="62" spans="1:7" ht="17.100000000000001" customHeight="1" x14ac:dyDescent="0.25">
      <c r="A62" s="34">
        <f>IFERROR(VLOOKUP(Tabela.abordagens[[#This Row],[Usuário]],Tabela.cadastro[[Nome]:[id2]],12,0),"")</f>
        <v>9</v>
      </c>
      <c r="B62" s="131" t="s">
        <v>132</v>
      </c>
      <c r="C62" s="133">
        <v>41852</v>
      </c>
      <c r="D62" s="42" t="s">
        <v>16</v>
      </c>
      <c r="E62" s="42" t="s">
        <v>16</v>
      </c>
      <c r="F62" s="23">
        <f>ROUNDDOWN(((Tabela.abordagens[[#This Row],[Data]]-VLOOKUP(Tabela.abordagens[[#This Row],[Usuário]],Tabela.cadastro[[Nome]:[id2]],7,0))/365.25),0)</f>
        <v>44</v>
      </c>
      <c r="G6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3" spans="1:7" ht="17.100000000000001" customHeight="1" x14ac:dyDescent="0.25">
      <c r="A63" s="26">
        <f>IFERROR(VLOOKUP(Tabela.abordagens[[#This Row],[Usuário]],Tabela.cadastro[[Nome]:[id2]],12,0),"")</f>
        <v>10</v>
      </c>
      <c r="B63" s="131" t="s">
        <v>133</v>
      </c>
      <c r="C63" s="133">
        <v>41852</v>
      </c>
      <c r="D63" s="42" t="s">
        <v>17</v>
      </c>
      <c r="E63" s="42" t="s">
        <v>16</v>
      </c>
      <c r="F63" s="23">
        <f>ROUNDDOWN(((Tabela.abordagens[[#This Row],[Data]]-VLOOKUP(Tabela.abordagens[[#This Row],[Usuário]],Tabela.cadastro[[Nome]:[id2]],7,0))/365.25),0)</f>
        <v>31</v>
      </c>
      <c r="G6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4" spans="1:7" ht="17.100000000000001" customHeight="1" x14ac:dyDescent="0.25">
      <c r="A64" s="26">
        <f>IFERROR(VLOOKUP(Tabela.abordagens[[#This Row],[Usuário]],Tabela.cadastro[[Nome]:[id2]],12,0),"")</f>
        <v>11</v>
      </c>
      <c r="B64" s="131" t="s">
        <v>134</v>
      </c>
      <c r="C64" s="133">
        <v>41852</v>
      </c>
      <c r="D64" s="42" t="s">
        <v>16</v>
      </c>
      <c r="E64" s="42" t="s">
        <v>16</v>
      </c>
      <c r="F64" s="23">
        <f>ROUNDDOWN(((Tabela.abordagens[[#This Row],[Data]]-VLOOKUP(Tabela.abordagens[[#This Row],[Usuário]],Tabela.cadastro[[Nome]:[id2]],7,0))/365.25),0)</f>
        <v>31</v>
      </c>
      <c r="G6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5" spans="1:7" ht="17.100000000000001" customHeight="1" x14ac:dyDescent="0.25">
      <c r="A65" s="26">
        <f>IFERROR(VLOOKUP(Tabela.abordagens[[#This Row],[Usuário]],Tabela.cadastro[[Nome]:[id2]],12,0),"")</f>
        <v>12</v>
      </c>
      <c r="B65" s="131" t="s">
        <v>135</v>
      </c>
      <c r="C65" s="133">
        <v>41852</v>
      </c>
      <c r="D65" s="42" t="s">
        <v>16</v>
      </c>
      <c r="E65" s="42" t="s">
        <v>16</v>
      </c>
      <c r="F65" s="23">
        <f>ROUNDDOWN(((Tabela.abordagens[[#This Row],[Data]]-VLOOKUP(Tabela.abordagens[[#This Row],[Usuário]],Tabela.cadastro[[Nome]:[id2]],7,0))/365.25),0)</f>
        <v>25</v>
      </c>
      <c r="G6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6" spans="1:7" ht="17.100000000000001" customHeight="1" x14ac:dyDescent="0.25">
      <c r="A66" s="26">
        <f>IFERROR(VLOOKUP(Tabela.abordagens[[#This Row],[Usuário]],Tabela.cadastro[[Nome]:[id2]],12,0),"")</f>
        <v>13</v>
      </c>
      <c r="B66" s="131" t="s">
        <v>136</v>
      </c>
      <c r="C66" s="133">
        <v>41852</v>
      </c>
      <c r="D66" s="42" t="s">
        <v>16</v>
      </c>
      <c r="E66" s="42" t="s">
        <v>16</v>
      </c>
      <c r="F66" s="23">
        <f>ROUNDDOWN(((Tabela.abordagens[[#This Row],[Data]]-VLOOKUP(Tabela.abordagens[[#This Row],[Usuário]],Tabela.cadastro[[Nome]:[id2]],7,0))/365.25),0)</f>
        <v>21</v>
      </c>
      <c r="G6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7" spans="1:7" ht="17.100000000000001" customHeight="1" x14ac:dyDescent="0.25">
      <c r="A67" s="26">
        <f>IFERROR(VLOOKUP(Tabela.abordagens[[#This Row],[Usuário]],Tabela.cadastro[[Nome]:[id2]],12,0),"")</f>
        <v>14</v>
      </c>
      <c r="B67" s="131" t="s">
        <v>137</v>
      </c>
      <c r="C67" s="133">
        <v>41852</v>
      </c>
      <c r="D67" s="42" t="s">
        <v>17</v>
      </c>
      <c r="E67" s="42" t="s">
        <v>16</v>
      </c>
      <c r="F67" s="23">
        <f>ROUNDDOWN(((Tabela.abordagens[[#This Row],[Data]]-VLOOKUP(Tabela.abordagens[[#This Row],[Usuário]],Tabela.cadastro[[Nome]:[id2]],7,0))/365.25),0)</f>
        <v>20</v>
      </c>
      <c r="G6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8" spans="1:7" ht="17.100000000000001" customHeight="1" x14ac:dyDescent="0.25">
      <c r="A68" s="26">
        <f>IFERROR(VLOOKUP(Tabela.abordagens[[#This Row],[Usuário]],Tabela.cadastro[[Nome]:[id2]],12,0),"")</f>
        <v>15</v>
      </c>
      <c r="B68" s="131" t="s">
        <v>138</v>
      </c>
      <c r="C68" s="133">
        <v>41852</v>
      </c>
      <c r="D68" s="42" t="s">
        <v>16</v>
      </c>
      <c r="E68" s="42" t="s">
        <v>16</v>
      </c>
      <c r="F68" s="23">
        <f>ROUNDDOWN(((Tabela.abordagens[[#This Row],[Data]]-VLOOKUP(Tabela.abordagens[[#This Row],[Usuário]],Tabela.cadastro[[Nome]:[id2]],7,0))/365.25),0)</f>
        <v>36</v>
      </c>
      <c r="G6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69" spans="1:7" ht="17.100000000000001" customHeight="1" x14ac:dyDescent="0.25">
      <c r="A69" s="26">
        <f>IFERROR(VLOOKUP(Tabela.abordagens[[#This Row],[Usuário]],Tabela.cadastro[[Nome]:[id2]],12,0),"")</f>
        <v>16</v>
      </c>
      <c r="B69" s="175" t="s">
        <v>139</v>
      </c>
      <c r="C69" s="133">
        <v>41852</v>
      </c>
      <c r="D69" s="33" t="s">
        <v>17</v>
      </c>
      <c r="E69" s="33" t="s">
        <v>17</v>
      </c>
      <c r="F69" s="23">
        <f>ROUNDDOWN(((Tabela.abordagens[[#This Row],[Data]]-VLOOKUP(Tabela.abordagens[[#This Row],[Usuário]],Tabela.cadastro[[Nome]:[id2]],7,0))/365.25),0)</f>
        <v>27</v>
      </c>
      <c r="G6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0" spans="1:7" ht="17.100000000000001" customHeight="1" x14ac:dyDescent="0.25">
      <c r="A70" s="26">
        <f>IFERROR(VLOOKUP(Tabela.abordagens[[#This Row],[Usuário]],Tabela.cadastro[[Nome]:[id2]],12,0),"")</f>
        <v>17</v>
      </c>
      <c r="B70" s="131" t="s">
        <v>141</v>
      </c>
      <c r="C70" s="133">
        <v>41852</v>
      </c>
      <c r="D70" s="33" t="s">
        <v>16</v>
      </c>
      <c r="E70" s="33" t="s">
        <v>17</v>
      </c>
      <c r="F70" s="23">
        <f>ROUNDDOWN(((Tabela.abordagens[[#This Row],[Data]]-VLOOKUP(Tabela.abordagens[[#This Row],[Usuário]],Tabela.cadastro[[Nome]:[id2]],7,0))/365.25),0)</f>
        <v>31</v>
      </c>
      <c r="G7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1" spans="1:7" ht="17.100000000000001" customHeight="1" x14ac:dyDescent="0.25">
      <c r="A71" s="26">
        <f>IFERROR(VLOOKUP(Tabela.abordagens[[#This Row],[Usuário]],Tabela.cadastro[[Nome]:[id2]],12,0),"")</f>
        <v>18</v>
      </c>
      <c r="B71" s="131" t="s">
        <v>140</v>
      </c>
      <c r="C71" s="133">
        <v>41852</v>
      </c>
      <c r="D71" s="33" t="s">
        <v>16</v>
      </c>
      <c r="E71" s="33" t="s">
        <v>16</v>
      </c>
      <c r="F71" s="23">
        <f>ROUNDDOWN(((Tabela.abordagens[[#This Row],[Data]]-VLOOKUP(Tabela.abordagens[[#This Row],[Usuário]],Tabela.cadastro[[Nome]:[id2]],7,0))/365.25),0)</f>
        <v>34</v>
      </c>
      <c r="G7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2" spans="1:7" ht="17.100000000000001" customHeight="1" x14ac:dyDescent="0.25">
      <c r="A72" s="26">
        <f>IFERROR(VLOOKUP(Tabela.abordagens[[#This Row],[Usuário]],Tabela.cadastro[[Nome]:[id2]],12,0),"")</f>
        <v>19</v>
      </c>
      <c r="B72" s="131" t="s">
        <v>142</v>
      </c>
      <c r="C72" s="133">
        <v>41852</v>
      </c>
      <c r="D72" s="33" t="s">
        <v>16</v>
      </c>
      <c r="E72" s="33" t="s">
        <v>16</v>
      </c>
      <c r="F72" s="23">
        <f>ROUNDDOWN(((Tabela.abordagens[[#This Row],[Data]]-VLOOKUP(Tabela.abordagens[[#This Row],[Usuário]],Tabela.cadastro[[Nome]:[id2]],7,0))/365.25),0)</f>
        <v>29</v>
      </c>
      <c r="G7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3" spans="1:7" ht="17.100000000000001" customHeight="1" x14ac:dyDescent="0.25">
      <c r="A73" s="26">
        <f>IFERROR(VLOOKUP(Tabela.abordagens[[#This Row],[Usuário]],Tabela.cadastro[[Nome]:[id2]],12,0),"")</f>
        <v>20</v>
      </c>
      <c r="B73" s="131" t="s">
        <v>143</v>
      </c>
      <c r="C73" s="133">
        <v>41852</v>
      </c>
      <c r="D73" s="33" t="s">
        <v>16</v>
      </c>
      <c r="E73" s="33" t="s">
        <v>16</v>
      </c>
      <c r="F73" s="23">
        <f>ROUNDDOWN(((Tabela.abordagens[[#This Row],[Data]]-VLOOKUP(Tabela.abordagens[[#This Row],[Usuário]],Tabela.cadastro[[Nome]:[id2]],7,0))/365.25),0)</f>
        <v>44</v>
      </c>
      <c r="G7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4" spans="1:7" ht="17.100000000000001" customHeight="1" x14ac:dyDescent="0.25">
      <c r="A74" s="26">
        <f>IFERROR(VLOOKUP(Tabela.abordagens[[#This Row],[Usuário]],Tabela.cadastro[[Nome]:[id2]],12,0),"")</f>
        <v>1</v>
      </c>
      <c r="B74" s="131" t="s">
        <v>124</v>
      </c>
      <c r="C74" s="133">
        <v>41852</v>
      </c>
      <c r="D74" s="33" t="s">
        <v>16</v>
      </c>
      <c r="E74" s="33" t="s">
        <v>16</v>
      </c>
      <c r="F74" s="23">
        <f>ROUNDDOWN(((Tabela.abordagens[[#This Row],[Data]]-VLOOKUP(Tabela.abordagens[[#This Row],[Usuário]],Tabela.cadastro[[Nome]:[id2]],7,0))/365.25),0)</f>
        <v>19</v>
      </c>
      <c r="G7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5" spans="1:7" ht="17.100000000000001" customHeight="1" x14ac:dyDescent="0.25">
      <c r="A75" s="26">
        <f>IFERROR(VLOOKUP(Tabela.abordagens[[#This Row],[Usuário]],Tabela.cadastro[[Nome]:[id2]],12,0),"")</f>
        <v>2</v>
      </c>
      <c r="B75" s="131" t="s">
        <v>125</v>
      </c>
      <c r="C75" s="133">
        <v>41852</v>
      </c>
      <c r="D75" s="33" t="s">
        <v>16</v>
      </c>
      <c r="E75" s="33" t="s">
        <v>16</v>
      </c>
      <c r="F75" s="23">
        <f>ROUNDDOWN(((Tabela.abordagens[[#This Row],[Data]]-VLOOKUP(Tabela.abordagens[[#This Row],[Usuário]],Tabela.cadastro[[Nome]:[id2]],7,0))/365.25),0)</f>
        <v>31</v>
      </c>
      <c r="G7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6" spans="1:7" ht="17.100000000000001" customHeight="1" x14ac:dyDescent="0.25">
      <c r="A76" s="26">
        <f>IFERROR(VLOOKUP(Tabela.abordagens[[#This Row],[Usuário]],Tabela.cadastro[[Nome]:[id2]],12,0),"")</f>
        <v>3</v>
      </c>
      <c r="B76" s="131" t="s">
        <v>126</v>
      </c>
      <c r="C76" s="133">
        <v>41852</v>
      </c>
      <c r="D76" s="33" t="s">
        <v>16</v>
      </c>
      <c r="E76" s="33" t="s">
        <v>16</v>
      </c>
      <c r="F76" s="23">
        <f>ROUNDDOWN(((Tabela.abordagens[[#This Row],[Data]]-VLOOKUP(Tabela.abordagens[[#This Row],[Usuário]],Tabela.cadastro[[Nome]:[id2]],7,0))/365.25),0)</f>
        <v>29</v>
      </c>
      <c r="G7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7" spans="1:7" ht="17.100000000000001" customHeight="1" x14ac:dyDescent="0.25">
      <c r="A77" s="26">
        <f>IFERROR(VLOOKUP(Tabela.abordagens[[#This Row],[Usuário]],Tabela.cadastro[[Nome]:[id2]],12,0),"")</f>
        <v>4</v>
      </c>
      <c r="B77" s="49" t="s">
        <v>127</v>
      </c>
      <c r="C77" s="133">
        <v>41852</v>
      </c>
      <c r="D77" s="33" t="s">
        <v>16</v>
      </c>
      <c r="E77" s="33" t="s">
        <v>16</v>
      </c>
      <c r="F77" s="23">
        <f>ROUNDDOWN(((Tabela.abordagens[[#This Row],[Data]]-VLOOKUP(Tabela.abordagens[[#This Row],[Usuário]],Tabela.cadastro[[Nome]:[id2]],7,0))/365.25),0)</f>
        <v>41</v>
      </c>
      <c r="G7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8" spans="1:7" ht="17.100000000000001" customHeight="1" x14ac:dyDescent="0.25">
      <c r="A78" s="26">
        <f>IFERROR(VLOOKUP(Tabela.abordagens[[#This Row],[Usuário]],Tabela.cadastro[[Nome]:[id2]],12,0),"")</f>
        <v>5</v>
      </c>
      <c r="B78" s="131" t="s">
        <v>128</v>
      </c>
      <c r="C78" s="133">
        <v>41852</v>
      </c>
      <c r="D78" s="42" t="s">
        <v>16</v>
      </c>
      <c r="E78" s="42" t="s">
        <v>16</v>
      </c>
      <c r="F78" s="23">
        <f>ROUNDDOWN(((Tabela.abordagens[[#This Row],[Data]]-VLOOKUP(Tabela.abordagens[[#This Row],[Usuário]],Tabela.cadastro[[Nome]:[id2]],7,0))/365.25),0)</f>
        <v>69</v>
      </c>
      <c r="G7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79" spans="1:7" ht="17.100000000000001" customHeight="1" x14ac:dyDescent="0.25">
      <c r="A79" s="26">
        <f>IFERROR(VLOOKUP(Tabela.abordagens[[#This Row],[Usuário]],Tabela.cadastro[[Nome]:[id2]],12,0),"")</f>
        <v>6</v>
      </c>
      <c r="B79" s="131" t="s">
        <v>129</v>
      </c>
      <c r="C79" s="133">
        <v>41852</v>
      </c>
      <c r="D79" s="42" t="s">
        <v>16</v>
      </c>
      <c r="E79" s="42" t="s">
        <v>16</v>
      </c>
      <c r="F79" s="23">
        <f>ROUNDDOWN(((Tabela.abordagens[[#This Row],[Data]]-VLOOKUP(Tabela.abordagens[[#This Row],[Usuário]],Tabela.cadastro[[Nome]:[id2]],7,0))/365.25),0)</f>
        <v>14</v>
      </c>
      <c r="G7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0" spans="1:7" ht="17.100000000000001" customHeight="1" x14ac:dyDescent="0.25">
      <c r="A80" s="26">
        <f>IFERROR(VLOOKUP(Tabela.abordagens[[#This Row],[Usuário]],Tabela.cadastro[[Nome]:[id2]],12,0),"")</f>
        <v>7</v>
      </c>
      <c r="B80" s="139" t="s">
        <v>130</v>
      </c>
      <c r="C80" s="133">
        <v>41852</v>
      </c>
      <c r="D80" s="42" t="s">
        <v>16</v>
      </c>
      <c r="E80" s="42" t="s">
        <v>16</v>
      </c>
      <c r="F80" s="23">
        <f>ROUNDDOWN(((Tabela.abordagens[[#This Row],[Data]]-VLOOKUP(Tabela.abordagens[[#This Row],[Usuário]],Tabela.cadastro[[Nome]:[id2]],7,0))/365.25),0)</f>
        <v>74</v>
      </c>
      <c r="G8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1" spans="1:7" ht="17.100000000000001" customHeight="1" x14ac:dyDescent="0.25">
      <c r="A81" s="26">
        <f>IFERROR(VLOOKUP(Tabela.abordagens[[#This Row],[Usuário]],Tabela.cadastro[[Nome]:[id2]],12,0),"")</f>
        <v>8</v>
      </c>
      <c r="B81" s="131" t="s">
        <v>131</v>
      </c>
      <c r="C81" s="133">
        <v>41852</v>
      </c>
      <c r="D81" s="42" t="s">
        <v>16</v>
      </c>
      <c r="E81" s="42" t="s">
        <v>16</v>
      </c>
      <c r="F81" s="23">
        <f>ROUNDDOWN(((Tabela.abordagens[[#This Row],[Data]]-VLOOKUP(Tabela.abordagens[[#This Row],[Usuário]],Tabela.cadastro[[Nome]:[id2]],7,0))/365.25),0)</f>
        <v>27</v>
      </c>
      <c r="G8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2" spans="1:7" ht="17.100000000000001" customHeight="1" x14ac:dyDescent="0.25">
      <c r="A82" s="26">
        <f>IFERROR(VLOOKUP(Tabela.abordagens[[#This Row],[Usuário]],Tabela.cadastro[[Nome]:[id2]],12,0),"")</f>
        <v>12</v>
      </c>
      <c r="B82" s="131" t="s">
        <v>135</v>
      </c>
      <c r="C82" s="133">
        <v>41852</v>
      </c>
      <c r="D82" s="42" t="s">
        <v>16</v>
      </c>
      <c r="E82" s="42" t="s">
        <v>16</v>
      </c>
      <c r="F82" s="23">
        <f>ROUNDDOWN(((Tabela.abordagens[[#This Row],[Data]]-VLOOKUP(Tabela.abordagens[[#This Row],[Usuário]],Tabela.cadastro[[Nome]:[id2]],7,0))/365.25),0)</f>
        <v>25</v>
      </c>
      <c r="G8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3" spans="1:7" ht="17.100000000000001" customHeight="1" x14ac:dyDescent="0.25">
      <c r="A83" s="26">
        <f>IFERROR(VLOOKUP(Tabela.abordagens[[#This Row],[Usuário]],Tabela.cadastro[[Nome]:[id2]],12,0),"")</f>
        <v>13</v>
      </c>
      <c r="B83" s="131" t="s">
        <v>136</v>
      </c>
      <c r="C83" s="133">
        <v>41852</v>
      </c>
      <c r="D83" s="42" t="s">
        <v>16</v>
      </c>
      <c r="E83" s="42" t="s">
        <v>16</v>
      </c>
      <c r="F83" s="23">
        <f>ROUNDDOWN(((Tabela.abordagens[[#This Row],[Data]]-VLOOKUP(Tabela.abordagens[[#This Row],[Usuário]],Tabela.cadastro[[Nome]:[id2]],7,0))/365.25),0)</f>
        <v>21</v>
      </c>
      <c r="G8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4" spans="1:7" ht="17.100000000000001" customHeight="1" x14ac:dyDescent="0.25">
      <c r="A84" s="34">
        <f>IFERROR(VLOOKUP(Tabela.abordagens[[#This Row],[Usuário]],Tabela.cadastro[[Nome]:[id2]],12,0),"")</f>
        <v>14</v>
      </c>
      <c r="B84" s="131" t="s">
        <v>137</v>
      </c>
      <c r="C84" s="133">
        <v>41852</v>
      </c>
      <c r="D84" s="42" t="s">
        <v>16</v>
      </c>
      <c r="E84" s="42" t="s">
        <v>16</v>
      </c>
      <c r="F84" s="23">
        <f>ROUNDDOWN(((Tabela.abordagens[[#This Row],[Data]]-VLOOKUP(Tabela.abordagens[[#This Row],[Usuário]],Tabela.cadastro[[Nome]:[id2]],7,0))/365.25),0)</f>
        <v>20</v>
      </c>
      <c r="G8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5" spans="1:7" ht="17.100000000000001" customHeight="1" x14ac:dyDescent="0.25">
      <c r="A85" s="34">
        <f>IFERROR(VLOOKUP(Tabela.abordagens[[#This Row],[Usuário]],Tabela.cadastro[[Nome]:[id2]],12,0),"")</f>
        <v>15</v>
      </c>
      <c r="B85" s="131" t="s">
        <v>138</v>
      </c>
      <c r="C85" s="133">
        <v>41852</v>
      </c>
      <c r="D85" s="42" t="s">
        <v>16</v>
      </c>
      <c r="E85" s="42" t="s">
        <v>16</v>
      </c>
      <c r="F85" s="23">
        <f>ROUNDDOWN(((Tabela.abordagens[[#This Row],[Data]]-VLOOKUP(Tabela.abordagens[[#This Row],[Usuário]],Tabela.cadastro[[Nome]:[id2]],7,0))/365.25),0)</f>
        <v>36</v>
      </c>
      <c r="G8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6" spans="1:7" ht="17.100000000000001" customHeight="1" x14ac:dyDescent="0.25">
      <c r="A86" s="26">
        <f>IFERROR(VLOOKUP(Tabela.abordagens[[#This Row],[Usuário]],Tabela.cadastro[[Nome]:[id2]],12,0),"")</f>
        <v>16</v>
      </c>
      <c r="B86" s="175" t="s">
        <v>139</v>
      </c>
      <c r="C86" s="133">
        <v>41852</v>
      </c>
      <c r="D86" s="42" t="s">
        <v>16</v>
      </c>
      <c r="E86" s="42" t="s">
        <v>16</v>
      </c>
      <c r="F86" s="23">
        <f>ROUNDDOWN(((Tabela.abordagens[[#This Row],[Data]]-VLOOKUP(Tabela.abordagens[[#This Row],[Usuário]],Tabela.cadastro[[Nome]:[id2]],7,0))/365.25),0)</f>
        <v>27</v>
      </c>
      <c r="G8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ago/14</v>
      </c>
    </row>
    <row r="87" spans="1:7" ht="17.100000000000001" customHeight="1" x14ac:dyDescent="0.25">
      <c r="A87" s="26">
        <f>IFERROR(VLOOKUP(Tabela.abordagens[[#This Row],[Usuário]],Tabela.cadastro[[Nome]:[id2]],12,0),"")</f>
        <v>1</v>
      </c>
      <c r="B87" s="131" t="s">
        <v>124</v>
      </c>
      <c r="C87" s="133">
        <v>42005</v>
      </c>
      <c r="D87" s="42" t="s">
        <v>16</v>
      </c>
      <c r="E87" s="42" t="s">
        <v>16</v>
      </c>
      <c r="F87" s="24">
        <f>ROUNDDOWN(((Tabela.abordagens[[#This Row],[Data]]-VLOOKUP(Tabela.abordagens[[#This Row],[Usuário]],Tabela.cadastro[[Nome]:[id2]],7,0))/365.25),0)</f>
        <v>19</v>
      </c>
      <c r="G8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88" spans="1:7" ht="17.100000000000001" customHeight="1" x14ac:dyDescent="0.25">
      <c r="A88" s="26">
        <f>IFERROR(VLOOKUP(Tabela.abordagens[[#This Row],[Usuário]],Tabela.cadastro[[Nome]:[id2]],12,0),"")</f>
        <v>2</v>
      </c>
      <c r="B88" s="131" t="s">
        <v>125</v>
      </c>
      <c r="C88" s="133">
        <v>42005</v>
      </c>
      <c r="D88" s="42" t="s">
        <v>16</v>
      </c>
      <c r="E88" s="42" t="s">
        <v>16</v>
      </c>
      <c r="F88" s="23">
        <f>ROUNDDOWN(((Tabela.abordagens[[#This Row],[Data]]-VLOOKUP(Tabela.abordagens[[#This Row],[Usuário]],Tabela.cadastro[[Nome]:[id2]],7,0))/365.25),0)</f>
        <v>32</v>
      </c>
      <c r="G8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89" spans="1:7" ht="17.100000000000001" customHeight="1" x14ac:dyDescent="0.25">
      <c r="A89" s="26">
        <f>IFERROR(VLOOKUP(Tabela.abordagens[[#This Row],[Usuário]],Tabela.cadastro[[Nome]:[id2]],12,0),"")</f>
        <v>3</v>
      </c>
      <c r="B89" s="131" t="s">
        <v>126</v>
      </c>
      <c r="C89" s="133">
        <v>42005</v>
      </c>
      <c r="D89" s="42" t="s">
        <v>16</v>
      </c>
      <c r="E89" s="42" t="s">
        <v>16</v>
      </c>
      <c r="F89" s="23">
        <f>ROUNDDOWN(((Tabela.abordagens[[#This Row],[Data]]-VLOOKUP(Tabela.abordagens[[#This Row],[Usuário]],Tabela.cadastro[[Nome]:[id2]],7,0))/365.25),0)</f>
        <v>30</v>
      </c>
      <c r="G8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0" spans="1:7" ht="17.100000000000001" customHeight="1" x14ac:dyDescent="0.25">
      <c r="A90" s="26">
        <f>IFERROR(VLOOKUP(Tabela.abordagens[[#This Row],[Usuário]],Tabela.cadastro[[Nome]:[id2]],12,0),"")</f>
        <v>4</v>
      </c>
      <c r="B90" s="49" t="s">
        <v>127</v>
      </c>
      <c r="C90" s="133">
        <v>42005</v>
      </c>
      <c r="D90" s="42" t="s">
        <v>16</v>
      </c>
      <c r="E90" s="42" t="s">
        <v>16</v>
      </c>
      <c r="F90" s="23">
        <f>ROUNDDOWN(((Tabela.abordagens[[#This Row],[Data]]-VLOOKUP(Tabela.abordagens[[#This Row],[Usuário]],Tabela.cadastro[[Nome]:[id2]],7,0))/365.25),0)</f>
        <v>42</v>
      </c>
      <c r="G9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1" spans="1:7" ht="17.100000000000001" customHeight="1" x14ac:dyDescent="0.25">
      <c r="A91" s="26">
        <f>IFERROR(VLOOKUP(Tabela.abordagens[[#This Row],[Usuário]],Tabela.cadastro[[Nome]:[id2]],12,0),"")</f>
        <v>5</v>
      </c>
      <c r="B91" s="131" t="s">
        <v>128</v>
      </c>
      <c r="C91" s="133">
        <v>42005</v>
      </c>
      <c r="D91" s="42" t="s">
        <v>16</v>
      </c>
      <c r="E91" s="42" t="s">
        <v>16</v>
      </c>
      <c r="F91" s="23">
        <f>ROUNDDOWN(((Tabela.abordagens[[#This Row],[Data]]-VLOOKUP(Tabela.abordagens[[#This Row],[Usuário]],Tabela.cadastro[[Nome]:[id2]],7,0))/365.25),0)</f>
        <v>69</v>
      </c>
      <c r="G91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2" spans="1:7" ht="17.100000000000001" customHeight="1" x14ac:dyDescent="0.25">
      <c r="A92" s="26">
        <f>IFERROR(VLOOKUP(Tabela.abordagens[[#This Row],[Usuário]],Tabela.cadastro[[Nome]:[id2]],12,0),"")</f>
        <v>6</v>
      </c>
      <c r="B92" s="131" t="s">
        <v>129</v>
      </c>
      <c r="C92" s="133">
        <v>42005</v>
      </c>
      <c r="D92" s="42" t="s">
        <v>16</v>
      </c>
      <c r="E92" s="42" t="s">
        <v>16</v>
      </c>
      <c r="F92" s="23">
        <f>ROUNDDOWN(((Tabela.abordagens[[#This Row],[Data]]-VLOOKUP(Tabela.abordagens[[#This Row],[Usuário]],Tabela.cadastro[[Nome]:[id2]],7,0))/365.25),0)</f>
        <v>15</v>
      </c>
      <c r="G92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3" spans="1:7" ht="17.100000000000001" customHeight="1" x14ac:dyDescent="0.25">
      <c r="A93" s="26">
        <f>IFERROR(VLOOKUP(Tabela.abordagens[[#This Row],[Usuário]],Tabela.cadastro[[Nome]:[id2]],12,0),"")</f>
        <v>7</v>
      </c>
      <c r="B93" s="139" t="s">
        <v>130</v>
      </c>
      <c r="C93" s="133">
        <v>42005</v>
      </c>
      <c r="D93" s="42" t="s">
        <v>16</v>
      </c>
      <c r="E93" s="42" t="s">
        <v>16</v>
      </c>
      <c r="F93" s="23">
        <f>ROUNDDOWN(((Tabela.abordagens[[#This Row],[Data]]-VLOOKUP(Tabela.abordagens[[#This Row],[Usuário]],Tabela.cadastro[[Nome]:[id2]],7,0))/365.25),0)</f>
        <v>75</v>
      </c>
      <c r="G93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4" spans="1:7" ht="17.100000000000001" customHeight="1" x14ac:dyDescent="0.25">
      <c r="A94" s="26">
        <f>IFERROR(VLOOKUP(Tabela.abordagens[[#This Row],[Usuário]],Tabela.cadastro[[Nome]:[id2]],12,0),"")</f>
        <v>8</v>
      </c>
      <c r="B94" s="131" t="s">
        <v>131</v>
      </c>
      <c r="C94" s="133">
        <v>42005</v>
      </c>
      <c r="D94" s="42" t="s">
        <v>16</v>
      </c>
      <c r="E94" s="42" t="s">
        <v>16</v>
      </c>
      <c r="F94" s="23">
        <f>ROUNDDOWN(((Tabela.abordagens[[#This Row],[Data]]-VLOOKUP(Tabela.abordagens[[#This Row],[Usuário]],Tabela.cadastro[[Nome]:[id2]],7,0))/365.25),0)</f>
        <v>27</v>
      </c>
      <c r="G94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5" spans="1:7" ht="17.100000000000001" customHeight="1" x14ac:dyDescent="0.25">
      <c r="A95" s="26">
        <f>IFERROR(VLOOKUP(Tabela.abordagens[[#This Row],[Usuário]],Tabela.cadastro[[Nome]:[id2]],12,0),"")</f>
        <v>9</v>
      </c>
      <c r="B95" s="131" t="s">
        <v>132</v>
      </c>
      <c r="C95" s="133">
        <v>42005</v>
      </c>
      <c r="D95" s="42" t="s">
        <v>16</v>
      </c>
      <c r="E95" s="42" t="s">
        <v>16</v>
      </c>
      <c r="F95" s="23">
        <f>ROUNDDOWN(((Tabela.abordagens[[#This Row],[Data]]-VLOOKUP(Tabela.abordagens[[#This Row],[Usuário]],Tabela.cadastro[[Nome]:[id2]],7,0))/365.25),0)</f>
        <v>44</v>
      </c>
      <c r="G95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6" spans="1:7" x14ac:dyDescent="0.25">
      <c r="A96" s="30">
        <f>IFERROR(VLOOKUP(Tabela.abordagens[[#This Row],[Usuário]],Tabela.cadastro[[Nome]:[id2]],12,0),"")</f>
        <v>10</v>
      </c>
      <c r="B96" s="131" t="s">
        <v>133</v>
      </c>
      <c r="C96" s="133">
        <v>42005</v>
      </c>
      <c r="D96" s="42" t="s">
        <v>16</v>
      </c>
      <c r="E96" s="42" t="s">
        <v>16</v>
      </c>
      <c r="F96" s="31">
        <f>ROUNDDOWN(((Tabela.abordagens[[#This Row],[Data]]-VLOOKUP(Tabela.abordagens[[#This Row],[Usuário]],Tabela.cadastro[[Nome]:[id2]],7,0))/365.25),0)</f>
        <v>31</v>
      </c>
      <c r="G96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7" spans="1:7" x14ac:dyDescent="0.25">
      <c r="A97" s="30">
        <f>IFERROR(VLOOKUP(Tabela.abordagens[[#This Row],[Usuário]],Tabela.cadastro[[Nome]:[id2]],12,0),"")</f>
        <v>11</v>
      </c>
      <c r="B97" s="131" t="s">
        <v>134</v>
      </c>
      <c r="C97" s="133">
        <v>42005</v>
      </c>
      <c r="D97" s="42" t="s">
        <v>16</v>
      </c>
      <c r="E97" s="42" t="s">
        <v>16</v>
      </c>
      <c r="F97" s="31">
        <f>ROUNDDOWN(((Tabela.abordagens[[#This Row],[Data]]-VLOOKUP(Tabela.abordagens[[#This Row],[Usuário]],Tabela.cadastro[[Nome]:[id2]],7,0))/365.25),0)</f>
        <v>32</v>
      </c>
      <c r="G97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8" spans="1:7" x14ac:dyDescent="0.25">
      <c r="A98" s="30">
        <f>IFERROR(VLOOKUP(Tabela.abordagens[[#This Row],[Usuário]],Tabela.cadastro[[Nome]:[id2]],12,0),"")</f>
        <v>12</v>
      </c>
      <c r="B98" s="131" t="s">
        <v>135</v>
      </c>
      <c r="C98" s="133">
        <v>42005</v>
      </c>
      <c r="D98" s="42" t="s">
        <v>16</v>
      </c>
      <c r="E98" s="42" t="s">
        <v>16</v>
      </c>
      <c r="F98" s="31">
        <f>ROUNDDOWN(((Tabela.abordagens[[#This Row],[Data]]-VLOOKUP(Tabela.abordagens[[#This Row],[Usuário]],Tabela.cadastro[[Nome]:[id2]],7,0))/365.25),0)</f>
        <v>25</v>
      </c>
      <c r="G98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99" spans="1:7" x14ac:dyDescent="0.25">
      <c r="A99" s="30">
        <f>IFERROR(VLOOKUP(Tabela.abordagens[[#This Row],[Usuário]],Tabela.cadastro[[Nome]:[id2]],12,0),"")</f>
        <v>13</v>
      </c>
      <c r="B99" s="131" t="s">
        <v>136</v>
      </c>
      <c r="C99" s="133">
        <v>42005</v>
      </c>
      <c r="D99" s="42" t="s">
        <v>16</v>
      </c>
      <c r="E99" s="42" t="s">
        <v>16</v>
      </c>
      <c r="F99" s="31">
        <f>ROUNDDOWN(((Tabela.abordagens[[#This Row],[Data]]-VLOOKUP(Tabela.abordagens[[#This Row],[Usuário]],Tabela.cadastro[[Nome]:[id2]],7,0))/365.25),0)</f>
        <v>22</v>
      </c>
      <c r="G99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100" spans="1:7" x14ac:dyDescent="0.25">
      <c r="A100" s="30">
        <f>IFERROR(VLOOKUP(Tabela.abordagens[[#This Row],[Usuário]],Tabela.cadastro[[Nome]:[id2]],12,0),"")</f>
        <v>14</v>
      </c>
      <c r="B100" s="131" t="s">
        <v>137</v>
      </c>
      <c r="C100" s="133">
        <v>42005</v>
      </c>
      <c r="D100" s="42" t="s">
        <v>16</v>
      </c>
      <c r="E100" s="42" t="s">
        <v>16</v>
      </c>
      <c r="F100" s="31">
        <f>ROUNDDOWN(((Tabela.abordagens[[#This Row],[Data]]-VLOOKUP(Tabela.abordagens[[#This Row],[Usuário]],Tabela.cadastro[[Nome]:[id2]],7,0))/365.25),0)</f>
        <v>20</v>
      </c>
      <c r="G100" s="73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>jan/15</v>
      </c>
    </row>
    <row r="101" spans="1:7" x14ac:dyDescent="0.25">
      <c r="A101" s="30" t="str">
        <f>IFERROR(VLOOKUP(Tabela.abordagens[[#This Row],[Usuário]],Tabela.cadastro[[Nome]:[id2]],12,0),"")</f>
        <v/>
      </c>
      <c r="B101" s="123"/>
      <c r="C101" s="128"/>
      <c r="D101" s="124"/>
      <c r="E101" s="124"/>
      <c r="F101" s="31" t="e">
        <f>ROUNDDOWN(((Tabela.abordagens[[#This Row],[Data]]-VLOOKUP(Tabela.abordagens[[#This Row],[Usuário]],Tabela.cadastro[[Nome]:[id2]],7,0))/365.25),0)</f>
        <v>#N/A</v>
      </c>
      <c r="G101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2" spans="1:7" x14ac:dyDescent="0.25">
      <c r="A102" s="30" t="str">
        <f>IFERROR(VLOOKUP(Tabela.abordagens[[#This Row],[Usuário]],Tabela.cadastro[[Nome]:[id2]],12,0),"")</f>
        <v/>
      </c>
      <c r="B102" s="37"/>
      <c r="C102" s="129"/>
      <c r="D102" s="125"/>
      <c r="E102" s="125"/>
      <c r="F102" s="31" t="e">
        <f>ROUNDDOWN(((Tabela.abordagens[[#This Row],[Data]]-VLOOKUP(Tabela.abordagens[[#This Row],[Usuário]],Tabela.cadastro[[Nome]:[id2]],7,0))/365.25),0)</f>
        <v>#N/A</v>
      </c>
      <c r="G102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3" spans="1:7" x14ac:dyDescent="0.25">
      <c r="A103" s="30" t="str">
        <f>IFERROR(VLOOKUP(Tabela.abordagens[[#This Row],[Usuário]],Tabela.cadastro[[Nome]:[id2]],12,0),"")</f>
        <v/>
      </c>
      <c r="B103" s="37"/>
      <c r="C103" s="129"/>
      <c r="D103" s="126"/>
      <c r="E103" s="126"/>
      <c r="F103" s="31" t="e">
        <f>ROUNDDOWN(((Tabela.abordagens[[#This Row],[Data]]-VLOOKUP(Tabela.abordagens[[#This Row],[Usuário]],Tabela.cadastro[[Nome]:[id2]],7,0))/365.25),0)</f>
        <v>#N/A</v>
      </c>
      <c r="G103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4" spans="1:7" x14ac:dyDescent="0.25">
      <c r="A104" s="30" t="str">
        <f>IFERROR(VLOOKUP(Tabela.abordagens[[#This Row],[Usuário]],Tabela.cadastro[[Nome]:[id2]],12,0),"")</f>
        <v/>
      </c>
      <c r="B104" s="121"/>
      <c r="C104" s="129"/>
      <c r="D104" s="106"/>
      <c r="E104" s="106"/>
      <c r="F104" s="31" t="e">
        <f>ROUNDDOWN(((Tabela.abordagens[[#This Row],[Data]]-VLOOKUP(Tabela.abordagens[[#This Row],[Usuário]],Tabela.cadastro[[Nome]:[id2]],7,0))/365.25),0)</f>
        <v>#N/A</v>
      </c>
      <c r="G104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5" spans="1:7" x14ac:dyDescent="0.25">
      <c r="A105" s="30" t="str">
        <f>IFERROR(VLOOKUP(Tabela.abordagens[[#This Row],[Usuário]],Tabela.cadastro[[Nome]:[id2]],12,0),"")</f>
        <v/>
      </c>
      <c r="B105" s="37"/>
      <c r="C105" s="129"/>
      <c r="D105" s="106"/>
      <c r="E105" s="106"/>
      <c r="F105" s="31" t="e">
        <f>ROUNDDOWN(((Tabela.abordagens[[#This Row],[Data]]-VLOOKUP(Tabela.abordagens[[#This Row],[Usuário]],Tabela.cadastro[[Nome]:[id2]],7,0))/365.25),0)</f>
        <v>#N/A</v>
      </c>
      <c r="G105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6" spans="1:7" x14ac:dyDescent="0.25">
      <c r="A106" s="30" t="str">
        <f>IFERROR(VLOOKUP(Tabela.abordagens[[#This Row],[Usuário]],Tabela.cadastro[[Nome]:[id2]],12,0),"")</f>
        <v/>
      </c>
      <c r="B106" s="37"/>
      <c r="C106" s="129"/>
      <c r="D106" s="106"/>
      <c r="E106" s="106"/>
      <c r="F106" s="31" t="e">
        <f>ROUNDDOWN(((Tabela.abordagens[[#This Row],[Data]]-VLOOKUP(Tabela.abordagens[[#This Row],[Usuário]],Tabela.cadastro[[Nome]:[id2]],7,0))/365.25),0)</f>
        <v>#N/A</v>
      </c>
      <c r="G106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7" spans="1:7" x14ac:dyDescent="0.25">
      <c r="A107" s="30" t="str">
        <f>IFERROR(VLOOKUP(Tabela.abordagens[[#This Row],[Usuário]],Tabela.cadastro[[Nome]:[id2]],12,0),"")</f>
        <v/>
      </c>
      <c r="B107" s="121"/>
      <c r="C107" s="129"/>
      <c r="D107" s="106"/>
      <c r="E107" s="106"/>
      <c r="F107" s="31" t="e">
        <f>ROUNDDOWN(((Tabela.abordagens[[#This Row],[Data]]-VLOOKUP(Tabela.abordagens[[#This Row],[Usuário]],Tabela.cadastro[[Nome]:[id2]],7,0))/365.25),0)</f>
        <v>#N/A</v>
      </c>
      <c r="G107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8" spans="1:7" x14ac:dyDescent="0.25">
      <c r="A108" s="30" t="str">
        <f>IFERROR(VLOOKUP(Tabela.abordagens[[#This Row],[Usuário]],Tabela.cadastro[[Nome]:[id2]],12,0),"")</f>
        <v/>
      </c>
      <c r="B108" s="41"/>
      <c r="C108" s="129"/>
      <c r="D108" s="106"/>
      <c r="E108" s="106"/>
      <c r="F108" s="31" t="e">
        <f>ROUNDDOWN(((Tabela.abordagens[[#This Row],[Data]]-VLOOKUP(Tabela.abordagens[[#This Row],[Usuário]],Tabela.cadastro[[Nome]:[id2]],7,0))/365.25),0)</f>
        <v>#N/A</v>
      </c>
      <c r="G108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09" spans="1:7" x14ac:dyDescent="0.25">
      <c r="A109" s="30" t="str">
        <f>IFERROR(VLOOKUP(Tabela.abordagens[[#This Row],[Usuário]],Tabela.cadastro[[Nome]:[id2]],12,0),"")</f>
        <v/>
      </c>
      <c r="B109" s="37"/>
      <c r="C109" s="129"/>
      <c r="D109" s="106"/>
      <c r="E109" s="106"/>
      <c r="F109" s="31" t="e">
        <f>ROUNDDOWN(((Tabela.abordagens[[#This Row],[Data]]-VLOOKUP(Tabela.abordagens[[#This Row],[Usuário]],Tabela.cadastro[[Nome]:[id2]],7,0))/365.25),0)</f>
        <v>#N/A</v>
      </c>
      <c r="G109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10" spans="1:7" x14ac:dyDescent="0.25">
      <c r="A110" s="30" t="str">
        <f>IFERROR(VLOOKUP(Tabela.abordagens[[#This Row],[Usuário]],Tabela.cadastro[[Nome]:[id2]],12,0),"")</f>
        <v/>
      </c>
      <c r="B110" s="37"/>
      <c r="C110" s="129"/>
      <c r="D110" s="106"/>
      <c r="E110" s="106"/>
      <c r="F110" s="31" t="e">
        <f>ROUNDDOWN(((Tabela.abordagens[[#This Row],[Data]]-VLOOKUP(Tabela.abordagens[[#This Row],[Usuário]],Tabela.cadastro[[Nome]:[id2]],7,0))/365.25),0)</f>
        <v>#N/A</v>
      </c>
      <c r="G110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11" spans="1:7" x14ac:dyDescent="0.25">
      <c r="A111" s="30" t="str">
        <f>IFERROR(VLOOKUP(Tabela.abordagens[[#This Row],[Usuário]],Tabela.cadastro[[Nome]:[id2]],12,0),"")</f>
        <v/>
      </c>
      <c r="B111" s="121"/>
      <c r="C111" s="129"/>
      <c r="D111" s="106"/>
      <c r="E111" s="106"/>
      <c r="F111" s="31" t="e">
        <f>ROUNDDOWN(((Tabela.abordagens[[#This Row],[Data]]-VLOOKUP(Tabela.abordagens[[#This Row],[Usuário]],Tabela.cadastro[[Nome]:[id2]],7,0))/365.25),0)</f>
        <v>#N/A</v>
      </c>
      <c r="G111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12" spans="1:7" x14ac:dyDescent="0.25">
      <c r="A112" s="30" t="str">
        <f>IFERROR(VLOOKUP(Tabela.abordagens[[#This Row],[Usuário]],Tabela.cadastro[[Nome]:[id2]],12,0),"")</f>
        <v/>
      </c>
      <c r="B112" s="95"/>
      <c r="C112" s="129"/>
      <c r="D112" s="106"/>
      <c r="E112" s="106"/>
      <c r="F112" s="31" t="e">
        <f>ROUNDDOWN(((Tabela.abordagens[[#This Row],[Data]]-VLOOKUP(Tabela.abordagens[[#This Row],[Usuário]],Tabela.cadastro[[Nome]:[id2]],7,0))/365.25),0)</f>
        <v>#N/A</v>
      </c>
      <c r="G112" s="127" t="str">
        <f>IF(LOWER(TEXT(Tabela.abordagens[[#This Row],[Data]],"MMMM")) &amp; "/" &amp; YEAR(Tabela.abordagens[[#This Row],[Data]])="janeiro/1900","",LOWER(TEXT(Tabela.abordagens[[#This Row],[Data]],"MMM")) &amp; "/" &amp; TEXT(Tabela.abordagens[[#This Row],[Data]],"AA"))</f>
        <v/>
      </c>
    </row>
    <row r="113" spans="1:7" x14ac:dyDescent="0.25">
      <c r="A113" s="101"/>
      <c r="B113" s="36"/>
      <c r="C113" s="98"/>
      <c r="D113" s="98"/>
      <c r="E113" s="98"/>
      <c r="F113" s="102"/>
      <c r="G113" s="103"/>
    </row>
    <row r="114" spans="1:7" x14ac:dyDescent="0.25">
      <c r="A114" s="101"/>
      <c r="B114" s="36"/>
      <c r="C114" s="98"/>
      <c r="D114" s="98"/>
      <c r="E114" s="98"/>
      <c r="F114" s="102"/>
      <c r="G114" s="103"/>
    </row>
    <row r="115" spans="1:7" x14ac:dyDescent="0.25">
      <c r="A115" s="101"/>
      <c r="B115" s="36"/>
      <c r="C115" s="98"/>
      <c r="D115" s="98"/>
      <c r="E115" s="98"/>
      <c r="F115" s="102"/>
      <c r="G115" s="103"/>
    </row>
    <row r="116" spans="1:7" x14ac:dyDescent="0.25">
      <c r="A116" s="101"/>
      <c r="B116" s="36"/>
      <c r="C116" s="98"/>
      <c r="D116" s="98"/>
      <c r="E116" s="98"/>
      <c r="F116" s="102"/>
      <c r="G116" s="103"/>
    </row>
    <row r="117" spans="1:7" x14ac:dyDescent="0.25">
      <c r="A117" s="101"/>
      <c r="B117" s="36"/>
      <c r="C117" s="98"/>
      <c r="D117" s="98"/>
      <c r="E117" s="98"/>
      <c r="F117" s="102"/>
      <c r="G117" s="103"/>
    </row>
    <row r="118" spans="1:7" x14ac:dyDescent="0.25">
      <c r="A118" s="101"/>
      <c r="B118" s="36"/>
      <c r="C118" s="98"/>
      <c r="D118" s="98"/>
      <c r="E118" s="98"/>
      <c r="F118" s="102"/>
      <c r="G118" s="103"/>
    </row>
    <row r="119" spans="1:7" x14ac:dyDescent="0.25">
      <c r="A119" s="101"/>
      <c r="B119" s="36"/>
      <c r="C119" s="98"/>
      <c r="D119" s="98"/>
      <c r="E119" s="98"/>
      <c r="F119" s="102"/>
      <c r="G119" s="103"/>
    </row>
    <row r="120" spans="1:7" x14ac:dyDescent="0.25">
      <c r="A120" s="101"/>
      <c r="B120" s="36"/>
      <c r="C120" s="98"/>
      <c r="D120" s="98"/>
      <c r="E120" s="98"/>
      <c r="F120" s="102"/>
      <c r="G120" s="103"/>
    </row>
    <row r="121" spans="1:7" x14ac:dyDescent="0.25">
      <c r="A121" s="101"/>
      <c r="B121" s="36"/>
      <c r="C121" s="98"/>
      <c r="D121" s="98"/>
      <c r="E121" s="98"/>
      <c r="F121" s="102"/>
      <c r="G121" s="103"/>
    </row>
    <row r="122" spans="1:7" x14ac:dyDescent="0.25">
      <c r="A122" s="101"/>
      <c r="B122" s="36"/>
      <c r="C122" s="98"/>
      <c r="D122" s="98"/>
      <c r="E122" s="98"/>
      <c r="F122" s="102"/>
      <c r="G122" s="103"/>
    </row>
    <row r="123" spans="1:7" x14ac:dyDescent="0.25">
      <c r="A123" s="101"/>
      <c r="B123" s="36"/>
      <c r="C123" s="98"/>
      <c r="D123" s="98"/>
      <c r="E123" s="98"/>
      <c r="F123" s="102"/>
      <c r="G123" s="103"/>
    </row>
    <row r="124" spans="1:7" x14ac:dyDescent="0.25">
      <c r="A124" s="101"/>
      <c r="B124" s="36"/>
      <c r="C124" s="98"/>
      <c r="D124" s="98"/>
      <c r="E124" s="98"/>
      <c r="F124" s="102"/>
      <c r="G124" s="103"/>
    </row>
    <row r="125" spans="1:7" x14ac:dyDescent="0.25">
      <c r="A125" s="101"/>
      <c r="B125" s="36"/>
      <c r="C125" s="98"/>
      <c r="D125" s="98"/>
      <c r="E125" s="98"/>
      <c r="F125" s="102"/>
      <c r="G125" s="103"/>
    </row>
    <row r="126" spans="1:7" x14ac:dyDescent="0.25">
      <c r="A126" s="101"/>
      <c r="B126" s="36"/>
      <c r="C126" s="98"/>
      <c r="D126" s="98"/>
      <c r="E126" s="98"/>
      <c r="F126" s="102"/>
      <c r="G126" s="103"/>
    </row>
    <row r="127" spans="1:7" x14ac:dyDescent="0.25">
      <c r="A127" s="101"/>
      <c r="B127" s="36"/>
      <c r="C127" s="98"/>
      <c r="D127" s="98"/>
      <c r="E127" s="98"/>
      <c r="F127" s="102"/>
      <c r="G127" s="103"/>
    </row>
    <row r="128" spans="1:7" x14ac:dyDescent="0.25">
      <c r="A128" s="101"/>
      <c r="B128" s="36"/>
      <c r="C128" s="98"/>
      <c r="D128" s="98"/>
      <c r="E128" s="98"/>
      <c r="F128" s="102"/>
      <c r="G128" s="103"/>
    </row>
    <row r="129" spans="1:7" x14ac:dyDescent="0.25">
      <c r="A129" s="101"/>
      <c r="B129" s="36"/>
      <c r="C129" s="98"/>
      <c r="D129" s="98"/>
      <c r="E129" s="98"/>
      <c r="F129" s="102"/>
      <c r="G129" s="103"/>
    </row>
    <row r="130" spans="1:7" x14ac:dyDescent="0.25">
      <c r="A130" s="101"/>
      <c r="B130" s="36"/>
      <c r="C130" s="98"/>
      <c r="D130" s="98"/>
      <c r="E130" s="98"/>
      <c r="F130" s="102"/>
      <c r="G130" s="103"/>
    </row>
    <row r="131" spans="1:7" x14ac:dyDescent="0.25">
      <c r="A131" s="101"/>
      <c r="B131" s="67"/>
      <c r="C131" s="98"/>
      <c r="D131" s="98"/>
      <c r="E131" s="98"/>
      <c r="F131" s="102"/>
      <c r="G131" s="103"/>
    </row>
    <row r="132" spans="1:7" x14ac:dyDescent="0.25">
      <c r="A132" s="101"/>
      <c r="B132" s="36"/>
      <c r="C132" s="98"/>
      <c r="D132" s="98"/>
      <c r="E132" s="98"/>
      <c r="F132" s="102"/>
      <c r="G132" s="103"/>
    </row>
    <row r="133" spans="1:7" x14ac:dyDescent="0.25">
      <c r="A133" s="101"/>
      <c r="B133" s="36"/>
      <c r="C133" s="98"/>
      <c r="D133" s="98"/>
      <c r="E133" s="98"/>
      <c r="F133" s="102"/>
      <c r="G133" s="103"/>
    </row>
    <row r="134" spans="1:7" x14ac:dyDescent="0.25">
      <c r="A134" s="101"/>
      <c r="B134" s="36"/>
      <c r="C134" s="98"/>
      <c r="D134" s="98"/>
      <c r="E134" s="98"/>
      <c r="F134" s="102"/>
      <c r="G134" s="103"/>
    </row>
    <row r="135" spans="1:7" x14ac:dyDescent="0.25">
      <c r="A135" s="101"/>
      <c r="B135" s="36"/>
      <c r="C135" s="98"/>
      <c r="D135" s="98"/>
      <c r="E135" s="98"/>
      <c r="F135" s="102"/>
      <c r="G135" s="103"/>
    </row>
    <row r="136" spans="1:7" x14ac:dyDescent="0.25">
      <c r="A136" s="101"/>
      <c r="B136" s="36"/>
      <c r="C136" s="98"/>
      <c r="D136" s="98"/>
      <c r="E136" s="98"/>
      <c r="F136" s="102"/>
      <c r="G136" s="103"/>
    </row>
    <row r="137" spans="1:7" x14ac:dyDescent="0.25">
      <c r="A137" s="101"/>
      <c r="B137" s="36"/>
      <c r="C137" s="98"/>
      <c r="D137" s="98"/>
      <c r="E137" s="98"/>
      <c r="F137" s="102"/>
      <c r="G137" s="103"/>
    </row>
    <row r="138" spans="1:7" x14ac:dyDescent="0.25">
      <c r="A138" s="101"/>
      <c r="B138" s="36"/>
      <c r="C138" s="98"/>
      <c r="D138" s="98"/>
      <c r="E138" s="98"/>
      <c r="F138" s="102"/>
      <c r="G138" s="103"/>
    </row>
    <row r="139" spans="1:7" x14ac:dyDescent="0.25">
      <c r="A139" s="101"/>
      <c r="B139" s="36"/>
      <c r="C139" s="98"/>
      <c r="D139" s="98"/>
      <c r="E139" s="98"/>
      <c r="F139" s="102"/>
      <c r="G139" s="103"/>
    </row>
    <row r="140" spans="1:7" x14ac:dyDescent="0.25">
      <c r="A140" s="101"/>
      <c r="B140" s="36"/>
      <c r="C140" s="98"/>
      <c r="D140" s="98"/>
      <c r="E140" s="98"/>
      <c r="F140" s="102"/>
      <c r="G140" s="103"/>
    </row>
    <row r="141" spans="1:7" x14ac:dyDescent="0.25">
      <c r="A141" s="101"/>
      <c r="B141" s="36"/>
      <c r="C141" s="98"/>
      <c r="D141" s="98"/>
      <c r="E141" s="98"/>
      <c r="F141" s="102"/>
      <c r="G141" s="103"/>
    </row>
    <row r="142" spans="1:7" x14ac:dyDescent="0.25">
      <c r="A142" s="101"/>
      <c r="B142" s="36"/>
      <c r="C142" s="98"/>
      <c r="D142" s="98"/>
      <c r="E142" s="98"/>
      <c r="F142" s="102"/>
      <c r="G142" s="103"/>
    </row>
    <row r="143" spans="1:7" x14ac:dyDescent="0.25">
      <c r="A143" s="101"/>
      <c r="B143" s="36"/>
      <c r="C143" s="98"/>
      <c r="D143" s="98"/>
      <c r="E143" s="98"/>
      <c r="F143" s="102"/>
      <c r="G143" s="103"/>
    </row>
    <row r="144" spans="1:7" x14ac:dyDescent="0.25">
      <c r="A144" s="101"/>
      <c r="B144" s="36"/>
      <c r="C144" s="98"/>
      <c r="D144" s="98"/>
      <c r="E144" s="98"/>
      <c r="F144" s="102"/>
      <c r="G144" s="103"/>
    </row>
    <row r="145" spans="1:7" x14ac:dyDescent="0.25">
      <c r="A145" s="101"/>
      <c r="B145" s="36"/>
      <c r="C145" s="98"/>
      <c r="D145" s="98"/>
      <c r="E145" s="98"/>
      <c r="F145" s="102"/>
      <c r="G145" s="103"/>
    </row>
    <row r="146" spans="1:7" x14ac:dyDescent="0.25">
      <c r="A146" s="101"/>
      <c r="B146" s="36"/>
      <c r="C146" s="98"/>
      <c r="D146" s="98"/>
      <c r="E146" s="98"/>
      <c r="F146" s="102"/>
      <c r="G146" s="103"/>
    </row>
    <row r="147" spans="1:7" x14ac:dyDescent="0.25">
      <c r="A147" s="101"/>
      <c r="B147" s="36"/>
      <c r="C147" s="98"/>
      <c r="D147" s="98"/>
      <c r="E147" s="98"/>
      <c r="F147" s="102"/>
      <c r="G147" s="103"/>
    </row>
    <row r="148" spans="1:7" x14ac:dyDescent="0.25">
      <c r="A148" s="101"/>
      <c r="B148" s="36"/>
      <c r="C148" s="98"/>
      <c r="D148" s="98"/>
      <c r="E148" s="98"/>
      <c r="F148" s="102"/>
      <c r="G148" s="103"/>
    </row>
    <row r="149" spans="1:7" x14ac:dyDescent="0.25">
      <c r="A149" s="101"/>
      <c r="B149" s="36"/>
      <c r="C149" s="98"/>
      <c r="D149" s="98"/>
      <c r="E149" s="98"/>
      <c r="F149" s="102"/>
      <c r="G149" s="103"/>
    </row>
    <row r="150" spans="1:7" x14ac:dyDescent="0.25">
      <c r="A150" s="101"/>
      <c r="B150" s="36"/>
      <c r="C150" s="98"/>
      <c r="D150" s="98"/>
      <c r="E150" s="98"/>
      <c r="F150" s="102"/>
      <c r="G150" s="103"/>
    </row>
    <row r="151" spans="1:7" x14ac:dyDescent="0.25">
      <c r="A151" s="101"/>
      <c r="B151" s="36"/>
      <c r="C151" s="98"/>
      <c r="D151" s="98"/>
      <c r="E151" s="98"/>
      <c r="F151" s="102"/>
      <c r="G151" s="103"/>
    </row>
    <row r="152" spans="1:7" x14ac:dyDescent="0.25">
      <c r="A152" s="101"/>
      <c r="B152" s="36"/>
      <c r="C152" s="98"/>
      <c r="D152" s="98"/>
      <c r="E152" s="98"/>
      <c r="F152" s="102"/>
      <c r="G152" s="103"/>
    </row>
    <row r="153" spans="1:7" x14ac:dyDescent="0.25">
      <c r="A153" s="101"/>
      <c r="B153" s="36"/>
      <c r="C153" s="98"/>
      <c r="D153" s="98"/>
      <c r="E153" s="98"/>
      <c r="F153" s="102"/>
      <c r="G153" s="103"/>
    </row>
    <row r="154" spans="1:7" x14ac:dyDescent="0.25">
      <c r="A154" s="101"/>
      <c r="B154" s="36"/>
      <c r="C154" s="98"/>
      <c r="D154" s="98"/>
      <c r="E154" s="98"/>
      <c r="F154" s="102"/>
      <c r="G154" s="103"/>
    </row>
    <row r="155" spans="1:7" x14ac:dyDescent="0.25">
      <c r="A155" s="101"/>
      <c r="B155" s="36"/>
      <c r="C155" s="98"/>
      <c r="D155" s="98"/>
      <c r="E155" s="98"/>
      <c r="F155" s="102"/>
      <c r="G155" s="103"/>
    </row>
    <row r="156" spans="1:7" x14ac:dyDescent="0.25">
      <c r="A156" s="101"/>
      <c r="B156" s="36"/>
      <c r="C156" s="98"/>
      <c r="D156" s="98"/>
      <c r="E156" s="98"/>
      <c r="F156" s="102"/>
      <c r="G156" s="103"/>
    </row>
    <row r="157" spans="1:7" x14ac:dyDescent="0.25">
      <c r="A157" s="101"/>
      <c r="B157" s="36"/>
      <c r="C157" s="98"/>
      <c r="D157" s="98"/>
      <c r="E157" s="98"/>
      <c r="F157" s="102"/>
      <c r="G157" s="103"/>
    </row>
    <row r="158" spans="1:7" x14ac:dyDescent="0.25">
      <c r="A158" s="101"/>
      <c r="B158" s="36"/>
      <c r="C158" s="98"/>
      <c r="D158" s="98"/>
      <c r="E158" s="98"/>
      <c r="F158" s="102"/>
      <c r="G158" s="103"/>
    </row>
    <row r="159" spans="1:7" x14ac:dyDescent="0.25">
      <c r="A159" s="101"/>
      <c r="B159" s="67"/>
      <c r="C159" s="98"/>
      <c r="D159" s="98"/>
      <c r="E159" s="98"/>
      <c r="F159" s="102"/>
      <c r="G159" s="103"/>
    </row>
    <row r="160" spans="1:7" x14ac:dyDescent="0.25">
      <c r="A160" s="101"/>
      <c r="B160" s="36"/>
      <c r="C160" s="98"/>
      <c r="D160" s="98"/>
      <c r="E160" s="98"/>
      <c r="F160" s="102"/>
      <c r="G160" s="103"/>
    </row>
    <row r="161" spans="1:7" x14ac:dyDescent="0.25">
      <c r="A161" s="101"/>
      <c r="B161" s="36"/>
      <c r="C161" s="98"/>
      <c r="D161" s="98"/>
      <c r="E161" s="98"/>
      <c r="F161" s="102"/>
      <c r="G161" s="103"/>
    </row>
    <row r="162" spans="1:7" x14ac:dyDescent="0.25">
      <c r="A162" s="101"/>
      <c r="B162" s="36"/>
      <c r="C162" s="98"/>
      <c r="D162" s="98"/>
      <c r="E162" s="98"/>
      <c r="F162" s="102"/>
      <c r="G162" s="103"/>
    </row>
    <row r="163" spans="1:7" x14ac:dyDescent="0.25">
      <c r="A163" s="101"/>
      <c r="B163" s="36"/>
      <c r="C163" s="98"/>
      <c r="D163" s="98"/>
      <c r="E163" s="98"/>
      <c r="F163" s="102"/>
      <c r="G163" s="103"/>
    </row>
    <row r="164" spans="1:7" x14ac:dyDescent="0.25">
      <c r="A164" s="101"/>
      <c r="B164" s="36"/>
      <c r="C164" s="98"/>
      <c r="D164" s="98"/>
      <c r="E164" s="98"/>
      <c r="F164" s="102"/>
      <c r="G164" s="103"/>
    </row>
    <row r="165" spans="1:7" x14ac:dyDescent="0.25">
      <c r="A165" s="101"/>
      <c r="B165" s="36"/>
      <c r="C165" s="98"/>
      <c r="D165" s="98"/>
      <c r="E165" s="98"/>
      <c r="F165" s="102"/>
      <c r="G165" s="103"/>
    </row>
    <row r="166" spans="1:7" x14ac:dyDescent="0.25">
      <c r="A166" s="101"/>
      <c r="B166" s="36"/>
      <c r="C166" s="98"/>
      <c r="D166" s="98"/>
      <c r="E166" s="98"/>
      <c r="F166" s="102"/>
      <c r="G166" s="103"/>
    </row>
    <row r="167" spans="1:7" x14ac:dyDescent="0.25">
      <c r="A167" s="101"/>
      <c r="B167" s="36"/>
      <c r="C167" s="98"/>
      <c r="D167" s="98"/>
      <c r="E167" s="98"/>
      <c r="F167" s="102"/>
      <c r="G167" s="103"/>
    </row>
    <row r="168" spans="1:7" x14ac:dyDescent="0.25">
      <c r="A168" s="101"/>
      <c r="B168" s="36"/>
      <c r="C168" s="98"/>
      <c r="D168" s="98"/>
      <c r="E168" s="98"/>
      <c r="F168" s="102"/>
      <c r="G168" s="103"/>
    </row>
    <row r="169" spans="1:7" x14ac:dyDescent="0.25">
      <c r="A169" s="101"/>
      <c r="B169" s="36"/>
      <c r="C169" s="98"/>
      <c r="D169" s="98"/>
      <c r="E169" s="98"/>
      <c r="F169" s="102"/>
      <c r="G169" s="103"/>
    </row>
    <row r="170" spans="1:7" x14ac:dyDescent="0.25">
      <c r="A170" s="101"/>
      <c r="B170" s="36"/>
      <c r="C170" s="98"/>
      <c r="D170" s="98"/>
      <c r="E170" s="98"/>
      <c r="F170" s="102"/>
      <c r="G170" s="103"/>
    </row>
    <row r="171" spans="1:7" x14ac:dyDescent="0.25">
      <c r="A171" s="101"/>
      <c r="B171" s="67"/>
      <c r="C171" s="98"/>
      <c r="D171" s="98"/>
      <c r="E171" s="98"/>
      <c r="F171" s="102"/>
      <c r="G171" s="103"/>
    </row>
    <row r="172" spans="1:7" x14ac:dyDescent="0.25">
      <c r="A172" s="101"/>
      <c r="B172" s="36"/>
      <c r="C172" s="98"/>
      <c r="D172" s="98"/>
      <c r="E172" s="98"/>
      <c r="F172" s="102"/>
      <c r="G172" s="103"/>
    </row>
    <row r="173" spans="1:7" x14ac:dyDescent="0.25">
      <c r="A173" s="101"/>
      <c r="B173" s="36"/>
      <c r="C173" s="98"/>
      <c r="D173" s="98"/>
      <c r="E173" s="98"/>
      <c r="F173" s="102"/>
      <c r="G173" s="103"/>
    </row>
    <row r="174" spans="1:7" x14ac:dyDescent="0.25">
      <c r="A174" s="101"/>
      <c r="B174" s="36"/>
      <c r="C174" s="98"/>
      <c r="D174" s="98"/>
      <c r="E174" s="98"/>
      <c r="F174" s="102"/>
      <c r="G174" s="103"/>
    </row>
    <row r="175" spans="1:7" x14ac:dyDescent="0.25">
      <c r="A175" s="101"/>
      <c r="B175" s="36"/>
      <c r="C175" s="98"/>
      <c r="D175" s="98"/>
      <c r="E175" s="98"/>
      <c r="F175" s="102"/>
      <c r="G175" s="103"/>
    </row>
    <row r="176" spans="1:7" x14ac:dyDescent="0.25">
      <c r="A176" s="101"/>
      <c r="B176" s="36"/>
      <c r="C176" s="98"/>
      <c r="D176" s="98"/>
      <c r="E176" s="98"/>
      <c r="F176" s="102"/>
      <c r="G176" s="103"/>
    </row>
    <row r="177" spans="1:7" x14ac:dyDescent="0.25">
      <c r="A177" s="101"/>
      <c r="B177" s="36"/>
      <c r="C177" s="98"/>
      <c r="D177" s="98"/>
      <c r="E177" s="98"/>
      <c r="F177" s="102"/>
      <c r="G177" s="103"/>
    </row>
    <row r="178" spans="1:7" x14ac:dyDescent="0.25">
      <c r="A178" s="101"/>
      <c r="B178" s="36"/>
      <c r="C178" s="98"/>
      <c r="D178" s="98"/>
      <c r="E178" s="98"/>
      <c r="F178" s="102"/>
      <c r="G178" s="103"/>
    </row>
    <row r="179" spans="1:7" x14ac:dyDescent="0.25">
      <c r="A179" s="101"/>
      <c r="B179" s="36"/>
      <c r="C179" s="98"/>
      <c r="D179" s="98"/>
      <c r="E179" s="98"/>
      <c r="F179" s="102"/>
      <c r="G179" s="103"/>
    </row>
    <row r="180" spans="1:7" x14ac:dyDescent="0.25">
      <c r="A180" s="101"/>
      <c r="B180" s="36"/>
      <c r="C180" s="98"/>
      <c r="D180" s="98"/>
      <c r="E180" s="98"/>
      <c r="F180" s="102"/>
      <c r="G180" s="103"/>
    </row>
    <row r="181" spans="1:7" x14ac:dyDescent="0.25">
      <c r="A181" s="101"/>
      <c r="B181" s="36"/>
      <c r="C181" s="98"/>
      <c r="D181" s="98"/>
      <c r="E181" s="98"/>
      <c r="F181" s="102"/>
      <c r="G181" s="103"/>
    </row>
    <row r="182" spans="1:7" x14ac:dyDescent="0.25">
      <c r="A182" s="101"/>
      <c r="B182" s="36"/>
      <c r="C182" s="98"/>
      <c r="D182" s="98"/>
      <c r="E182" s="98"/>
      <c r="F182" s="102"/>
      <c r="G182" s="103"/>
    </row>
    <row r="183" spans="1:7" x14ac:dyDescent="0.25">
      <c r="A183" s="101"/>
      <c r="B183" s="36"/>
      <c r="C183" s="98"/>
      <c r="D183" s="98"/>
      <c r="E183" s="98"/>
      <c r="F183" s="102"/>
      <c r="G183" s="103"/>
    </row>
    <row r="184" spans="1:7" x14ac:dyDescent="0.25">
      <c r="A184" s="101"/>
      <c r="B184" s="36"/>
      <c r="C184" s="98"/>
      <c r="D184" s="98"/>
      <c r="E184" s="98"/>
      <c r="F184" s="102"/>
      <c r="G184" s="103"/>
    </row>
    <row r="185" spans="1:7" x14ac:dyDescent="0.25">
      <c r="A185" s="101"/>
      <c r="B185" s="36"/>
      <c r="C185" s="98"/>
      <c r="D185" s="98"/>
      <c r="E185" s="98"/>
      <c r="F185" s="102"/>
      <c r="G185" s="103"/>
    </row>
    <row r="186" spans="1:7" x14ac:dyDescent="0.25">
      <c r="A186" s="101"/>
      <c r="B186" s="36"/>
      <c r="C186" s="98"/>
      <c r="D186" s="98"/>
      <c r="E186" s="98"/>
      <c r="F186" s="102"/>
      <c r="G186" s="103"/>
    </row>
    <row r="187" spans="1:7" x14ac:dyDescent="0.25">
      <c r="A187" s="101"/>
      <c r="B187" s="36"/>
      <c r="C187" s="98"/>
      <c r="D187" s="98"/>
      <c r="E187" s="98"/>
      <c r="F187" s="102"/>
      <c r="G187" s="103"/>
    </row>
    <row r="188" spans="1:7" x14ac:dyDescent="0.25">
      <c r="A188" s="101"/>
      <c r="B188" s="36"/>
      <c r="C188" s="98"/>
      <c r="D188" s="98"/>
      <c r="E188" s="98"/>
      <c r="F188" s="102"/>
      <c r="G188" s="103"/>
    </row>
    <row r="189" spans="1:7" x14ac:dyDescent="0.25">
      <c r="A189" s="101"/>
      <c r="B189" s="36"/>
      <c r="C189" s="98"/>
      <c r="D189" s="98"/>
      <c r="E189" s="98"/>
      <c r="F189" s="102"/>
      <c r="G189" s="103"/>
    </row>
    <row r="190" spans="1:7" x14ac:dyDescent="0.25">
      <c r="A190" s="101"/>
      <c r="B190" s="36"/>
      <c r="C190" s="98"/>
      <c r="D190" s="98"/>
      <c r="E190" s="98"/>
      <c r="F190" s="102"/>
      <c r="G190" s="103"/>
    </row>
    <row r="191" spans="1:7" x14ac:dyDescent="0.25">
      <c r="A191" s="101"/>
      <c r="B191" s="36"/>
      <c r="C191" s="98"/>
      <c r="D191" s="98"/>
      <c r="E191" s="98"/>
      <c r="F191" s="102"/>
      <c r="G191" s="103"/>
    </row>
    <row r="192" spans="1:7" x14ac:dyDescent="0.25">
      <c r="A192" s="101"/>
      <c r="B192" s="67"/>
      <c r="C192" s="98"/>
      <c r="D192" s="98"/>
      <c r="E192" s="98"/>
      <c r="F192" s="102"/>
      <c r="G192" s="103"/>
    </row>
    <row r="193" spans="1:7" x14ac:dyDescent="0.25">
      <c r="A193" s="101"/>
      <c r="B193" s="36"/>
      <c r="C193" s="98"/>
      <c r="D193" s="98"/>
      <c r="E193" s="98"/>
      <c r="F193" s="102"/>
      <c r="G193" s="103"/>
    </row>
    <row r="194" spans="1:7" x14ac:dyDescent="0.25">
      <c r="A194" s="101"/>
      <c r="B194" s="36"/>
      <c r="C194" s="98"/>
      <c r="D194" s="98"/>
      <c r="E194" s="98"/>
      <c r="F194" s="102"/>
      <c r="G194" s="103"/>
    </row>
    <row r="195" spans="1:7" x14ac:dyDescent="0.25">
      <c r="A195" s="101"/>
      <c r="B195" s="36"/>
      <c r="C195" s="98"/>
      <c r="D195" s="98"/>
      <c r="E195" s="98"/>
      <c r="F195" s="102"/>
      <c r="G195" s="103"/>
    </row>
    <row r="196" spans="1:7" x14ac:dyDescent="0.25">
      <c r="A196" s="101"/>
      <c r="B196" s="36"/>
      <c r="C196" s="98"/>
      <c r="D196" s="98"/>
      <c r="E196" s="98"/>
      <c r="F196" s="102"/>
      <c r="G196" s="103"/>
    </row>
    <row r="197" spans="1:7" x14ac:dyDescent="0.25">
      <c r="A197" s="101"/>
      <c r="B197" s="36"/>
      <c r="C197" s="98"/>
      <c r="D197" s="98"/>
      <c r="E197" s="98"/>
      <c r="F197" s="102"/>
      <c r="G197" s="103"/>
    </row>
    <row r="198" spans="1:7" x14ac:dyDescent="0.25">
      <c r="A198" s="101"/>
      <c r="B198" s="36"/>
      <c r="C198" s="98"/>
      <c r="D198" s="98"/>
      <c r="E198" s="98"/>
      <c r="F198" s="102"/>
      <c r="G198" s="103"/>
    </row>
    <row r="199" spans="1:7" x14ac:dyDescent="0.25">
      <c r="A199" s="101"/>
      <c r="B199" s="36"/>
      <c r="C199" s="98"/>
      <c r="D199" s="98"/>
      <c r="E199" s="98"/>
      <c r="F199" s="102"/>
      <c r="G199" s="103"/>
    </row>
    <row r="200" spans="1:7" x14ac:dyDescent="0.25">
      <c r="A200" s="101"/>
      <c r="B200" s="36"/>
      <c r="C200" s="98"/>
      <c r="D200" s="98"/>
      <c r="E200" s="98"/>
      <c r="F200" s="102"/>
      <c r="G200" s="103"/>
    </row>
    <row r="201" spans="1:7" x14ac:dyDescent="0.25">
      <c r="A201" s="101"/>
      <c r="B201" s="36"/>
      <c r="C201" s="98"/>
      <c r="D201" s="98"/>
      <c r="E201" s="98"/>
      <c r="F201" s="102"/>
      <c r="G201" s="103"/>
    </row>
    <row r="202" spans="1:7" x14ac:dyDescent="0.25">
      <c r="A202" s="101"/>
      <c r="B202" s="36"/>
      <c r="C202" s="98"/>
      <c r="D202" s="98"/>
      <c r="E202" s="98"/>
      <c r="F202" s="102"/>
      <c r="G202" s="103"/>
    </row>
    <row r="203" spans="1:7" x14ac:dyDescent="0.25">
      <c r="A203" s="101"/>
      <c r="B203" s="36"/>
      <c r="C203" s="98"/>
      <c r="D203" s="98"/>
      <c r="E203" s="98"/>
      <c r="F203" s="102"/>
      <c r="G203" s="103"/>
    </row>
    <row r="204" spans="1:7" x14ac:dyDescent="0.25">
      <c r="A204" s="101"/>
      <c r="B204" s="36"/>
      <c r="C204" s="98"/>
      <c r="D204" s="98"/>
      <c r="E204" s="98"/>
      <c r="F204" s="102"/>
      <c r="G204" s="103"/>
    </row>
    <row r="205" spans="1:7" x14ac:dyDescent="0.25">
      <c r="A205" s="101"/>
      <c r="B205" s="36"/>
      <c r="C205" s="98"/>
      <c r="D205" s="98"/>
      <c r="E205" s="98"/>
      <c r="F205" s="102"/>
      <c r="G205" s="103"/>
    </row>
    <row r="206" spans="1:7" x14ac:dyDescent="0.25">
      <c r="A206" s="101"/>
      <c r="B206" s="36"/>
      <c r="C206" s="98"/>
      <c r="D206" s="98"/>
      <c r="E206" s="98"/>
      <c r="F206" s="102"/>
      <c r="G206" s="103"/>
    </row>
    <row r="207" spans="1:7" x14ac:dyDescent="0.25">
      <c r="A207" s="101"/>
      <c r="B207" s="36"/>
      <c r="C207" s="98"/>
      <c r="D207" s="98"/>
      <c r="E207" s="98"/>
      <c r="F207" s="102"/>
      <c r="G207" s="103"/>
    </row>
    <row r="208" spans="1:7" x14ac:dyDescent="0.25">
      <c r="A208" s="101"/>
      <c r="B208" s="36"/>
      <c r="C208" s="98"/>
      <c r="D208" s="98"/>
      <c r="E208" s="98"/>
      <c r="F208" s="102"/>
      <c r="G208" s="103"/>
    </row>
    <row r="209" spans="1:7" x14ac:dyDescent="0.25">
      <c r="A209" s="101"/>
      <c r="B209" s="36"/>
      <c r="C209" s="98"/>
      <c r="D209" s="98"/>
      <c r="E209" s="98"/>
      <c r="F209" s="102"/>
      <c r="G209" s="103"/>
    </row>
    <row r="210" spans="1:7" x14ac:dyDescent="0.25">
      <c r="A210" s="101"/>
      <c r="B210" s="36"/>
      <c r="C210" s="98"/>
      <c r="D210" s="98"/>
      <c r="E210" s="98"/>
      <c r="F210" s="102"/>
      <c r="G210" s="103"/>
    </row>
    <row r="211" spans="1:7" x14ac:dyDescent="0.25">
      <c r="A211" s="101"/>
      <c r="B211" s="36"/>
      <c r="C211" s="98"/>
      <c r="D211" s="98"/>
      <c r="E211" s="98"/>
      <c r="F211" s="102"/>
      <c r="G211" s="103"/>
    </row>
    <row r="212" spans="1:7" x14ac:dyDescent="0.25">
      <c r="A212" s="101"/>
      <c r="B212" s="36"/>
      <c r="C212" s="98"/>
      <c r="D212" s="98"/>
      <c r="E212" s="98"/>
      <c r="F212" s="102"/>
      <c r="G212" s="103"/>
    </row>
    <row r="213" spans="1:7" x14ac:dyDescent="0.25">
      <c r="A213" s="101"/>
      <c r="B213" s="36"/>
      <c r="C213" s="98"/>
      <c r="D213" s="98"/>
      <c r="E213" s="98"/>
      <c r="F213" s="102"/>
      <c r="G213" s="103"/>
    </row>
    <row r="214" spans="1:7" x14ac:dyDescent="0.25">
      <c r="A214" s="101"/>
      <c r="B214" s="36"/>
      <c r="C214" s="98"/>
      <c r="D214" s="98"/>
      <c r="E214" s="98"/>
      <c r="F214" s="102"/>
      <c r="G214" s="103"/>
    </row>
    <row r="215" spans="1:7" x14ac:dyDescent="0.25">
      <c r="A215" s="101"/>
      <c r="B215" s="36"/>
      <c r="C215" s="98"/>
      <c r="D215" s="98"/>
      <c r="E215" s="98"/>
      <c r="F215" s="102"/>
      <c r="G215" s="103"/>
    </row>
    <row r="216" spans="1:7" x14ac:dyDescent="0.25">
      <c r="A216" s="101"/>
      <c r="B216" s="36"/>
      <c r="C216" s="98"/>
      <c r="D216" s="98"/>
      <c r="E216" s="98"/>
      <c r="F216" s="102"/>
      <c r="G216" s="103"/>
    </row>
    <row r="217" spans="1:7" x14ac:dyDescent="0.25">
      <c r="A217" s="101"/>
      <c r="B217" s="36"/>
      <c r="C217" s="98"/>
      <c r="D217" s="98"/>
      <c r="E217" s="98"/>
      <c r="F217" s="102"/>
      <c r="G217" s="103"/>
    </row>
    <row r="218" spans="1:7" x14ac:dyDescent="0.25">
      <c r="A218" s="101"/>
      <c r="B218" s="36"/>
      <c r="C218" s="98"/>
      <c r="D218" s="98"/>
      <c r="E218" s="98"/>
      <c r="F218" s="102"/>
      <c r="G218" s="103"/>
    </row>
    <row r="219" spans="1:7" x14ac:dyDescent="0.25">
      <c r="A219" s="101"/>
      <c r="B219" s="36"/>
      <c r="C219" s="98"/>
      <c r="D219" s="98"/>
      <c r="E219" s="98"/>
      <c r="F219" s="102"/>
      <c r="G219" s="103"/>
    </row>
    <row r="220" spans="1:7" x14ac:dyDescent="0.25">
      <c r="A220" s="101"/>
      <c r="B220" s="36"/>
      <c r="C220" s="98"/>
      <c r="D220" s="98"/>
      <c r="E220" s="98"/>
      <c r="F220" s="102"/>
      <c r="G220" s="103"/>
    </row>
    <row r="221" spans="1:7" x14ac:dyDescent="0.25">
      <c r="A221" s="101"/>
      <c r="B221" s="36"/>
      <c r="C221" s="98"/>
      <c r="D221" s="98"/>
      <c r="E221" s="98"/>
      <c r="F221" s="102"/>
      <c r="G221" s="103"/>
    </row>
    <row r="222" spans="1:7" x14ac:dyDescent="0.25">
      <c r="A222" s="101"/>
      <c r="B222" s="36"/>
      <c r="C222" s="98"/>
      <c r="D222" s="98"/>
      <c r="E222" s="98"/>
      <c r="F222" s="102"/>
      <c r="G222" s="103"/>
    </row>
    <row r="223" spans="1:7" x14ac:dyDescent="0.25">
      <c r="A223" s="101"/>
      <c r="B223" s="36"/>
      <c r="C223" s="98"/>
      <c r="D223" s="98"/>
      <c r="E223" s="98"/>
      <c r="F223" s="102"/>
      <c r="G223" s="103"/>
    </row>
    <row r="224" spans="1:7" x14ac:dyDescent="0.25">
      <c r="A224" s="101"/>
      <c r="B224" s="36"/>
      <c r="C224" s="98"/>
      <c r="D224" s="98"/>
      <c r="E224" s="98"/>
      <c r="F224" s="102"/>
      <c r="G224" s="103"/>
    </row>
    <row r="225" spans="1:7" x14ac:dyDescent="0.25">
      <c r="A225" s="101"/>
      <c r="B225" s="36"/>
      <c r="C225" s="98"/>
      <c r="D225" s="98"/>
      <c r="E225" s="98"/>
      <c r="F225" s="102"/>
      <c r="G225" s="103"/>
    </row>
    <row r="226" spans="1:7" x14ac:dyDescent="0.25">
      <c r="A226" s="101"/>
      <c r="B226" s="36"/>
      <c r="C226" s="98"/>
      <c r="D226" s="98"/>
      <c r="E226" s="98"/>
      <c r="F226" s="102"/>
      <c r="G226" s="103"/>
    </row>
    <row r="227" spans="1:7" x14ac:dyDescent="0.25">
      <c r="A227" s="101"/>
      <c r="B227" s="36"/>
      <c r="C227" s="98"/>
      <c r="D227" s="98"/>
      <c r="E227" s="98"/>
      <c r="F227" s="102"/>
      <c r="G227" s="103"/>
    </row>
    <row r="228" spans="1:7" x14ac:dyDescent="0.25">
      <c r="A228" s="101"/>
      <c r="B228" s="36"/>
      <c r="C228" s="98"/>
      <c r="D228" s="98"/>
      <c r="E228" s="98"/>
      <c r="F228" s="102"/>
      <c r="G228" s="103"/>
    </row>
    <row r="229" spans="1:7" x14ac:dyDescent="0.25">
      <c r="A229" s="101"/>
      <c r="B229" s="36"/>
      <c r="C229" s="98"/>
      <c r="D229" s="98"/>
      <c r="E229" s="98"/>
      <c r="F229" s="102"/>
      <c r="G229" s="103"/>
    </row>
    <row r="230" spans="1:7" x14ac:dyDescent="0.25">
      <c r="A230" s="101"/>
      <c r="B230" s="36"/>
      <c r="C230" s="98"/>
      <c r="D230" s="98"/>
      <c r="E230" s="98"/>
      <c r="F230" s="102"/>
      <c r="G230" s="103"/>
    </row>
    <row r="231" spans="1:7" x14ac:dyDescent="0.25">
      <c r="A231" s="101"/>
      <c r="B231" s="36"/>
      <c r="C231" s="98"/>
      <c r="D231" s="98"/>
      <c r="E231" s="98"/>
      <c r="F231" s="102"/>
      <c r="G231" s="103"/>
    </row>
    <row r="232" spans="1:7" x14ac:dyDescent="0.25">
      <c r="A232" s="101"/>
      <c r="B232" s="36"/>
      <c r="C232" s="98"/>
      <c r="D232" s="98"/>
      <c r="E232" s="98"/>
      <c r="F232" s="102"/>
      <c r="G232" s="103"/>
    </row>
    <row r="233" spans="1:7" x14ac:dyDescent="0.25">
      <c r="A233" s="101"/>
      <c r="B233" s="36"/>
      <c r="C233" s="98"/>
      <c r="D233" s="98"/>
      <c r="E233" s="98"/>
      <c r="F233" s="102"/>
      <c r="G233" s="103"/>
    </row>
    <row r="234" spans="1:7" x14ac:dyDescent="0.25">
      <c r="A234" s="101"/>
      <c r="B234" s="36"/>
      <c r="C234" s="98"/>
      <c r="D234" s="98"/>
      <c r="E234" s="98"/>
      <c r="F234" s="102"/>
      <c r="G234" s="103"/>
    </row>
    <row r="235" spans="1:7" x14ac:dyDescent="0.25">
      <c r="A235" s="101"/>
      <c r="B235" s="36"/>
      <c r="C235" s="98"/>
      <c r="D235" s="98"/>
      <c r="E235" s="98"/>
      <c r="F235" s="102"/>
      <c r="G235" s="103"/>
    </row>
    <row r="236" spans="1:7" x14ac:dyDescent="0.25">
      <c r="A236" s="101"/>
      <c r="B236" s="36"/>
      <c r="C236" s="98"/>
      <c r="D236" s="98"/>
      <c r="E236" s="98"/>
      <c r="F236" s="102"/>
      <c r="G236" s="103"/>
    </row>
    <row r="237" spans="1:7" x14ac:dyDescent="0.25">
      <c r="A237" s="101"/>
      <c r="B237" s="36"/>
      <c r="C237" s="98"/>
      <c r="D237" s="98"/>
      <c r="E237" s="98"/>
      <c r="F237" s="102"/>
      <c r="G237" s="103"/>
    </row>
    <row r="238" spans="1:7" x14ac:dyDescent="0.25">
      <c r="A238" s="101"/>
      <c r="B238" s="36"/>
      <c r="C238" s="98"/>
      <c r="D238" s="98"/>
      <c r="E238" s="98"/>
      <c r="F238" s="102"/>
      <c r="G238" s="103"/>
    </row>
    <row r="239" spans="1:7" x14ac:dyDescent="0.25">
      <c r="A239" s="101"/>
      <c r="B239" s="36"/>
      <c r="C239" s="98"/>
      <c r="D239" s="98"/>
      <c r="E239" s="98"/>
      <c r="F239" s="102"/>
      <c r="G239" s="103"/>
    </row>
    <row r="240" spans="1:7" x14ac:dyDescent="0.25">
      <c r="A240" s="101"/>
      <c r="B240" s="36"/>
      <c r="C240" s="98"/>
      <c r="D240" s="98"/>
      <c r="E240" s="98"/>
      <c r="F240" s="102"/>
      <c r="G240" s="103"/>
    </row>
    <row r="241" spans="1:7" x14ac:dyDescent="0.25">
      <c r="A241" s="101"/>
      <c r="B241" s="36"/>
      <c r="C241" s="98"/>
      <c r="D241" s="98"/>
      <c r="E241" s="98"/>
      <c r="F241" s="102"/>
      <c r="G241" s="103"/>
    </row>
    <row r="242" spans="1:7" x14ac:dyDescent="0.25">
      <c r="A242" s="101"/>
      <c r="B242" s="36"/>
      <c r="C242" s="98"/>
      <c r="D242" s="98"/>
      <c r="E242" s="98"/>
      <c r="F242" s="102"/>
      <c r="G242" s="103"/>
    </row>
    <row r="243" spans="1:7" x14ac:dyDescent="0.25">
      <c r="A243" s="101"/>
      <c r="B243" s="36"/>
      <c r="C243" s="98"/>
      <c r="D243" s="98"/>
      <c r="E243" s="98"/>
      <c r="F243" s="102"/>
      <c r="G243" s="103"/>
    </row>
    <row r="244" spans="1:7" x14ac:dyDescent="0.25">
      <c r="A244" s="101"/>
      <c r="B244" s="36"/>
      <c r="C244" s="98"/>
      <c r="D244" s="98"/>
      <c r="E244" s="98"/>
      <c r="F244" s="102"/>
      <c r="G244" s="103"/>
    </row>
    <row r="245" spans="1:7" x14ac:dyDescent="0.25">
      <c r="A245" s="101"/>
      <c r="B245" s="36"/>
      <c r="C245" s="98"/>
      <c r="D245" s="98"/>
      <c r="E245" s="98"/>
      <c r="F245" s="102"/>
      <c r="G245" s="103"/>
    </row>
    <row r="246" spans="1:7" x14ac:dyDescent="0.25">
      <c r="A246" s="101"/>
      <c r="B246" s="36"/>
      <c r="C246" s="98"/>
      <c r="D246" s="98"/>
      <c r="E246" s="98"/>
      <c r="F246" s="102"/>
      <c r="G246" s="103"/>
    </row>
    <row r="247" spans="1:7" x14ac:dyDescent="0.25">
      <c r="A247" s="101"/>
      <c r="B247" s="36"/>
      <c r="C247" s="98"/>
      <c r="D247" s="98"/>
      <c r="E247" s="98"/>
      <c r="F247" s="102"/>
      <c r="G247" s="103"/>
    </row>
    <row r="248" spans="1:7" x14ac:dyDescent="0.25">
      <c r="A248" s="101"/>
      <c r="B248" s="36"/>
      <c r="C248" s="98"/>
      <c r="D248" s="98"/>
      <c r="E248" s="98"/>
      <c r="F248" s="102"/>
      <c r="G248" s="103"/>
    </row>
    <row r="249" spans="1:7" x14ac:dyDescent="0.25">
      <c r="A249" s="101"/>
      <c r="B249" s="36"/>
      <c r="C249" s="98"/>
      <c r="D249" s="98"/>
      <c r="E249" s="98"/>
      <c r="F249" s="102"/>
      <c r="G249" s="103"/>
    </row>
    <row r="250" spans="1:7" x14ac:dyDescent="0.25">
      <c r="A250" s="101"/>
      <c r="B250" s="36"/>
      <c r="C250" s="98"/>
      <c r="D250" s="98"/>
      <c r="E250" s="98"/>
      <c r="F250" s="102"/>
      <c r="G250" s="103"/>
    </row>
    <row r="251" spans="1:7" x14ac:dyDescent="0.25">
      <c r="A251" s="101"/>
      <c r="B251" s="36"/>
      <c r="C251" s="98"/>
      <c r="D251" s="98"/>
      <c r="E251" s="98"/>
      <c r="F251" s="102"/>
      <c r="G251" s="103"/>
    </row>
    <row r="252" spans="1:7" x14ac:dyDescent="0.25">
      <c r="A252" s="101"/>
      <c r="B252" s="36"/>
      <c r="C252" s="98"/>
      <c r="D252" s="98"/>
      <c r="E252" s="98"/>
      <c r="F252" s="102"/>
      <c r="G252" s="103"/>
    </row>
    <row r="253" spans="1:7" x14ac:dyDescent="0.25">
      <c r="A253" s="101"/>
      <c r="B253" s="36"/>
      <c r="C253" s="98"/>
      <c r="D253" s="98"/>
      <c r="E253" s="98"/>
      <c r="F253" s="102"/>
      <c r="G253" s="103"/>
    </row>
    <row r="254" spans="1:7" x14ac:dyDescent="0.25">
      <c r="A254" s="101"/>
      <c r="B254" s="36"/>
      <c r="C254" s="98"/>
      <c r="D254" s="98"/>
      <c r="E254" s="98"/>
      <c r="F254" s="102"/>
      <c r="G254" s="103"/>
    </row>
    <row r="255" spans="1:7" x14ac:dyDescent="0.25">
      <c r="A255" s="101"/>
      <c r="B255" s="36"/>
      <c r="C255" s="98"/>
      <c r="D255" s="98"/>
      <c r="E255" s="98"/>
      <c r="F255" s="102"/>
      <c r="G255" s="103"/>
    </row>
    <row r="256" spans="1:7" x14ac:dyDescent="0.25">
      <c r="A256" s="101"/>
      <c r="B256" s="36"/>
      <c r="C256" s="98"/>
      <c r="D256" s="98"/>
      <c r="E256" s="98"/>
      <c r="F256" s="102"/>
      <c r="G256" s="103"/>
    </row>
    <row r="257" spans="1:7" x14ac:dyDescent="0.25">
      <c r="A257" s="101"/>
      <c r="B257" s="36"/>
      <c r="C257" s="98"/>
      <c r="D257" s="98"/>
      <c r="E257" s="98"/>
      <c r="F257" s="102"/>
      <c r="G257" s="103"/>
    </row>
    <row r="258" spans="1:7" x14ac:dyDescent="0.25">
      <c r="A258" s="101"/>
      <c r="B258" s="36"/>
      <c r="C258" s="98"/>
      <c r="D258" s="98"/>
      <c r="E258" s="98"/>
      <c r="F258" s="102"/>
      <c r="G258" s="103"/>
    </row>
    <row r="259" spans="1:7" x14ac:dyDescent="0.25">
      <c r="A259" s="101"/>
      <c r="B259" s="36"/>
      <c r="C259" s="98"/>
      <c r="D259" s="98"/>
      <c r="E259" s="98"/>
      <c r="F259" s="102"/>
      <c r="G259" s="103"/>
    </row>
    <row r="260" spans="1:7" x14ac:dyDescent="0.25">
      <c r="A260" s="101"/>
      <c r="B260" s="36"/>
      <c r="C260" s="98"/>
      <c r="D260" s="98"/>
      <c r="E260" s="98"/>
      <c r="F260" s="102"/>
      <c r="G260" s="103"/>
    </row>
    <row r="261" spans="1:7" x14ac:dyDescent="0.25">
      <c r="A261" s="101"/>
      <c r="B261" s="36"/>
      <c r="C261" s="98"/>
      <c r="D261" s="98"/>
      <c r="E261" s="98"/>
      <c r="F261" s="102"/>
      <c r="G261" s="103"/>
    </row>
    <row r="262" spans="1:7" x14ac:dyDescent="0.25">
      <c r="A262" s="101"/>
      <c r="B262" s="36"/>
      <c r="C262" s="98"/>
      <c r="D262" s="98"/>
      <c r="E262" s="98"/>
      <c r="F262" s="102"/>
      <c r="G262" s="103"/>
    </row>
    <row r="263" spans="1:7" x14ac:dyDescent="0.25">
      <c r="A263" s="101"/>
      <c r="B263" s="36"/>
      <c r="C263" s="98"/>
      <c r="D263" s="98"/>
      <c r="E263" s="98"/>
      <c r="F263" s="102"/>
      <c r="G263" s="103"/>
    </row>
    <row r="264" spans="1:7" x14ac:dyDescent="0.25">
      <c r="A264" s="101"/>
      <c r="B264" s="36"/>
      <c r="C264" s="98"/>
      <c r="D264" s="98"/>
      <c r="E264" s="98"/>
      <c r="F264" s="102"/>
      <c r="G264" s="103"/>
    </row>
    <row r="265" spans="1:7" x14ac:dyDescent="0.25">
      <c r="A265" s="101"/>
      <c r="B265" s="36"/>
      <c r="C265" s="98"/>
      <c r="D265" s="98"/>
      <c r="E265" s="98"/>
      <c r="F265" s="102"/>
      <c r="G265" s="103"/>
    </row>
    <row r="266" spans="1:7" x14ac:dyDescent="0.25">
      <c r="A266" s="101"/>
      <c r="B266" s="36"/>
      <c r="C266" s="98"/>
      <c r="D266" s="98"/>
      <c r="E266" s="98"/>
      <c r="F266" s="102"/>
      <c r="G266" s="103"/>
    </row>
    <row r="267" spans="1:7" x14ac:dyDescent="0.25">
      <c r="A267" s="101"/>
      <c r="B267" s="36"/>
      <c r="C267" s="98"/>
      <c r="D267" s="98"/>
      <c r="E267" s="98"/>
      <c r="F267" s="102"/>
      <c r="G267" s="103"/>
    </row>
    <row r="268" spans="1:7" x14ac:dyDescent="0.25">
      <c r="A268" s="101"/>
      <c r="B268" s="36"/>
      <c r="C268" s="98"/>
      <c r="D268" s="98"/>
      <c r="E268" s="98"/>
      <c r="F268" s="102"/>
      <c r="G268" s="103"/>
    </row>
    <row r="269" spans="1:7" x14ac:dyDescent="0.25">
      <c r="A269" s="101"/>
      <c r="B269" s="36"/>
      <c r="C269" s="98"/>
      <c r="D269" s="98"/>
      <c r="E269" s="98"/>
      <c r="F269" s="102"/>
      <c r="G269" s="103"/>
    </row>
    <row r="270" spans="1:7" x14ac:dyDescent="0.25">
      <c r="A270" s="101"/>
      <c r="B270" s="36"/>
      <c r="C270" s="98"/>
      <c r="D270" s="98"/>
      <c r="E270" s="98"/>
      <c r="F270" s="102"/>
      <c r="G270" s="103"/>
    </row>
    <row r="271" spans="1:7" x14ac:dyDescent="0.25">
      <c r="A271" s="101"/>
      <c r="B271" s="36"/>
      <c r="C271" s="98"/>
      <c r="D271" s="98"/>
      <c r="E271" s="98"/>
      <c r="F271" s="102"/>
      <c r="G271" s="103"/>
    </row>
    <row r="272" spans="1:7" x14ac:dyDescent="0.25">
      <c r="A272" s="101"/>
      <c r="B272" s="36"/>
      <c r="C272" s="98"/>
      <c r="D272" s="98"/>
      <c r="E272" s="98"/>
      <c r="F272" s="102"/>
      <c r="G272" s="103"/>
    </row>
    <row r="273" spans="1:7" x14ac:dyDescent="0.25">
      <c r="A273" s="101"/>
      <c r="B273" s="36"/>
      <c r="C273" s="98"/>
      <c r="D273" s="98"/>
      <c r="E273" s="98"/>
      <c r="F273" s="102"/>
      <c r="G273" s="103"/>
    </row>
    <row r="274" spans="1:7" x14ac:dyDescent="0.25">
      <c r="A274" s="101"/>
      <c r="B274" s="36"/>
      <c r="C274" s="98"/>
      <c r="D274" s="98"/>
      <c r="E274" s="98"/>
      <c r="F274" s="102"/>
      <c r="G274" s="103"/>
    </row>
    <row r="275" spans="1:7" x14ac:dyDescent="0.25">
      <c r="A275" s="101"/>
      <c r="B275" s="36"/>
      <c r="C275" s="98"/>
      <c r="D275" s="98"/>
      <c r="E275" s="98"/>
      <c r="F275" s="102"/>
      <c r="G275" s="103"/>
    </row>
    <row r="276" spans="1:7" x14ac:dyDescent="0.25">
      <c r="A276" s="101"/>
      <c r="B276" s="36"/>
      <c r="C276" s="98"/>
      <c r="D276" s="98"/>
      <c r="E276" s="98"/>
      <c r="F276" s="102"/>
      <c r="G276" s="103"/>
    </row>
    <row r="277" spans="1:7" x14ac:dyDescent="0.25">
      <c r="A277" s="101"/>
      <c r="B277" s="36"/>
      <c r="C277" s="98"/>
      <c r="D277" s="98"/>
      <c r="E277" s="98"/>
      <c r="F277" s="102"/>
      <c r="G277" s="103"/>
    </row>
    <row r="278" spans="1:7" x14ac:dyDescent="0.25">
      <c r="A278" s="101"/>
      <c r="B278" s="36"/>
      <c r="C278" s="98"/>
      <c r="D278" s="98"/>
      <c r="E278" s="98"/>
      <c r="F278" s="102"/>
      <c r="G278" s="103"/>
    </row>
    <row r="279" spans="1:7" x14ac:dyDescent="0.25">
      <c r="A279" s="101"/>
      <c r="B279" s="36"/>
      <c r="C279" s="98"/>
      <c r="D279" s="98"/>
      <c r="E279" s="98"/>
      <c r="F279" s="102"/>
      <c r="G279" s="103"/>
    </row>
    <row r="280" spans="1:7" x14ac:dyDescent="0.25">
      <c r="A280" s="101"/>
      <c r="B280" s="36"/>
      <c r="C280" s="98"/>
      <c r="D280" s="98"/>
      <c r="E280" s="98"/>
      <c r="F280" s="102"/>
      <c r="G280" s="103"/>
    </row>
    <row r="281" spans="1:7" x14ac:dyDescent="0.25">
      <c r="A281" s="101"/>
      <c r="B281" s="36"/>
      <c r="C281" s="98"/>
      <c r="D281" s="98"/>
      <c r="E281" s="98"/>
      <c r="F281" s="102"/>
      <c r="G281" s="103"/>
    </row>
    <row r="282" spans="1:7" x14ac:dyDescent="0.25">
      <c r="A282" s="101"/>
      <c r="B282" s="36"/>
      <c r="C282" s="98"/>
      <c r="D282" s="98"/>
      <c r="E282" s="98"/>
      <c r="F282" s="102"/>
      <c r="G282" s="103"/>
    </row>
    <row r="283" spans="1:7" x14ac:dyDescent="0.25">
      <c r="A283" s="101"/>
      <c r="B283" s="36"/>
      <c r="C283" s="98"/>
      <c r="D283" s="98"/>
      <c r="E283" s="98"/>
      <c r="F283" s="102"/>
      <c r="G283" s="103"/>
    </row>
    <row r="284" spans="1:7" x14ac:dyDescent="0.25">
      <c r="A284" s="101"/>
      <c r="B284" s="36"/>
      <c r="C284" s="98"/>
      <c r="D284" s="98"/>
      <c r="E284" s="98"/>
      <c r="F284" s="102"/>
      <c r="G284" s="103"/>
    </row>
    <row r="285" spans="1:7" x14ac:dyDescent="0.25">
      <c r="A285" s="101"/>
      <c r="B285" s="36"/>
      <c r="C285" s="98"/>
      <c r="D285" s="98"/>
      <c r="E285" s="98"/>
      <c r="F285" s="102"/>
      <c r="G285" s="103"/>
    </row>
    <row r="286" spans="1:7" x14ac:dyDescent="0.25">
      <c r="A286" s="101"/>
      <c r="B286" s="36"/>
      <c r="C286" s="98"/>
      <c r="D286" s="98"/>
      <c r="E286" s="98"/>
      <c r="F286" s="102"/>
      <c r="G286" s="103"/>
    </row>
    <row r="287" spans="1:7" x14ac:dyDescent="0.25">
      <c r="A287" s="101"/>
      <c r="B287" s="36"/>
      <c r="C287" s="98"/>
      <c r="D287" s="98"/>
      <c r="E287" s="98"/>
      <c r="F287" s="102"/>
      <c r="G287" s="103"/>
    </row>
    <row r="288" spans="1:7" x14ac:dyDescent="0.25">
      <c r="A288" s="101"/>
      <c r="B288" s="36"/>
      <c r="C288" s="98"/>
      <c r="D288" s="98"/>
      <c r="E288" s="98"/>
      <c r="F288" s="102"/>
      <c r="G288" s="103"/>
    </row>
    <row r="289" spans="1:7" x14ac:dyDescent="0.25">
      <c r="A289" s="101"/>
      <c r="B289" s="36"/>
      <c r="C289" s="98"/>
      <c r="D289" s="98"/>
      <c r="E289" s="98"/>
      <c r="F289" s="102"/>
      <c r="G289" s="103"/>
    </row>
    <row r="290" spans="1:7" x14ac:dyDescent="0.25">
      <c r="A290" s="101"/>
      <c r="B290" s="36"/>
      <c r="C290" s="98"/>
      <c r="D290" s="98"/>
      <c r="E290" s="98"/>
      <c r="F290" s="102"/>
      <c r="G290" s="103"/>
    </row>
    <row r="291" spans="1:7" x14ac:dyDescent="0.25">
      <c r="A291" s="101"/>
      <c r="B291" s="36"/>
      <c r="C291" s="98"/>
      <c r="D291" s="98"/>
      <c r="E291" s="98"/>
      <c r="F291" s="102"/>
      <c r="G291" s="103"/>
    </row>
    <row r="292" spans="1:7" x14ac:dyDescent="0.25">
      <c r="A292" s="101"/>
      <c r="B292" s="36"/>
      <c r="C292" s="98"/>
      <c r="D292" s="98"/>
      <c r="E292" s="98"/>
      <c r="F292" s="102"/>
      <c r="G292" s="103"/>
    </row>
    <row r="293" spans="1:7" x14ac:dyDescent="0.25">
      <c r="A293" s="101"/>
      <c r="B293" s="67"/>
      <c r="C293" s="98"/>
      <c r="D293" s="98"/>
      <c r="E293" s="98"/>
      <c r="F293" s="102"/>
      <c r="G293" s="103"/>
    </row>
    <row r="294" spans="1:7" x14ac:dyDescent="0.25">
      <c r="A294" s="101"/>
      <c r="B294" s="36"/>
      <c r="C294" s="98"/>
      <c r="D294" s="98"/>
      <c r="E294" s="98"/>
      <c r="F294" s="102"/>
      <c r="G294" s="103"/>
    </row>
    <row r="295" spans="1:7" x14ac:dyDescent="0.25">
      <c r="A295" s="101"/>
      <c r="B295" s="36"/>
      <c r="C295" s="98"/>
      <c r="D295" s="98"/>
      <c r="E295" s="98"/>
      <c r="F295" s="102"/>
      <c r="G295" s="103"/>
    </row>
    <row r="296" spans="1:7" x14ac:dyDescent="0.25">
      <c r="A296" s="101"/>
      <c r="B296" s="36"/>
      <c r="C296" s="98"/>
      <c r="D296" s="98"/>
      <c r="E296" s="98"/>
      <c r="F296" s="102"/>
      <c r="G296" s="103"/>
    </row>
    <row r="297" spans="1:7" x14ac:dyDescent="0.25">
      <c r="A297" s="101"/>
      <c r="B297" s="36"/>
      <c r="C297" s="98"/>
      <c r="D297" s="98"/>
      <c r="E297" s="98"/>
      <c r="F297" s="102"/>
      <c r="G297" s="103"/>
    </row>
    <row r="298" spans="1:7" x14ac:dyDescent="0.25">
      <c r="A298" s="101"/>
      <c r="B298" s="36"/>
      <c r="C298" s="98"/>
      <c r="D298" s="98"/>
      <c r="E298" s="98"/>
      <c r="F298" s="102"/>
      <c r="G298" s="103"/>
    </row>
    <row r="299" spans="1:7" x14ac:dyDescent="0.25">
      <c r="A299" s="101"/>
      <c r="B299" s="67"/>
      <c r="C299" s="98"/>
      <c r="D299" s="98"/>
      <c r="E299" s="98"/>
      <c r="F299" s="102"/>
      <c r="G299" s="103"/>
    </row>
    <row r="300" spans="1:7" x14ac:dyDescent="0.25">
      <c r="A300" s="101"/>
      <c r="B300" s="36"/>
      <c r="C300" s="98"/>
      <c r="D300" s="98"/>
      <c r="E300" s="98"/>
      <c r="F300" s="102"/>
      <c r="G300" s="103"/>
    </row>
    <row r="301" spans="1:7" x14ac:dyDescent="0.25">
      <c r="A301" s="101"/>
      <c r="B301" s="36"/>
      <c r="C301" s="98"/>
      <c r="D301" s="98"/>
      <c r="E301" s="98"/>
      <c r="F301" s="102"/>
      <c r="G301" s="103"/>
    </row>
    <row r="302" spans="1:7" x14ac:dyDescent="0.25">
      <c r="A302" s="101"/>
      <c r="B302" s="36"/>
      <c r="C302" s="98"/>
      <c r="D302" s="98"/>
      <c r="E302" s="98"/>
      <c r="F302" s="102"/>
      <c r="G302" s="103"/>
    </row>
    <row r="303" spans="1:7" x14ac:dyDescent="0.25">
      <c r="A303" s="101"/>
      <c r="B303" s="36"/>
      <c r="C303" s="98"/>
      <c r="D303" s="98"/>
      <c r="E303" s="98"/>
      <c r="F303" s="102"/>
      <c r="G303" s="103"/>
    </row>
    <row r="304" spans="1:7" x14ac:dyDescent="0.25">
      <c r="A304" s="101"/>
      <c r="B304" s="36"/>
      <c r="C304" s="98"/>
      <c r="D304" s="98"/>
      <c r="E304" s="98"/>
      <c r="F304" s="102"/>
      <c r="G304" s="103"/>
    </row>
    <row r="305" spans="1:7" x14ac:dyDescent="0.25">
      <c r="A305" s="101"/>
      <c r="B305" s="36"/>
      <c r="C305" s="98"/>
      <c r="D305" s="98"/>
      <c r="E305" s="98"/>
      <c r="F305" s="102"/>
      <c r="G305" s="103"/>
    </row>
    <row r="306" spans="1:7" x14ac:dyDescent="0.25">
      <c r="A306" s="101"/>
      <c r="B306" s="38"/>
      <c r="C306" s="98"/>
      <c r="D306" s="98"/>
      <c r="E306" s="98"/>
      <c r="F306" s="102"/>
      <c r="G306" s="103"/>
    </row>
    <row r="307" spans="1:7" x14ac:dyDescent="0.25">
      <c r="A307" s="101"/>
      <c r="B307" s="38"/>
      <c r="C307" s="98"/>
      <c r="D307" s="98"/>
      <c r="E307" s="98"/>
      <c r="F307" s="102"/>
      <c r="G307" s="103"/>
    </row>
    <row r="308" spans="1:7" x14ac:dyDescent="0.25">
      <c r="A308" s="101"/>
      <c r="B308" s="38"/>
      <c r="C308" s="98"/>
      <c r="D308" s="98"/>
      <c r="E308" s="98"/>
      <c r="F308" s="102"/>
      <c r="G308" s="103"/>
    </row>
    <row r="309" spans="1:7" x14ac:dyDescent="0.25">
      <c r="A309" s="101"/>
      <c r="B309" s="38"/>
      <c r="C309" s="98"/>
      <c r="D309" s="98"/>
      <c r="E309" s="98"/>
      <c r="F309" s="102"/>
      <c r="G309" s="103"/>
    </row>
    <row r="310" spans="1:7" x14ac:dyDescent="0.25">
      <c r="A310" s="101"/>
      <c r="B310" s="38"/>
      <c r="C310" s="98"/>
      <c r="D310" s="98"/>
      <c r="E310" s="98"/>
      <c r="F310" s="102"/>
      <c r="G310" s="103"/>
    </row>
    <row r="311" spans="1:7" x14ac:dyDescent="0.25">
      <c r="A311" s="101"/>
      <c r="B311" s="38"/>
      <c r="C311" s="98"/>
      <c r="D311" s="98"/>
      <c r="E311" s="98"/>
      <c r="F311" s="102"/>
      <c r="G311" s="103"/>
    </row>
    <row r="312" spans="1:7" x14ac:dyDescent="0.25">
      <c r="A312" s="101"/>
      <c r="B312" s="38"/>
      <c r="C312" s="98"/>
      <c r="D312" s="98"/>
      <c r="E312" s="98"/>
      <c r="F312" s="102"/>
      <c r="G312" s="103"/>
    </row>
    <row r="313" spans="1:7" x14ac:dyDescent="0.25">
      <c r="A313" s="101"/>
      <c r="B313" s="38"/>
      <c r="C313" s="98"/>
      <c r="D313" s="98"/>
      <c r="E313" s="98"/>
      <c r="F313" s="102"/>
      <c r="G313" s="103"/>
    </row>
    <row r="314" spans="1:7" x14ac:dyDescent="0.25">
      <c r="A314" s="101"/>
      <c r="B314" s="38"/>
      <c r="C314" s="98"/>
      <c r="D314" s="98"/>
      <c r="E314" s="98"/>
      <c r="F314" s="102"/>
      <c r="G314" s="103"/>
    </row>
    <row r="315" spans="1:7" x14ac:dyDescent="0.25">
      <c r="A315" s="101"/>
      <c r="B315" s="38"/>
      <c r="C315" s="98"/>
      <c r="D315" s="98"/>
      <c r="E315" s="98"/>
      <c r="F315" s="102"/>
      <c r="G315" s="103"/>
    </row>
    <row r="316" spans="1:7" x14ac:dyDescent="0.25">
      <c r="A316" s="101"/>
      <c r="B316" s="38"/>
      <c r="C316" s="98"/>
      <c r="D316" s="98"/>
      <c r="E316" s="98"/>
      <c r="F316" s="102"/>
      <c r="G316" s="103"/>
    </row>
    <row r="317" spans="1:7" x14ac:dyDescent="0.25">
      <c r="A317" s="101"/>
      <c r="B317" s="38"/>
      <c r="C317" s="98"/>
      <c r="D317" s="98"/>
      <c r="E317" s="98"/>
      <c r="F317" s="102"/>
      <c r="G317" s="103"/>
    </row>
    <row r="318" spans="1:7" x14ac:dyDescent="0.25">
      <c r="A318" s="101"/>
      <c r="B318" s="38"/>
      <c r="C318" s="98"/>
      <c r="D318" s="98"/>
      <c r="E318" s="98"/>
      <c r="F318" s="102"/>
      <c r="G318" s="103"/>
    </row>
    <row r="319" spans="1:7" x14ac:dyDescent="0.25">
      <c r="A319" s="101"/>
      <c r="B319" s="38"/>
      <c r="C319" s="98"/>
      <c r="D319" s="98"/>
      <c r="E319" s="98"/>
      <c r="F319" s="102"/>
      <c r="G319" s="103"/>
    </row>
    <row r="320" spans="1:7" x14ac:dyDescent="0.25">
      <c r="A320" s="101"/>
      <c r="B320" s="38"/>
      <c r="C320" s="98"/>
      <c r="D320" s="98"/>
      <c r="E320" s="98"/>
      <c r="F320" s="102"/>
      <c r="G320" s="103"/>
    </row>
    <row r="321" spans="1:7" x14ac:dyDescent="0.25">
      <c r="A321" s="101"/>
      <c r="B321" s="38"/>
      <c r="C321" s="98"/>
      <c r="D321" s="98"/>
      <c r="E321" s="98"/>
      <c r="F321" s="102"/>
      <c r="G321" s="103"/>
    </row>
    <row r="322" spans="1:7" x14ac:dyDescent="0.25">
      <c r="A322" s="101"/>
      <c r="B322" s="38"/>
      <c r="C322" s="98"/>
      <c r="D322" s="98"/>
      <c r="E322" s="98"/>
      <c r="F322" s="102"/>
      <c r="G322" s="103"/>
    </row>
    <row r="323" spans="1:7" x14ac:dyDescent="0.25">
      <c r="A323" s="101"/>
      <c r="B323" s="38"/>
      <c r="C323" s="98"/>
      <c r="D323" s="98"/>
      <c r="E323" s="98"/>
      <c r="F323" s="102"/>
      <c r="G323" s="103"/>
    </row>
    <row r="324" spans="1:7" x14ac:dyDescent="0.25">
      <c r="A324" s="101"/>
      <c r="B324" s="38"/>
      <c r="C324" s="98"/>
      <c r="D324" s="98"/>
      <c r="E324" s="98"/>
      <c r="F324" s="102"/>
      <c r="G324" s="103"/>
    </row>
    <row r="325" spans="1:7" x14ac:dyDescent="0.25">
      <c r="A325" s="101"/>
      <c r="B325" s="38"/>
      <c r="C325" s="98"/>
      <c r="D325" s="98"/>
      <c r="E325" s="98"/>
      <c r="F325" s="102"/>
      <c r="G325" s="103"/>
    </row>
    <row r="326" spans="1:7" x14ac:dyDescent="0.25">
      <c r="A326" s="101"/>
      <c r="B326" s="38"/>
      <c r="C326" s="98"/>
      <c r="D326" s="98"/>
      <c r="E326" s="98"/>
      <c r="F326" s="102"/>
      <c r="G326" s="103"/>
    </row>
    <row r="327" spans="1:7" x14ac:dyDescent="0.25">
      <c r="A327" s="101"/>
      <c r="B327" s="38"/>
      <c r="C327" s="98"/>
      <c r="D327" s="98"/>
      <c r="E327" s="98"/>
      <c r="F327" s="102"/>
      <c r="G327" s="103"/>
    </row>
    <row r="328" spans="1:7" x14ac:dyDescent="0.25">
      <c r="A328" s="101"/>
      <c r="B328" s="38"/>
      <c r="C328" s="98"/>
      <c r="D328" s="98"/>
      <c r="E328" s="98"/>
      <c r="F328" s="102"/>
      <c r="G328" s="103"/>
    </row>
    <row r="329" spans="1:7" x14ac:dyDescent="0.25">
      <c r="A329" s="101"/>
      <c r="B329" s="38"/>
      <c r="C329" s="98"/>
      <c r="D329" s="98"/>
      <c r="E329" s="98"/>
      <c r="F329" s="102"/>
      <c r="G329" s="103"/>
    </row>
    <row r="330" spans="1:7" x14ac:dyDescent="0.25">
      <c r="A330" s="101"/>
      <c r="B330" s="38"/>
      <c r="C330" s="98"/>
      <c r="D330" s="98"/>
      <c r="E330" s="98"/>
      <c r="F330" s="102"/>
      <c r="G330" s="103"/>
    </row>
    <row r="331" spans="1:7" x14ac:dyDescent="0.25">
      <c r="A331" s="101"/>
      <c r="B331" s="38"/>
      <c r="C331" s="98"/>
      <c r="D331" s="98"/>
      <c r="E331" s="98"/>
      <c r="F331" s="102"/>
      <c r="G331" s="103"/>
    </row>
    <row r="332" spans="1:7" x14ac:dyDescent="0.25">
      <c r="A332" s="101"/>
      <c r="B332" s="38"/>
      <c r="C332" s="98"/>
      <c r="D332" s="98"/>
      <c r="E332" s="98"/>
      <c r="F332" s="102"/>
      <c r="G332" s="103"/>
    </row>
    <row r="333" spans="1:7" x14ac:dyDescent="0.25">
      <c r="A333" s="101"/>
      <c r="B333" s="38"/>
      <c r="C333" s="98"/>
      <c r="D333" s="98"/>
      <c r="E333" s="98"/>
      <c r="F333" s="102"/>
      <c r="G333" s="103"/>
    </row>
    <row r="334" spans="1:7" x14ac:dyDescent="0.25">
      <c r="A334" s="101"/>
      <c r="B334" s="38"/>
      <c r="C334" s="98"/>
      <c r="D334" s="98"/>
      <c r="E334" s="98"/>
      <c r="F334" s="102"/>
      <c r="G334" s="103"/>
    </row>
    <row r="335" spans="1:7" x14ac:dyDescent="0.25">
      <c r="A335" s="101"/>
      <c r="B335" s="38"/>
      <c r="C335" s="98"/>
      <c r="D335" s="98"/>
      <c r="E335" s="98"/>
      <c r="F335" s="102"/>
      <c r="G335" s="103"/>
    </row>
    <row r="336" spans="1:7" x14ac:dyDescent="0.25">
      <c r="A336" s="101"/>
      <c r="B336" s="38"/>
      <c r="C336" s="98"/>
      <c r="D336" s="98"/>
      <c r="E336" s="98"/>
      <c r="F336" s="102"/>
      <c r="G336" s="103"/>
    </row>
    <row r="337" spans="1:7" x14ac:dyDescent="0.25">
      <c r="A337" s="101"/>
      <c r="B337" s="38"/>
      <c r="C337" s="98"/>
      <c r="D337" s="98"/>
      <c r="E337" s="98"/>
      <c r="F337" s="102"/>
      <c r="G337" s="103"/>
    </row>
    <row r="338" spans="1:7" x14ac:dyDescent="0.25">
      <c r="A338" s="101"/>
      <c r="B338" s="38"/>
      <c r="C338" s="98"/>
      <c r="D338" s="98"/>
      <c r="E338" s="98"/>
      <c r="F338" s="102"/>
      <c r="G338" s="103"/>
    </row>
    <row r="339" spans="1:7" x14ac:dyDescent="0.25">
      <c r="A339" s="101"/>
      <c r="B339" s="38"/>
      <c r="C339" s="98"/>
      <c r="D339" s="98"/>
      <c r="E339" s="98"/>
      <c r="F339" s="102"/>
      <c r="G339" s="103"/>
    </row>
    <row r="340" spans="1:7" x14ac:dyDescent="0.25">
      <c r="A340" s="101"/>
      <c r="B340" s="38"/>
      <c r="C340" s="98"/>
      <c r="D340" s="98"/>
      <c r="E340" s="98"/>
      <c r="F340" s="102"/>
      <c r="G340" s="103"/>
    </row>
    <row r="341" spans="1:7" x14ac:dyDescent="0.25">
      <c r="A341" s="101"/>
      <c r="B341" s="38"/>
      <c r="C341" s="98"/>
      <c r="D341" s="98"/>
      <c r="E341" s="98"/>
      <c r="F341" s="102"/>
      <c r="G341" s="103"/>
    </row>
    <row r="342" spans="1:7" x14ac:dyDescent="0.25">
      <c r="A342" s="101"/>
      <c r="B342" s="38"/>
      <c r="C342" s="98"/>
      <c r="D342" s="98"/>
      <c r="E342" s="98"/>
      <c r="F342" s="102"/>
      <c r="G342" s="103"/>
    </row>
    <row r="343" spans="1:7" x14ac:dyDescent="0.25">
      <c r="A343" s="101"/>
      <c r="B343" s="38"/>
      <c r="C343" s="98"/>
      <c r="D343" s="98"/>
      <c r="E343" s="98"/>
      <c r="F343" s="102"/>
      <c r="G343" s="103"/>
    </row>
    <row r="344" spans="1:7" x14ac:dyDescent="0.25">
      <c r="A344" s="101"/>
      <c r="B344" s="38"/>
      <c r="C344" s="98"/>
      <c r="D344" s="98"/>
      <c r="E344" s="98"/>
      <c r="F344" s="102"/>
      <c r="G344" s="103"/>
    </row>
    <row r="345" spans="1:7" x14ac:dyDescent="0.25">
      <c r="A345" s="101"/>
      <c r="B345" s="38"/>
      <c r="C345" s="98"/>
      <c r="D345" s="98"/>
      <c r="E345" s="98"/>
      <c r="F345" s="102"/>
      <c r="G345" s="103"/>
    </row>
    <row r="346" spans="1:7" x14ac:dyDescent="0.25">
      <c r="A346" s="101"/>
      <c r="B346" s="10"/>
      <c r="C346" s="98"/>
      <c r="D346" s="98"/>
      <c r="E346" s="98"/>
      <c r="F346" s="102"/>
      <c r="G346" s="103"/>
    </row>
    <row r="347" spans="1:7" x14ac:dyDescent="0.25">
      <c r="A347" s="101"/>
      <c r="B347" s="38"/>
      <c r="C347" s="98"/>
      <c r="D347" s="98"/>
      <c r="E347" s="98"/>
      <c r="F347" s="102"/>
      <c r="G347" s="103"/>
    </row>
    <row r="348" spans="1:7" x14ac:dyDescent="0.25">
      <c r="A348" s="101"/>
      <c r="B348" s="38"/>
      <c r="C348" s="98"/>
      <c r="D348" s="98"/>
      <c r="E348" s="98"/>
      <c r="F348" s="102"/>
      <c r="G348" s="103"/>
    </row>
    <row r="349" spans="1:7" x14ac:dyDescent="0.25">
      <c r="A349" s="101"/>
      <c r="B349" s="38"/>
      <c r="C349" s="98"/>
      <c r="D349" s="98"/>
      <c r="E349" s="98"/>
      <c r="F349" s="102"/>
      <c r="G349" s="103"/>
    </row>
    <row r="350" spans="1:7" x14ac:dyDescent="0.25">
      <c r="A350" s="101"/>
      <c r="B350" s="38"/>
      <c r="C350" s="98"/>
      <c r="D350" s="98"/>
      <c r="E350" s="98"/>
      <c r="F350" s="102"/>
      <c r="G350" s="103"/>
    </row>
    <row r="351" spans="1:7" x14ac:dyDescent="0.25">
      <c r="A351" s="101"/>
      <c r="B351" s="38"/>
      <c r="C351" s="98"/>
      <c r="D351" s="98"/>
      <c r="E351" s="98"/>
      <c r="F351" s="102"/>
      <c r="G351" s="103"/>
    </row>
    <row r="352" spans="1:7" x14ac:dyDescent="0.25">
      <c r="A352" s="101"/>
      <c r="B352" s="38"/>
      <c r="C352" s="98"/>
      <c r="D352" s="98"/>
      <c r="E352" s="98"/>
      <c r="F352" s="102"/>
      <c r="G352" s="103"/>
    </row>
    <row r="353" spans="1:7" x14ac:dyDescent="0.25">
      <c r="A353" s="101"/>
      <c r="B353" s="38"/>
      <c r="C353" s="98"/>
      <c r="D353" s="98"/>
      <c r="E353" s="98"/>
      <c r="F353" s="102"/>
      <c r="G353" s="103"/>
    </row>
    <row r="354" spans="1:7" x14ac:dyDescent="0.25">
      <c r="A354" s="101"/>
      <c r="B354" s="38"/>
      <c r="C354" s="98"/>
      <c r="D354" s="98"/>
      <c r="E354" s="98"/>
      <c r="F354" s="102"/>
      <c r="G354" s="103"/>
    </row>
    <row r="355" spans="1:7" x14ac:dyDescent="0.25">
      <c r="A355" s="101"/>
      <c r="B355" s="38"/>
      <c r="C355" s="98"/>
      <c r="D355" s="98"/>
      <c r="E355" s="98"/>
      <c r="F355" s="102"/>
      <c r="G355" s="103"/>
    </row>
    <row r="356" spans="1:7" x14ac:dyDescent="0.25">
      <c r="A356" s="101"/>
      <c r="B356" s="38"/>
      <c r="C356" s="98"/>
      <c r="D356" s="98"/>
      <c r="E356" s="98"/>
      <c r="F356" s="102"/>
      <c r="G356" s="103"/>
    </row>
    <row r="357" spans="1:7" x14ac:dyDescent="0.25">
      <c r="A357" s="101"/>
      <c r="B357" s="38"/>
      <c r="C357" s="98"/>
      <c r="D357" s="98"/>
      <c r="E357" s="98"/>
      <c r="F357" s="102"/>
      <c r="G357" s="103"/>
    </row>
    <row r="358" spans="1:7" x14ac:dyDescent="0.25">
      <c r="A358" s="101"/>
      <c r="B358" s="38"/>
      <c r="C358" s="98"/>
      <c r="D358" s="98"/>
      <c r="E358" s="98"/>
      <c r="F358" s="102"/>
      <c r="G358" s="103"/>
    </row>
    <row r="359" spans="1:7" x14ac:dyDescent="0.25">
      <c r="A359" s="101"/>
      <c r="B359" s="38"/>
      <c r="C359" s="98"/>
      <c r="D359" s="98"/>
      <c r="E359" s="98"/>
      <c r="F359" s="102"/>
      <c r="G359" s="103"/>
    </row>
    <row r="360" spans="1:7" x14ac:dyDescent="0.25">
      <c r="A360" s="101"/>
      <c r="B360" s="38"/>
      <c r="C360" s="98"/>
      <c r="D360" s="98"/>
      <c r="E360" s="98"/>
      <c r="F360" s="102"/>
      <c r="G360" s="103"/>
    </row>
    <row r="361" spans="1:7" x14ac:dyDescent="0.25">
      <c r="A361" s="101"/>
      <c r="B361" s="38"/>
      <c r="C361" s="98"/>
      <c r="D361" s="98"/>
      <c r="E361" s="98"/>
      <c r="F361" s="102"/>
      <c r="G361" s="103"/>
    </row>
    <row r="362" spans="1:7" x14ac:dyDescent="0.25">
      <c r="A362" s="101"/>
      <c r="B362" s="38"/>
      <c r="C362" s="98"/>
      <c r="D362" s="98"/>
      <c r="E362" s="98"/>
      <c r="F362" s="102"/>
      <c r="G362" s="103"/>
    </row>
    <row r="363" spans="1:7" x14ac:dyDescent="0.25">
      <c r="A363" s="101"/>
      <c r="B363" s="38"/>
      <c r="C363" s="98"/>
      <c r="D363" s="98"/>
      <c r="E363" s="98"/>
      <c r="F363" s="102"/>
      <c r="G363" s="103"/>
    </row>
    <row r="364" spans="1:7" x14ac:dyDescent="0.25">
      <c r="A364" s="101"/>
      <c r="B364" s="38"/>
      <c r="C364" s="98"/>
      <c r="D364" s="98"/>
      <c r="E364" s="98"/>
      <c r="F364" s="102"/>
      <c r="G364" s="103"/>
    </row>
    <row r="365" spans="1:7" x14ac:dyDescent="0.25">
      <c r="A365" s="101"/>
      <c r="B365" s="38"/>
      <c r="C365" s="98"/>
      <c r="D365" s="98"/>
      <c r="E365" s="98"/>
      <c r="F365" s="102"/>
      <c r="G365" s="103"/>
    </row>
    <row r="366" spans="1:7" x14ac:dyDescent="0.25">
      <c r="A366" s="101"/>
      <c r="B366" s="38"/>
      <c r="C366" s="98"/>
      <c r="D366" s="98"/>
      <c r="E366" s="98"/>
      <c r="F366" s="102"/>
      <c r="G366" s="103"/>
    </row>
    <row r="367" spans="1:7" x14ac:dyDescent="0.25">
      <c r="A367" s="101"/>
      <c r="B367" s="38"/>
      <c r="C367" s="98"/>
      <c r="D367" s="98"/>
      <c r="E367" s="98"/>
      <c r="F367" s="102"/>
      <c r="G367" s="103"/>
    </row>
    <row r="368" spans="1:7" x14ac:dyDescent="0.25">
      <c r="A368" s="101"/>
      <c r="B368" s="38"/>
      <c r="C368" s="98"/>
      <c r="D368" s="98"/>
      <c r="E368" s="98"/>
      <c r="F368" s="102"/>
      <c r="G368" s="103"/>
    </row>
    <row r="369" spans="1:7" x14ac:dyDescent="0.25">
      <c r="A369" s="101"/>
      <c r="B369" s="38"/>
      <c r="C369" s="98"/>
      <c r="D369" s="98"/>
      <c r="E369" s="98"/>
      <c r="F369" s="102"/>
      <c r="G369" s="103"/>
    </row>
    <row r="370" spans="1:7" x14ac:dyDescent="0.25">
      <c r="A370" s="101"/>
      <c r="B370" s="38"/>
      <c r="C370" s="98"/>
      <c r="D370" s="98"/>
      <c r="E370" s="98"/>
      <c r="F370" s="102"/>
      <c r="G370" s="103"/>
    </row>
    <row r="371" spans="1:7" x14ac:dyDescent="0.25">
      <c r="A371" s="101"/>
      <c r="B371" s="38"/>
      <c r="C371" s="98"/>
      <c r="D371" s="98"/>
      <c r="E371" s="98"/>
      <c r="F371" s="102"/>
      <c r="G371" s="103"/>
    </row>
    <row r="372" spans="1:7" x14ac:dyDescent="0.25">
      <c r="A372" s="101"/>
      <c r="B372" s="38"/>
      <c r="C372" s="98"/>
      <c r="D372" s="98"/>
      <c r="E372" s="98"/>
      <c r="F372" s="102"/>
      <c r="G372" s="103"/>
    </row>
    <row r="373" spans="1:7" x14ac:dyDescent="0.25">
      <c r="A373" s="101"/>
      <c r="B373" s="38"/>
      <c r="C373" s="98"/>
      <c r="D373" s="98"/>
      <c r="E373" s="98"/>
      <c r="F373" s="102"/>
      <c r="G373" s="103"/>
    </row>
    <row r="374" spans="1:7" x14ac:dyDescent="0.25">
      <c r="A374" s="101"/>
      <c r="B374" s="38"/>
      <c r="C374" s="98"/>
      <c r="D374" s="98"/>
      <c r="E374" s="98"/>
      <c r="F374" s="102"/>
      <c r="G374" s="103"/>
    </row>
    <row r="375" spans="1:7" x14ac:dyDescent="0.25">
      <c r="A375" s="101"/>
      <c r="B375" s="38"/>
      <c r="C375" s="98"/>
      <c r="D375" s="98"/>
      <c r="E375" s="98"/>
      <c r="F375" s="102"/>
      <c r="G375" s="103"/>
    </row>
    <row r="376" spans="1:7" x14ac:dyDescent="0.25">
      <c r="A376" s="101"/>
      <c r="B376" s="38"/>
      <c r="C376" s="98"/>
      <c r="D376" s="98"/>
      <c r="E376" s="98"/>
      <c r="F376" s="102"/>
      <c r="G376" s="103"/>
    </row>
    <row r="377" spans="1:7" x14ac:dyDescent="0.25">
      <c r="A377" s="101"/>
      <c r="B377" s="38"/>
      <c r="C377" s="98"/>
      <c r="D377" s="98"/>
      <c r="E377" s="98"/>
      <c r="F377" s="102"/>
      <c r="G377" s="103"/>
    </row>
    <row r="378" spans="1:7" x14ac:dyDescent="0.25">
      <c r="A378" s="101"/>
      <c r="B378" s="38"/>
      <c r="C378" s="98"/>
      <c r="D378" s="98"/>
      <c r="E378" s="98"/>
      <c r="F378" s="102"/>
      <c r="G378" s="103"/>
    </row>
    <row r="379" spans="1:7" x14ac:dyDescent="0.25">
      <c r="A379" s="101"/>
      <c r="B379" s="38"/>
      <c r="C379" s="98"/>
      <c r="D379" s="98"/>
      <c r="E379" s="98"/>
      <c r="F379" s="102"/>
      <c r="G379" s="103"/>
    </row>
    <row r="380" spans="1:7" x14ac:dyDescent="0.25">
      <c r="A380" s="101"/>
      <c r="B380" s="38"/>
      <c r="C380" s="98"/>
      <c r="D380" s="98"/>
      <c r="E380" s="98"/>
      <c r="F380" s="102"/>
      <c r="G380" s="103"/>
    </row>
    <row r="381" spans="1:7" x14ac:dyDescent="0.25">
      <c r="A381" s="101"/>
      <c r="B381" s="38"/>
      <c r="C381" s="98"/>
      <c r="D381" s="98"/>
      <c r="E381" s="98"/>
      <c r="F381" s="102"/>
      <c r="G381" s="103"/>
    </row>
    <row r="382" spans="1:7" x14ac:dyDescent="0.25">
      <c r="A382" s="101"/>
      <c r="B382" s="38"/>
      <c r="C382" s="98"/>
      <c r="D382" s="98"/>
      <c r="E382" s="98"/>
      <c r="F382" s="102"/>
      <c r="G382" s="103"/>
    </row>
    <row r="383" spans="1:7" x14ac:dyDescent="0.25">
      <c r="A383" s="101"/>
      <c r="B383" s="38"/>
      <c r="C383" s="98"/>
      <c r="D383" s="98"/>
      <c r="E383" s="98"/>
      <c r="F383" s="102"/>
      <c r="G383" s="103"/>
    </row>
    <row r="384" spans="1:7" x14ac:dyDescent="0.25">
      <c r="A384" s="101"/>
      <c r="B384" s="38"/>
      <c r="C384" s="98"/>
      <c r="D384" s="98"/>
      <c r="E384" s="98"/>
      <c r="F384" s="102"/>
      <c r="G384" s="103"/>
    </row>
    <row r="385" spans="1:7" x14ac:dyDescent="0.25">
      <c r="A385" s="101"/>
      <c r="B385" s="38"/>
      <c r="C385" s="98"/>
      <c r="D385" s="98"/>
      <c r="E385" s="98"/>
      <c r="F385" s="102"/>
      <c r="G385" s="103"/>
    </row>
    <row r="386" spans="1:7" x14ac:dyDescent="0.25">
      <c r="A386" s="101"/>
      <c r="B386" s="38"/>
      <c r="C386" s="98"/>
      <c r="D386" s="98"/>
      <c r="E386" s="98"/>
      <c r="F386" s="102"/>
      <c r="G386" s="103"/>
    </row>
    <row r="387" spans="1:7" x14ac:dyDescent="0.25">
      <c r="A387" s="101"/>
      <c r="B387" s="38"/>
      <c r="C387" s="98"/>
      <c r="D387" s="98"/>
      <c r="E387" s="98"/>
      <c r="F387" s="102"/>
      <c r="G387" s="103"/>
    </row>
    <row r="388" spans="1:7" x14ac:dyDescent="0.25">
      <c r="A388" s="101"/>
      <c r="B388" s="38"/>
      <c r="C388" s="98"/>
      <c r="D388" s="98"/>
      <c r="E388" s="98"/>
      <c r="F388" s="102"/>
      <c r="G388" s="103"/>
    </row>
    <row r="389" spans="1:7" x14ac:dyDescent="0.25">
      <c r="A389" s="101"/>
      <c r="B389" s="38"/>
      <c r="C389" s="98"/>
      <c r="D389" s="98"/>
      <c r="E389" s="98"/>
      <c r="F389" s="102"/>
      <c r="G389" s="103"/>
    </row>
    <row r="390" spans="1:7" x14ac:dyDescent="0.25">
      <c r="A390" s="101"/>
      <c r="B390" s="38"/>
      <c r="C390" s="98"/>
      <c r="D390" s="98"/>
      <c r="E390" s="98"/>
      <c r="F390" s="102"/>
      <c r="G390" s="103"/>
    </row>
    <row r="391" spans="1:7" x14ac:dyDescent="0.25">
      <c r="A391" s="101"/>
      <c r="B391" s="38"/>
      <c r="C391" s="98"/>
      <c r="D391" s="98"/>
      <c r="E391" s="98"/>
      <c r="F391" s="102"/>
      <c r="G391" s="103"/>
    </row>
    <row r="392" spans="1:7" x14ac:dyDescent="0.25">
      <c r="A392" s="101"/>
      <c r="B392" s="38"/>
      <c r="C392" s="98"/>
      <c r="D392" s="98"/>
      <c r="E392" s="98"/>
      <c r="F392" s="102"/>
      <c r="G392" s="103"/>
    </row>
    <row r="393" spans="1:7" x14ac:dyDescent="0.25">
      <c r="A393" s="101"/>
      <c r="B393" s="38"/>
      <c r="C393" s="98"/>
      <c r="D393" s="98"/>
      <c r="E393" s="98"/>
      <c r="F393" s="102"/>
      <c r="G393" s="103"/>
    </row>
    <row r="394" spans="1:7" x14ac:dyDescent="0.25">
      <c r="A394" s="101"/>
      <c r="B394" s="38"/>
      <c r="C394" s="98"/>
      <c r="D394" s="98"/>
      <c r="E394" s="98"/>
      <c r="F394" s="102"/>
      <c r="G394" s="103"/>
    </row>
    <row r="395" spans="1:7" x14ac:dyDescent="0.25">
      <c r="A395" s="101"/>
      <c r="B395" s="36"/>
      <c r="C395" s="98"/>
      <c r="D395" s="98"/>
      <c r="E395" s="98"/>
      <c r="F395" s="102"/>
      <c r="G395" s="103"/>
    </row>
    <row r="396" spans="1:7" x14ac:dyDescent="0.25">
      <c r="A396" s="101"/>
      <c r="B396" s="36"/>
      <c r="C396" s="98"/>
      <c r="D396" s="98"/>
      <c r="E396" s="98"/>
      <c r="F396" s="102"/>
      <c r="G396" s="103"/>
    </row>
    <row r="397" spans="1:7" x14ac:dyDescent="0.25">
      <c r="A397" s="101"/>
      <c r="B397" s="36"/>
      <c r="C397" s="98"/>
      <c r="D397" s="98"/>
      <c r="E397" s="98"/>
      <c r="F397" s="102"/>
      <c r="G397" s="103"/>
    </row>
    <row r="398" spans="1:7" x14ac:dyDescent="0.25">
      <c r="A398" s="101"/>
      <c r="B398" s="36"/>
      <c r="C398" s="98"/>
      <c r="D398" s="98"/>
      <c r="E398" s="98"/>
      <c r="F398" s="102"/>
      <c r="G398" s="103"/>
    </row>
    <row r="399" spans="1:7" x14ac:dyDescent="0.25">
      <c r="A399" s="101"/>
      <c r="B399" s="36"/>
      <c r="C399" s="98"/>
      <c r="D399" s="98"/>
      <c r="E399" s="98"/>
      <c r="F399" s="102"/>
      <c r="G399" s="103"/>
    </row>
    <row r="400" spans="1:7" x14ac:dyDescent="0.25">
      <c r="A400" s="101"/>
      <c r="B400" s="36"/>
      <c r="C400" s="98"/>
      <c r="D400" s="98"/>
      <c r="E400" s="98"/>
      <c r="F400" s="102"/>
      <c r="G400" s="103"/>
    </row>
    <row r="401" spans="1:7" x14ac:dyDescent="0.25">
      <c r="A401" s="101"/>
      <c r="B401" s="36"/>
      <c r="C401" s="98"/>
      <c r="D401" s="98"/>
      <c r="E401" s="98"/>
      <c r="F401" s="102"/>
      <c r="G401" s="103"/>
    </row>
    <row r="402" spans="1:7" x14ac:dyDescent="0.25">
      <c r="A402" s="101"/>
      <c r="B402" s="36"/>
      <c r="C402" s="98"/>
      <c r="D402" s="98"/>
      <c r="E402" s="98"/>
      <c r="F402" s="102"/>
      <c r="G402" s="103"/>
    </row>
    <row r="403" spans="1:7" x14ac:dyDescent="0.25">
      <c r="A403" s="101"/>
      <c r="B403" s="36"/>
      <c r="C403" s="98"/>
      <c r="D403" s="98"/>
      <c r="E403" s="98"/>
      <c r="F403" s="102"/>
      <c r="G403" s="103"/>
    </row>
    <row r="404" spans="1:7" x14ac:dyDescent="0.25">
      <c r="A404" s="101"/>
      <c r="B404" s="36"/>
      <c r="C404" s="98"/>
      <c r="D404" s="98"/>
      <c r="E404" s="98"/>
      <c r="F404" s="102"/>
      <c r="G404" s="103"/>
    </row>
    <row r="405" spans="1:7" x14ac:dyDescent="0.25">
      <c r="A405" s="101"/>
      <c r="B405" s="36"/>
      <c r="C405" s="98"/>
      <c r="D405" s="98"/>
      <c r="E405" s="98"/>
      <c r="F405" s="102"/>
      <c r="G405" s="103"/>
    </row>
    <row r="406" spans="1:7" x14ac:dyDescent="0.25">
      <c r="A406" s="101"/>
      <c r="B406" s="36"/>
      <c r="C406" s="98"/>
      <c r="D406" s="98"/>
      <c r="E406" s="98"/>
      <c r="F406" s="102"/>
      <c r="G406" s="103"/>
    </row>
    <row r="407" spans="1:7" x14ac:dyDescent="0.25">
      <c r="A407" s="101"/>
      <c r="B407" s="36"/>
      <c r="C407" s="98"/>
      <c r="D407" s="98"/>
      <c r="E407" s="98"/>
      <c r="F407" s="102"/>
      <c r="G407" s="103"/>
    </row>
    <row r="408" spans="1:7" x14ac:dyDescent="0.25">
      <c r="A408" s="101"/>
      <c r="B408" s="36"/>
      <c r="C408" s="98"/>
      <c r="D408" s="98"/>
      <c r="E408" s="98"/>
      <c r="F408" s="102"/>
      <c r="G408" s="103"/>
    </row>
    <row r="409" spans="1:7" x14ac:dyDescent="0.25">
      <c r="A409" s="101"/>
      <c r="B409" s="36"/>
      <c r="C409" s="98"/>
      <c r="D409" s="98"/>
      <c r="E409" s="98"/>
      <c r="F409" s="102"/>
      <c r="G409" s="103"/>
    </row>
    <row r="410" spans="1:7" x14ac:dyDescent="0.25">
      <c r="A410" s="101"/>
      <c r="B410" s="36"/>
      <c r="C410" s="98"/>
      <c r="D410" s="98"/>
      <c r="E410" s="98"/>
      <c r="F410" s="102"/>
      <c r="G410" s="103"/>
    </row>
    <row r="411" spans="1:7" x14ac:dyDescent="0.25">
      <c r="A411" s="101"/>
      <c r="B411" s="36"/>
      <c r="C411" s="98"/>
      <c r="D411" s="98"/>
      <c r="E411" s="98"/>
      <c r="F411" s="102"/>
      <c r="G411" s="103"/>
    </row>
    <row r="412" spans="1:7" x14ac:dyDescent="0.25">
      <c r="A412" s="101"/>
      <c r="B412" s="36"/>
      <c r="C412" s="98"/>
      <c r="D412" s="98"/>
      <c r="E412" s="98"/>
      <c r="F412" s="102"/>
      <c r="G412" s="103"/>
    </row>
    <row r="413" spans="1:7" x14ac:dyDescent="0.25">
      <c r="A413" s="101"/>
      <c r="B413" s="36"/>
      <c r="C413" s="98"/>
      <c r="D413" s="98"/>
      <c r="E413" s="98"/>
      <c r="F413" s="102"/>
      <c r="G413" s="103"/>
    </row>
    <row r="414" spans="1:7" x14ac:dyDescent="0.25">
      <c r="A414" s="101"/>
      <c r="B414" s="36"/>
      <c r="C414" s="98"/>
      <c r="D414" s="98"/>
      <c r="E414" s="98"/>
      <c r="F414" s="102"/>
      <c r="G414" s="103"/>
    </row>
    <row r="415" spans="1:7" x14ac:dyDescent="0.25">
      <c r="A415" s="101"/>
      <c r="B415" s="36"/>
      <c r="C415" s="98"/>
      <c r="D415" s="98"/>
      <c r="E415" s="98"/>
      <c r="F415" s="102"/>
      <c r="G415" s="103"/>
    </row>
    <row r="416" spans="1:7" x14ac:dyDescent="0.25">
      <c r="A416" s="101"/>
      <c r="B416" s="36"/>
      <c r="C416" s="98"/>
      <c r="D416" s="98"/>
      <c r="E416" s="98"/>
      <c r="F416" s="102"/>
      <c r="G416" s="103"/>
    </row>
    <row r="417" spans="1:7" x14ac:dyDescent="0.25">
      <c r="A417" s="101"/>
      <c r="B417" s="36"/>
      <c r="C417" s="98"/>
      <c r="D417" s="98"/>
      <c r="E417" s="98"/>
      <c r="F417" s="102"/>
      <c r="G417" s="103"/>
    </row>
    <row r="418" spans="1:7" x14ac:dyDescent="0.25">
      <c r="A418" s="101"/>
      <c r="B418" s="36"/>
      <c r="C418" s="98"/>
      <c r="D418" s="98"/>
      <c r="E418" s="98"/>
      <c r="F418" s="102"/>
      <c r="G418" s="103"/>
    </row>
    <row r="419" spans="1:7" x14ac:dyDescent="0.25">
      <c r="A419" s="101"/>
      <c r="B419" s="36"/>
      <c r="C419" s="98"/>
      <c r="D419" s="98"/>
      <c r="E419" s="98"/>
      <c r="F419" s="102"/>
      <c r="G419" s="103"/>
    </row>
    <row r="420" spans="1:7" x14ac:dyDescent="0.25">
      <c r="A420" s="101"/>
      <c r="B420" s="36"/>
      <c r="C420" s="98"/>
      <c r="D420" s="98"/>
      <c r="E420" s="98"/>
      <c r="F420" s="102"/>
      <c r="G420" s="103"/>
    </row>
    <row r="421" spans="1:7" x14ac:dyDescent="0.25">
      <c r="A421" s="101"/>
      <c r="B421" s="36"/>
      <c r="C421" s="98"/>
      <c r="D421" s="98"/>
      <c r="E421" s="98"/>
      <c r="F421" s="102"/>
      <c r="G421" s="103"/>
    </row>
    <row r="422" spans="1:7" x14ac:dyDescent="0.25">
      <c r="A422" s="101"/>
      <c r="B422" s="36"/>
      <c r="C422" s="98"/>
      <c r="D422" s="98"/>
      <c r="E422" s="98"/>
      <c r="F422" s="102"/>
      <c r="G422" s="103"/>
    </row>
    <row r="423" spans="1:7" x14ac:dyDescent="0.25">
      <c r="A423" s="101"/>
      <c r="B423" s="36"/>
      <c r="C423" s="98"/>
      <c r="D423" s="98"/>
      <c r="E423" s="98"/>
      <c r="F423" s="102"/>
      <c r="G423" s="103"/>
    </row>
    <row r="424" spans="1:7" x14ac:dyDescent="0.25">
      <c r="A424" s="101"/>
      <c r="B424" s="36"/>
      <c r="C424" s="98"/>
      <c r="D424" s="98"/>
      <c r="E424" s="98"/>
      <c r="F424" s="102"/>
      <c r="G424" s="103"/>
    </row>
    <row r="425" spans="1:7" x14ac:dyDescent="0.25">
      <c r="A425" s="101"/>
      <c r="B425" s="36"/>
      <c r="C425" s="98"/>
      <c r="D425" s="98"/>
      <c r="E425" s="98"/>
      <c r="F425" s="102"/>
      <c r="G425" s="103"/>
    </row>
    <row r="426" spans="1:7" x14ac:dyDescent="0.25">
      <c r="A426" s="101"/>
      <c r="B426" s="36"/>
      <c r="C426" s="98"/>
      <c r="D426" s="98"/>
      <c r="E426" s="98"/>
      <c r="F426" s="102"/>
      <c r="G426" s="103"/>
    </row>
    <row r="427" spans="1:7" x14ac:dyDescent="0.25">
      <c r="A427" s="101"/>
      <c r="B427" s="36"/>
      <c r="C427" s="98"/>
      <c r="D427" s="98"/>
      <c r="E427" s="98"/>
      <c r="F427" s="102"/>
      <c r="G427" s="103"/>
    </row>
    <row r="428" spans="1:7" x14ac:dyDescent="0.25">
      <c r="A428" s="101"/>
      <c r="B428" s="36"/>
      <c r="C428" s="98"/>
      <c r="D428" s="98"/>
      <c r="E428" s="98"/>
      <c r="F428" s="102"/>
      <c r="G428" s="103"/>
    </row>
    <row r="429" spans="1:7" x14ac:dyDescent="0.25">
      <c r="A429" s="101"/>
      <c r="B429" s="36"/>
      <c r="C429" s="98"/>
      <c r="D429" s="98"/>
      <c r="E429" s="98"/>
      <c r="F429" s="102"/>
      <c r="G429" s="103"/>
    </row>
    <row r="430" spans="1:7" x14ac:dyDescent="0.25">
      <c r="A430" s="101"/>
      <c r="B430" s="38"/>
      <c r="C430" s="98"/>
      <c r="D430" s="98"/>
      <c r="E430" s="98"/>
      <c r="F430" s="102"/>
      <c r="G430" s="103"/>
    </row>
    <row r="431" spans="1:7" x14ac:dyDescent="0.25">
      <c r="A431" s="101"/>
      <c r="B431" s="38"/>
      <c r="C431" s="98"/>
      <c r="D431" s="98"/>
      <c r="E431" s="98"/>
      <c r="F431" s="102"/>
      <c r="G431" s="103"/>
    </row>
    <row r="432" spans="1:7" x14ac:dyDescent="0.25">
      <c r="A432" s="101"/>
      <c r="B432" s="36"/>
      <c r="C432" s="98"/>
      <c r="D432" s="98"/>
      <c r="E432" s="98"/>
      <c r="F432" s="102"/>
      <c r="G432" s="103"/>
    </row>
    <row r="433" spans="1:7" x14ac:dyDescent="0.25">
      <c r="A433" s="101"/>
      <c r="B433" s="36"/>
      <c r="C433" s="98"/>
      <c r="D433" s="98"/>
      <c r="E433" s="98"/>
      <c r="F433" s="102"/>
      <c r="G433" s="103"/>
    </row>
    <row r="434" spans="1:7" x14ac:dyDescent="0.25">
      <c r="A434" s="101"/>
      <c r="B434" s="36"/>
      <c r="C434" s="98"/>
      <c r="D434" s="98"/>
      <c r="E434" s="98"/>
      <c r="F434" s="102"/>
      <c r="G434" s="103"/>
    </row>
    <row r="435" spans="1:7" x14ac:dyDescent="0.25">
      <c r="A435" s="101"/>
      <c r="B435" s="36"/>
      <c r="C435" s="98"/>
      <c r="D435" s="98"/>
      <c r="E435" s="98"/>
      <c r="F435" s="102"/>
      <c r="G435" s="103"/>
    </row>
    <row r="436" spans="1:7" x14ac:dyDescent="0.25">
      <c r="A436" s="101"/>
      <c r="B436" s="36"/>
      <c r="C436" s="98"/>
      <c r="D436" s="98"/>
      <c r="E436" s="98"/>
      <c r="F436" s="102"/>
      <c r="G436" s="103"/>
    </row>
    <row r="437" spans="1:7" x14ac:dyDescent="0.25">
      <c r="A437" s="101"/>
      <c r="B437" s="36"/>
      <c r="C437" s="98"/>
      <c r="D437" s="98"/>
      <c r="E437" s="98"/>
      <c r="F437" s="102"/>
      <c r="G437" s="103"/>
    </row>
    <row r="438" spans="1:7" x14ac:dyDescent="0.25">
      <c r="A438" s="101"/>
      <c r="B438" s="36"/>
      <c r="C438" s="98"/>
      <c r="D438" s="98"/>
      <c r="E438" s="98"/>
      <c r="F438" s="102"/>
      <c r="G438" s="103"/>
    </row>
    <row r="439" spans="1:7" x14ac:dyDescent="0.25">
      <c r="A439" s="101"/>
      <c r="B439" s="36"/>
      <c r="C439" s="98"/>
      <c r="D439" s="98"/>
      <c r="E439" s="98"/>
      <c r="F439" s="102"/>
      <c r="G439" s="103"/>
    </row>
    <row r="440" spans="1:7" x14ac:dyDescent="0.25">
      <c r="A440" s="101"/>
      <c r="B440" s="36"/>
      <c r="C440" s="98"/>
      <c r="D440" s="98"/>
      <c r="E440" s="98"/>
      <c r="F440" s="102"/>
      <c r="G440" s="103"/>
    </row>
    <row r="441" spans="1:7" x14ac:dyDescent="0.25">
      <c r="A441" s="101"/>
      <c r="B441" s="36"/>
      <c r="C441" s="98"/>
      <c r="D441" s="98"/>
      <c r="E441" s="98"/>
      <c r="F441" s="102"/>
      <c r="G441" s="103"/>
    </row>
    <row r="442" spans="1:7" x14ac:dyDescent="0.25">
      <c r="A442" s="101"/>
      <c r="B442" s="36"/>
      <c r="C442" s="98"/>
      <c r="D442" s="98"/>
      <c r="E442" s="98"/>
      <c r="F442" s="102"/>
      <c r="G442" s="103"/>
    </row>
    <row r="443" spans="1:7" x14ac:dyDescent="0.25">
      <c r="A443" s="101"/>
      <c r="B443" s="36"/>
      <c r="C443" s="98"/>
      <c r="D443" s="98"/>
      <c r="E443" s="98"/>
      <c r="F443" s="102"/>
      <c r="G443" s="103"/>
    </row>
    <row r="444" spans="1:7" x14ac:dyDescent="0.25">
      <c r="A444" s="101"/>
      <c r="B444" s="36"/>
      <c r="C444" s="98"/>
      <c r="D444" s="98"/>
      <c r="E444" s="98"/>
      <c r="F444" s="102"/>
      <c r="G444" s="103"/>
    </row>
    <row r="445" spans="1:7" x14ac:dyDescent="0.25">
      <c r="A445" s="101"/>
      <c r="B445" s="36"/>
      <c r="C445" s="98"/>
      <c r="D445" s="98"/>
      <c r="E445" s="98"/>
      <c r="F445" s="102"/>
      <c r="G445" s="103"/>
    </row>
    <row r="446" spans="1:7" x14ac:dyDescent="0.25">
      <c r="A446" s="101"/>
      <c r="B446" s="36"/>
      <c r="C446" s="98"/>
      <c r="D446" s="98"/>
      <c r="E446" s="98"/>
      <c r="F446" s="102"/>
      <c r="G446" s="103"/>
    </row>
    <row r="447" spans="1:7" x14ac:dyDescent="0.25">
      <c r="A447" s="101"/>
      <c r="B447" s="38"/>
      <c r="C447" s="98"/>
      <c r="D447" s="98"/>
      <c r="E447" s="98"/>
      <c r="F447" s="102"/>
      <c r="G447" s="103"/>
    </row>
    <row r="448" spans="1:7" x14ac:dyDescent="0.25">
      <c r="A448" s="101"/>
      <c r="B448" s="38"/>
      <c r="C448" s="98"/>
      <c r="D448" s="98"/>
      <c r="E448" s="98"/>
      <c r="F448" s="102"/>
      <c r="G448" s="103"/>
    </row>
    <row r="449" spans="1:7" x14ac:dyDescent="0.25">
      <c r="A449" s="101"/>
      <c r="B449" s="38"/>
      <c r="C449" s="98"/>
      <c r="D449" s="98"/>
      <c r="E449" s="98"/>
      <c r="F449" s="102"/>
      <c r="G449" s="103"/>
    </row>
    <row r="450" spans="1:7" x14ac:dyDescent="0.25">
      <c r="A450" s="101"/>
      <c r="B450" s="38"/>
      <c r="C450" s="98"/>
      <c r="D450" s="98"/>
      <c r="E450" s="98"/>
      <c r="F450" s="102"/>
      <c r="G450" s="103"/>
    </row>
    <row r="451" spans="1:7" x14ac:dyDescent="0.25">
      <c r="A451" s="101"/>
      <c r="B451" s="38"/>
      <c r="C451" s="98"/>
      <c r="D451" s="98"/>
      <c r="E451" s="98"/>
      <c r="F451" s="102"/>
      <c r="G451" s="103"/>
    </row>
    <row r="452" spans="1:7" x14ac:dyDescent="0.25">
      <c r="A452" s="101"/>
      <c r="B452" s="38"/>
      <c r="C452" s="98"/>
      <c r="D452" s="98"/>
      <c r="E452" s="98"/>
      <c r="F452" s="102"/>
      <c r="G452" s="103"/>
    </row>
    <row r="453" spans="1:7" x14ac:dyDescent="0.25">
      <c r="A453" s="101"/>
      <c r="B453" s="38"/>
      <c r="C453" s="98"/>
      <c r="D453" s="98"/>
      <c r="E453" s="98"/>
      <c r="F453" s="102"/>
      <c r="G453" s="103"/>
    </row>
    <row r="454" spans="1:7" x14ac:dyDescent="0.25">
      <c r="A454" s="101"/>
      <c r="B454" s="38"/>
      <c r="C454" s="98"/>
      <c r="D454" s="98"/>
      <c r="E454" s="98"/>
      <c r="F454" s="102"/>
      <c r="G454" s="103"/>
    </row>
    <row r="455" spans="1:7" x14ac:dyDescent="0.25">
      <c r="A455" s="101"/>
      <c r="B455" s="38"/>
      <c r="C455" s="98"/>
      <c r="D455" s="98"/>
      <c r="E455" s="98"/>
      <c r="F455" s="102"/>
      <c r="G455" s="103"/>
    </row>
    <row r="456" spans="1:7" x14ac:dyDescent="0.25">
      <c r="A456" s="101"/>
      <c r="B456" s="38"/>
      <c r="C456" s="98"/>
      <c r="D456" s="98"/>
      <c r="E456" s="98"/>
      <c r="F456" s="102"/>
      <c r="G456" s="103"/>
    </row>
    <row r="457" spans="1:7" x14ac:dyDescent="0.25">
      <c r="A457" s="101"/>
      <c r="B457" s="38"/>
      <c r="C457" s="98"/>
      <c r="D457" s="98"/>
      <c r="E457" s="98"/>
      <c r="F457" s="102"/>
      <c r="G457" s="103"/>
    </row>
    <row r="458" spans="1:7" x14ac:dyDescent="0.25">
      <c r="A458" s="101"/>
      <c r="B458" s="38"/>
      <c r="C458" s="98"/>
      <c r="D458" s="98"/>
      <c r="E458" s="98"/>
      <c r="F458" s="102"/>
      <c r="G458" s="103"/>
    </row>
    <row r="459" spans="1:7" x14ac:dyDescent="0.25">
      <c r="A459" s="101"/>
      <c r="B459" s="38"/>
      <c r="C459" s="98"/>
      <c r="D459" s="98"/>
      <c r="E459" s="98"/>
      <c r="F459" s="102"/>
      <c r="G459" s="103"/>
    </row>
    <row r="460" spans="1:7" x14ac:dyDescent="0.25">
      <c r="A460" s="101"/>
      <c r="B460" s="38"/>
      <c r="C460" s="98"/>
      <c r="D460" s="98"/>
      <c r="E460" s="98"/>
      <c r="F460" s="102"/>
      <c r="G460" s="103"/>
    </row>
    <row r="461" spans="1:7" x14ac:dyDescent="0.25">
      <c r="A461" s="101"/>
      <c r="B461" s="38"/>
      <c r="C461" s="98"/>
      <c r="D461" s="98"/>
      <c r="E461" s="98"/>
      <c r="F461" s="102"/>
      <c r="G461" s="103"/>
    </row>
    <row r="462" spans="1:7" x14ac:dyDescent="0.25">
      <c r="A462" s="101"/>
      <c r="B462" s="38"/>
      <c r="C462" s="98"/>
      <c r="D462" s="98"/>
      <c r="E462" s="98"/>
      <c r="F462" s="102"/>
      <c r="G462" s="103"/>
    </row>
    <row r="463" spans="1:7" x14ac:dyDescent="0.25">
      <c r="A463" s="101"/>
      <c r="B463" s="38"/>
      <c r="C463" s="98"/>
      <c r="D463" s="98"/>
      <c r="E463" s="98"/>
      <c r="F463" s="102"/>
      <c r="G463" s="103"/>
    </row>
    <row r="464" spans="1:7" x14ac:dyDescent="0.25">
      <c r="A464" s="101"/>
      <c r="B464" s="38"/>
      <c r="C464" s="98"/>
      <c r="D464" s="98"/>
      <c r="E464" s="98"/>
      <c r="F464" s="102"/>
      <c r="G464" s="103"/>
    </row>
    <row r="465" spans="1:7" x14ac:dyDescent="0.25">
      <c r="A465" s="101"/>
      <c r="B465" s="38"/>
      <c r="C465" s="98"/>
      <c r="D465" s="98"/>
      <c r="E465" s="98"/>
      <c r="F465" s="102"/>
      <c r="G465" s="103"/>
    </row>
    <row r="466" spans="1:7" x14ac:dyDescent="0.25">
      <c r="A466" s="101"/>
      <c r="B466" s="38"/>
      <c r="C466" s="98"/>
      <c r="D466" s="98"/>
      <c r="E466" s="98"/>
      <c r="F466" s="102"/>
      <c r="G466" s="103"/>
    </row>
    <row r="467" spans="1:7" x14ac:dyDescent="0.25">
      <c r="A467" s="101"/>
      <c r="B467" s="38"/>
      <c r="C467" s="98"/>
      <c r="D467" s="98"/>
      <c r="E467" s="98"/>
      <c r="F467" s="102"/>
      <c r="G467" s="103"/>
    </row>
    <row r="468" spans="1:7" x14ac:dyDescent="0.25">
      <c r="A468" s="101"/>
      <c r="B468" s="36"/>
      <c r="C468" s="98"/>
      <c r="D468" s="98"/>
      <c r="E468" s="98"/>
      <c r="F468" s="102"/>
      <c r="G468" s="103"/>
    </row>
    <row r="469" spans="1:7" x14ac:dyDescent="0.25">
      <c r="A469" s="101"/>
      <c r="B469" s="36"/>
      <c r="C469" s="98"/>
      <c r="D469" s="98"/>
      <c r="E469" s="98"/>
      <c r="F469" s="102"/>
      <c r="G469" s="103"/>
    </row>
    <row r="470" spans="1:7" x14ac:dyDescent="0.25">
      <c r="A470" s="101"/>
      <c r="B470" s="36"/>
      <c r="C470" s="98"/>
      <c r="D470" s="98"/>
      <c r="E470" s="98"/>
      <c r="F470" s="102"/>
      <c r="G470" s="103"/>
    </row>
    <row r="471" spans="1:7" x14ac:dyDescent="0.25">
      <c r="A471" s="101"/>
      <c r="B471" s="36"/>
      <c r="C471" s="98"/>
      <c r="D471" s="98"/>
      <c r="E471" s="98"/>
      <c r="F471" s="102"/>
      <c r="G471" s="103"/>
    </row>
    <row r="472" spans="1:7" x14ac:dyDescent="0.25">
      <c r="A472" s="101"/>
      <c r="B472" s="36"/>
      <c r="C472" s="98"/>
      <c r="D472" s="98"/>
      <c r="E472" s="98"/>
      <c r="F472" s="102"/>
      <c r="G472" s="103"/>
    </row>
    <row r="473" spans="1:7" x14ac:dyDescent="0.25">
      <c r="A473" s="101"/>
      <c r="B473" s="36"/>
      <c r="C473" s="98"/>
      <c r="D473" s="98"/>
      <c r="E473" s="98"/>
      <c r="F473" s="102"/>
      <c r="G473" s="103"/>
    </row>
    <row r="474" spans="1:7" x14ac:dyDescent="0.25">
      <c r="A474" s="101"/>
      <c r="B474" s="36"/>
      <c r="C474" s="98"/>
      <c r="D474" s="98"/>
      <c r="E474" s="98"/>
      <c r="F474" s="102"/>
      <c r="G474" s="103"/>
    </row>
    <row r="475" spans="1:7" x14ac:dyDescent="0.25">
      <c r="A475" s="101"/>
      <c r="B475" s="36"/>
      <c r="C475" s="98"/>
      <c r="D475" s="98"/>
      <c r="E475" s="98"/>
      <c r="F475" s="102"/>
      <c r="G475" s="103"/>
    </row>
    <row r="476" spans="1:7" x14ac:dyDescent="0.25">
      <c r="A476" s="101"/>
      <c r="B476" s="67"/>
      <c r="C476" s="98"/>
      <c r="D476" s="98"/>
      <c r="E476" s="98"/>
      <c r="F476" s="102"/>
      <c r="G476" s="103"/>
    </row>
    <row r="477" spans="1:7" x14ac:dyDescent="0.25">
      <c r="A477" s="101"/>
      <c r="B477" s="36"/>
      <c r="C477" s="98"/>
      <c r="D477" s="98"/>
      <c r="E477" s="98"/>
      <c r="F477" s="102"/>
      <c r="G477" s="103"/>
    </row>
    <row r="478" spans="1:7" x14ac:dyDescent="0.25">
      <c r="A478" s="101"/>
      <c r="B478" s="36"/>
      <c r="C478" s="98"/>
      <c r="D478" s="98"/>
      <c r="E478" s="98"/>
      <c r="F478" s="102"/>
      <c r="G478" s="103"/>
    </row>
    <row r="479" spans="1:7" x14ac:dyDescent="0.25">
      <c r="A479" s="101"/>
      <c r="B479" s="36"/>
      <c r="C479" s="98"/>
      <c r="D479" s="98"/>
      <c r="E479" s="98"/>
      <c r="F479" s="102"/>
      <c r="G479" s="103"/>
    </row>
    <row r="480" spans="1:7" x14ac:dyDescent="0.25">
      <c r="A480" s="101"/>
      <c r="B480" s="38"/>
      <c r="C480" s="98"/>
      <c r="D480" s="98"/>
      <c r="E480" s="98"/>
      <c r="F480" s="102"/>
      <c r="G480" s="103"/>
    </row>
    <row r="481" spans="1:7" x14ac:dyDescent="0.25">
      <c r="A481" s="101"/>
      <c r="B481" s="38"/>
      <c r="C481" s="98"/>
      <c r="D481" s="98"/>
      <c r="E481" s="98"/>
      <c r="F481" s="102"/>
      <c r="G481" s="103"/>
    </row>
    <row r="482" spans="1:7" x14ac:dyDescent="0.25">
      <c r="A482" s="101"/>
      <c r="B482" s="38"/>
      <c r="C482" s="98"/>
      <c r="D482" s="98"/>
      <c r="E482" s="98"/>
      <c r="F482" s="102"/>
      <c r="G482" s="103"/>
    </row>
    <row r="483" spans="1:7" x14ac:dyDescent="0.25">
      <c r="A483" s="101"/>
      <c r="B483" s="36"/>
      <c r="C483" s="98"/>
      <c r="D483" s="98"/>
      <c r="E483" s="98"/>
      <c r="F483" s="102"/>
      <c r="G483" s="103"/>
    </row>
    <row r="484" spans="1:7" x14ac:dyDescent="0.25">
      <c r="A484" s="101"/>
      <c r="B484" s="36"/>
      <c r="C484" s="98"/>
      <c r="D484" s="98"/>
      <c r="E484" s="98"/>
      <c r="F484" s="102"/>
      <c r="G484" s="103"/>
    </row>
    <row r="485" spans="1:7" x14ac:dyDescent="0.25">
      <c r="A485" s="101"/>
      <c r="B485" s="36"/>
      <c r="C485" s="98"/>
      <c r="D485" s="98"/>
      <c r="E485" s="98"/>
      <c r="F485" s="102"/>
      <c r="G485" s="103"/>
    </row>
    <row r="486" spans="1:7" x14ac:dyDescent="0.25">
      <c r="A486" s="101"/>
      <c r="B486" s="36"/>
      <c r="C486" s="98"/>
      <c r="D486" s="98"/>
      <c r="E486" s="98"/>
      <c r="F486" s="102"/>
      <c r="G486" s="103"/>
    </row>
    <row r="487" spans="1:7" x14ac:dyDescent="0.25">
      <c r="A487" s="101"/>
      <c r="B487" s="36"/>
      <c r="C487" s="98"/>
      <c r="D487" s="98"/>
      <c r="E487" s="98"/>
      <c r="F487" s="102"/>
      <c r="G487" s="103"/>
    </row>
    <row r="488" spans="1:7" x14ac:dyDescent="0.25">
      <c r="A488" s="101"/>
      <c r="B488" s="36"/>
      <c r="C488" s="98"/>
      <c r="D488" s="98"/>
      <c r="E488" s="98"/>
      <c r="F488" s="102"/>
      <c r="G488" s="103"/>
    </row>
    <row r="489" spans="1:7" x14ac:dyDescent="0.25">
      <c r="A489" s="101"/>
      <c r="B489" s="36"/>
      <c r="C489" s="98"/>
      <c r="D489" s="98"/>
      <c r="E489" s="98"/>
      <c r="F489" s="102"/>
      <c r="G489" s="103"/>
    </row>
    <row r="490" spans="1:7" x14ac:dyDescent="0.25">
      <c r="A490" s="101"/>
      <c r="B490" s="36"/>
      <c r="C490" s="98"/>
      <c r="D490" s="98"/>
      <c r="E490" s="98"/>
      <c r="F490" s="102"/>
      <c r="G490" s="103"/>
    </row>
    <row r="491" spans="1:7" x14ac:dyDescent="0.25">
      <c r="A491" s="101"/>
      <c r="B491" s="36"/>
      <c r="C491" s="98"/>
      <c r="D491" s="98"/>
      <c r="E491" s="98"/>
      <c r="F491" s="102"/>
      <c r="G491" s="103"/>
    </row>
    <row r="492" spans="1:7" x14ac:dyDescent="0.25">
      <c r="A492" s="101"/>
      <c r="B492" s="36"/>
      <c r="C492" s="98"/>
      <c r="D492" s="98"/>
      <c r="E492" s="98"/>
      <c r="F492" s="102"/>
      <c r="G492" s="103"/>
    </row>
    <row r="493" spans="1:7" x14ac:dyDescent="0.25">
      <c r="A493" s="101"/>
      <c r="B493" s="36"/>
      <c r="C493" s="98"/>
      <c r="D493" s="98"/>
      <c r="E493" s="98"/>
      <c r="F493" s="102"/>
      <c r="G493" s="103"/>
    </row>
    <row r="494" spans="1:7" x14ac:dyDescent="0.25">
      <c r="A494" s="101"/>
      <c r="B494" s="36"/>
      <c r="C494" s="98"/>
      <c r="D494" s="98"/>
      <c r="E494" s="98"/>
      <c r="F494" s="102"/>
      <c r="G494" s="103"/>
    </row>
    <row r="495" spans="1:7" x14ac:dyDescent="0.25">
      <c r="A495" s="101"/>
      <c r="B495" s="36"/>
      <c r="C495" s="98"/>
      <c r="D495" s="98"/>
      <c r="E495" s="98"/>
      <c r="F495" s="102"/>
      <c r="G495" s="103"/>
    </row>
    <row r="496" spans="1:7" x14ac:dyDescent="0.25">
      <c r="A496" s="101"/>
      <c r="B496" s="36"/>
      <c r="C496" s="98"/>
      <c r="D496" s="98"/>
      <c r="E496" s="98"/>
      <c r="F496" s="102"/>
      <c r="G496" s="103"/>
    </row>
    <row r="497" spans="1:7" x14ac:dyDescent="0.25">
      <c r="A497" s="101"/>
      <c r="B497" s="36"/>
      <c r="C497" s="98"/>
      <c r="D497" s="98"/>
      <c r="E497" s="98"/>
      <c r="F497" s="102"/>
      <c r="G497" s="103"/>
    </row>
    <row r="498" spans="1:7" x14ac:dyDescent="0.25">
      <c r="A498" s="101"/>
      <c r="B498" s="36"/>
      <c r="C498" s="98"/>
      <c r="D498" s="98"/>
      <c r="E498" s="98"/>
      <c r="F498" s="102"/>
      <c r="G498" s="103"/>
    </row>
    <row r="499" spans="1:7" x14ac:dyDescent="0.25">
      <c r="A499" s="101"/>
      <c r="B499" s="36"/>
      <c r="C499" s="98"/>
      <c r="D499" s="98"/>
      <c r="E499" s="98"/>
      <c r="F499" s="102"/>
      <c r="G499" s="103"/>
    </row>
    <row r="500" spans="1:7" x14ac:dyDescent="0.25">
      <c r="A500" s="101"/>
      <c r="B500" s="36"/>
      <c r="C500" s="98"/>
      <c r="D500" s="98"/>
      <c r="E500" s="98"/>
      <c r="F500" s="102"/>
      <c r="G500" s="103"/>
    </row>
    <row r="501" spans="1:7" x14ac:dyDescent="0.25">
      <c r="A501" s="101"/>
      <c r="B501" s="36"/>
      <c r="C501" s="98"/>
      <c r="D501" s="98"/>
      <c r="E501" s="98"/>
      <c r="F501" s="102"/>
      <c r="G501" s="103"/>
    </row>
    <row r="502" spans="1:7" x14ac:dyDescent="0.25">
      <c r="A502" s="101"/>
      <c r="B502" s="36"/>
      <c r="C502" s="98"/>
      <c r="D502" s="98"/>
      <c r="E502" s="98"/>
      <c r="F502" s="102"/>
      <c r="G502" s="103"/>
    </row>
    <row r="503" spans="1:7" x14ac:dyDescent="0.25">
      <c r="A503" s="101"/>
      <c r="B503" s="36"/>
      <c r="C503" s="98"/>
      <c r="D503" s="98"/>
      <c r="E503" s="98"/>
      <c r="F503" s="102"/>
      <c r="G503" s="103"/>
    </row>
    <row r="504" spans="1:7" x14ac:dyDescent="0.25">
      <c r="A504" s="101"/>
      <c r="B504" s="36"/>
      <c r="C504" s="98"/>
      <c r="D504" s="98"/>
      <c r="E504" s="98"/>
      <c r="F504" s="102"/>
      <c r="G504" s="103"/>
    </row>
    <row r="505" spans="1:7" x14ac:dyDescent="0.25">
      <c r="A505" s="101"/>
      <c r="B505" s="36"/>
      <c r="C505" s="98"/>
      <c r="D505" s="98"/>
      <c r="E505" s="98"/>
      <c r="F505" s="102"/>
      <c r="G505" s="103"/>
    </row>
    <row r="506" spans="1:7" x14ac:dyDescent="0.25">
      <c r="A506" s="101"/>
      <c r="B506" s="36"/>
      <c r="C506" s="98"/>
      <c r="D506" s="98"/>
      <c r="E506" s="98"/>
      <c r="F506" s="102"/>
      <c r="G506" s="103"/>
    </row>
    <row r="507" spans="1:7" x14ac:dyDescent="0.25">
      <c r="A507" s="101"/>
      <c r="B507" s="36"/>
      <c r="C507" s="98"/>
      <c r="D507" s="98"/>
      <c r="E507" s="98"/>
      <c r="F507" s="102"/>
      <c r="G507" s="103"/>
    </row>
    <row r="508" spans="1:7" x14ac:dyDescent="0.25">
      <c r="A508" s="101"/>
      <c r="B508" s="36"/>
      <c r="C508" s="98"/>
      <c r="D508" s="98"/>
      <c r="E508" s="98"/>
      <c r="F508" s="102"/>
      <c r="G508" s="103"/>
    </row>
    <row r="509" spans="1:7" x14ac:dyDescent="0.25">
      <c r="A509" s="101"/>
      <c r="B509" s="36"/>
      <c r="C509" s="98"/>
      <c r="D509" s="98"/>
      <c r="E509" s="98"/>
      <c r="F509" s="102"/>
      <c r="G509" s="103"/>
    </row>
    <row r="510" spans="1:7" x14ac:dyDescent="0.25">
      <c r="A510" s="101"/>
      <c r="B510" s="36"/>
      <c r="C510" s="98"/>
      <c r="D510" s="98"/>
      <c r="E510" s="98"/>
      <c r="F510" s="102"/>
      <c r="G510" s="103"/>
    </row>
    <row r="511" spans="1:7" x14ac:dyDescent="0.25">
      <c r="A511" s="101"/>
      <c r="B511" s="36"/>
      <c r="C511" s="98"/>
      <c r="D511" s="98"/>
      <c r="E511" s="98"/>
      <c r="F511" s="102"/>
      <c r="G511" s="103"/>
    </row>
    <row r="512" spans="1:7" x14ac:dyDescent="0.25">
      <c r="A512" s="101"/>
      <c r="B512" s="36"/>
      <c r="C512" s="98"/>
      <c r="D512" s="98"/>
      <c r="E512" s="98"/>
      <c r="F512" s="102"/>
      <c r="G512" s="103"/>
    </row>
    <row r="513" spans="1:7" x14ac:dyDescent="0.25">
      <c r="A513" s="101"/>
      <c r="B513" s="36"/>
      <c r="C513" s="98"/>
      <c r="D513" s="98"/>
      <c r="E513" s="98"/>
      <c r="F513" s="102"/>
      <c r="G513" s="103"/>
    </row>
    <row r="514" spans="1:7" x14ac:dyDescent="0.25">
      <c r="A514" s="101"/>
      <c r="B514" s="36"/>
      <c r="C514" s="98"/>
      <c r="D514" s="98"/>
      <c r="E514" s="98"/>
      <c r="F514" s="102"/>
      <c r="G514" s="103"/>
    </row>
    <row r="515" spans="1:7" x14ac:dyDescent="0.25">
      <c r="A515" s="101"/>
      <c r="B515" s="36"/>
      <c r="C515" s="98"/>
      <c r="D515" s="98"/>
      <c r="E515" s="98"/>
      <c r="F515" s="102"/>
      <c r="G515" s="103"/>
    </row>
    <row r="516" spans="1:7" x14ac:dyDescent="0.25">
      <c r="A516" s="101"/>
      <c r="B516" s="36"/>
      <c r="C516" s="98"/>
      <c r="D516" s="98"/>
      <c r="E516" s="98"/>
      <c r="F516" s="102"/>
      <c r="G516" s="103"/>
    </row>
    <row r="517" spans="1:7" x14ac:dyDescent="0.25">
      <c r="A517" s="101"/>
      <c r="B517" s="36"/>
      <c r="C517" s="98"/>
      <c r="D517" s="98"/>
      <c r="E517" s="98"/>
      <c r="F517" s="102"/>
      <c r="G517" s="103"/>
    </row>
    <row r="518" spans="1:7" x14ac:dyDescent="0.25">
      <c r="A518" s="101"/>
      <c r="B518" s="36"/>
      <c r="C518" s="98"/>
      <c r="D518" s="98"/>
      <c r="E518" s="98"/>
      <c r="F518" s="102"/>
      <c r="G518" s="103"/>
    </row>
    <row r="519" spans="1:7" x14ac:dyDescent="0.25">
      <c r="A519" s="101"/>
      <c r="B519" s="36"/>
      <c r="C519" s="98"/>
      <c r="D519" s="98"/>
      <c r="E519" s="98"/>
      <c r="F519" s="102"/>
      <c r="G519" s="103"/>
    </row>
    <row r="520" spans="1:7" x14ac:dyDescent="0.25">
      <c r="A520" s="101"/>
      <c r="B520" s="36"/>
      <c r="C520" s="98"/>
      <c r="D520" s="98"/>
      <c r="E520" s="98"/>
      <c r="F520" s="102"/>
      <c r="G520" s="103"/>
    </row>
    <row r="521" spans="1:7" x14ac:dyDescent="0.25">
      <c r="A521" s="101"/>
      <c r="B521" s="36"/>
      <c r="C521" s="98"/>
      <c r="D521" s="98"/>
      <c r="E521" s="98"/>
      <c r="F521" s="102"/>
      <c r="G521" s="103"/>
    </row>
    <row r="522" spans="1:7" x14ac:dyDescent="0.25">
      <c r="A522" s="101"/>
      <c r="B522" s="36"/>
      <c r="C522" s="98"/>
      <c r="D522" s="98"/>
      <c r="E522" s="98"/>
      <c r="F522" s="102"/>
      <c r="G522" s="103"/>
    </row>
    <row r="523" spans="1:7" x14ac:dyDescent="0.25">
      <c r="A523" s="101"/>
      <c r="B523" s="36"/>
      <c r="C523" s="98"/>
      <c r="D523" s="98"/>
      <c r="E523" s="98"/>
      <c r="F523" s="102"/>
      <c r="G523" s="103"/>
    </row>
    <row r="524" spans="1:7" x14ac:dyDescent="0.25">
      <c r="A524" s="101"/>
      <c r="B524" s="36"/>
      <c r="C524" s="98"/>
      <c r="D524" s="98"/>
      <c r="E524" s="98"/>
      <c r="F524" s="102"/>
      <c r="G524" s="103"/>
    </row>
    <row r="525" spans="1:7" x14ac:dyDescent="0.25">
      <c r="A525" s="101"/>
      <c r="B525" s="36"/>
      <c r="C525" s="98"/>
      <c r="D525" s="98"/>
      <c r="E525" s="98"/>
      <c r="F525" s="102"/>
      <c r="G525" s="103"/>
    </row>
    <row r="526" spans="1:7" x14ac:dyDescent="0.25">
      <c r="A526" s="101"/>
      <c r="B526" s="36"/>
      <c r="C526" s="98"/>
      <c r="D526" s="98"/>
      <c r="E526" s="98"/>
      <c r="F526" s="102"/>
      <c r="G526" s="103"/>
    </row>
    <row r="527" spans="1:7" x14ac:dyDescent="0.25">
      <c r="A527" s="101"/>
      <c r="B527" s="36"/>
      <c r="C527" s="98"/>
      <c r="D527" s="98"/>
      <c r="E527" s="98"/>
      <c r="F527" s="102"/>
      <c r="G527" s="103"/>
    </row>
    <row r="528" spans="1:7" x14ac:dyDescent="0.25">
      <c r="A528" s="101"/>
      <c r="B528" s="36"/>
      <c r="C528" s="98"/>
      <c r="D528" s="98"/>
      <c r="E528" s="98"/>
      <c r="F528" s="102"/>
      <c r="G528" s="103"/>
    </row>
    <row r="529" spans="1:7" x14ac:dyDescent="0.25">
      <c r="A529" s="101"/>
      <c r="B529" s="36"/>
      <c r="C529" s="98"/>
      <c r="D529" s="98"/>
      <c r="E529" s="98"/>
      <c r="F529" s="102"/>
      <c r="G529" s="103"/>
    </row>
    <row r="530" spans="1:7" x14ac:dyDescent="0.25">
      <c r="A530" s="101"/>
      <c r="B530" s="36"/>
      <c r="C530" s="98"/>
      <c r="D530" s="98"/>
      <c r="E530" s="98"/>
      <c r="F530" s="102"/>
      <c r="G530" s="103"/>
    </row>
    <row r="531" spans="1:7" x14ac:dyDescent="0.25">
      <c r="A531" s="101"/>
      <c r="B531" s="36"/>
      <c r="C531" s="98"/>
      <c r="D531" s="98"/>
      <c r="E531" s="98"/>
      <c r="F531" s="102"/>
      <c r="G531" s="103"/>
    </row>
    <row r="532" spans="1:7" x14ac:dyDescent="0.25">
      <c r="A532" s="101"/>
      <c r="B532" s="36"/>
      <c r="C532" s="98"/>
      <c r="D532" s="98"/>
      <c r="E532" s="98"/>
      <c r="F532" s="102"/>
      <c r="G532" s="103"/>
    </row>
    <row r="533" spans="1:7" x14ac:dyDescent="0.25">
      <c r="A533" s="101"/>
      <c r="B533" s="36"/>
      <c r="C533" s="98"/>
      <c r="D533" s="98"/>
      <c r="E533" s="98"/>
      <c r="F533" s="102"/>
      <c r="G533" s="103"/>
    </row>
    <row r="534" spans="1:7" x14ac:dyDescent="0.25">
      <c r="A534" s="101"/>
      <c r="B534" s="36"/>
      <c r="C534" s="98"/>
      <c r="D534" s="98"/>
      <c r="E534" s="98"/>
      <c r="F534" s="102"/>
      <c r="G534" s="103"/>
    </row>
    <row r="535" spans="1:7" x14ac:dyDescent="0.25">
      <c r="A535" s="101"/>
      <c r="B535" s="36"/>
      <c r="C535" s="98"/>
      <c r="D535" s="98"/>
      <c r="E535" s="98"/>
      <c r="F535" s="102"/>
      <c r="G535" s="103"/>
    </row>
    <row r="536" spans="1:7" x14ac:dyDescent="0.25">
      <c r="A536" s="101"/>
      <c r="B536" s="36"/>
      <c r="C536" s="98"/>
      <c r="D536" s="98"/>
      <c r="E536" s="98"/>
      <c r="F536" s="102"/>
      <c r="G536" s="103"/>
    </row>
    <row r="537" spans="1:7" x14ac:dyDescent="0.25">
      <c r="A537" s="101"/>
      <c r="B537" s="67"/>
      <c r="C537" s="98"/>
      <c r="D537" s="98"/>
      <c r="E537" s="98"/>
      <c r="F537" s="102"/>
      <c r="G537" s="103"/>
    </row>
    <row r="538" spans="1:7" x14ac:dyDescent="0.25">
      <c r="A538" s="101"/>
      <c r="B538" s="36"/>
      <c r="C538" s="98"/>
      <c r="D538" s="98"/>
      <c r="E538" s="98"/>
      <c r="F538" s="102"/>
      <c r="G538" s="103"/>
    </row>
    <row r="539" spans="1:7" x14ac:dyDescent="0.25">
      <c r="A539" s="101"/>
      <c r="B539" s="36"/>
      <c r="C539" s="98"/>
      <c r="D539" s="98"/>
      <c r="E539" s="98"/>
      <c r="F539" s="102"/>
      <c r="G539" s="103"/>
    </row>
    <row r="540" spans="1:7" x14ac:dyDescent="0.25">
      <c r="A540" s="101"/>
      <c r="B540" s="36"/>
      <c r="C540" s="98"/>
      <c r="D540" s="98"/>
      <c r="E540" s="98"/>
      <c r="F540" s="102"/>
      <c r="G540" s="103"/>
    </row>
    <row r="541" spans="1:7" x14ac:dyDescent="0.25">
      <c r="A541" s="101"/>
      <c r="B541" s="67"/>
      <c r="C541" s="98"/>
      <c r="D541" s="98"/>
      <c r="E541" s="98"/>
      <c r="F541" s="102"/>
      <c r="G541" s="103"/>
    </row>
    <row r="542" spans="1:7" x14ac:dyDescent="0.25">
      <c r="A542" s="101"/>
      <c r="B542" s="36"/>
      <c r="C542" s="98"/>
      <c r="D542" s="98"/>
      <c r="E542" s="98"/>
      <c r="F542" s="102"/>
      <c r="G542" s="103"/>
    </row>
    <row r="543" spans="1:7" x14ac:dyDescent="0.25">
      <c r="A543" s="101"/>
      <c r="B543" s="36"/>
      <c r="C543" s="98"/>
      <c r="D543" s="98"/>
      <c r="E543" s="98"/>
      <c r="F543" s="102"/>
      <c r="G543" s="103"/>
    </row>
    <row r="544" spans="1:7" x14ac:dyDescent="0.25">
      <c r="A544" s="101"/>
      <c r="B544" s="36"/>
      <c r="C544" s="98"/>
      <c r="D544" s="98"/>
      <c r="E544" s="98"/>
      <c r="F544" s="102"/>
      <c r="G544" s="103"/>
    </row>
    <row r="545" spans="1:7" x14ac:dyDescent="0.25">
      <c r="A545" s="101"/>
      <c r="B545" s="36"/>
      <c r="C545" s="98"/>
      <c r="D545" s="98"/>
      <c r="E545" s="98"/>
      <c r="F545" s="102"/>
      <c r="G545" s="103"/>
    </row>
    <row r="546" spans="1:7" x14ac:dyDescent="0.25">
      <c r="A546" s="101"/>
      <c r="B546" s="36"/>
      <c r="C546" s="98"/>
      <c r="D546" s="98"/>
      <c r="E546" s="98"/>
      <c r="F546" s="102"/>
      <c r="G546" s="103"/>
    </row>
    <row r="547" spans="1:7" x14ac:dyDescent="0.25">
      <c r="A547" s="101"/>
      <c r="B547" s="36"/>
      <c r="C547" s="98"/>
      <c r="D547" s="98"/>
      <c r="E547" s="98"/>
      <c r="F547" s="102"/>
      <c r="G547" s="103"/>
    </row>
    <row r="548" spans="1:7" x14ac:dyDescent="0.25">
      <c r="A548" s="101"/>
      <c r="B548" s="36"/>
      <c r="C548" s="98"/>
      <c r="D548" s="98"/>
      <c r="E548" s="98"/>
      <c r="F548" s="102"/>
      <c r="G548" s="103"/>
    </row>
    <row r="549" spans="1:7" x14ac:dyDescent="0.25">
      <c r="A549" s="101"/>
      <c r="B549" s="36"/>
      <c r="C549" s="98"/>
      <c r="D549" s="98"/>
      <c r="E549" s="98"/>
      <c r="F549" s="102"/>
      <c r="G549" s="103"/>
    </row>
    <row r="550" spans="1:7" x14ac:dyDescent="0.25">
      <c r="A550" s="101"/>
      <c r="B550" s="36"/>
      <c r="C550" s="98"/>
      <c r="D550" s="98"/>
      <c r="E550" s="98"/>
      <c r="F550" s="102"/>
      <c r="G550" s="103"/>
    </row>
    <row r="551" spans="1:7" x14ac:dyDescent="0.25">
      <c r="A551" s="101"/>
      <c r="B551" s="36"/>
      <c r="C551" s="98"/>
      <c r="D551" s="98"/>
      <c r="E551" s="98"/>
      <c r="F551" s="102"/>
      <c r="G551" s="103"/>
    </row>
    <row r="552" spans="1:7" x14ac:dyDescent="0.25">
      <c r="A552" s="101"/>
      <c r="B552" s="36"/>
      <c r="C552" s="98"/>
      <c r="D552" s="98"/>
      <c r="E552" s="98"/>
      <c r="F552" s="102"/>
      <c r="G552" s="103"/>
    </row>
    <row r="553" spans="1:7" x14ac:dyDescent="0.25">
      <c r="A553" s="101"/>
      <c r="B553" s="36"/>
      <c r="C553" s="98"/>
      <c r="D553" s="98"/>
      <c r="E553" s="98"/>
      <c r="F553" s="102"/>
      <c r="G553" s="103"/>
    </row>
    <row r="554" spans="1:7" x14ac:dyDescent="0.25">
      <c r="A554" s="101"/>
      <c r="B554" s="66"/>
      <c r="C554" s="98"/>
      <c r="D554" s="98"/>
      <c r="E554" s="98"/>
      <c r="F554" s="102"/>
      <c r="G554" s="103"/>
    </row>
    <row r="555" spans="1:7" x14ac:dyDescent="0.25">
      <c r="A555" s="101"/>
      <c r="B555" s="36"/>
      <c r="C555" s="98"/>
      <c r="D555" s="98"/>
      <c r="E555" s="98"/>
      <c r="F555" s="102"/>
      <c r="G555" s="103"/>
    </row>
    <row r="556" spans="1:7" x14ac:dyDescent="0.25">
      <c r="A556" s="101"/>
      <c r="B556" s="67"/>
      <c r="C556" s="98"/>
      <c r="D556" s="98"/>
      <c r="E556" s="98"/>
      <c r="F556" s="102"/>
      <c r="G556" s="103"/>
    </row>
    <row r="557" spans="1:7" x14ac:dyDescent="0.25">
      <c r="A557" s="101"/>
      <c r="B557" s="36"/>
      <c r="C557" s="98"/>
      <c r="D557" s="98"/>
      <c r="E557" s="98"/>
      <c r="F557" s="102"/>
      <c r="G557" s="103"/>
    </row>
    <row r="558" spans="1:7" x14ac:dyDescent="0.25">
      <c r="A558" s="101"/>
      <c r="B558" s="36"/>
      <c r="C558" s="98"/>
      <c r="D558" s="98"/>
      <c r="E558" s="98"/>
      <c r="F558" s="102"/>
      <c r="G558" s="103"/>
    </row>
    <row r="559" spans="1:7" x14ac:dyDescent="0.25">
      <c r="A559" s="101"/>
      <c r="B559" s="36"/>
      <c r="C559" s="98"/>
      <c r="D559" s="98"/>
      <c r="E559" s="98"/>
      <c r="F559" s="102"/>
      <c r="G559" s="103"/>
    </row>
    <row r="560" spans="1:7" x14ac:dyDescent="0.25">
      <c r="A560" s="101"/>
      <c r="B560" s="36"/>
      <c r="C560" s="98"/>
      <c r="D560" s="98"/>
      <c r="E560" s="98"/>
      <c r="F560" s="102"/>
      <c r="G560" s="103"/>
    </row>
    <row r="561" spans="1:7" x14ac:dyDescent="0.25">
      <c r="A561" s="101"/>
      <c r="B561" s="36"/>
      <c r="C561" s="98"/>
      <c r="D561" s="98"/>
      <c r="E561" s="98"/>
      <c r="F561" s="102"/>
      <c r="G561" s="103"/>
    </row>
    <row r="562" spans="1:7" x14ac:dyDescent="0.25">
      <c r="A562" s="101"/>
      <c r="B562" s="36"/>
      <c r="C562" s="98"/>
      <c r="D562" s="98"/>
      <c r="E562" s="98"/>
      <c r="F562" s="102"/>
      <c r="G562" s="103"/>
    </row>
    <row r="563" spans="1:7" x14ac:dyDescent="0.25">
      <c r="A563" s="101"/>
      <c r="B563" s="36"/>
      <c r="C563" s="98"/>
      <c r="D563" s="98"/>
      <c r="E563" s="98"/>
      <c r="F563" s="102"/>
      <c r="G563" s="103"/>
    </row>
    <row r="564" spans="1:7" x14ac:dyDescent="0.25">
      <c r="A564" s="101"/>
      <c r="B564" s="36"/>
      <c r="C564" s="98"/>
      <c r="D564" s="98"/>
      <c r="E564" s="98"/>
      <c r="F564" s="102"/>
      <c r="G564" s="103"/>
    </row>
    <row r="565" spans="1:7" x14ac:dyDescent="0.25">
      <c r="A565" s="101"/>
      <c r="B565" s="36"/>
      <c r="C565" s="98"/>
      <c r="D565" s="98"/>
      <c r="E565" s="98"/>
      <c r="F565" s="102"/>
      <c r="G565" s="103"/>
    </row>
    <row r="566" spans="1:7" x14ac:dyDescent="0.25">
      <c r="A566" s="101"/>
      <c r="B566" s="36"/>
      <c r="C566" s="98"/>
      <c r="D566" s="98"/>
      <c r="E566" s="98"/>
      <c r="F566" s="102"/>
      <c r="G566" s="103"/>
    </row>
    <row r="567" spans="1:7" x14ac:dyDescent="0.25">
      <c r="A567" s="101"/>
      <c r="B567" s="36"/>
      <c r="C567" s="98"/>
      <c r="D567" s="98"/>
      <c r="E567" s="98"/>
      <c r="F567" s="102"/>
      <c r="G567" s="103"/>
    </row>
    <row r="568" spans="1:7" x14ac:dyDescent="0.25">
      <c r="A568" s="101"/>
      <c r="B568" s="36"/>
      <c r="C568" s="98"/>
      <c r="D568" s="98"/>
      <c r="E568" s="98"/>
      <c r="F568" s="102"/>
      <c r="G568" s="103"/>
    </row>
    <row r="569" spans="1:7" x14ac:dyDescent="0.25">
      <c r="A569" s="101"/>
      <c r="B569" s="36"/>
      <c r="C569" s="98"/>
      <c r="D569" s="98"/>
      <c r="E569" s="98"/>
      <c r="F569" s="102"/>
      <c r="G569" s="103"/>
    </row>
    <row r="570" spans="1:7" x14ac:dyDescent="0.25">
      <c r="A570" s="101"/>
      <c r="B570" s="36"/>
      <c r="C570" s="98"/>
      <c r="D570" s="98"/>
      <c r="E570" s="98"/>
      <c r="F570" s="102"/>
      <c r="G570" s="103"/>
    </row>
    <row r="571" spans="1:7" x14ac:dyDescent="0.25">
      <c r="A571" s="101"/>
      <c r="B571" s="36"/>
      <c r="C571" s="98"/>
      <c r="D571" s="98"/>
      <c r="E571" s="98"/>
      <c r="F571" s="102"/>
      <c r="G571" s="103"/>
    </row>
    <row r="572" spans="1:7" x14ac:dyDescent="0.25">
      <c r="A572" s="101"/>
      <c r="B572" s="36"/>
      <c r="C572" s="98"/>
      <c r="D572" s="98"/>
      <c r="E572" s="98"/>
      <c r="F572" s="102"/>
      <c r="G572" s="103"/>
    </row>
    <row r="573" spans="1:7" x14ac:dyDescent="0.25">
      <c r="A573" s="101"/>
      <c r="B573" s="36"/>
      <c r="C573" s="98"/>
      <c r="D573" s="98"/>
      <c r="E573" s="98"/>
      <c r="F573" s="102"/>
      <c r="G573" s="103"/>
    </row>
    <row r="574" spans="1:7" x14ac:dyDescent="0.25">
      <c r="A574" s="101"/>
      <c r="B574" s="36"/>
      <c r="C574" s="98"/>
      <c r="D574" s="98"/>
      <c r="E574" s="98"/>
      <c r="F574" s="102"/>
      <c r="G574" s="103"/>
    </row>
    <row r="575" spans="1:7" x14ac:dyDescent="0.25">
      <c r="A575" s="101"/>
      <c r="B575" s="36"/>
      <c r="C575" s="98"/>
      <c r="D575" s="98"/>
      <c r="E575" s="98"/>
      <c r="F575" s="102"/>
      <c r="G575" s="103"/>
    </row>
    <row r="576" spans="1:7" x14ac:dyDescent="0.25">
      <c r="A576" s="101"/>
      <c r="B576" s="67"/>
      <c r="C576" s="98"/>
      <c r="D576" s="98"/>
      <c r="E576" s="98"/>
      <c r="F576" s="102"/>
      <c r="G576" s="103"/>
    </row>
    <row r="577" spans="1:7" x14ac:dyDescent="0.25">
      <c r="A577" s="101"/>
      <c r="B577" s="36"/>
      <c r="C577" s="98"/>
      <c r="D577" s="98"/>
      <c r="E577" s="98"/>
      <c r="F577" s="102"/>
      <c r="G577" s="103"/>
    </row>
    <row r="578" spans="1:7" x14ac:dyDescent="0.25">
      <c r="A578" s="101"/>
      <c r="B578" s="36"/>
      <c r="C578" s="98"/>
      <c r="D578" s="98"/>
      <c r="E578" s="98"/>
      <c r="F578" s="102"/>
      <c r="G578" s="103"/>
    </row>
    <row r="579" spans="1:7" x14ac:dyDescent="0.25">
      <c r="A579" s="101"/>
      <c r="B579" s="36"/>
      <c r="C579" s="98"/>
      <c r="D579" s="98"/>
      <c r="E579" s="98"/>
      <c r="F579" s="102"/>
      <c r="G579" s="103"/>
    </row>
    <row r="580" spans="1:7" x14ac:dyDescent="0.25">
      <c r="A580" s="101"/>
      <c r="B580" s="67"/>
      <c r="C580" s="98"/>
      <c r="D580" s="98"/>
      <c r="E580" s="98"/>
      <c r="F580" s="102"/>
      <c r="G580" s="103"/>
    </row>
    <row r="581" spans="1:7" x14ac:dyDescent="0.25">
      <c r="A581" s="101"/>
      <c r="B581" s="36"/>
      <c r="C581" s="98"/>
      <c r="D581" s="98"/>
      <c r="E581" s="98"/>
      <c r="F581" s="102"/>
      <c r="G581" s="103"/>
    </row>
    <row r="582" spans="1:7" x14ac:dyDescent="0.25">
      <c r="A582" s="101"/>
      <c r="B582" s="36"/>
      <c r="C582" s="98"/>
      <c r="D582" s="98"/>
      <c r="E582" s="98"/>
      <c r="F582" s="102"/>
      <c r="G582" s="103"/>
    </row>
    <row r="583" spans="1:7" x14ac:dyDescent="0.25">
      <c r="A583" s="101"/>
      <c r="B583" s="36"/>
      <c r="C583" s="98"/>
      <c r="D583" s="98"/>
      <c r="E583" s="98"/>
      <c r="F583" s="102"/>
      <c r="G583" s="103"/>
    </row>
    <row r="584" spans="1:7" x14ac:dyDescent="0.25">
      <c r="A584" s="101"/>
      <c r="B584" s="36"/>
      <c r="C584" s="98"/>
      <c r="D584" s="98"/>
      <c r="E584" s="98"/>
      <c r="F584" s="102"/>
      <c r="G584" s="103"/>
    </row>
    <row r="585" spans="1:7" x14ac:dyDescent="0.25">
      <c r="A585" s="101"/>
      <c r="B585" s="36"/>
      <c r="C585" s="98"/>
      <c r="D585" s="98"/>
      <c r="E585" s="98"/>
      <c r="F585" s="102"/>
      <c r="G585" s="103"/>
    </row>
    <row r="586" spans="1:7" x14ac:dyDescent="0.25">
      <c r="A586" s="101"/>
      <c r="B586" s="36"/>
      <c r="C586" s="98"/>
      <c r="D586" s="98"/>
      <c r="E586" s="98"/>
      <c r="F586" s="102"/>
      <c r="G586" s="103"/>
    </row>
    <row r="587" spans="1:7" x14ac:dyDescent="0.25">
      <c r="A587" s="101"/>
      <c r="B587" s="36"/>
      <c r="C587" s="98"/>
      <c r="D587" s="98"/>
      <c r="E587" s="98"/>
      <c r="F587" s="102"/>
      <c r="G587" s="103"/>
    </row>
    <row r="588" spans="1:7" x14ac:dyDescent="0.25">
      <c r="A588" s="101"/>
      <c r="B588" s="36"/>
      <c r="C588" s="98"/>
      <c r="D588" s="98"/>
      <c r="E588" s="98"/>
      <c r="F588" s="102"/>
      <c r="G588" s="103"/>
    </row>
    <row r="589" spans="1:7" x14ac:dyDescent="0.25">
      <c r="A589" s="101"/>
      <c r="B589" s="36"/>
      <c r="C589" s="98"/>
      <c r="D589" s="98"/>
      <c r="E589" s="98"/>
      <c r="F589" s="102"/>
      <c r="G589" s="103"/>
    </row>
    <row r="590" spans="1:7" x14ac:dyDescent="0.25">
      <c r="A590" s="101"/>
      <c r="B590" s="36"/>
      <c r="C590" s="98"/>
      <c r="D590" s="98"/>
      <c r="E590" s="98"/>
      <c r="F590" s="102"/>
      <c r="G590" s="103"/>
    </row>
    <row r="591" spans="1:7" x14ac:dyDescent="0.25">
      <c r="A591" s="101"/>
      <c r="B591" s="36"/>
      <c r="C591" s="98"/>
      <c r="D591" s="98"/>
      <c r="E591" s="98"/>
      <c r="F591" s="102"/>
      <c r="G591" s="103"/>
    </row>
    <row r="592" spans="1:7" x14ac:dyDescent="0.25">
      <c r="A592" s="101"/>
      <c r="B592" s="36"/>
      <c r="C592" s="98"/>
      <c r="D592" s="98"/>
      <c r="E592" s="98"/>
      <c r="F592" s="102"/>
      <c r="G592" s="103"/>
    </row>
    <row r="593" spans="1:7" x14ac:dyDescent="0.25">
      <c r="A593" s="101"/>
      <c r="B593" s="36"/>
      <c r="C593" s="98"/>
      <c r="D593" s="98"/>
      <c r="E593" s="98"/>
      <c r="F593" s="102"/>
      <c r="G593" s="103"/>
    </row>
    <row r="594" spans="1:7" x14ac:dyDescent="0.25">
      <c r="A594" s="101"/>
      <c r="B594" s="36"/>
      <c r="C594" s="98"/>
      <c r="D594" s="98"/>
      <c r="E594" s="98"/>
      <c r="F594" s="102"/>
      <c r="G594" s="103"/>
    </row>
    <row r="595" spans="1:7" x14ac:dyDescent="0.25">
      <c r="A595" s="101"/>
      <c r="B595" s="36"/>
      <c r="C595" s="98"/>
      <c r="D595" s="98"/>
      <c r="E595" s="98"/>
      <c r="F595" s="102"/>
      <c r="G595" s="103"/>
    </row>
    <row r="596" spans="1:7" x14ac:dyDescent="0.25">
      <c r="A596" s="101"/>
      <c r="B596" s="36"/>
      <c r="C596" s="98"/>
      <c r="D596" s="98"/>
      <c r="E596" s="98"/>
      <c r="F596" s="102"/>
      <c r="G596" s="103"/>
    </row>
    <row r="597" spans="1:7" x14ac:dyDescent="0.25">
      <c r="A597" s="101"/>
      <c r="B597" s="36"/>
      <c r="C597" s="98"/>
      <c r="D597" s="98"/>
      <c r="E597" s="98"/>
      <c r="F597" s="102"/>
      <c r="G597" s="103"/>
    </row>
    <row r="598" spans="1:7" x14ac:dyDescent="0.25">
      <c r="A598" s="101"/>
      <c r="B598" s="36"/>
      <c r="C598" s="98"/>
      <c r="D598" s="98"/>
      <c r="E598" s="98"/>
      <c r="F598" s="102"/>
      <c r="G598" s="103"/>
    </row>
    <row r="599" spans="1:7" x14ac:dyDescent="0.25">
      <c r="A599" s="101"/>
      <c r="B599" s="36"/>
      <c r="C599" s="98"/>
      <c r="D599" s="98"/>
      <c r="E599" s="98"/>
      <c r="F599" s="102"/>
      <c r="G599" s="103"/>
    </row>
    <row r="600" spans="1:7" x14ac:dyDescent="0.25">
      <c r="A600" s="101"/>
      <c r="B600" s="36"/>
      <c r="C600" s="98"/>
      <c r="D600" s="98"/>
      <c r="E600" s="98"/>
      <c r="F600" s="102"/>
      <c r="G600" s="103"/>
    </row>
    <row r="601" spans="1:7" x14ac:dyDescent="0.25">
      <c r="A601" s="101"/>
      <c r="B601" s="36"/>
      <c r="C601" s="98"/>
      <c r="D601" s="98"/>
      <c r="E601" s="98"/>
      <c r="F601" s="102"/>
      <c r="G601" s="103"/>
    </row>
    <row r="602" spans="1:7" x14ac:dyDescent="0.25">
      <c r="A602" s="101"/>
      <c r="B602" s="36"/>
      <c r="C602" s="98"/>
      <c r="D602" s="98"/>
      <c r="E602" s="98"/>
      <c r="F602" s="102"/>
      <c r="G602" s="103"/>
    </row>
    <row r="603" spans="1:7" x14ac:dyDescent="0.25">
      <c r="A603" s="101"/>
      <c r="B603" s="67"/>
      <c r="C603" s="98"/>
      <c r="D603" s="98"/>
      <c r="E603" s="98"/>
      <c r="F603" s="102"/>
      <c r="G603" s="103"/>
    </row>
    <row r="604" spans="1:7" x14ac:dyDescent="0.25">
      <c r="A604" s="101"/>
      <c r="B604" s="67"/>
      <c r="C604" s="98"/>
      <c r="D604" s="98"/>
      <c r="E604" s="98"/>
      <c r="F604" s="102"/>
      <c r="G604" s="103"/>
    </row>
    <row r="605" spans="1:7" x14ac:dyDescent="0.25">
      <c r="A605" s="101"/>
      <c r="B605" s="36"/>
      <c r="C605" s="98"/>
      <c r="D605" s="98"/>
      <c r="E605" s="98"/>
      <c r="F605" s="102"/>
      <c r="G605" s="103"/>
    </row>
    <row r="606" spans="1:7" x14ac:dyDescent="0.25">
      <c r="A606" s="101"/>
      <c r="B606" s="36"/>
      <c r="C606" s="98"/>
      <c r="D606" s="98"/>
      <c r="E606" s="98"/>
      <c r="F606" s="102"/>
      <c r="G606" s="103"/>
    </row>
    <row r="607" spans="1:7" x14ac:dyDescent="0.25">
      <c r="A607" s="101"/>
      <c r="B607" s="36"/>
      <c r="C607" s="98"/>
      <c r="D607" s="98"/>
      <c r="E607" s="98"/>
      <c r="F607" s="102"/>
      <c r="G607" s="103"/>
    </row>
    <row r="608" spans="1:7" x14ac:dyDescent="0.25">
      <c r="A608" s="101"/>
      <c r="B608" s="36"/>
      <c r="C608" s="98"/>
      <c r="D608" s="98"/>
      <c r="E608" s="98"/>
      <c r="F608" s="102"/>
      <c r="G608" s="103"/>
    </row>
    <row r="609" spans="1:7" x14ac:dyDescent="0.25">
      <c r="A609" s="101"/>
      <c r="B609" s="36"/>
      <c r="C609" s="98"/>
      <c r="D609" s="98"/>
      <c r="E609" s="98"/>
      <c r="F609" s="102"/>
      <c r="G609" s="103"/>
    </row>
    <row r="610" spans="1:7" x14ac:dyDescent="0.25">
      <c r="A610" s="101"/>
      <c r="B610" s="36"/>
      <c r="C610" s="98"/>
      <c r="D610" s="98"/>
      <c r="E610" s="98"/>
      <c r="F610" s="102"/>
      <c r="G610" s="103"/>
    </row>
    <row r="611" spans="1:7" x14ac:dyDescent="0.25">
      <c r="A611" s="101"/>
      <c r="B611" s="36"/>
      <c r="C611" s="98"/>
      <c r="D611" s="98"/>
      <c r="E611" s="98"/>
      <c r="F611" s="102"/>
      <c r="G611" s="103"/>
    </row>
    <row r="612" spans="1:7" x14ac:dyDescent="0.25">
      <c r="A612" s="101"/>
      <c r="B612" s="36"/>
      <c r="C612" s="98"/>
      <c r="D612" s="98"/>
      <c r="E612" s="98"/>
      <c r="F612" s="102"/>
      <c r="G612" s="103"/>
    </row>
    <row r="613" spans="1:7" x14ac:dyDescent="0.25">
      <c r="A613" s="101"/>
      <c r="B613" s="36"/>
      <c r="C613" s="98"/>
      <c r="D613" s="98"/>
      <c r="E613" s="98"/>
      <c r="F613" s="102"/>
      <c r="G613" s="103"/>
    </row>
    <row r="614" spans="1:7" x14ac:dyDescent="0.25">
      <c r="A614" s="101"/>
      <c r="B614" s="36"/>
      <c r="C614" s="98"/>
      <c r="D614" s="98"/>
      <c r="E614" s="98"/>
      <c r="F614" s="102"/>
      <c r="G614" s="103"/>
    </row>
    <row r="615" spans="1:7" x14ac:dyDescent="0.25">
      <c r="A615" s="101"/>
      <c r="B615" s="36"/>
      <c r="C615" s="98"/>
      <c r="D615" s="98"/>
      <c r="E615" s="98"/>
      <c r="F615" s="102"/>
      <c r="G615" s="103"/>
    </row>
    <row r="616" spans="1:7" x14ac:dyDescent="0.25">
      <c r="A616" s="101"/>
      <c r="B616" s="36"/>
      <c r="C616" s="98"/>
      <c r="D616" s="98"/>
      <c r="E616" s="98"/>
      <c r="F616" s="102"/>
      <c r="G616" s="103"/>
    </row>
    <row r="617" spans="1:7" x14ac:dyDescent="0.25">
      <c r="A617" s="101"/>
      <c r="B617" s="36"/>
      <c r="C617" s="98"/>
      <c r="D617" s="98"/>
      <c r="E617" s="98"/>
      <c r="F617" s="102"/>
      <c r="G617" s="103"/>
    </row>
    <row r="618" spans="1:7" x14ac:dyDescent="0.25">
      <c r="A618" s="101"/>
      <c r="B618" s="36"/>
      <c r="C618" s="98"/>
      <c r="D618" s="98"/>
      <c r="E618" s="98"/>
      <c r="F618" s="102"/>
      <c r="G618" s="103"/>
    </row>
    <row r="619" spans="1:7" x14ac:dyDescent="0.25">
      <c r="A619" s="101"/>
      <c r="B619" s="36"/>
      <c r="C619" s="98"/>
      <c r="D619" s="98"/>
      <c r="E619" s="98"/>
      <c r="F619" s="102"/>
      <c r="G619" s="103"/>
    </row>
    <row r="620" spans="1:7" x14ac:dyDescent="0.25">
      <c r="A620" s="101"/>
      <c r="B620" s="36"/>
      <c r="C620" s="98"/>
      <c r="D620" s="98"/>
      <c r="E620" s="98"/>
      <c r="F620" s="102"/>
      <c r="G620" s="103"/>
    </row>
    <row r="621" spans="1:7" x14ac:dyDescent="0.25">
      <c r="A621" s="101"/>
      <c r="B621" s="36"/>
      <c r="C621" s="98"/>
      <c r="D621" s="98"/>
      <c r="E621" s="98"/>
      <c r="F621" s="102"/>
      <c r="G621" s="103"/>
    </row>
    <row r="622" spans="1:7" x14ac:dyDescent="0.25">
      <c r="A622" s="101"/>
      <c r="B622" s="36"/>
      <c r="C622" s="98"/>
      <c r="D622" s="98"/>
      <c r="E622" s="98"/>
      <c r="F622" s="102"/>
      <c r="G622" s="103"/>
    </row>
    <row r="623" spans="1:7" x14ac:dyDescent="0.25">
      <c r="A623" s="101"/>
      <c r="B623" s="36"/>
      <c r="C623" s="98"/>
      <c r="D623" s="98"/>
      <c r="E623" s="98"/>
      <c r="F623" s="102"/>
      <c r="G623" s="103"/>
    </row>
    <row r="624" spans="1:7" x14ac:dyDescent="0.25">
      <c r="A624" s="101"/>
      <c r="B624" s="36"/>
      <c r="C624" s="98"/>
      <c r="D624" s="98"/>
      <c r="E624" s="98"/>
      <c r="F624" s="102"/>
      <c r="G624" s="103"/>
    </row>
    <row r="625" spans="1:7" x14ac:dyDescent="0.25">
      <c r="A625" s="101"/>
      <c r="B625" s="36"/>
      <c r="C625" s="98"/>
      <c r="D625" s="98"/>
      <c r="E625" s="98"/>
      <c r="F625" s="102"/>
      <c r="G625" s="103"/>
    </row>
    <row r="626" spans="1:7" x14ac:dyDescent="0.25">
      <c r="A626" s="101"/>
      <c r="B626" s="66"/>
      <c r="C626" s="98"/>
      <c r="D626" s="98"/>
      <c r="E626" s="98"/>
      <c r="F626" s="102"/>
      <c r="G626" s="103"/>
    </row>
    <row r="627" spans="1:7" x14ac:dyDescent="0.25">
      <c r="A627" s="101"/>
      <c r="B627" s="36"/>
      <c r="C627" s="98"/>
      <c r="D627" s="98"/>
      <c r="E627" s="98"/>
      <c r="F627" s="102"/>
      <c r="G627" s="103"/>
    </row>
    <row r="628" spans="1:7" x14ac:dyDescent="0.25">
      <c r="A628" s="101"/>
      <c r="B628" s="36"/>
      <c r="C628" s="98"/>
      <c r="D628" s="98"/>
      <c r="E628" s="98"/>
      <c r="F628" s="102"/>
      <c r="G628" s="103"/>
    </row>
    <row r="629" spans="1:7" x14ac:dyDescent="0.25">
      <c r="A629" s="101"/>
      <c r="B629" s="36"/>
      <c r="C629" s="98"/>
      <c r="D629" s="98"/>
      <c r="E629" s="98"/>
      <c r="F629" s="102"/>
      <c r="G629" s="103"/>
    </row>
    <row r="630" spans="1:7" x14ac:dyDescent="0.25">
      <c r="A630" s="101"/>
      <c r="B630" s="36"/>
      <c r="C630" s="98"/>
      <c r="D630" s="98"/>
      <c r="E630" s="98"/>
      <c r="F630" s="102"/>
      <c r="G630" s="103"/>
    </row>
    <row r="631" spans="1:7" x14ac:dyDescent="0.25">
      <c r="A631" s="101"/>
      <c r="B631" s="36"/>
      <c r="C631" s="98"/>
      <c r="D631" s="98"/>
      <c r="E631" s="98"/>
      <c r="F631" s="102"/>
      <c r="G631" s="103"/>
    </row>
    <row r="632" spans="1:7" x14ac:dyDescent="0.25">
      <c r="A632" s="101"/>
      <c r="B632" s="36"/>
      <c r="C632" s="98"/>
      <c r="D632" s="98"/>
      <c r="E632" s="98"/>
      <c r="F632" s="102"/>
      <c r="G632" s="103"/>
    </row>
    <row r="633" spans="1:7" x14ac:dyDescent="0.25">
      <c r="A633" s="101"/>
      <c r="B633" s="36"/>
      <c r="C633" s="98"/>
      <c r="D633" s="98"/>
      <c r="E633" s="98"/>
      <c r="F633" s="102"/>
      <c r="G633" s="103"/>
    </row>
    <row r="634" spans="1:7" x14ac:dyDescent="0.25">
      <c r="A634" s="101"/>
      <c r="B634" s="36"/>
      <c r="C634" s="98"/>
      <c r="D634" s="98"/>
      <c r="E634" s="98"/>
      <c r="F634" s="102"/>
      <c r="G634" s="103"/>
    </row>
    <row r="635" spans="1:7" x14ac:dyDescent="0.25">
      <c r="A635" s="101"/>
      <c r="B635" s="67"/>
      <c r="C635" s="98"/>
      <c r="D635" s="98"/>
      <c r="E635" s="98"/>
      <c r="F635" s="102"/>
      <c r="G635" s="103"/>
    </row>
    <row r="636" spans="1:7" x14ac:dyDescent="0.25">
      <c r="A636" s="101"/>
      <c r="B636" s="67"/>
      <c r="C636" s="98"/>
      <c r="D636" s="98"/>
      <c r="E636" s="98"/>
      <c r="F636" s="102"/>
      <c r="G636" s="103"/>
    </row>
    <row r="637" spans="1:7" x14ac:dyDescent="0.25">
      <c r="A637" s="101"/>
      <c r="B637" s="36"/>
      <c r="C637" s="98"/>
      <c r="D637" s="98"/>
      <c r="E637" s="98"/>
      <c r="F637" s="102"/>
      <c r="G637" s="103"/>
    </row>
    <row r="638" spans="1:7" x14ac:dyDescent="0.25">
      <c r="A638" s="101"/>
      <c r="B638" s="36"/>
      <c r="C638" s="98"/>
      <c r="D638" s="98"/>
      <c r="E638" s="98"/>
      <c r="F638" s="102"/>
      <c r="G638" s="103"/>
    </row>
    <row r="639" spans="1:7" x14ac:dyDescent="0.25">
      <c r="A639" s="101"/>
      <c r="B639" s="36"/>
      <c r="C639" s="98"/>
      <c r="D639" s="98"/>
      <c r="E639" s="98"/>
      <c r="F639" s="102"/>
      <c r="G639" s="103"/>
    </row>
    <row r="640" spans="1:7" x14ac:dyDescent="0.25">
      <c r="A640" s="101"/>
      <c r="B640" s="36"/>
      <c r="C640" s="98"/>
      <c r="D640" s="98"/>
      <c r="E640" s="98"/>
      <c r="F640" s="102"/>
      <c r="G640" s="103"/>
    </row>
    <row r="641" spans="1:7" x14ac:dyDescent="0.25">
      <c r="A641" s="101"/>
      <c r="B641" s="36"/>
      <c r="C641" s="98"/>
      <c r="D641" s="98"/>
      <c r="E641" s="98"/>
      <c r="F641" s="102"/>
      <c r="G641" s="103"/>
    </row>
    <row r="642" spans="1:7" x14ac:dyDescent="0.25">
      <c r="A642" s="101"/>
      <c r="B642" s="36"/>
      <c r="C642" s="98"/>
      <c r="D642" s="98"/>
      <c r="E642" s="98"/>
      <c r="F642" s="102"/>
      <c r="G642" s="103"/>
    </row>
    <row r="643" spans="1:7" x14ac:dyDescent="0.25">
      <c r="A643" s="101"/>
      <c r="B643" s="36"/>
      <c r="C643" s="98"/>
      <c r="D643" s="98"/>
      <c r="E643" s="98"/>
      <c r="F643" s="102"/>
      <c r="G643" s="103"/>
    </row>
    <row r="644" spans="1:7" x14ac:dyDescent="0.25">
      <c r="A644" s="101"/>
      <c r="B644" s="36"/>
      <c r="C644" s="98"/>
      <c r="D644" s="98"/>
      <c r="E644" s="98"/>
      <c r="F644" s="102"/>
      <c r="G644" s="103"/>
    </row>
    <row r="645" spans="1:7" x14ac:dyDescent="0.25">
      <c r="A645" s="101"/>
      <c r="B645" s="36"/>
      <c r="C645" s="98"/>
      <c r="D645" s="98"/>
      <c r="E645" s="98"/>
      <c r="F645" s="102"/>
      <c r="G645" s="103"/>
    </row>
    <row r="646" spans="1:7" x14ac:dyDescent="0.25">
      <c r="A646" s="101"/>
      <c r="B646" s="36"/>
      <c r="C646" s="98"/>
      <c r="D646" s="98"/>
      <c r="E646" s="98"/>
      <c r="F646" s="102"/>
      <c r="G646" s="103"/>
    </row>
    <row r="647" spans="1:7" x14ac:dyDescent="0.25">
      <c r="A647" s="101"/>
      <c r="B647" s="36"/>
      <c r="C647" s="98"/>
      <c r="D647" s="98"/>
      <c r="E647" s="98"/>
      <c r="F647" s="102"/>
      <c r="G647" s="103"/>
    </row>
    <row r="648" spans="1:7" x14ac:dyDescent="0.25">
      <c r="A648" s="101"/>
      <c r="B648" s="36"/>
      <c r="C648" s="98"/>
      <c r="D648" s="98"/>
      <c r="E648" s="98"/>
      <c r="F648" s="102"/>
      <c r="G648" s="103"/>
    </row>
    <row r="649" spans="1:7" x14ac:dyDescent="0.25">
      <c r="A649" s="101"/>
      <c r="B649" s="36"/>
      <c r="C649" s="98"/>
      <c r="D649" s="98"/>
      <c r="E649" s="98"/>
      <c r="F649" s="102"/>
      <c r="G649" s="103"/>
    </row>
    <row r="650" spans="1:7" x14ac:dyDescent="0.25">
      <c r="A650" s="101"/>
      <c r="B650" s="36"/>
      <c r="C650" s="98"/>
      <c r="D650" s="98"/>
      <c r="E650" s="98"/>
      <c r="F650" s="102"/>
      <c r="G650" s="103"/>
    </row>
    <row r="651" spans="1:7" x14ac:dyDescent="0.25">
      <c r="A651" s="101"/>
      <c r="B651" s="36"/>
      <c r="C651" s="98"/>
      <c r="D651" s="98"/>
      <c r="E651" s="98"/>
      <c r="F651" s="102"/>
      <c r="G651" s="103"/>
    </row>
    <row r="652" spans="1:7" x14ac:dyDescent="0.25">
      <c r="A652" s="101"/>
      <c r="B652" s="36"/>
      <c r="C652" s="98"/>
      <c r="D652" s="98"/>
      <c r="E652" s="98"/>
      <c r="F652" s="102"/>
      <c r="G652" s="103"/>
    </row>
    <row r="653" spans="1:7" x14ac:dyDescent="0.25">
      <c r="A653" s="101"/>
      <c r="B653" s="36"/>
      <c r="C653" s="98"/>
      <c r="D653" s="98"/>
      <c r="E653" s="98"/>
      <c r="F653" s="102"/>
      <c r="G653" s="103"/>
    </row>
    <row r="654" spans="1:7" x14ac:dyDescent="0.25">
      <c r="A654" s="101"/>
      <c r="B654" s="36"/>
      <c r="C654" s="98"/>
      <c r="D654" s="98"/>
      <c r="E654" s="98"/>
      <c r="F654" s="102"/>
      <c r="G654" s="103"/>
    </row>
    <row r="655" spans="1:7" x14ac:dyDescent="0.25">
      <c r="A655" s="101"/>
      <c r="B655" s="36"/>
      <c r="C655" s="98"/>
      <c r="D655" s="98"/>
      <c r="E655" s="98"/>
      <c r="F655" s="102"/>
      <c r="G655" s="103"/>
    </row>
    <row r="656" spans="1:7" x14ac:dyDescent="0.25">
      <c r="A656" s="101"/>
      <c r="B656" s="36"/>
      <c r="C656" s="98"/>
      <c r="D656" s="98"/>
      <c r="E656" s="98"/>
      <c r="F656" s="102"/>
      <c r="G656" s="103"/>
    </row>
    <row r="657" spans="1:7" x14ac:dyDescent="0.25">
      <c r="A657" s="101"/>
      <c r="B657" s="36"/>
      <c r="C657" s="98"/>
      <c r="D657" s="98"/>
      <c r="E657" s="98"/>
      <c r="F657" s="102"/>
      <c r="G657" s="103"/>
    </row>
    <row r="658" spans="1:7" x14ac:dyDescent="0.25">
      <c r="A658" s="101"/>
      <c r="B658" s="36"/>
      <c r="C658" s="98"/>
      <c r="D658" s="98"/>
      <c r="E658" s="98"/>
      <c r="F658" s="102"/>
      <c r="G658" s="103"/>
    </row>
    <row r="659" spans="1:7" x14ac:dyDescent="0.25">
      <c r="A659" s="101"/>
      <c r="B659" s="36"/>
      <c r="C659" s="98"/>
      <c r="D659" s="98"/>
      <c r="E659" s="98"/>
      <c r="F659" s="102"/>
      <c r="G659" s="103"/>
    </row>
    <row r="660" spans="1:7" x14ac:dyDescent="0.25">
      <c r="A660" s="101"/>
      <c r="B660" s="36"/>
      <c r="C660" s="98"/>
      <c r="D660" s="98"/>
      <c r="E660" s="98"/>
      <c r="F660" s="102"/>
      <c r="G660" s="103"/>
    </row>
    <row r="661" spans="1:7" x14ac:dyDescent="0.25">
      <c r="A661" s="101"/>
      <c r="B661" s="36"/>
      <c r="C661" s="98"/>
      <c r="D661" s="98"/>
      <c r="E661" s="98"/>
      <c r="F661" s="102"/>
      <c r="G661" s="103"/>
    </row>
    <row r="662" spans="1:7" x14ac:dyDescent="0.25">
      <c r="A662" s="101"/>
      <c r="B662" s="67"/>
      <c r="C662" s="98"/>
      <c r="D662" s="98"/>
      <c r="E662" s="98"/>
      <c r="F662" s="102"/>
      <c r="G662" s="103"/>
    </row>
    <row r="663" spans="1:7" x14ac:dyDescent="0.25">
      <c r="A663" s="101"/>
      <c r="B663" s="67"/>
      <c r="C663" s="98"/>
      <c r="D663" s="98"/>
      <c r="E663" s="98"/>
      <c r="F663" s="102"/>
      <c r="G663" s="103"/>
    </row>
    <row r="664" spans="1:7" x14ac:dyDescent="0.25">
      <c r="A664" s="101"/>
      <c r="B664" s="36"/>
      <c r="C664" s="98"/>
      <c r="D664" s="98"/>
      <c r="E664" s="98"/>
      <c r="F664" s="102"/>
      <c r="G664" s="103"/>
    </row>
    <row r="665" spans="1:7" x14ac:dyDescent="0.25">
      <c r="A665" s="101"/>
      <c r="B665" s="36"/>
      <c r="C665" s="98"/>
      <c r="D665" s="98"/>
      <c r="E665" s="98"/>
      <c r="F665" s="102"/>
      <c r="G665" s="103"/>
    </row>
    <row r="666" spans="1:7" x14ac:dyDescent="0.25">
      <c r="A666" s="101"/>
      <c r="B666" s="36"/>
      <c r="C666" s="98"/>
      <c r="D666" s="98"/>
      <c r="E666" s="98"/>
      <c r="F666" s="102"/>
      <c r="G666" s="103"/>
    </row>
    <row r="667" spans="1:7" x14ac:dyDescent="0.25">
      <c r="A667" s="101"/>
      <c r="B667" s="36"/>
      <c r="C667" s="98"/>
      <c r="D667" s="98"/>
      <c r="E667" s="98"/>
      <c r="F667" s="102"/>
      <c r="G667" s="103"/>
    </row>
    <row r="668" spans="1:7" x14ac:dyDescent="0.25">
      <c r="A668" s="101"/>
      <c r="B668" s="36"/>
      <c r="C668" s="98"/>
      <c r="D668" s="98"/>
      <c r="E668" s="98"/>
      <c r="F668" s="102"/>
      <c r="G668" s="103"/>
    </row>
    <row r="669" spans="1:7" x14ac:dyDescent="0.25">
      <c r="A669" s="101"/>
      <c r="B669" s="36"/>
      <c r="C669" s="98"/>
      <c r="D669" s="98"/>
      <c r="E669" s="98"/>
      <c r="F669" s="102"/>
      <c r="G669" s="103"/>
    </row>
    <row r="670" spans="1:7" x14ac:dyDescent="0.25">
      <c r="A670" s="101"/>
      <c r="B670" s="36"/>
      <c r="C670" s="98"/>
      <c r="D670" s="98"/>
      <c r="E670" s="98"/>
      <c r="F670" s="102"/>
      <c r="G670" s="103"/>
    </row>
    <row r="671" spans="1:7" x14ac:dyDescent="0.25">
      <c r="A671" s="101"/>
      <c r="B671" s="36"/>
      <c r="C671" s="98"/>
      <c r="D671" s="98"/>
      <c r="E671" s="98"/>
      <c r="F671" s="102"/>
      <c r="G671" s="103"/>
    </row>
    <row r="672" spans="1:7" x14ac:dyDescent="0.25">
      <c r="A672" s="101"/>
      <c r="B672" s="36"/>
      <c r="C672" s="98"/>
      <c r="D672" s="98"/>
      <c r="E672" s="98"/>
      <c r="F672" s="102"/>
      <c r="G672" s="103"/>
    </row>
    <row r="673" spans="1:7" x14ac:dyDescent="0.25">
      <c r="A673" s="101"/>
      <c r="B673" s="36"/>
      <c r="C673" s="98"/>
      <c r="D673" s="98"/>
      <c r="E673" s="98"/>
      <c r="F673" s="102"/>
      <c r="G673" s="103"/>
    </row>
    <row r="674" spans="1:7" x14ac:dyDescent="0.25">
      <c r="A674" s="101"/>
      <c r="B674" s="36"/>
      <c r="C674" s="98"/>
      <c r="D674" s="98"/>
      <c r="E674" s="98"/>
      <c r="F674" s="102"/>
      <c r="G674" s="103"/>
    </row>
    <row r="675" spans="1:7" x14ac:dyDescent="0.25">
      <c r="A675" s="101"/>
      <c r="B675" s="36"/>
      <c r="C675" s="98"/>
      <c r="D675" s="98"/>
      <c r="E675" s="98"/>
      <c r="F675" s="102"/>
      <c r="G675" s="103"/>
    </row>
    <row r="676" spans="1:7" x14ac:dyDescent="0.25">
      <c r="A676" s="101"/>
      <c r="B676" s="36"/>
      <c r="C676" s="98"/>
      <c r="D676" s="98"/>
      <c r="E676" s="98"/>
      <c r="F676" s="102"/>
      <c r="G676" s="103"/>
    </row>
    <row r="677" spans="1:7" x14ac:dyDescent="0.25">
      <c r="A677" s="101"/>
      <c r="B677" s="36"/>
      <c r="C677" s="98"/>
      <c r="D677" s="98"/>
      <c r="E677" s="98"/>
      <c r="F677" s="102"/>
      <c r="G677" s="103"/>
    </row>
    <row r="678" spans="1:7" x14ac:dyDescent="0.25">
      <c r="A678" s="101"/>
      <c r="B678" s="36"/>
      <c r="C678" s="98"/>
      <c r="D678" s="98"/>
      <c r="E678" s="98"/>
      <c r="F678" s="102"/>
      <c r="G678" s="103"/>
    </row>
    <row r="679" spans="1:7" x14ac:dyDescent="0.25">
      <c r="A679" s="101"/>
      <c r="B679" s="36"/>
      <c r="C679" s="98"/>
      <c r="D679" s="98"/>
      <c r="E679" s="98"/>
      <c r="F679" s="102"/>
      <c r="G679" s="103"/>
    </row>
    <row r="680" spans="1:7" x14ac:dyDescent="0.25">
      <c r="A680" s="101"/>
      <c r="B680" s="36"/>
      <c r="C680" s="98"/>
      <c r="D680" s="98"/>
      <c r="E680" s="98"/>
      <c r="F680" s="102"/>
      <c r="G680" s="103"/>
    </row>
    <row r="681" spans="1:7" x14ac:dyDescent="0.25">
      <c r="A681" s="101"/>
      <c r="B681" s="36"/>
      <c r="C681" s="98"/>
      <c r="D681" s="98"/>
      <c r="E681" s="98"/>
      <c r="F681" s="102"/>
      <c r="G681" s="103"/>
    </row>
    <row r="682" spans="1:7" x14ac:dyDescent="0.25">
      <c r="A682" s="101"/>
      <c r="B682" s="36"/>
      <c r="C682" s="98"/>
      <c r="D682" s="98"/>
      <c r="E682" s="98"/>
      <c r="F682" s="102"/>
      <c r="G682" s="103"/>
    </row>
    <row r="683" spans="1:7" x14ac:dyDescent="0.25">
      <c r="A683" s="101"/>
      <c r="B683" s="36"/>
      <c r="C683" s="98"/>
      <c r="D683" s="98"/>
      <c r="E683" s="98"/>
      <c r="F683" s="102"/>
      <c r="G683" s="103"/>
    </row>
    <row r="684" spans="1:7" x14ac:dyDescent="0.25">
      <c r="A684" s="101"/>
      <c r="B684" s="36"/>
      <c r="C684" s="98"/>
      <c r="D684" s="98"/>
      <c r="E684" s="98"/>
      <c r="F684" s="102"/>
      <c r="G684" s="103"/>
    </row>
    <row r="685" spans="1:7" x14ac:dyDescent="0.25">
      <c r="A685" s="101"/>
      <c r="B685" s="36"/>
      <c r="C685" s="98"/>
      <c r="D685" s="98"/>
      <c r="E685" s="98"/>
      <c r="F685" s="102"/>
      <c r="G685" s="103"/>
    </row>
    <row r="686" spans="1:7" x14ac:dyDescent="0.25">
      <c r="A686" s="101"/>
      <c r="B686" s="36"/>
      <c r="C686" s="98"/>
      <c r="D686" s="98"/>
      <c r="E686" s="98"/>
      <c r="F686" s="102"/>
      <c r="G686" s="103"/>
    </row>
    <row r="687" spans="1:7" x14ac:dyDescent="0.25">
      <c r="A687" s="101"/>
      <c r="B687" s="36"/>
      <c r="C687" s="98"/>
      <c r="D687" s="98"/>
      <c r="E687" s="98"/>
      <c r="F687" s="102"/>
      <c r="G687" s="103"/>
    </row>
    <row r="688" spans="1:7" x14ac:dyDescent="0.25">
      <c r="A688" s="101"/>
      <c r="B688" s="36"/>
      <c r="C688" s="98"/>
      <c r="D688" s="98"/>
      <c r="E688" s="98"/>
      <c r="F688" s="102"/>
      <c r="G688" s="103"/>
    </row>
    <row r="689" spans="1:7" x14ac:dyDescent="0.25">
      <c r="A689" s="101"/>
      <c r="B689" s="36"/>
      <c r="C689" s="98"/>
      <c r="D689" s="98"/>
      <c r="E689" s="98"/>
      <c r="F689" s="102"/>
      <c r="G689" s="103"/>
    </row>
    <row r="690" spans="1:7" x14ac:dyDescent="0.25">
      <c r="A690" s="101"/>
      <c r="B690" s="36"/>
      <c r="C690" s="98"/>
      <c r="D690" s="98"/>
      <c r="E690" s="98"/>
      <c r="F690" s="102"/>
      <c r="G690" s="103"/>
    </row>
    <row r="691" spans="1:7" x14ac:dyDescent="0.25">
      <c r="A691" s="101"/>
      <c r="B691" s="36"/>
      <c r="C691" s="98"/>
      <c r="D691" s="98"/>
      <c r="E691" s="98"/>
      <c r="F691" s="102"/>
      <c r="G691" s="103"/>
    </row>
    <row r="692" spans="1:7" x14ac:dyDescent="0.25">
      <c r="A692" s="101"/>
      <c r="B692" s="36"/>
      <c r="C692" s="98"/>
      <c r="D692" s="98"/>
      <c r="E692" s="98"/>
      <c r="F692" s="102"/>
      <c r="G692" s="103"/>
    </row>
    <row r="693" spans="1:7" x14ac:dyDescent="0.25">
      <c r="A693" s="101"/>
      <c r="B693" s="36"/>
      <c r="C693" s="98"/>
      <c r="D693" s="98"/>
      <c r="E693" s="98"/>
      <c r="F693" s="102"/>
      <c r="G693" s="103"/>
    </row>
    <row r="694" spans="1:7" x14ac:dyDescent="0.25">
      <c r="A694" s="101"/>
      <c r="B694" s="36"/>
      <c r="C694" s="98"/>
      <c r="D694" s="98"/>
      <c r="E694" s="98"/>
      <c r="F694" s="102"/>
      <c r="G694" s="103"/>
    </row>
    <row r="695" spans="1:7" x14ac:dyDescent="0.25">
      <c r="A695" s="101"/>
      <c r="B695" s="36"/>
      <c r="C695" s="98"/>
      <c r="D695" s="98"/>
      <c r="E695" s="98"/>
      <c r="F695" s="102"/>
      <c r="G695" s="103"/>
    </row>
    <row r="696" spans="1:7" x14ac:dyDescent="0.25">
      <c r="A696" s="101"/>
      <c r="B696" s="36"/>
      <c r="C696" s="98"/>
      <c r="D696" s="98"/>
      <c r="E696" s="98"/>
      <c r="F696" s="102"/>
      <c r="G696" s="103"/>
    </row>
    <row r="697" spans="1:7" x14ac:dyDescent="0.25">
      <c r="A697" s="101"/>
      <c r="B697" s="67"/>
      <c r="C697" s="98"/>
      <c r="D697" s="98"/>
      <c r="E697" s="98"/>
      <c r="F697" s="102"/>
      <c r="G697" s="103"/>
    </row>
    <row r="698" spans="1:7" x14ac:dyDescent="0.25">
      <c r="A698" s="101"/>
      <c r="B698" s="36"/>
      <c r="C698" s="98"/>
      <c r="D698" s="98"/>
      <c r="E698" s="98"/>
      <c r="F698" s="102"/>
      <c r="G698" s="103"/>
    </row>
    <row r="699" spans="1:7" x14ac:dyDescent="0.25">
      <c r="A699" s="101"/>
      <c r="B699" s="36"/>
      <c r="C699" s="98"/>
      <c r="D699" s="98"/>
      <c r="E699" s="98"/>
      <c r="F699" s="102"/>
      <c r="G699" s="103"/>
    </row>
    <row r="700" spans="1:7" x14ac:dyDescent="0.25">
      <c r="A700" s="101"/>
      <c r="B700" s="36"/>
      <c r="C700" s="98"/>
      <c r="D700" s="98"/>
      <c r="E700" s="98"/>
      <c r="F700" s="102"/>
      <c r="G700" s="103"/>
    </row>
    <row r="701" spans="1:7" x14ac:dyDescent="0.25">
      <c r="A701" s="101"/>
      <c r="B701" s="36"/>
      <c r="C701" s="98"/>
      <c r="D701" s="98"/>
      <c r="E701" s="98"/>
      <c r="F701" s="102"/>
      <c r="G701" s="103"/>
    </row>
    <row r="702" spans="1:7" x14ac:dyDescent="0.25">
      <c r="A702" s="101"/>
      <c r="B702" s="36"/>
      <c r="C702" s="98"/>
      <c r="D702" s="98"/>
      <c r="E702" s="98"/>
      <c r="F702" s="102"/>
      <c r="G702" s="103"/>
    </row>
    <row r="703" spans="1:7" x14ac:dyDescent="0.25">
      <c r="A703" s="101"/>
      <c r="B703" s="36"/>
      <c r="C703" s="98"/>
      <c r="D703" s="98"/>
      <c r="E703" s="98"/>
      <c r="F703" s="102"/>
      <c r="G703" s="103"/>
    </row>
    <row r="704" spans="1:7" x14ac:dyDescent="0.25">
      <c r="A704" s="101"/>
      <c r="B704" s="36"/>
      <c r="C704" s="98"/>
      <c r="D704" s="98"/>
      <c r="E704" s="98"/>
      <c r="F704" s="102"/>
      <c r="G704" s="103"/>
    </row>
    <row r="705" spans="1:7" x14ac:dyDescent="0.25">
      <c r="A705" s="101"/>
      <c r="B705" s="36"/>
      <c r="C705" s="98"/>
      <c r="D705" s="98"/>
      <c r="E705" s="98"/>
      <c r="F705" s="102"/>
      <c r="G705" s="103"/>
    </row>
    <row r="706" spans="1:7" x14ac:dyDescent="0.25">
      <c r="A706" s="101"/>
      <c r="B706" s="36"/>
      <c r="C706" s="98"/>
      <c r="D706" s="98"/>
      <c r="E706" s="98"/>
      <c r="F706" s="102"/>
      <c r="G706" s="103"/>
    </row>
    <row r="707" spans="1:7" x14ac:dyDescent="0.25">
      <c r="A707" s="101"/>
      <c r="B707" s="36"/>
      <c r="C707" s="98"/>
      <c r="D707" s="98"/>
      <c r="E707" s="98"/>
      <c r="F707" s="102"/>
      <c r="G707" s="103"/>
    </row>
    <row r="708" spans="1:7" x14ac:dyDescent="0.25">
      <c r="A708" s="101"/>
      <c r="B708" s="36"/>
      <c r="C708" s="98"/>
      <c r="D708" s="98"/>
      <c r="E708" s="98"/>
      <c r="F708" s="102"/>
      <c r="G708" s="103"/>
    </row>
    <row r="709" spans="1:7" x14ac:dyDescent="0.25">
      <c r="A709" s="101"/>
      <c r="B709" s="36"/>
      <c r="C709" s="98"/>
      <c r="D709" s="98"/>
      <c r="E709" s="98"/>
      <c r="F709" s="102"/>
      <c r="G709" s="103"/>
    </row>
    <row r="710" spans="1:7" x14ac:dyDescent="0.25">
      <c r="A710" s="101"/>
      <c r="B710" s="36"/>
      <c r="C710" s="98"/>
      <c r="D710" s="98"/>
      <c r="E710" s="98"/>
      <c r="F710" s="102"/>
      <c r="G710" s="103"/>
    </row>
    <row r="711" spans="1:7" x14ac:dyDescent="0.25">
      <c r="A711" s="101"/>
      <c r="B711" s="36"/>
      <c r="C711" s="98"/>
      <c r="D711" s="98"/>
      <c r="E711" s="98"/>
      <c r="F711" s="102"/>
      <c r="G711" s="103"/>
    </row>
    <row r="712" spans="1:7" x14ac:dyDescent="0.25">
      <c r="A712" s="101"/>
      <c r="B712" s="36"/>
      <c r="C712" s="98"/>
      <c r="D712" s="98"/>
      <c r="E712" s="98"/>
      <c r="F712" s="102"/>
      <c r="G712" s="103"/>
    </row>
    <row r="713" spans="1:7" x14ac:dyDescent="0.25">
      <c r="A713" s="101"/>
      <c r="B713" s="36"/>
      <c r="C713" s="98"/>
      <c r="D713" s="98"/>
      <c r="E713" s="98"/>
      <c r="F713" s="102"/>
      <c r="G713" s="103"/>
    </row>
    <row r="714" spans="1:7" x14ac:dyDescent="0.25">
      <c r="A714" s="101"/>
      <c r="B714" s="36"/>
      <c r="C714" s="98"/>
      <c r="D714" s="98"/>
      <c r="E714" s="98"/>
      <c r="F714" s="102"/>
      <c r="G714" s="103"/>
    </row>
    <row r="715" spans="1:7" x14ac:dyDescent="0.25">
      <c r="A715" s="101"/>
      <c r="B715" s="36"/>
      <c r="C715" s="98"/>
      <c r="D715" s="98"/>
      <c r="E715" s="98"/>
      <c r="F715" s="102"/>
      <c r="G715" s="103"/>
    </row>
    <row r="716" spans="1:7" x14ac:dyDescent="0.25">
      <c r="A716" s="101"/>
      <c r="B716" s="36"/>
      <c r="C716" s="98"/>
      <c r="D716" s="98"/>
      <c r="E716" s="98"/>
      <c r="F716" s="102"/>
      <c r="G716" s="103"/>
    </row>
    <row r="717" spans="1:7" x14ac:dyDescent="0.25">
      <c r="A717" s="101"/>
      <c r="B717" s="36"/>
      <c r="C717" s="98"/>
      <c r="D717" s="98"/>
      <c r="E717" s="98"/>
      <c r="F717" s="102"/>
      <c r="G717" s="103"/>
    </row>
    <row r="718" spans="1:7" x14ac:dyDescent="0.25">
      <c r="A718" s="101"/>
      <c r="B718" s="36"/>
      <c r="C718" s="98"/>
      <c r="D718" s="98"/>
      <c r="E718" s="98"/>
      <c r="F718" s="102"/>
      <c r="G718" s="103"/>
    </row>
    <row r="719" spans="1:7" x14ac:dyDescent="0.25">
      <c r="A719" s="101"/>
      <c r="B719" s="36"/>
      <c r="C719" s="98"/>
      <c r="D719" s="98"/>
      <c r="E719" s="98"/>
      <c r="F719" s="102"/>
      <c r="G719" s="103"/>
    </row>
    <row r="720" spans="1:7" x14ac:dyDescent="0.25">
      <c r="A720" s="101"/>
      <c r="B720" s="36"/>
      <c r="C720" s="98"/>
      <c r="D720" s="98"/>
      <c r="E720" s="98"/>
      <c r="F720" s="102"/>
      <c r="G720" s="103"/>
    </row>
    <row r="721" spans="1:7" x14ac:dyDescent="0.25">
      <c r="A721" s="101"/>
      <c r="B721" s="36"/>
      <c r="C721" s="98"/>
      <c r="D721" s="98"/>
      <c r="E721" s="98"/>
      <c r="F721" s="102"/>
      <c r="G721" s="103"/>
    </row>
    <row r="722" spans="1:7" x14ac:dyDescent="0.25">
      <c r="A722" s="101"/>
      <c r="B722" s="38"/>
      <c r="C722" s="98"/>
      <c r="D722" s="98"/>
      <c r="E722" s="98"/>
      <c r="F722" s="102"/>
      <c r="G722" s="103"/>
    </row>
    <row r="723" spans="1:7" x14ac:dyDescent="0.25">
      <c r="A723" s="101"/>
      <c r="B723" s="38"/>
      <c r="C723" s="98"/>
      <c r="D723" s="98"/>
      <c r="E723" s="98"/>
      <c r="F723" s="102"/>
      <c r="G723" s="103"/>
    </row>
    <row r="724" spans="1:7" x14ac:dyDescent="0.25">
      <c r="A724" s="101"/>
      <c r="B724" s="36"/>
      <c r="C724" s="98"/>
      <c r="D724" s="98"/>
      <c r="E724" s="98"/>
      <c r="F724" s="102"/>
      <c r="G724" s="103"/>
    </row>
    <row r="725" spans="1:7" x14ac:dyDescent="0.25">
      <c r="A725" s="101"/>
      <c r="B725" s="36"/>
      <c r="C725" s="98"/>
      <c r="D725" s="98"/>
      <c r="E725" s="98"/>
      <c r="F725" s="102"/>
      <c r="G725" s="103"/>
    </row>
    <row r="726" spans="1:7" x14ac:dyDescent="0.25">
      <c r="A726" s="101"/>
      <c r="B726" s="36"/>
      <c r="C726" s="98"/>
      <c r="D726" s="98"/>
      <c r="E726" s="98"/>
      <c r="F726" s="102"/>
      <c r="G726" s="103"/>
    </row>
    <row r="727" spans="1:7" x14ac:dyDescent="0.25">
      <c r="A727" s="101"/>
      <c r="B727" s="36"/>
      <c r="C727" s="98"/>
      <c r="D727" s="98"/>
      <c r="E727" s="98"/>
      <c r="F727" s="102"/>
      <c r="G727" s="103"/>
    </row>
    <row r="728" spans="1:7" x14ac:dyDescent="0.25">
      <c r="A728" s="101"/>
      <c r="B728" s="36"/>
      <c r="C728" s="98"/>
      <c r="D728" s="98"/>
      <c r="E728" s="98"/>
      <c r="F728" s="102"/>
      <c r="G728" s="103"/>
    </row>
    <row r="729" spans="1:7" x14ac:dyDescent="0.25">
      <c r="A729" s="101"/>
      <c r="B729" s="36"/>
      <c r="C729" s="98"/>
      <c r="D729" s="98"/>
      <c r="E729" s="98"/>
      <c r="F729" s="102"/>
      <c r="G729" s="103"/>
    </row>
    <row r="730" spans="1:7" x14ac:dyDescent="0.25">
      <c r="A730" s="101"/>
      <c r="B730" s="36"/>
      <c r="C730" s="98"/>
      <c r="D730" s="98"/>
      <c r="E730" s="98"/>
      <c r="F730" s="102"/>
      <c r="G730" s="103"/>
    </row>
    <row r="731" spans="1:7" x14ac:dyDescent="0.25">
      <c r="A731" s="101"/>
      <c r="B731" s="67"/>
      <c r="C731" s="98"/>
      <c r="D731" s="98"/>
      <c r="E731" s="98"/>
      <c r="F731" s="102"/>
      <c r="G731" s="103"/>
    </row>
    <row r="732" spans="1:7" x14ac:dyDescent="0.25">
      <c r="A732" s="101"/>
      <c r="B732" s="36"/>
      <c r="C732" s="98"/>
      <c r="D732" s="98"/>
      <c r="E732" s="98"/>
      <c r="F732" s="102"/>
      <c r="G732" s="103"/>
    </row>
    <row r="733" spans="1:7" x14ac:dyDescent="0.25">
      <c r="A733" s="101"/>
      <c r="B733" s="36"/>
      <c r="C733" s="98"/>
      <c r="D733" s="98"/>
      <c r="E733" s="98"/>
      <c r="F733" s="102"/>
      <c r="G733" s="103"/>
    </row>
    <row r="734" spans="1:7" x14ac:dyDescent="0.25">
      <c r="A734" s="101"/>
      <c r="B734" s="36"/>
      <c r="C734" s="98"/>
      <c r="D734" s="98"/>
      <c r="E734" s="98"/>
      <c r="F734" s="102"/>
      <c r="G734" s="103"/>
    </row>
    <row r="735" spans="1:7" x14ac:dyDescent="0.25">
      <c r="A735" s="101"/>
      <c r="B735" s="38"/>
      <c r="C735" s="98"/>
      <c r="D735" s="98"/>
      <c r="E735" s="98"/>
      <c r="F735" s="102"/>
      <c r="G735" s="103"/>
    </row>
    <row r="736" spans="1:7" x14ac:dyDescent="0.25">
      <c r="A736" s="101"/>
      <c r="B736" s="10"/>
      <c r="C736" s="98"/>
      <c r="D736" s="98"/>
      <c r="E736" s="98"/>
      <c r="F736" s="102"/>
      <c r="G736" s="103"/>
    </row>
    <row r="737" spans="1:7" x14ac:dyDescent="0.25">
      <c r="A737" s="101"/>
      <c r="B737" s="38"/>
      <c r="C737" s="98"/>
      <c r="D737" s="98"/>
      <c r="E737" s="98"/>
      <c r="F737" s="102"/>
      <c r="G737" s="103"/>
    </row>
    <row r="738" spans="1:7" x14ac:dyDescent="0.25">
      <c r="A738" s="101"/>
      <c r="B738" s="38"/>
      <c r="C738" s="98"/>
      <c r="D738" s="98"/>
      <c r="E738" s="98"/>
      <c r="F738" s="102"/>
      <c r="G738" s="103"/>
    </row>
    <row r="739" spans="1:7" x14ac:dyDescent="0.25">
      <c r="A739" s="101"/>
      <c r="B739" s="38"/>
      <c r="C739" s="98"/>
      <c r="D739" s="98"/>
      <c r="E739" s="98"/>
      <c r="F739" s="102"/>
      <c r="G739" s="103"/>
    </row>
    <row r="740" spans="1:7" x14ac:dyDescent="0.25">
      <c r="A740" s="101"/>
      <c r="B740" s="36"/>
      <c r="C740" s="98"/>
      <c r="D740" s="98"/>
      <c r="E740" s="98"/>
      <c r="F740" s="102"/>
      <c r="G740" s="103"/>
    </row>
    <row r="741" spans="1:7" x14ac:dyDescent="0.25">
      <c r="A741" s="101"/>
      <c r="B741" s="36"/>
      <c r="C741" s="98"/>
      <c r="D741" s="98"/>
      <c r="E741" s="98"/>
      <c r="F741" s="102"/>
      <c r="G741" s="103"/>
    </row>
    <row r="742" spans="1:7" x14ac:dyDescent="0.25">
      <c r="A742" s="101"/>
      <c r="B742" s="36"/>
      <c r="C742" s="98"/>
      <c r="D742" s="98"/>
      <c r="E742" s="98"/>
      <c r="F742" s="102"/>
      <c r="G742" s="103"/>
    </row>
    <row r="743" spans="1:7" x14ac:dyDescent="0.25">
      <c r="A743" s="101"/>
      <c r="B743" s="36"/>
      <c r="C743" s="98"/>
      <c r="D743" s="98"/>
      <c r="E743" s="98"/>
      <c r="F743" s="102"/>
      <c r="G743" s="103"/>
    </row>
    <row r="744" spans="1:7" x14ac:dyDescent="0.25">
      <c r="A744" s="101"/>
      <c r="B744" s="36"/>
      <c r="C744" s="98"/>
      <c r="D744" s="98"/>
      <c r="E744" s="98"/>
      <c r="F744" s="102"/>
      <c r="G744" s="103"/>
    </row>
    <row r="745" spans="1:7" x14ac:dyDescent="0.25">
      <c r="A745" s="101"/>
      <c r="B745" s="36"/>
      <c r="C745" s="98"/>
      <c r="D745" s="98"/>
      <c r="E745" s="98"/>
      <c r="F745" s="102"/>
      <c r="G745" s="103"/>
    </row>
    <row r="746" spans="1:7" x14ac:dyDescent="0.25">
      <c r="A746" s="101"/>
      <c r="B746" s="36"/>
      <c r="C746" s="98"/>
      <c r="D746" s="98"/>
      <c r="E746" s="98"/>
      <c r="F746" s="102"/>
      <c r="G746" s="103"/>
    </row>
    <row r="747" spans="1:7" x14ac:dyDescent="0.25">
      <c r="A747" s="101"/>
      <c r="B747" s="36"/>
      <c r="C747" s="98"/>
      <c r="D747" s="98"/>
      <c r="E747" s="98"/>
      <c r="F747" s="102"/>
      <c r="G747" s="103"/>
    </row>
    <row r="748" spans="1:7" x14ac:dyDescent="0.25">
      <c r="A748" s="101"/>
      <c r="B748" s="36"/>
      <c r="C748" s="98"/>
      <c r="D748" s="98"/>
      <c r="E748" s="98"/>
      <c r="F748" s="102"/>
      <c r="G748" s="103"/>
    </row>
    <row r="749" spans="1:7" x14ac:dyDescent="0.25">
      <c r="A749" s="101"/>
      <c r="B749" s="36"/>
      <c r="C749" s="98"/>
      <c r="D749" s="98"/>
      <c r="E749" s="98"/>
      <c r="F749" s="102"/>
      <c r="G749" s="103"/>
    </row>
    <row r="750" spans="1:7" x14ac:dyDescent="0.25">
      <c r="A750" s="101"/>
      <c r="B750" s="36"/>
      <c r="C750" s="98"/>
      <c r="D750" s="98"/>
      <c r="E750" s="98"/>
      <c r="F750" s="102"/>
      <c r="G750" s="103"/>
    </row>
    <row r="751" spans="1:7" x14ac:dyDescent="0.25">
      <c r="A751" s="101"/>
      <c r="B751" s="36"/>
      <c r="C751" s="98"/>
      <c r="D751" s="98"/>
      <c r="E751" s="98"/>
      <c r="F751" s="102"/>
      <c r="G751" s="103"/>
    </row>
    <row r="752" spans="1:7" x14ac:dyDescent="0.25">
      <c r="A752" s="101"/>
      <c r="B752" s="36"/>
      <c r="C752" s="98"/>
      <c r="D752" s="98"/>
      <c r="E752" s="98"/>
      <c r="F752" s="102"/>
      <c r="G752" s="103"/>
    </row>
    <row r="753" spans="1:7" x14ac:dyDescent="0.25">
      <c r="A753" s="101"/>
      <c r="B753" s="36"/>
      <c r="C753" s="98"/>
      <c r="D753" s="98"/>
      <c r="E753" s="98"/>
      <c r="F753" s="102"/>
      <c r="G753" s="103"/>
    </row>
    <row r="754" spans="1:7" x14ac:dyDescent="0.25">
      <c r="A754" s="101"/>
      <c r="B754" s="36"/>
      <c r="C754" s="98"/>
      <c r="D754" s="98"/>
      <c r="E754" s="98"/>
      <c r="F754" s="102"/>
      <c r="G754" s="103"/>
    </row>
    <row r="755" spans="1:7" x14ac:dyDescent="0.25">
      <c r="A755" s="101"/>
      <c r="B755" s="36"/>
      <c r="C755" s="98"/>
      <c r="D755" s="98"/>
      <c r="E755" s="98"/>
      <c r="F755" s="102"/>
      <c r="G755" s="103"/>
    </row>
    <row r="756" spans="1:7" x14ac:dyDescent="0.25">
      <c r="A756" s="101"/>
      <c r="B756" s="36"/>
      <c r="C756" s="98"/>
      <c r="D756" s="98"/>
      <c r="E756" s="98"/>
      <c r="F756" s="102"/>
      <c r="G756" s="103"/>
    </row>
    <row r="757" spans="1:7" x14ac:dyDescent="0.25">
      <c r="A757" s="101"/>
      <c r="B757" s="66"/>
      <c r="C757" s="98"/>
      <c r="D757" s="98"/>
      <c r="E757" s="98"/>
      <c r="F757" s="102"/>
      <c r="G757" s="103"/>
    </row>
    <row r="758" spans="1:7" x14ac:dyDescent="0.25">
      <c r="A758" s="101"/>
      <c r="B758" s="36"/>
      <c r="C758" s="98"/>
      <c r="D758" s="98"/>
      <c r="E758" s="98"/>
      <c r="F758" s="102"/>
      <c r="G758" s="103"/>
    </row>
    <row r="759" spans="1:7" x14ac:dyDescent="0.25">
      <c r="A759" s="101"/>
      <c r="B759" s="36"/>
      <c r="C759" s="98"/>
      <c r="D759" s="98"/>
      <c r="E759" s="98"/>
      <c r="F759" s="102"/>
      <c r="G759" s="103"/>
    </row>
    <row r="760" spans="1:7" x14ac:dyDescent="0.25">
      <c r="A760" s="101"/>
      <c r="B760" s="36"/>
      <c r="C760" s="98"/>
      <c r="D760" s="98"/>
      <c r="E760" s="98"/>
      <c r="F760" s="102"/>
      <c r="G760" s="103"/>
    </row>
    <row r="761" spans="1:7" x14ac:dyDescent="0.25">
      <c r="A761" s="101"/>
      <c r="B761" s="36"/>
      <c r="C761" s="98"/>
      <c r="D761" s="98"/>
      <c r="E761" s="98"/>
      <c r="F761" s="102"/>
      <c r="G761" s="103"/>
    </row>
    <row r="762" spans="1:7" x14ac:dyDescent="0.25">
      <c r="A762" s="101"/>
      <c r="B762" s="36"/>
      <c r="C762" s="98"/>
      <c r="D762" s="98"/>
      <c r="E762" s="98"/>
      <c r="F762" s="102"/>
      <c r="G762" s="103"/>
    </row>
    <row r="763" spans="1:7" x14ac:dyDescent="0.25">
      <c r="A763" s="101"/>
      <c r="B763" s="36"/>
      <c r="C763" s="98"/>
      <c r="D763" s="98"/>
      <c r="E763" s="98"/>
      <c r="F763" s="102"/>
      <c r="G763" s="103"/>
    </row>
    <row r="764" spans="1:7" x14ac:dyDescent="0.25">
      <c r="A764" s="101"/>
      <c r="B764" s="36"/>
      <c r="C764" s="98"/>
      <c r="D764" s="98"/>
      <c r="E764" s="98"/>
      <c r="F764" s="102"/>
      <c r="G764" s="103"/>
    </row>
    <row r="765" spans="1:7" x14ac:dyDescent="0.25">
      <c r="A765" s="101"/>
      <c r="B765" s="36"/>
      <c r="C765" s="98"/>
      <c r="D765" s="98"/>
      <c r="E765" s="98"/>
      <c r="F765" s="102"/>
      <c r="G765" s="103"/>
    </row>
    <row r="766" spans="1:7" x14ac:dyDescent="0.25">
      <c r="A766" s="101"/>
      <c r="B766" s="36"/>
      <c r="C766" s="98"/>
      <c r="D766" s="98"/>
      <c r="E766" s="98"/>
      <c r="F766" s="102"/>
      <c r="G766" s="103"/>
    </row>
    <row r="767" spans="1:7" x14ac:dyDescent="0.25">
      <c r="A767" s="101"/>
      <c r="B767" s="36"/>
      <c r="C767" s="98"/>
      <c r="D767" s="98"/>
      <c r="E767" s="98"/>
      <c r="F767" s="102"/>
      <c r="G767" s="103"/>
    </row>
    <row r="768" spans="1:7" x14ac:dyDescent="0.25">
      <c r="A768" s="101"/>
      <c r="B768" s="36"/>
      <c r="C768" s="98"/>
      <c r="D768" s="98"/>
      <c r="E768" s="98"/>
      <c r="F768" s="102"/>
      <c r="G768" s="103"/>
    </row>
    <row r="769" spans="1:7" x14ac:dyDescent="0.25">
      <c r="A769" s="101"/>
      <c r="B769" s="36"/>
      <c r="C769" s="98"/>
      <c r="D769" s="98"/>
      <c r="E769" s="98"/>
      <c r="F769" s="102"/>
      <c r="G769" s="103"/>
    </row>
    <row r="770" spans="1:7" x14ac:dyDescent="0.25">
      <c r="A770" s="101"/>
      <c r="B770" s="36"/>
      <c r="C770" s="98"/>
      <c r="D770" s="98"/>
      <c r="E770" s="98"/>
      <c r="F770" s="102"/>
      <c r="G770" s="103"/>
    </row>
    <row r="771" spans="1:7" x14ac:dyDescent="0.25">
      <c r="A771" s="101"/>
      <c r="B771" s="36"/>
      <c r="C771" s="98"/>
      <c r="D771" s="98"/>
      <c r="E771" s="98"/>
      <c r="F771" s="102"/>
      <c r="G771" s="103"/>
    </row>
    <row r="772" spans="1:7" x14ac:dyDescent="0.25">
      <c r="A772" s="101"/>
      <c r="B772" s="36"/>
      <c r="C772" s="98"/>
      <c r="D772" s="98"/>
      <c r="E772" s="98"/>
      <c r="F772" s="102"/>
      <c r="G772" s="103"/>
    </row>
    <row r="773" spans="1:7" x14ac:dyDescent="0.25">
      <c r="A773" s="101"/>
      <c r="B773" s="36"/>
      <c r="C773" s="98"/>
      <c r="D773" s="98"/>
      <c r="E773" s="98"/>
      <c r="F773" s="102"/>
      <c r="G773" s="103"/>
    </row>
    <row r="774" spans="1:7" x14ac:dyDescent="0.25">
      <c r="A774" s="101"/>
      <c r="B774" s="36"/>
      <c r="C774" s="98"/>
      <c r="D774" s="98"/>
      <c r="E774" s="98"/>
      <c r="F774" s="102"/>
      <c r="G774" s="103"/>
    </row>
    <row r="775" spans="1:7" x14ac:dyDescent="0.25">
      <c r="A775" s="101"/>
      <c r="B775" s="36"/>
      <c r="C775" s="98"/>
      <c r="D775" s="98"/>
      <c r="E775" s="98"/>
      <c r="F775" s="102"/>
      <c r="G775" s="103"/>
    </row>
    <row r="776" spans="1:7" x14ac:dyDescent="0.25">
      <c r="A776" s="101"/>
      <c r="B776" s="36"/>
      <c r="C776" s="98"/>
      <c r="D776" s="98"/>
      <c r="E776" s="98"/>
      <c r="F776" s="102"/>
      <c r="G776" s="103"/>
    </row>
    <row r="777" spans="1:7" x14ac:dyDescent="0.25">
      <c r="A777" s="101"/>
      <c r="B777" s="36"/>
      <c r="C777" s="98"/>
      <c r="D777" s="98"/>
      <c r="E777" s="98"/>
      <c r="F777" s="102"/>
      <c r="G777" s="103"/>
    </row>
    <row r="778" spans="1:7" x14ac:dyDescent="0.25">
      <c r="A778" s="101"/>
      <c r="B778" s="36"/>
      <c r="C778" s="98"/>
      <c r="D778" s="98"/>
      <c r="E778" s="98"/>
      <c r="F778" s="102"/>
      <c r="G778" s="103"/>
    </row>
    <row r="779" spans="1:7" x14ac:dyDescent="0.25">
      <c r="A779" s="101"/>
      <c r="B779" s="36"/>
      <c r="C779" s="98"/>
      <c r="D779" s="98"/>
      <c r="E779" s="98"/>
      <c r="F779" s="102"/>
      <c r="G779" s="103"/>
    </row>
    <row r="780" spans="1:7" x14ac:dyDescent="0.25">
      <c r="A780" s="101"/>
      <c r="B780" s="36"/>
      <c r="C780" s="98"/>
      <c r="D780" s="98"/>
      <c r="E780" s="98"/>
      <c r="F780" s="102"/>
      <c r="G780" s="103"/>
    </row>
    <row r="781" spans="1:7" x14ac:dyDescent="0.25">
      <c r="A781" s="101"/>
      <c r="B781" s="36"/>
      <c r="C781" s="98"/>
      <c r="D781" s="98"/>
      <c r="E781" s="98"/>
      <c r="F781" s="102"/>
      <c r="G781" s="103"/>
    </row>
    <row r="782" spans="1:7" x14ac:dyDescent="0.25">
      <c r="A782" s="101"/>
      <c r="B782" s="36"/>
      <c r="C782" s="98"/>
      <c r="D782" s="98"/>
      <c r="E782" s="98"/>
      <c r="F782" s="102"/>
      <c r="G782" s="103"/>
    </row>
    <row r="783" spans="1:7" x14ac:dyDescent="0.25">
      <c r="A783" s="101"/>
      <c r="B783" s="36"/>
      <c r="C783" s="98"/>
      <c r="D783" s="98"/>
      <c r="E783" s="98"/>
      <c r="F783" s="102"/>
      <c r="G783" s="103"/>
    </row>
    <row r="784" spans="1:7" x14ac:dyDescent="0.25">
      <c r="A784" s="101"/>
      <c r="B784" s="36"/>
      <c r="C784" s="98"/>
      <c r="D784" s="98"/>
      <c r="E784" s="98"/>
      <c r="F784" s="102"/>
      <c r="G784" s="103"/>
    </row>
    <row r="785" spans="1:7" x14ac:dyDescent="0.25">
      <c r="A785" s="101"/>
      <c r="B785" s="36"/>
      <c r="C785" s="98"/>
      <c r="D785" s="98"/>
      <c r="E785" s="98"/>
      <c r="F785" s="102"/>
      <c r="G785" s="103"/>
    </row>
    <row r="786" spans="1:7" x14ac:dyDescent="0.25">
      <c r="A786" s="101"/>
      <c r="B786" s="36"/>
      <c r="C786" s="98"/>
      <c r="D786" s="98"/>
      <c r="E786" s="98"/>
      <c r="F786" s="102"/>
      <c r="G786" s="103"/>
    </row>
    <row r="787" spans="1:7" x14ac:dyDescent="0.25">
      <c r="A787" s="101"/>
      <c r="B787" s="36"/>
      <c r="C787" s="98"/>
      <c r="D787" s="98"/>
      <c r="E787" s="98"/>
      <c r="F787" s="102"/>
      <c r="G787" s="103"/>
    </row>
    <row r="788" spans="1:7" x14ac:dyDescent="0.25">
      <c r="A788" s="101"/>
      <c r="B788" s="67"/>
      <c r="C788" s="98"/>
      <c r="D788" s="98"/>
      <c r="E788" s="98"/>
      <c r="F788" s="102"/>
      <c r="G788" s="103"/>
    </row>
    <row r="789" spans="1:7" x14ac:dyDescent="0.25">
      <c r="A789" s="101"/>
      <c r="B789" s="67"/>
      <c r="C789" s="98"/>
      <c r="D789" s="98"/>
      <c r="E789" s="98"/>
      <c r="F789" s="102"/>
      <c r="G789" s="103"/>
    </row>
    <row r="790" spans="1:7" x14ac:dyDescent="0.25">
      <c r="A790" s="101"/>
      <c r="B790" s="36"/>
      <c r="C790" s="98"/>
      <c r="D790" s="98"/>
      <c r="E790" s="98"/>
      <c r="F790" s="102"/>
      <c r="G790" s="103"/>
    </row>
    <row r="791" spans="1:7" x14ac:dyDescent="0.25">
      <c r="A791" s="101"/>
      <c r="B791" s="36"/>
      <c r="C791" s="98"/>
      <c r="D791" s="98"/>
      <c r="E791" s="98"/>
      <c r="F791" s="102"/>
      <c r="G791" s="103"/>
    </row>
    <row r="792" spans="1:7" x14ac:dyDescent="0.25">
      <c r="A792" s="101"/>
      <c r="B792" s="36"/>
      <c r="C792" s="98"/>
      <c r="D792" s="98"/>
      <c r="E792" s="98"/>
      <c r="F792" s="102"/>
      <c r="G792" s="103"/>
    </row>
    <row r="793" spans="1:7" x14ac:dyDescent="0.25">
      <c r="A793" s="101"/>
      <c r="B793" s="36"/>
      <c r="C793" s="98"/>
      <c r="D793" s="98"/>
      <c r="E793" s="98"/>
      <c r="F793" s="102"/>
      <c r="G793" s="103"/>
    </row>
    <row r="794" spans="1:7" x14ac:dyDescent="0.25">
      <c r="A794" s="101"/>
      <c r="B794" s="36"/>
      <c r="C794" s="98"/>
      <c r="D794" s="98"/>
      <c r="E794" s="98"/>
      <c r="F794" s="102"/>
      <c r="G794" s="103"/>
    </row>
    <row r="795" spans="1:7" x14ac:dyDescent="0.25">
      <c r="A795" s="101"/>
      <c r="B795" s="36"/>
      <c r="C795" s="98"/>
      <c r="D795" s="98"/>
      <c r="E795" s="98"/>
      <c r="F795" s="102"/>
      <c r="G795" s="103"/>
    </row>
    <row r="796" spans="1:7" x14ac:dyDescent="0.25">
      <c r="A796" s="101"/>
      <c r="B796" s="36"/>
      <c r="C796" s="98"/>
      <c r="D796" s="98"/>
      <c r="E796" s="98"/>
      <c r="F796" s="102"/>
      <c r="G796" s="103"/>
    </row>
    <row r="797" spans="1:7" x14ac:dyDescent="0.25">
      <c r="A797" s="101"/>
      <c r="B797" s="36"/>
      <c r="C797" s="98"/>
      <c r="D797" s="98"/>
      <c r="E797" s="98"/>
      <c r="F797" s="102"/>
      <c r="G797" s="103"/>
    </row>
    <row r="798" spans="1:7" x14ac:dyDescent="0.25">
      <c r="A798" s="101"/>
      <c r="B798" s="36"/>
      <c r="C798" s="98"/>
      <c r="D798" s="98"/>
      <c r="E798" s="98"/>
      <c r="F798" s="102"/>
      <c r="G798" s="103"/>
    </row>
    <row r="799" spans="1:7" x14ac:dyDescent="0.25">
      <c r="A799" s="101"/>
      <c r="B799" s="36"/>
      <c r="C799" s="98"/>
      <c r="D799" s="98"/>
      <c r="E799" s="98"/>
      <c r="F799" s="102"/>
      <c r="G799" s="103"/>
    </row>
    <row r="800" spans="1:7" x14ac:dyDescent="0.25">
      <c r="A800" s="101"/>
      <c r="B800" s="36"/>
      <c r="C800" s="98"/>
      <c r="D800" s="98"/>
      <c r="E800" s="98"/>
      <c r="F800" s="102"/>
      <c r="G800" s="103"/>
    </row>
    <row r="801" spans="1:7" x14ac:dyDescent="0.25">
      <c r="A801" s="101"/>
      <c r="B801" s="36"/>
      <c r="C801" s="98"/>
      <c r="D801" s="98"/>
      <c r="E801" s="98"/>
      <c r="F801" s="102"/>
      <c r="G801" s="103"/>
    </row>
    <row r="802" spans="1:7" x14ac:dyDescent="0.25">
      <c r="A802" s="101"/>
      <c r="B802" s="36"/>
      <c r="C802" s="98"/>
      <c r="D802" s="98"/>
      <c r="E802" s="98"/>
      <c r="F802" s="102"/>
      <c r="G802" s="103"/>
    </row>
    <row r="803" spans="1:7" x14ac:dyDescent="0.25">
      <c r="A803" s="101"/>
      <c r="B803" s="36"/>
      <c r="C803" s="98"/>
      <c r="D803" s="98"/>
      <c r="E803" s="98"/>
      <c r="F803" s="102"/>
      <c r="G803" s="103"/>
    </row>
    <row r="804" spans="1:7" x14ac:dyDescent="0.25">
      <c r="A804" s="101"/>
      <c r="B804" s="36"/>
      <c r="C804" s="98"/>
      <c r="D804" s="98"/>
      <c r="E804" s="98"/>
      <c r="F804" s="102"/>
      <c r="G804" s="103"/>
    </row>
    <row r="805" spans="1:7" x14ac:dyDescent="0.25">
      <c r="A805" s="101"/>
      <c r="B805" s="36"/>
      <c r="C805" s="98"/>
      <c r="D805" s="98"/>
      <c r="E805" s="98"/>
      <c r="F805" s="102"/>
      <c r="G805" s="103"/>
    </row>
    <row r="806" spans="1:7" x14ac:dyDescent="0.25">
      <c r="A806" s="101"/>
      <c r="B806" s="36"/>
      <c r="C806" s="98"/>
      <c r="D806" s="98"/>
      <c r="E806" s="98"/>
      <c r="F806" s="102"/>
      <c r="G806" s="103"/>
    </row>
    <row r="807" spans="1:7" x14ac:dyDescent="0.25">
      <c r="A807" s="101"/>
      <c r="B807" s="36"/>
      <c r="C807" s="98"/>
      <c r="D807" s="98"/>
      <c r="E807" s="98"/>
      <c r="F807" s="102"/>
      <c r="G807" s="103"/>
    </row>
    <row r="808" spans="1:7" x14ac:dyDescent="0.25">
      <c r="A808" s="101"/>
      <c r="B808" s="36"/>
      <c r="C808" s="98"/>
      <c r="D808" s="98"/>
      <c r="E808" s="98"/>
      <c r="F808" s="102"/>
      <c r="G808" s="103"/>
    </row>
    <row r="809" spans="1:7" x14ac:dyDescent="0.25">
      <c r="A809" s="101"/>
      <c r="B809" s="104"/>
      <c r="C809" s="98"/>
      <c r="D809" s="98"/>
      <c r="E809" s="98"/>
      <c r="F809" s="102"/>
      <c r="G809" s="103"/>
    </row>
    <row r="810" spans="1:7" x14ac:dyDescent="0.25">
      <c r="A810" s="101"/>
      <c r="B810" s="36"/>
      <c r="C810" s="98"/>
      <c r="D810" s="98"/>
      <c r="E810" s="98"/>
      <c r="F810" s="102"/>
      <c r="G810" s="103"/>
    </row>
    <row r="811" spans="1:7" x14ac:dyDescent="0.25">
      <c r="A811" s="101"/>
      <c r="B811" s="36"/>
      <c r="C811" s="98"/>
      <c r="D811" s="98"/>
      <c r="E811" s="98"/>
      <c r="F811" s="102"/>
      <c r="G811" s="103"/>
    </row>
    <row r="812" spans="1:7" x14ac:dyDescent="0.25">
      <c r="A812" s="101"/>
      <c r="B812" s="36"/>
      <c r="C812" s="98"/>
      <c r="D812" s="98"/>
      <c r="E812" s="98"/>
      <c r="F812" s="102"/>
      <c r="G812" s="103"/>
    </row>
    <row r="813" spans="1:7" x14ac:dyDescent="0.25">
      <c r="A813" s="101"/>
      <c r="B813" s="36"/>
      <c r="C813" s="98"/>
      <c r="D813" s="98"/>
      <c r="E813" s="98"/>
      <c r="F813" s="102"/>
      <c r="G813" s="103"/>
    </row>
    <row r="814" spans="1:7" x14ac:dyDescent="0.25">
      <c r="A814" s="101"/>
      <c r="B814" s="36"/>
      <c r="C814" s="98"/>
      <c r="D814" s="98"/>
      <c r="E814" s="98"/>
      <c r="F814" s="102"/>
      <c r="G814" s="103"/>
    </row>
    <row r="815" spans="1:7" x14ac:dyDescent="0.25">
      <c r="A815" s="101"/>
      <c r="B815" s="36"/>
      <c r="C815" s="98"/>
      <c r="D815" s="98"/>
      <c r="E815" s="98"/>
      <c r="F815" s="102"/>
      <c r="G815" s="103"/>
    </row>
    <row r="816" spans="1:7" x14ac:dyDescent="0.25">
      <c r="A816" s="101"/>
      <c r="B816" s="36"/>
      <c r="C816" s="98"/>
      <c r="D816" s="98"/>
      <c r="E816" s="98"/>
      <c r="F816" s="102"/>
      <c r="G816" s="103"/>
    </row>
    <row r="817" spans="1:7" x14ac:dyDescent="0.25">
      <c r="A817" s="101"/>
      <c r="B817" s="36"/>
      <c r="C817" s="98"/>
      <c r="D817" s="98"/>
      <c r="E817" s="98"/>
      <c r="F817" s="102"/>
      <c r="G817" s="103"/>
    </row>
    <row r="818" spans="1:7" x14ac:dyDescent="0.25">
      <c r="A818" s="101"/>
      <c r="B818" s="36"/>
      <c r="C818" s="98"/>
      <c r="D818" s="98"/>
      <c r="E818" s="98"/>
      <c r="F818" s="102"/>
      <c r="G818" s="103"/>
    </row>
    <row r="819" spans="1:7" x14ac:dyDescent="0.25">
      <c r="A819" s="101"/>
      <c r="B819" s="36"/>
      <c r="C819" s="98"/>
      <c r="D819" s="98"/>
      <c r="E819" s="98"/>
      <c r="F819" s="102"/>
      <c r="G819" s="103"/>
    </row>
    <row r="820" spans="1:7" x14ac:dyDescent="0.25">
      <c r="A820" s="101"/>
      <c r="B820" s="36"/>
      <c r="C820" s="98"/>
      <c r="D820" s="98"/>
      <c r="E820" s="98"/>
      <c r="F820" s="102"/>
      <c r="G820" s="103"/>
    </row>
    <row r="821" spans="1:7" x14ac:dyDescent="0.25">
      <c r="A821" s="101"/>
      <c r="B821" s="36"/>
      <c r="C821" s="98"/>
      <c r="D821" s="98"/>
      <c r="E821" s="98"/>
      <c r="F821" s="102"/>
      <c r="G821" s="103"/>
    </row>
    <row r="822" spans="1:7" x14ac:dyDescent="0.25">
      <c r="A822" s="101"/>
      <c r="B822" s="36"/>
      <c r="C822" s="98"/>
      <c r="D822" s="98"/>
      <c r="E822" s="98"/>
      <c r="F822" s="102"/>
      <c r="G822" s="103"/>
    </row>
    <row r="823" spans="1:7" x14ac:dyDescent="0.25">
      <c r="A823" s="101"/>
      <c r="B823" s="36"/>
      <c r="C823" s="98"/>
      <c r="D823" s="98"/>
      <c r="E823" s="98"/>
      <c r="F823" s="102"/>
      <c r="G823" s="103"/>
    </row>
    <row r="824" spans="1:7" x14ac:dyDescent="0.25">
      <c r="A824" s="101"/>
      <c r="B824" s="36"/>
      <c r="C824" s="98"/>
      <c r="D824" s="98"/>
      <c r="E824" s="98"/>
      <c r="F824" s="102"/>
      <c r="G824" s="103"/>
    </row>
    <row r="825" spans="1:7" x14ac:dyDescent="0.25">
      <c r="A825" s="101"/>
      <c r="B825" s="36"/>
      <c r="C825" s="98"/>
      <c r="D825" s="98"/>
      <c r="E825" s="98"/>
      <c r="F825" s="102"/>
      <c r="G825" s="103"/>
    </row>
    <row r="826" spans="1:7" x14ac:dyDescent="0.25">
      <c r="A826" s="101"/>
      <c r="B826" s="36"/>
      <c r="C826" s="98"/>
      <c r="D826" s="98"/>
      <c r="E826" s="98"/>
      <c r="F826" s="102"/>
      <c r="G826" s="103"/>
    </row>
    <row r="827" spans="1:7" x14ac:dyDescent="0.25">
      <c r="A827" s="101"/>
      <c r="B827" s="36"/>
      <c r="C827" s="98"/>
      <c r="D827" s="98"/>
      <c r="E827" s="98"/>
      <c r="F827" s="102"/>
      <c r="G827" s="103"/>
    </row>
    <row r="828" spans="1:7" x14ac:dyDescent="0.25">
      <c r="A828" s="101"/>
      <c r="B828" s="36"/>
      <c r="C828" s="98"/>
      <c r="D828" s="98"/>
      <c r="E828" s="98"/>
      <c r="F828" s="102"/>
      <c r="G828" s="103"/>
    </row>
    <row r="829" spans="1:7" x14ac:dyDescent="0.25">
      <c r="A829" s="101"/>
      <c r="B829" s="36"/>
      <c r="C829" s="98"/>
      <c r="D829" s="98"/>
      <c r="E829" s="98"/>
      <c r="F829" s="102"/>
      <c r="G829" s="103"/>
    </row>
    <row r="830" spans="1:7" x14ac:dyDescent="0.25">
      <c r="A830" s="101"/>
      <c r="B830" s="36"/>
      <c r="C830" s="98"/>
      <c r="D830" s="98"/>
      <c r="E830" s="98"/>
      <c r="F830" s="102"/>
      <c r="G830" s="103"/>
    </row>
    <row r="831" spans="1:7" x14ac:dyDescent="0.25">
      <c r="A831" s="101"/>
      <c r="B831" s="36"/>
      <c r="C831" s="98"/>
      <c r="D831" s="98"/>
      <c r="E831" s="98"/>
      <c r="F831" s="102"/>
      <c r="G831" s="103"/>
    </row>
    <row r="832" spans="1:7" x14ac:dyDescent="0.25">
      <c r="A832" s="101"/>
      <c r="B832" s="36"/>
      <c r="C832" s="98"/>
      <c r="D832" s="98"/>
      <c r="E832" s="98"/>
      <c r="F832" s="102"/>
      <c r="G832" s="103"/>
    </row>
    <row r="833" spans="1:7" x14ac:dyDescent="0.25">
      <c r="A833" s="101"/>
      <c r="B833" s="36"/>
      <c r="C833" s="98"/>
      <c r="D833" s="98"/>
      <c r="E833" s="98"/>
      <c r="F833" s="102"/>
      <c r="G833" s="103"/>
    </row>
    <row r="834" spans="1:7" x14ac:dyDescent="0.25">
      <c r="A834" s="101"/>
      <c r="B834" s="36"/>
      <c r="C834" s="98"/>
      <c r="D834" s="98"/>
      <c r="E834" s="98"/>
      <c r="F834" s="102"/>
      <c r="G834" s="103"/>
    </row>
    <row r="835" spans="1:7" x14ac:dyDescent="0.25">
      <c r="A835" s="101"/>
      <c r="B835" s="36"/>
      <c r="C835" s="98"/>
      <c r="D835" s="98"/>
      <c r="E835" s="98"/>
      <c r="F835" s="102"/>
      <c r="G835" s="103"/>
    </row>
    <row r="836" spans="1:7" x14ac:dyDescent="0.25">
      <c r="A836" s="101"/>
      <c r="B836" s="36"/>
      <c r="C836" s="98"/>
      <c r="D836" s="98"/>
      <c r="E836" s="98"/>
      <c r="F836" s="102"/>
      <c r="G836" s="103"/>
    </row>
    <row r="837" spans="1:7" x14ac:dyDescent="0.25">
      <c r="A837" s="101"/>
      <c r="B837" s="36"/>
      <c r="C837" s="98"/>
      <c r="D837" s="98"/>
      <c r="E837" s="98"/>
      <c r="F837" s="102"/>
      <c r="G837" s="103"/>
    </row>
    <row r="838" spans="1:7" x14ac:dyDescent="0.25">
      <c r="A838" s="101"/>
      <c r="B838" s="36"/>
      <c r="C838" s="98"/>
      <c r="D838" s="98"/>
      <c r="E838" s="98"/>
      <c r="F838" s="102"/>
      <c r="G838" s="103"/>
    </row>
    <row r="839" spans="1:7" x14ac:dyDescent="0.25">
      <c r="A839" s="101"/>
      <c r="B839" s="36"/>
      <c r="C839" s="98"/>
      <c r="D839" s="98"/>
      <c r="E839" s="98"/>
      <c r="F839" s="102"/>
      <c r="G839" s="103"/>
    </row>
    <row r="840" spans="1:7" x14ac:dyDescent="0.25">
      <c r="A840" s="101"/>
      <c r="B840" s="36"/>
      <c r="C840" s="98"/>
      <c r="D840" s="98"/>
      <c r="E840" s="98"/>
      <c r="F840" s="102"/>
      <c r="G840" s="103"/>
    </row>
    <row r="841" spans="1:7" x14ac:dyDescent="0.25">
      <c r="A841" s="101"/>
      <c r="B841" s="36"/>
      <c r="C841" s="98"/>
      <c r="D841" s="98"/>
      <c r="E841" s="98"/>
      <c r="F841" s="102"/>
      <c r="G841" s="103"/>
    </row>
    <row r="842" spans="1:7" x14ac:dyDescent="0.25">
      <c r="A842" s="101"/>
      <c r="B842" s="36"/>
      <c r="C842" s="98"/>
      <c r="D842" s="98"/>
      <c r="E842" s="98"/>
      <c r="F842" s="102"/>
      <c r="G842" s="103"/>
    </row>
    <row r="843" spans="1:7" x14ac:dyDescent="0.25">
      <c r="A843" s="101"/>
      <c r="B843" s="36"/>
      <c r="C843" s="98"/>
      <c r="D843" s="98"/>
      <c r="E843" s="98"/>
      <c r="F843" s="102"/>
      <c r="G843" s="103"/>
    </row>
    <row r="844" spans="1:7" x14ac:dyDescent="0.25">
      <c r="A844" s="101"/>
      <c r="B844" s="36"/>
      <c r="C844" s="98"/>
      <c r="D844" s="98"/>
      <c r="E844" s="98"/>
      <c r="F844" s="102"/>
      <c r="G844" s="103"/>
    </row>
    <row r="845" spans="1:7" x14ac:dyDescent="0.25">
      <c r="A845" s="101"/>
      <c r="B845" s="36"/>
      <c r="C845" s="98"/>
      <c r="D845" s="98"/>
      <c r="E845" s="98"/>
      <c r="F845" s="102"/>
      <c r="G845" s="103"/>
    </row>
    <row r="846" spans="1:7" x14ac:dyDescent="0.25">
      <c r="A846" s="101"/>
      <c r="B846" s="36"/>
      <c r="C846" s="98"/>
      <c r="D846" s="98"/>
      <c r="E846" s="98"/>
      <c r="F846" s="102"/>
      <c r="G846" s="103"/>
    </row>
    <row r="847" spans="1:7" x14ac:dyDescent="0.25">
      <c r="A847" s="101"/>
      <c r="B847" s="36"/>
      <c r="C847" s="98"/>
      <c r="D847" s="98"/>
      <c r="E847" s="98"/>
      <c r="F847" s="102"/>
      <c r="G847" s="103"/>
    </row>
    <row r="848" spans="1:7" x14ac:dyDescent="0.25">
      <c r="A848" s="101"/>
      <c r="B848" s="36"/>
      <c r="C848" s="98"/>
      <c r="D848" s="98"/>
      <c r="E848" s="98"/>
      <c r="F848" s="102"/>
      <c r="G848" s="103"/>
    </row>
    <row r="849" spans="1:7" x14ac:dyDescent="0.25">
      <c r="A849" s="101"/>
      <c r="B849" s="36"/>
      <c r="C849" s="98"/>
      <c r="D849" s="98"/>
      <c r="E849" s="98"/>
      <c r="F849" s="102"/>
      <c r="G849" s="103"/>
    </row>
    <row r="850" spans="1:7" x14ac:dyDescent="0.25">
      <c r="A850" s="101"/>
      <c r="B850" s="36"/>
      <c r="C850" s="98"/>
      <c r="D850" s="98"/>
      <c r="E850" s="98"/>
      <c r="F850" s="102"/>
      <c r="G850" s="103"/>
    </row>
    <row r="851" spans="1:7" x14ac:dyDescent="0.25">
      <c r="A851" s="101"/>
      <c r="B851" s="36"/>
      <c r="C851" s="98"/>
      <c r="D851" s="98"/>
      <c r="E851" s="98"/>
      <c r="F851" s="102"/>
      <c r="G851" s="103"/>
    </row>
    <row r="852" spans="1:7" x14ac:dyDescent="0.25">
      <c r="A852" s="101"/>
      <c r="B852" s="36"/>
      <c r="C852" s="98"/>
      <c r="D852" s="98"/>
      <c r="E852" s="98"/>
      <c r="F852" s="102"/>
      <c r="G852" s="103"/>
    </row>
    <row r="853" spans="1:7" x14ac:dyDescent="0.25">
      <c r="A853" s="101"/>
      <c r="B853" s="36"/>
      <c r="C853" s="98"/>
      <c r="D853" s="98"/>
      <c r="E853" s="98"/>
      <c r="F853" s="102"/>
      <c r="G853" s="103"/>
    </row>
    <row r="854" spans="1:7" x14ac:dyDescent="0.25">
      <c r="A854" s="101"/>
      <c r="B854" s="36"/>
      <c r="C854" s="98"/>
      <c r="D854" s="98"/>
      <c r="E854" s="98"/>
      <c r="F854" s="102"/>
      <c r="G854" s="103"/>
    </row>
    <row r="855" spans="1:7" x14ac:dyDescent="0.25">
      <c r="A855" s="101"/>
      <c r="B855" s="36"/>
      <c r="C855" s="98"/>
      <c r="D855" s="98"/>
      <c r="E855" s="98"/>
      <c r="F855" s="102"/>
      <c r="G855" s="103"/>
    </row>
    <row r="856" spans="1:7" x14ac:dyDescent="0.25">
      <c r="A856" s="101"/>
      <c r="B856" s="36"/>
      <c r="C856" s="98"/>
      <c r="D856" s="98"/>
      <c r="E856" s="98"/>
      <c r="F856" s="102"/>
      <c r="G856" s="103"/>
    </row>
    <row r="857" spans="1:7" x14ac:dyDescent="0.25">
      <c r="A857" s="101"/>
      <c r="B857" s="36"/>
      <c r="C857" s="98"/>
      <c r="D857" s="98"/>
      <c r="E857" s="98"/>
      <c r="F857" s="102"/>
      <c r="G857" s="103"/>
    </row>
    <row r="858" spans="1:7" x14ac:dyDescent="0.25">
      <c r="A858" s="101"/>
      <c r="B858" s="36"/>
      <c r="C858" s="98"/>
      <c r="D858" s="98"/>
      <c r="E858" s="98"/>
      <c r="F858" s="102"/>
      <c r="G858" s="103"/>
    </row>
    <row r="859" spans="1:7" x14ac:dyDescent="0.25">
      <c r="A859" s="101"/>
      <c r="B859" s="36"/>
      <c r="C859" s="98"/>
      <c r="D859" s="98"/>
      <c r="E859" s="98"/>
      <c r="F859" s="102"/>
      <c r="G859" s="103"/>
    </row>
    <row r="860" spans="1:7" x14ac:dyDescent="0.25">
      <c r="A860" s="101"/>
      <c r="B860" s="36"/>
      <c r="C860" s="98"/>
      <c r="D860" s="98"/>
      <c r="E860" s="98"/>
      <c r="F860" s="102"/>
      <c r="G860" s="103"/>
    </row>
    <row r="861" spans="1:7" x14ac:dyDescent="0.25">
      <c r="A861" s="101"/>
      <c r="B861" s="36"/>
      <c r="C861" s="98"/>
      <c r="D861" s="98"/>
      <c r="E861" s="98"/>
      <c r="F861" s="102"/>
      <c r="G861" s="103"/>
    </row>
    <row r="862" spans="1:7" x14ac:dyDescent="0.25">
      <c r="A862" s="101"/>
      <c r="B862" s="36"/>
      <c r="C862" s="98"/>
      <c r="D862" s="98"/>
      <c r="E862" s="98"/>
      <c r="F862" s="102"/>
      <c r="G862" s="103"/>
    </row>
    <row r="863" spans="1:7" x14ac:dyDescent="0.25">
      <c r="A863" s="101"/>
      <c r="B863" s="36"/>
      <c r="C863" s="98"/>
      <c r="D863" s="98"/>
      <c r="E863" s="98"/>
      <c r="F863" s="102"/>
      <c r="G863" s="103"/>
    </row>
    <row r="864" spans="1:7" x14ac:dyDescent="0.25">
      <c r="A864" s="101"/>
      <c r="B864" s="36"/>
      <c r="C864" s="98"/>
      <c r="D864" s="98"/>
      <c r="E864" s="98"/>
      <c r="F864" s="102"/>
      <c r="G864" s="103"/>
    </row>
    <row r="865" spans="1:7" x14ac:dyDescent="0.25">
      <c r="A865" s="101"/>
      <c r="B865" s="36"/>
      <c r="C865" s="98"/>
      <c r="D865" s="98"/>
      <c r="E865" s="98"/>
      <c r="F865" s="102"/>
      <c r="G865" s="103"/>
    </row>
    <row r="866" spans="1:7" x14ac:dyDescent="0.25">
      <c r="A866" s="101"/>
      <c r="B866" s="36"/>
      <c r="C866" s="98"/>
      <c r="D866" s="98"/>
      <c r="E866" s="98"/>
      <c r="F866" s="102"/>
      <c r="G866" s="103"/>
    </row>
    <row r="867" spans="1:7" x14ac:dyDescent="0.25">
      <c r="A867" s="101"/>
      <c r="B867" s="36"/>
      <c r="C867" s="98"/>
      <c r="D867" s="98"/>
      <c r="E867" s="98"/>
      <c r="F867" s="102"/>
      <c r="G867" s="103"/>
    </row>
    <row r="868" spans="1:7" x14ac:dyDescent="0.25">
      <c r="A868" s="101"/>
      <c r="B868" s="36"/>
      <c r="C868" s="98"/>
      <c r="D868" s="98"/>
      <c r="E868" s="98"/>
      <c r="F868" s="102"/>
      <c r="G868" s="103"/>
    </row>
    <row r="869" spans="1:7" x14ac:dyDescent="0.25">
      <c r="A869" s="101"/>
      <c r="B869" s="36"/>
      <c r="C869" s="98"/>
      <c r="D869" s="98"/>
      <c r="E869" s="98"/>
      <c r="F869" s="102"/>
      <c r="G869" s="103"/>
    </row>
    <row r="870" spans="1:7" x14ac:dyDescent="0.25">
      <c r="A870" s="101"/>
      <c r="B870" s="36"/>
      <c r="C870" s="98"/>
      <c r="D870" s="98"/>
      <c r="E870" s="98"/>
      <c r="F870" s="102"/>
      <c r="G870" s="103"/>
    </row>
    <row r="871" spans="1:7" x14ac:dyDescent="0.25">
      <c r="A871" s="101"/>
      <c r="B871" s="36"/>
      <c r="C871" s="98"/>
      <c r="D871" s="98"/>
      <c r="E871" s="98"/>
      <c r="F871" s="102"/>
      <c r="G871" s="103"/>
    </row>
    <row r="872" spans="1:7" x14ac:dyDescent="0.25">
      <c r="A872" s="101"/>
      <c r="B872" s="36"/>
      <c r="C872" s="98"/>
      <c r="D872" s="98"/>
      <c r="E872" s="98"/>
      <c r="F872" s="102"/>
      <c r="G872" s="103"/>
    </row>
    <row r="873" spans="1:7" x14ac:dyDescent="0.25">
      <c r="A873" s="101"/>
      <c r="B873" s="36"/>
      <c r="C873" s="98"/>
      <c r="D873" s="98"/>
      <c r="E873" s="98"/>
      <c r="F873" s="102"/>
      <c r="G873" s="103"/>
    </row>
    <row r="874" spans="1:7" x14ac:dyDescent="0.25">
      <c r="A874" s="101"/>
      <c r="B874" s="36"/>
      <c r="C874" s="98"/>
      <c r="D874" s="98"/>
      <c r="E874" s="98"/>
      <c r="F874" s="102"/>
      <c r="G874" s="103"/>
    </row>
    <row r="875" spans="1:7" x14ac:dyDescent="0.25">
      <c r="A875" s="101"/>
      <c r="B875" s="36"/>
      <c r="C875" s="98"/>
      <c r="D875" s="98"/>
      <c r="E875" s="98"/>
      <c r="F875" s="102"/>
      <c r="G875" s="103"/>
    </row>
    <row r="876" spans="1:7" x14ac:dyDescent="0.25">
      <c r="A876" s="101"/>
      <c r="B876" s="36"/>
      <c r="C876" s="98"/>
      <c r="D876" s="98"/>
      <c r="E876" s="98"/>
      <c r="F876" s="102"/>
      <c r="G876" s="103"/>
    </row>
    <row r="877" spans="1:7" x14ac:dyDescent="0.25">
      <c r="A877" s="101"/>
      <c r="B877" s="36"/>
      <c r="C877" s="98"/>
      <c r="D877" s="98"/>
      <c r="E877" s="98"/>
      <c r="F877" s="102"/>
      <c r="G877" s="103"/>
    </row>
    <row r="878" spans="1:7" x14ac:dyDescent="0.25">
      <c r="A878" s="101"/>
      <c r="B878" s="36"/>
      <c r="C878" s="98"/>
      <c r="D878" s="98"/>
      <c r="E878" s="98"/>
      <c r="F878" s="102"/>
      <c r="G878" s="103"/>
    </row>
    <row r="879" spans="1:7" x14ac:dyDescent="0.25">
      <c r="A879" s="101"/>
      <c r="B879" s="36"/>
      <c r="C879" s="98"/>
      <c r="D879" s="98"/>
      <c r="E879" s="98"/>
      <c r="F879" s="102"/>
      <c r="G879" s="103"/>
    </row>
    <row r="880" spans="1:7" x14ac:dyDescent="0.25">
      <c r="A880" s="101"/>
      <c r="B880" s="36"/>
      <c r="C880" s="98"/>
      <c r="D880" s="98"/>
      <c r="E880" s="98"/>
      <c r="F880" s="102"/>
      <c r="G880" s="103"/>
    </row>
    <row r="881" spans="1:7" x14ac:dyDescent="0.25">
      <c r="A881" s="101"/>
      <c r="B881" s="36"/>
      <c r="C881" s="98"/>
      <c r="D881" s="98"/>
      <c r="E881" s="98"/>
      <c r="F881" s="102"/>
      <c r="G881" s="103"/>
    </row>
    <row r="882" spans="1:7" x14ac:dyDescent="0.25">
      <c r="A882" s="101"/>
      <c r="B882" s="36"/>
      <c r="C882" s="98"/>
      <c r="D882" s="98"/>
      <c r="E882" s="98"/>
      <c r="F882" s="102"/>
      <c r="G882" s="103"/>
    </row>
    <row r="883" spans="1:7" x14ac:dyDescent="0.25">
      <c r="A883" s="101"/>
      <c r="B883" s="36"/>
      <c r="C883" s="98"/>
      <c r="D883" s="98"/>
      <c r="E883" s="98"/>
      <c r="F883" s="102"/>
      <c r="G883" s="103"/>
    </row>
    <row r="884" spans="1:7" x14ac:dyDescent="0.25">
      <c r="A884" s="101"/>
      <c r="B884" s="36"/>
      <c r="C884" s="98"/>
      <c r="D884" s="98"/>
      <c r="E884" s="98"/>
      <c r="F884" s="102"/>
      <c r="G884" s="103"/>
    </row>
    <row r="885" spans="1:7" x14ac:dyDescent="0.25">
      <c r="A885" s="101"/>
      <c r="B885" s="36"/>
      <c r="C885" s="98"/>
      <c r="D885" s="98"/>
      <c r="E885" s="98"/>
      <c r="F885" s="102"/>
      <c r="G885" s="103"/>
    </row>
    <row r="886" spans="1:7" x14ac:dyDescent="0.25">
      <c r="A886" s="101"/>
      <c r="B886" s="36"/>
      <c r="C886" s="98"/>
      <c r="D886" s="98"/>
      <c r="E886" s="98"/>
      <c r="F886" s="102"/>
      <c r="G886" s="103"/>
    </row>
    <row r="887" spans="1:7" x14ac:dyDescent="0.25">
      <c r="A887" s="101"/>
      <c r="B887" s="36"/>
      <c r="C887" s="98"/>
      <c r="D887" s="98"/>
      <c r="E887" s="98"/>
      <c r="F887" s="102"/>
      <c r="G887" s="103"/>
    </row>
    <row r="888" spans="1:7" x14ac:dyDescent="0.25">
      <c r="A888" s="101"/>
      <c r="B888" s="36"/>
      <c r="C888" s="98"/>
      <c r="D888" s="98"/>
      <c r="E888" s="98"/>
      <c r="F888" s="102"/>
      <c r="G888" s="103"/>
    </row>
    <row r="889" spans="1:7" x14ac:dyDescent="0.25">
      <c r="A889" s="101"/>
      <c r="B889" s="36"/>
      <c r="C889" s="98"/>
      <c r="D889" s="98"/>
      <c r="E889" s="98"/>
      <c r="F889" s="102"/>
      <c r="G889" s="103"/>
    </row>
    <row r="890" spans="1:7" x14ac:dyDescent="0.25">
      <c r="A890" s="101"/>
      <c r="B890" s="36"/>
      <c r="C890" s="98"/>
      <c r="D890" s="98"/>
      <c r="E890" s="98"/>
      <c r="F890" s="102"/>
      <c r="G890" s="103"/>
    </row>
    <row r="891" spans="1:7" x14ac:dyDescent="0.25">
      <c r="A891" s="101"/>
      <c r="B891" s="36"/>
      <c r="C891" s="98"/>
      <c r="D891" s="98"/>
      <c r="E891" s="98"/>
      <c r="F891" s="102"/>
      <c r="G891" s="103"/>
    </row>
    <row r="892" spans="1:7" x14ac:dyDescent="0.25">
      <c r="A892" s="101"/>
      <c r="B892" s="36"/>
      <c r="C892" s="98"/>
      <c r="D892" s="98"/>
      <c r="E892" s="98"/>
      <c r="F892" s="102"/>
      <c r="G892" s="103"/>
    </row>
    <row r="893" spans="1:7" x14ac:dyDescent="0.25">
      <c r="A893" s="101"/>
      <c r="B893" s="36"/>
      <c r="C893" s="98"/>
      <c r="D893" s="98"/>
      <c r="E893" s="98"/>
      <c r="F893" s="102"/>
      <c r="G893" s="103"/>
    </row>
    <row r="894" spans="1:7" x14ac:dyDescent="0.25">
      <c r="A894" s="101"/>
      <c r="B894" s="36"/>
      <c r="C894" s="98"/>
      <c r="D894" s="98"/>
      <c r="E894" s="98"/>
      <c r="F894" s="102"/>
      <c r="G894" s="103"/>
    </row>
    <row r="895" spans="1:7" x14ac:dyDescent="0.25">
      <c r="A895" s="101"/>
      <c r="B895" s="36"/>
      <c r="C895" s="98"/>
      <c r="D895" s="98"/>
      <c r="E895" s="98"/>
      <c r="F895" s="102"/>
      <c r="G895" s="103"/>
    </row>
    <row r="896" spans="1:7" x14ac:dyDescent="0.25">
      <c r="A896" s="101"/>
      <c r="B896" s="36"/>
      <c r="C896" s="98"/>
      <c r="D896" s="98"/>
      <c r="E896" s="98"/>
      <c r="F896" s="102"/>
      <c r="G896" s="103"/>
    </row>
    <row r="897" spans="1:7" x14ac:dyDescent="0.25">
      <c r="A897" s="101"/>
      <c r="B897" s="36"/>
      <c r="C897" s="98"/>
      <c r="D897" s="98"/>
      <c r="E897" s="98"/>
      <c r="F897" s="102"/>
      <c r="G897" s="103"/>
    </row>
    <row r="898" spans="1:7" x14ac:dyDescent="0.25">
      <c r="A898" s="101"/>
      <c r="B898" s="36"/>
      <c r="C898" s="98"/>
      <c r="D898" s="98"/>
      <c r="E898" s="98"/>
      <c r="F898" s="102"/>
      <c r="G898" s="103"/>
    </row>
    <row r="899" spans="1:7" x14ac:dyDescent="0.25">
      <c r="A899" s="101"/>
      <c r="B899" s="36"/>
      <c r="C899" s="98"/>
      <c r="D899" s="98"/>
      <c r="E899" s="98"/>
      <c r="F899" s="102"/>
      <c r="G899" s="103"/>
    </row>
    <row r="900" spans="1:7" x14ac:dyDescent="0.25">
      <c r="A900" s="101"/>
      <c r="B900" s="36"/>
      <c r="C900" s="98"/>
      <c r="D900" s="98"/>
      <c r="E900" s="98"/>
      <c r="F900" s="102"/>
      <c r="G900" s="103"/>
    </row>
    <row r="901" spans="1:7" x14ac:dyDescent="0.25">
      <c r="A901" s="101"/>
      <c r="B901" s="36"/>
      <c r="C901" s="98"/>
      <c r="D901" s="98"/>
      <c r="E901" s="98"/>
      <c r="F901" s="102"/>
      <c r="G901" s="103"/>
    </row>
    <row r="902" spans="1:7" x14ac:dyDescent="0.25">
      <c r="A902" s="101"/>
      <c r="B902" s="36"/>
      <c r="C902" s="98"/>
      <c r="D902" s="98"/>
      <c r="E902" s="98"/>
      <c r="F902" s="102"/>
      <c r="G902" s="103"/>
    </row>
    <row r="903" spans="1:7" x14ac:dyDescent="0.25">
      <c r="A903" s="101"/>
      <c r="B903" s="36"/>
      <c r="C903" s="98"/>
      <c r="D903" s="98"/>
      <c r="E903" s="98"/>
      <c r="F903" s="102"/>
      <c r="G903" s="103"/>
    </row>
    <row r="904" spans="1:7" x14ac:dyDescent="0.25">
      <c r="A904" s="101"/>
      <c r="B904" s="36"/>
      <c r="C904" s="98"/>
      <c r="D904" s="98"/>
      <c r="E904" s="98"/>
      <c r="F904" s="102"/>
      <c r="G904" s="103"/>
    </row>
    <row r="905" spans="1:7" x14ac:dyDescent="0.25">
      <c r="A905" s="101"/>
      <c r="B905" s="36"/>
      <c r="C905" s="98"/>
      <c r="D905" s="98"/>
      <c r="E905" s="98"/>
      <c r="F905" s="102"/>
      <c r="G905" s="103"/>
    </row>
    <row r="906" spans="1:7" x14ac:dyDescent="0.25">
      <c r="A906" s="101"/>
      <c r="B906" s="36"/>
      <c r="C906" s="98"/>
      <c r="D906" s="98"/>
      <c r="E906" s="98"/>
      <c r="F906" s="102"/>
      <c r="G906" s="103"/>
    </row>
    <row r="907" spans="1:7" x14ac:dyDescent="0.25">
      <c r="A907" s="101"/>
      <c r="B907" s="36"/>
      <c r="C907" s="98"/>
      <c r="D907" s="98"/>
      <c r="E907" s="98"/>
      <c r="F907" s="102"/>
      <c r="G907" s="103"/>
    </row>
    <row r="908" spans="1:7" x14ac:dyDescent="0.25">
      <c r="A908" s="101"/>
      <c r="B908" s="36"/>
      <c r="C908" s="98"/>
      <c r="D908" s="98"/>
      <c r="E908" s="98"/>
      <c r="F908" s="102"/>
      <c r="G908" s="103"/>
    </row>
    <row r="909" spans="1:7" x14ac:dyDescent="0.25">
      <c r="A909" s="101"/>
      <c r="B909" s="36"/>
      <c r="C909" s="98"/>
      <c r="D909" s="98"/>
      <c r="E909" s="98"/>
      <c r="F909" s="102"/>
      <c r="G909" s="103"/>
    </row>
    <row r="910" spans="1:7" x14ac:dyDescent="0.25">
      <c r="A910" s="101"/>
      <c r="B910" s="36"/>
      <c r="C910" s="98"/>
      <c r="D910" s="98"/>
      <c r="E910" s="98"/>
      <c r="F910" s="102"/>
      <c r="G910" s="103"/>
    </row>
    <row r="911" spans="1:7" x14ac:dyDescent="0.25">
      <c r="A911" s="101"/>
      <c r="B911" s="36"/>
      <c r="C911" s="98"/>
      <c r="D911" s="98"/>
      <c r="E911" s="98"/>
      <c r="F911" s="102"/>
      <c r="G911" s="103"/>
    </row>
    <row r="912" spans="1:7" x14ac:dyDescent="0.25">
      <c r="A912" s="101"/>
      <c r="B912" s="36"/>
      <c r="C912" s="98"/>
      <c r="D912" s="98"/>
      <c r="E912" s="98"/>
      <c r="F912" s="102"/>
      <c r="G912" s="103"/>
    </row>
    <row r="913" spans="1:7" x14ac:dyDescent="0.25">
      <c r="A913" s="101"/>
      <c r="B913" s="36"/>
      <c r="C913" s="98"/>
      <c r="D913" s="98"/>
      <c r="E913" s="98"/>
      <c r="F913" s="102"/>
      <c r="G913" s="103"/>
    </row>
    <row r="914" spans="1:7" x14ac:dyDescent="0.25">
      <c r="A914" s="101"/>
      <c r="B914" s="36"/>
      <c r="C914" s="98"/>
      <c r="D914" s="98"/>
      <c r="E914" s="98"/>
      <c r="F914" s="102"/>
      <c r="G914" s="103"/>
    </row>
    <row r="915" spans="1:7" x14ac:dyDescent="0.25">
      <c r="A915" s="101"/>
      <c r="B915" s="36"/>
      <c r="C915" s="98"/>
      <c r="D915" s="98"/>
      <c r="E915" s="98"/>
      <c r="F915" s="102"/>
      <c r="G915" s="103"/>
    </row>
    <row r="916" spans="1:7" x14ac:dyDescent="0.25">
      <c r="A916" s="101"/>
      <c r="B916" s="36"/>
      <c r="C916" s="98"/>
      <c r="D916" s="98"/>
      <c r="E916" s="98"/>
      <c r="F916" s="102"/>
      <c r="G916" s="103"/>
    </row>
    <row r="917" spans="1:7" x14ac:dyDescent="0.25">
      <c r="A917" s="101"/>
      <c r="B917" s="36"/>
      <c r="C917" s="98"/>
      <c r="D917" s="98"/>
      <c r="E917" s="98"/>
      <c r="F917" s="102"/>
      <c r="G917" s="103"/>
    </row>
    <row r="918" spans="1:7" x14ac:dyDescent="0.25">
      <c r="A918" s="101"/>
      <c r="B918" s="36"/>
      <c r="C918" s="98"/>
      <c r="D918" s="98"/>
      <c r="E918" s="98"/>
      <c r="F918" s="102"/>
      <c r="G918" s="103"/>
    </row>
    <row r="919" spans="1:7" x14ac:dyDescent="0.25">
      <c r="A919" s="101"/>
      <c r="B919" s="36"/>
      <c r="C919" s="98"/>
      <c r="D919" s="98"/>
      <c r="E919" s="98"/>
      <c r="F919" s="102"/>
      <c r="G919" s="103"/>
    </row>
    <row r="920" spans="1:7" x14ac:dyDescent="0.25">
      <c r="A920" s="101"/>
      <c r="B920" s="36"/>
      <c r="C920" s="98"/>
      <c r="D920" s="98"/>
      <c r="E920" s="98"/>
      <c r="F920" s="102"/>
      <c r="G920" s="103"/>
    </row>
    <row r="921" spans="1:7" x14ac:dyDescent="0.25">
      <c r="A921" s="101"/>
      <c r="B921" s="36"/>
      <c r="C921" s="98"/>
      <c r="D921" s="98"/>
      <c r="E921" s="98"/>
      <c r="F921" s="102"/>
      <c r="G921" s="103"/>
    </row>
    <row r="922" spans="1:7" x14ac:dyDescent="0.25">
      <c r="A922" s="101"/>
      <c r="B922" s="36"/>
      <c r="C922" s="98"/>
      <c r="D922" s="98"/>
      <c r="E922" s="98"/>
      <c r="F922" s="102"/>
      <c r="G922" s="103"/>
    </row>
    <row r="923" spans="1:7" x14ac:dyDescent="0.25">
      <c r="A923" s="101"/>
      <c r="B923" s="36"/>
      <c r="C923" s="98"/>
      <c r="D923" s="98"/>
      <c r="E923" s="98"/>
      <c r="F923" s="102"/>
      <c r="G923" s="103"/>
    </row>
    <row r="924" spans="1:7" x14ac:dyDescent="0.25">
      <c r="A924" s="101"/>
      <c r="B924" s="36"/>
      <c r="C924" s="98"/>
      <c r="D924" s="98"/>
      <c r="E924" s="98"/>
      <c r="F924" s="102"/>
      <c r="G924" s="103"/>
    </row>
    <row r="925" spans="1:7" x14ac:dyDescent="0.25">
      <c r="A925" s="101"/>
      <c r="B925" s="67"/>
      <c r="C925" s="98"/>
      <c r="D925" s="98"/>
      <c r="E925" s="98"/>
      <c r="F925" s="102"/>
      <c r="G925" s="103"/>
    </row>
    <row r="926" spans="1:7" x14ac:dyDescent="0.25">
      <c r="A926" s="101"/>
      <c r="B926" s="36"/>
      <c r="C926" s="98"/>
      <c r="D926" s="98"/>
      <c r="E926" s="98"/>
      <c r="F926" s="102"/>
      <c r="G926" s="103"/>
    </row>
    <row r="927" spans="1:7" x14ac:dyDescent="0.25">
      <c r="A927" s="101"/>
      <c r="B927" s="36"/>
      <c r="C927" s="98"/>
      <c r="D927" s="98"/>
      <c r="E927" s="98"/>
      <c r="F927" s="102"/>
      <c r="G927" s="103"/>
    </row>
    <row r="928" spans="1:7" x14ac:dyDescent="0.25">
      <c r="A928" s="101"/>
      <c r="B928" s="36"/>
      <c r="C928" s="98"/>
      <c r="D928" s="98"/>
      <c r="E928" s="98"/>
      <c r="F928" s="102"/>
      <c r="G928" s="103"/>
    </row>
    <row r="929" spans="1:7" x14ac:dyDescent="0.25">
      <c r="A929" s="101"/>
      <c r="B929" s="36"/>
      <c r="C929" s="98"/>
      <c r="D929" s="98"/>
      <c r="E929" s="98"/>
      <c r="F929" s="102"/>
      <c r="G929" s="103"/>
    </row>
    <row r="930" spans="1:7" x14ac:dyDescent="0.25">
      <c r="A930" s="101"/>
      <c r="B930" s="36"/>
      <c r="C930" s="98"/>
      <c r="D930" s="98"/>
      <c r="E930" s="98"/>
      <c r="F930" s="102"/>
      <c r="G930" s="103"/>
    </row>
    <row r="931" spans="1:7" x14ac:dyDescent="0.25">
      <c r="A931" s="101"/>
      <c r="B931" s="36"/>
      <c r="C931" s="98"/>
      <c r="D931" s="98"/>
      <c r="E931" s="98"/>
      <c r="F931" s="102"/>
      <c r="G931" s="103"/>
    </row>
    <row r="932" spans="1:7" x14ac:dyDescent="0.25">
      <c r="A932" s="101"/>
      <c r="B932" s="36"/>
      <c r="C932" s="98"/>
      <c r="D932" s="98"/>
      <c r="E932" s="98"/>
      <c r="F932" s="102"/>
      <c r="G932" s="103"/>
    </row>
    <row r="933" spans="1:7" x14ac:dyDescent="0.25">
      <c r="A933" s="101"/>
      <c r="B933" s="36"/>
      <c r="C933" s="98"/>
      <c r="D933" s="98"/>
      <c r="E933" s="98"/>
      <c r="F933" s="102"/>
      <c r="G933" s="103"/>
    </row>
    <row r="934" spans="1:7" x14ac:dyDescent="0.25">
      <c r="A934" s="101"/>
      <c r="B934" s="36"/>
      <c r="C934" s="98"/>
      <c r="D934" s="98"/>
      <c r="E934" s="98"/>
      <c r="F934" s="102"/>
      <c r="G934" s="103"/>
    </row>
    <row r="935" spans="1:7" x14ac:dyDescent="0.25">
      <c r="A935" s="101"/>
      <c r="B935" s="36"/>
      <c r="C935" s="98"/>
      <c r="D935" s="98"/>
      <c r="E935" s="98"/>
      <c r="F935" s="102"/>
      <c r="G935" s="103"/>
    </row>
    <row r="936" spans="1:7" x14ac:dyDescent="0.25">
      <c r="A936" s="101"/>
      <c r="B936" s="36"/>
      <c r="C936" s="98"/>
      <c r="D936" s="98"/>
      <c r="E936" s="98"/>
      <c r="F936" s="102"/>
      <c r="G936" s="103"/>
    </row>
    <row r="937" spans="1:7" x14ac:dyDescent="0.25">
      <c r="A937" s="101"/>
      <c r="B937" s="36"/>
      <c r="C937" s="98"/>
      <c r="D937" s="98"/>
      <c r="E937" s="98"/>
      <c r="F937" s="102"/>
      <c r="G937" s="103"/>
    </row>
    <row r="938" spans="1:7" x14ac:dyDescent="0.25">
      <c r="A938" s="101"/>
      <c r="B938" s="36"/>
      <c r="C938" s="98"/>
      <c r="D938" s="98"/>
      <c r="E938" s="98"/>
      <c r="F938" s="102"/>
      <c r="G938" s="103"/>
    </row>
    <row r="939" spans="1:7" x14ac:dyDescent="0.25">
      <c r="A939" s="101"/>
      <c r="B939" s="36"/>
      <c r="C939" s="98"/>
      <c r="D939" s="98"/>
      <c r="E939" s="98"/>
      <c r="F939" s="102"/>
      <c r="G939" s="103"/>
    </row>
    <row r="940" spans="1:7" x14ac:dyDescent="0.25">
      <c r="A940" s="101"/>
      <c r="B940" s="36"/>
      <c r="C940" s="98"/>
      <c r="D940" s="98"/>
      <c r="E940" s="98"/>
      <c r="F940" s="102"/>
      <c r="G940" s="103"/>
    </row>
    <row r="941" spans="1:7" x14ac:dyDescent="0.25">
      <c r="A941" s="101"/>
      <c r="B941" s="36"/>
      <c r="C941" s="98"/>
      <c r="D941" s="98"/>
      <c r="E941" s="98"/>
      <c r="F941" s="102"/>
      <c r="G941" s="103"/>
    </row>
    <row r="942" spans="1:7" x14ac:dyDescent="0.25">
      <c r="A942" s="101"/>
      <c r="B942" s="36"/>
      <c r="C942" s="98"/>
      <c r="D942" s="98"/>
      <c r="E942" s="98"/>
      <c r="F942" s="102"/>
      <c r="G942" s="103"/>
    </row>
    <row r="943" spans="1:7" x14ac:dyDescent="0.25">
      <c r="A943" s="101"/>
      <c r="B943" s="36"/>
      <c r="C943" s="98"/>
      <c r="D943" s="98"/>
      <c r="E943" s="98"/>
      <c r="F943" s="102"/>
      <c r="G943" s="103"/>
    </row>
    <row r="944" spans="1:7" x14ac:dyDescent="0.25">
      <c r="A944" s="101"/>
      <c r="B944" s="36"/>
      <c r="C944" s="98"/>
      <c r="D944" s="98"/>
      <c r="E944" s="98"/>
      <c r="F944" s="102"/>
      <c r="G944" s="103"/>
    </row>
    <row r="945" spans="1:7" x14ac:dyDescent="0.25">
      <c r="A945" s="101"/>
      <c r="B945" s="36"/>
      <c r="C945" s="98"/>
      <c r="D945" s="98"/>
      <c r="E945" s="98"/>
      <c r="F945" s="102"/>
      <c r="G945" s="103"/>
    </row>
    <row r="946" spans="1:7" x14ac:dyDescent="0.25">
      <c r="A946" s="101"/>
      <c r="B946" s="36"/>
      <c r="C946" s="98"/>
      <c r="D946" s="98"/>
      <c r="E946" s="98"/>
      <c r="F946" s="102"/>
      <c r="G946" s="103"/>
    </row>
    <row r="947" spans="1:7" x14ac:dyDescent="0.25">
      <c r="A947" s="101"/>
      <c r="B947" s="36"/>
      <c r="C947" s="98"/>
      <c r="D947" s="98"/>
      <c r="E947" s="98"/>
      <c r="F947" s="102"/>
      <c r="G947" s="103"/>
    </row>
    <row r="948" spans="1:7" x14ac:dyDescent="0.25">
      <c r="A948" s="101"/>
      <c r="B948" s="36"/>
      <c r="C948" s="98"/>
      <c r="D948" s="98"/>
      <c r="E948" s="98"/>
      <c r="F948" s="102"/>
      <c r="G948" s="103"/>
    </row>
    <row r="949" spans="1:7" x14ac:dyDescent="0.25">
      <c r="A949" s="101"/>
      <c r="B949" s="36"/>
      <c r="C949" s="98"/>
      <c r="D949" s="98"/>
      <c r="E949" s="98"/>
      <c r="F949" s="102"/>
      <c r="G949" s="103"/>
    </row>
    <row r="950" spans="1:7" x14ac:dyDescent="0.25">
      <c r="A950" s="101"/>
      <c r="B950" s="36"/>
      <c r="C950" s="98"/>
      <c r="D950" s="98"/>
      <c r="E950" s="98"/>
      <c r="F950" s="102"/>
      <c r="G950" s="103"/>
    </row>
    <row r="951" spans="1:7" x14ac:dyDescent="0.25">
      <c r="A951" s="101"/>
      <c r="B951" s="36"/>
      <c r="C951" s="98"/>
      <c r="D951" s="98"/>
      <c r="E951" s="98"/>
      <c r="F951" s="102"/>
      <c r="G951" s="103"/>
    </row>
    <row r="952" spans="1:7" x14ac:dyDescent="0.25">
      <c r="A952" s="101"/>
      <c r="B952" s="36"/>
      <c r="C952" s="98"/>
      <c r="D952" s="98"/>
      <c r="E952" s="98"/>
      <c r="F952" s="102"/>
      <c r="G952" s="103"/>
    </row>
    <row r="953" spans="1:7" x14ac:dyDescent="0.25">
      <c r="A953" s="101"/>
      <c r="B953" s="36"/>
      <c r="C953" s="98"/>
      <c r="D953" s="98"/>
      <c r="E953" s="98"/>
      <c r="F953" s="102"/>
      <c r="G953" s="103"/>
    </row>
    <row r="954" spans="1:7" x14ac:dyDescent="0.25">
      <c r="A954" s="101"/>
      <c r="B954" s="36"/>
      <c r="C954" s="98"/>
      <c r="D954" s="98"/>
      <c r="E954" s="98"/>
      <c r="F954" s="102"/>
      <c r="G954" s="103"/>
    </row>
    <row r="955" spans="1:7" x14ac:dyDescent="0.25">
      <c r="A955" s="101"/>
      <c r="B955" s="36"/>
      <c r="C955" s="98"/>
      <c r="D955" s="98"/>
      <c r="E955" s="98"/>
      <c r="F955" s="102"/>
      <c r="G955" s="103"/>
    </row>
    <row r="956" spans="1:7" x14ac:dyDescent="0.25">
      <c r="A956" s="101"/>
      <c r="B956" s="36"/>
      <c r="C956" s="98"/>
      <c r="D956" s="98"/>
      <c r="E956" s="98"/>
      <c r="F956" s="102"/>
      <c r="G956" s="103"/>
    </row>
    <row r="957" spans="1:7" x14ac:dyDescent="0.25">
      <c r="A957" s="101"/>
      <c r="B957" s="36"/>
      <c r="C957" s="98"/>
      <c r="D957" s="98"/>
      <c r="E957" s="98"/>
      <c r="F957" s="102"/>
      <c r="G957" s="103"/>
    </row>
    <row r="958" spans="1:7" x14ac:dyDescent="0.25">
      <c r="A958" s="101"/>
      <c r="B958" s="36"/>
      <c r="C958" s="98"/>
      <c r="D958" s="98"/>
      <c r="E958" s="98"/>
      <c r="F958" s="102"/>
      <c r="G958" s="103"/>
    </row>
    <row r="959" spans="1:7" x14ac:dyDescent="0.25">
      <c r="A959" s="101"/>
      <c r="B959" s="36"/>
      <c r="C959" s="98"/>
      <c r="D959" s="98"/>
      <c r="E959" s="98"/>
      <c r="F959" s="102"/>
      <c r="G959" s="103"/>
    </row>
    <row r="960" spans="1:7" x14ac:dyDescent="0.25">
      <c r="A960" s="101"/>
      <c r="B960" s="36"/>
      <c r="C960" s="98"/>
      <c r="D960" s="98"/>
      <c r="E960" s="98"/>
      <c r="F960" s="102"/>
      <c r="G960" s="103"/>
    </row>
    <row r="961" spans="1:7" x14ac:dyDescent="0.25">
      <c r="A961" s="101"/>
      <c r="B961" s="36"/>
      <c r="C961" s="98"/>
      <c r="D961" s="98"/>
      <c r="E961" s="98"/>
      <c r="F961" s="102"/>
      <c r="G961" s="103"/>
    </row>
    <row r="962" spans="1:7" x14ac:dyDescent="0.25">
      <c r="A962" s="101"/>
      <c r="B962" s="36"/>
      <c r="C962" s="98"/>
      <c r="D962" s="98"/>
      <c r="E962" s="98"/>
      <c r="F962" s="102"/>
      <c r="G962" s="103"/>
    </row>
    <row r="963" spans="1:7" x14ac:dyDescent="0.25">
      <c r="A963" s="101"/>
      <c r="B963" s="36"/>
      <c r="C963" s="98"/>
      <c r="D963" s="98"/>
      <c r="E963" s="98"/>
      <c r="F963" s="102"/>
      <c r="G963" s="103"/>
    </row>
    <row r="964" spans="1:7" x14ac:dyDescent="0.25">
      <c r="A964" s="101"/>
      <c r="B964" s="36"/>
      <c r="C964" s="98"/>
      <c r="D964" s="98"/>
      <c r="E964" s="98"/>
      <c r="F964" s="102"/>
      <c r="G964" s="103"/>
    </row>
    <row r="965" spans="1:7" x14ac:dyDescent="0.25">
      <c r="A965" s="101"/>
      <c r="B965" s="67"/>
      <c r="C965" s="98"/>
      <c r="D965" s="98"/>
      <c r="E965" s="98"/>
      <c r="F965" s="102"/>
      <c r="G965" s="103"/>
    </row>
    <row r="966" spans="1:7" x14ac:dyDescent="0.25">
      <c r="A966" s="101"/>
      <c r="B966" s="36"/>
      <c r="C966" s="98"/>
      <c r="D966" s="98"/>
      <c r="E966" s="98"/>
      <c r="F966" s="102"/>
      <c r="G966" s="103"/>
    </row>
    <row r="967" spans="1:7" x14ac:dyDescent="0.25">
      <c r="A967" s="101"/>
      <c r="B967" s="36"/>
      <c r="C967" s="98"/>
      <c r="D967" s="98"/>
      <c r="E967" s="98"/>
      <c r="F967" s="102"/>
      <c r="G967" s="103"/>
    </row>
    <row r="968" spans="1:7" x14ac:dyDescent="0.25">
      <c r="A968" s="101"/>
      <c r="B968" s="36"/>
      <c r="C968" s="98"/>
      <c r="D968" s="98"/>
      <c r="E968" s="98"/>
      <c r="F968" s="102"/>
      <c r="G968" s="103"/>
    </row>
    <row r="969" spans="1:7" x14ac:dyDescent="0.25">
      <c r="A969" s="101"/>
      <c r="B969" s="36"/>
      <c r="C969" s="98"/>
      <c r="D969" s="98"/>
      <c r="E969" s="98"/>
      <c r="F969" s="102"/>
      <c r="G969" s="103"/>
    </row>
    <row r="970" spans="1:7" x14ac:dyDescent="0.25">
      <c r="A970" s="101"/>
      <c r="B970" s="36"/>
      <c r="C970" s="98"/>
      <c r="D970" s="98"/>
      <c r="E970" s="98"/>
      <c r="F970" s="102"/>
      <c r="G970" s="103"/>
    </row>
    <row r="971" spans="1:7" x14ac:dyDescent="0.25">
      <c r="A971" s="101"/>
      <c r="B971" s="36"/>
      <c r="C971" s="98"/>
      <c r="D971" s="98"/>
      <c r="E971" s="98"/>
      <c r="F971" s="102"/>
      <c r="G971" s="103"/>
    </row>
    <row r="972" spans="1:7" x14ac:dyDescent="0.25">
      <c r="A972" s="101"/>
      <c r="B972" s="36"/>
      <c r="C972" s="98"/>
      <c r="D972" s="98"/>
      <c r="E972" s="98"/>
      <c r="F972" s="102"/>
      <c r="G972" s="103"/>
    </row>
    <row r="973" spans="1:7" x14ac:dyDescent="0.25">
      <c r="A973" s="101"/>
      <c r="B973" s="36"/>
      <c r="C973" s="98"/>
      <c r="D973" s="98"/>
      <c r="E973" s="98"/>
      <c r="F973" s="102"/>
      <c r="G973" s="103"/>
    </row>
    <row r="974" spans="1:7" x14ac:dyDescent="0.25">
      <c r="A974" s="101"/>
      <c r="B974" s="36"/>
      <c r="C974" s="98"/>
      <c r="D974" s="98"/>
      <c r="E974" s="98"/>
      <c r="F974" s="102"/>
      <c r="G974" s="103"/>
    </row>
    <row r="975" spans="1:7" x14ac:dyDescent="0.25">
      <c r="A975" s="101"/>
      <c r="B975" s="36"/>
      <c r="C975" s="98"/>
      <c r="D975" s="98"/>
      <c r="E975" s="98"/>
      <c r="F975" s="102"/>
      <c r="G975" s="103"/>
    </row>
    <row r="976" spans="1:7" x14ac:dyDescent="0.25">
      <c r="A976" s="101"/>
      <c r="B976" s="36"/>
      <c r="C976" s="98"/>
      <c r="D976" s="98"/>
      <c r="E976" s="98"/>
      <c r="F976" s="102"/>
      <c r="G976" s="103"/>
    </row>
    <row r="977" spans="1:7" x14ac:dyDescent="0.25">
      <c r="A977" s="101"/>
      <c r="B977" s="36"/>
      <c r="C977" s="98"/>
      <c r="D977" s="98"/>
      <c r="E977" s="98"/>
      <c r="F977" s="102"/>
      <c r="G977" s="103"/>
    </row>
    <row r="978" spans="1:7" x14ac:dyDescent="0.25">
      <c r="A978" s="101"/>
      <c r="B978" s="36"/>
      <c r="C978" s="98"/>
      <c r="D978" s="98"/>
      <c r="E978" s="98"/>
      <c r="F978" s="102"/>
      <c r="G978" s="103"/>
    </row>
    <row r="979" spans="1:7" x14ac:dyDescent="0.25">
      <c r="A979" s="101"/>
      <c r="B979" s="36"/>
      <c r="C979" s="98"/>
      <c r="D979" s="98"/>
      <c r="E979" s="98"/>
      <c r="F979" s="102"/>
      <c r="G979" s="103"/>
    </row>
    <row r="980" spans="1:7" x14ac:dyDescent="0.25">
      <c r="A980" s="101"/>
      <c r="B980" s="36"/>
      <c r="C980" s="98"/>
      <c r="D980" s="98"/>
      <c r="E980" s="98"/>
      <c r="F980" s="102"/>
      <c r="G980" s="103"/>
    </row>
    <row r="981" spans="1:7" x14ac:dyDescent="0.25">
      <c r="A981" s="101"/>
      <c r="B981" s="36"/>
      <c r="C981" s="98"/>
      <c r="D981" s="98"/>
      <c r="E981" s="98"/>
      <c r="F981" s="102"/>
      <c r="G981" s="103"/>
    </row>
    <row r="982" spans="1:7" x14ac:dyDescent="0.25">
      <c r="A982" s="101"/>
      <c r="B982" s="36"/>
      <c r="C982" s="98"/>
      <c r="D982" s="98"/>
      <c r="E982" s="98"/>
      <c r="F982" s="102"/>
      <c r="G982" s="103"/>
    </row>
    <row r="983" spans="1:7" x14ac:dyDescent="0.25">
      <c r="A983" s="101"/>
      <c r="B983" s="36"/>
      <c r="C983" s="98"/>
      <c r="D983" s="98"/>
      <c r="E983" s="98"/>
      <c r="F983" s="102"/>
      <c r="G983" s="103"/>
    </row>
    <row r="984" spans="1:7" x14ac:dyDescent="0.25">
      <c r="A984" s="101"/>
      <c r="B984" s="36"/>
      <c r="C984" s="98"/>
      <c r="D984" s="98"/>
      <c r="E984" s="98"/>
      <c r="F984" s="102"/>
      <c r="G984" s="103"/>
    </row>
    <row r="985" spans="1:7" x14ac:dyDescent="0.25">
      <c r="A985" s="101"/>
      <c r="B985" s="36"/>
      <c r="C985" s="98"/>
      <c r="D985" s="98"/>
      <c r="E985" s="98"/>
      <c r="F985" s="102"/>
      <c r="G985" s="103"/>
    </row>
    <row r="986" spans="1:7" x14ac:dyDescent="0.25">
      <c r="A986" s="101"/>
      <c r="B986" s="36"/>
      <c r="C986" s="98"/>
      <c r="D986" s="98"/>
      <c r="E986" s="98"/>
      <c r="F986" s="102"/>
      <c r="G986" s="103"/>
    </row>
    <row r="987" spans="1:7" x14ac:dyDescent="0.25">
      <c r="A987" s="101"/>
      <c r="B987" s="36"/>
      <c r="C987" s="98"/>
      <c r="D987" s="98"/>
      <c r="E987" s="98"/>
      <c r="F987" s="102"/>
      <c r="G987" s="103"/>
    </row>
    <row r="988" spans="1:7" x14ac:dyDescent="0.25">
      <c r="A988" s="101"/>
      <c r="B988" s="36"/>
      <c r="C988" s="98"/>
      <c r="D988" s="98"/>
      <c r="E988" s="98"/>
      <c r="F988" s="102"/>
      <c r="G988" s="103"/>
    </row>
    <row r="989" spans="1:7" x14ac:dyDescent="0.25">
      <c r="A989" s="101"/>
      <c r="B989" s="36"/>
      <c r="C989" s="98"/>
      <c r="D989" s="98"/>
      <c r="E989" s="98"/>
      <c r="F989" s="102"/>
      <c r="G989" s="103"/>
    </row>
    <row r="990" spans="1:7" x14ac:dyDescent="0.25">
      <c r="A990" s="101"/>
      <c r="B990" s="36"/>
      <c r="C990" s="98"/>
      <c r="D990" s="98"/>
      <c r="E990" s="98"/>
      <c r="F990" s="102"/>
      <c r="G990" s="103"/>
    </row>
    <row r="991" spans="1:7" x14ac:dyDescent="0.25">
      <c r="A991" s="101"/>
      <c r="B991" s="36"/>
      <c r="C991" s="98"/>
      <c r="D991" s="98"/>
      <c r="E991" s="98"/>
      <c r="F991" s="102"/>
      <c r="G991" s="103"/>
    </row>
    <row r="992" spans="1:7" x14ac:dyDescent="0.25">
      <c r="A992" s="101"/>
      <c r="B992" s="36"/>
      <c r="C992" s="98"/>
      <c r="D992" s="98"/>
      <c r="E992" s="98"/>
      <c r="F992" s="102"/>
      <c r="G992" s="103"/>
    </row>
    <row r="993" spans="1:7" x14ac:dyDescent="0.25">
      <c r="A993" s="101"/>
      <c r="B993" s="36"/>
      <c r="C993" s="98"/>
      <c r="D993" s="98"/>
      <c r="E993" s="98"/>
      <c r="F993" s="102"/>
      <c r="G993" s="103"/>
    </row>
    <row r="994" spans="1:7" x14ac:dyDescent="0.25">
      <c r="A994" s="101"/>
      <c r="B994" s="36"/>
      <c r="C994" s="98"/>
      <c r="D994" s="98"/>
      <c r="E994" s="98"/>
      <c r="F994" s="102"/>
      <c r="G994" s="103"/>
    </row>
    <row r="995" spans="1:7" x14ac:dyDescent="0.25">
      <c r="A995" s="101"/>
      <c r="B995" s="36"/>
      <c r="C995" s="98"/>
      <c r="D995" s="98"/>
      <c r="E995" s="98"/>
      <c r="F995" s="102"/>
      <c r="G995" s="103"/>
    </row>
    <row r="996" spans="1:7" x14ac:dyDescent="0.25">
      <c r="A996" s="101"/>
      <c r="B996" s="36"/>
      <c r="C996" s="98"/>
      <c r="D996" s="98"/>
      <c r="E996" s="98"/>
      <c r="F996" s="102"/>
      <c r="G996" s="103"/>
    </row>
    <row r="997" spans="1:7" x14ac:dyDescent="0.25">
      <c r="A997" s="101"/>
      <c r="B997" s="36"/>
      <c r="C997" s="98"/>
      <c r="D997" s="98"/>
      <c r="E997" s="98"/>
      <c r="F997" s="102"/>
      <c r="G997" s="103"/>
    </row>
    <row r="998" spans="1:7" x14ac:dyDescent="0.25">
      <c r="A998" s="101"/>
      <c r="B998" s="36"/>
      <c r="C998" s="98"/>
      <c r="D998" s="98"/>
      <c r="E998" s="98"/>
      <c r="F998" s="102"/>
      <c r="G998" s="103"/>
    </row>
    <row r="999" spans="1:7" x14ac:dyDescent="0.25">
      <c r="A999" s="101"/>
      <c r="B999" s="36"/>
      <c r="C999" s="98"/>
      <c r="D999" s="98"/>
      <c r="E999" s="98"/>
      <c r="F999" s="102"/>
      <c r="G999" s="103"/>
    </row>
    <row r="1000" spans="1:7" x14ac:dyDescent="0.25">
      <c r="A1000" s="101"/>
      <c r="B1000" s="36"/>
      <c r="C1000" s="98"/>
      <c r="D1000" s="98"/>
      <c r="E1000" s="98"/>
      <c r="F1000" s="102"/>
      <c r="G1000" s="103"/>
    </row>
    <row r="1001" spans="1:7" x14ac:dyDescent="0.25">
      <c r="A1001" s="101"/>
      <c r="B1001" s="36"/>
      <c r="C1001" s="98"/>
      <c r="D1001" s="98"/>
      <c r="E1001" s="98"/>
      <c r="F1001" s="102"/>
      <c r="G1001" s="103"/>
    </row>
    <row r="1002" spans="1:7" x14ac:dyDescent="0.25">
      <c r="A1002" s="101"/>
      <c r="B1002" s="36"/>
      <c r="C1002" s="98"/>
      <c r="D1002" s="98"/>
      <c r="E1002" s="98"/>
      <c r="F1002" s="102"/>
      <c r="G1002" s="103"/>
    </row>
    <row r="1003" spans="1:7" x14ac:dyDescent="0.25">
      <c r="A1003" s="101"/>
      <c r="B1003" s="36"/>
      <c r="C1003" s="98"/>
      <c r="D1003" s="98"/>
      <c r="E1003" s="98"/>
      <c r="F1003" s="102"/>
      <c r="G1003" s="103"/>
    </row>
    <row r="1004" spans="1:7" x14ac:dyDescent="0.25">
      <c r="A1004" s="101"/>
      <c r="B1004" s="36"/>
      <c r="C1004" s="98"/>
      <c r="D1004" s="98"/>
      <c r="E1004" s="98"/>
      <c r="F1004" s="102"/>
      <c r="G1004" s="103"/>
    </row>
    <row r="1005" spans="1:7" x14ac:dyDescent="0.25">
      <c r="A1005" s="101"/>
      <c r="B1005" s="36"/>
      <c r="C1005" s="98"/>
      <c r="D1005" s="98"/>
      <c r="E1005" s="98"/>
      <c r="F1005" s="102"/>
      <c r="G1005" s="103"/>
    </row>
    <row r="1006" spans="1:7" x14ac:dyDescent="0.25">
      <c r="A1006" s="101"/>
      <c r="B1006" s="36"/>
      <c r="C1006" s="98"/>
      <c r="D1006" s="98"/>
      <c r="E1006" s="98"/>
      <c r="F1006" s="102"/>
      <c r="G1006" s="103"/>
    </row>
    <row r="1007" spans="1:7" x14ac:dyDescent="0.25">
      <c r="A1007" s="101"/>
      <c r="B1007" s="36"/>
      <c r="C1007" s="98"/>
      <c r="D1007" s="98"/>
      <c r="E1007" s="98"/>
      <c r="F1007" s="102"/>
      <c r="G1007" s="103"/>
    </row>
    <row r="1008" spans="1:7" x14ac:dyDescent="0.25">
      <c r="A1008" s="101"/>
      <c r="B1008" s="36"/>
      <c r="C1008" s="98"/>
      <c r="D1008" s="98"/>
      <c r="E1008" s="98"/>
      <c r="F1008" s="102"/>
      <c r="G1008" s="103"/>
    </row>
    <row r="1009" spans="1:7" x14ac:dyDescent="0.25">
      <c r="A1009" s="101"/>
      <c r="B1009" s="36"/>
      <c r="C1009" s="98"/>
      <c r="D1009" s="98"/>
      <c r="E1009" s="98"/>
      <c r="F1009" s="102"/>
      <c r="G1009" s="103"/>
    </row>
    <row r="1010" spans="1:7" x14ac:dyDescent="0.25">
      <c r="A1010" s="101"/>
      <c r="B1010" s="36"/>
      <c r="C1010" s="98"/>
      <c r="D1010" s="98"/>
      <c r="E1010" s="98"/>
      <c r="F1010" s="102"/>
      <c r="G1010" s="103"/>
    </row>
    <row r="1011" spans="1:7" x14ac:dyDescent="0.25">
      <c r="A1011" s="101"/>
      <c r="B1011" s="36"/>
      <c r="C1011" s="98"/>
      <c r="D1011" s="98"/>
      <c r="E1011" s="98"/>
      <c r="F1011" s="102"/>
      <c r="G1011" s="103"/>
    </row>
    <row r="1012" spans="1:7" x14ac:dyDescent="0.25">
      <c r="A1012" s="101"/>
      <c r="B1012" s="36"/>
      <c r="C1012" s="98"/>
      <c r="D1012" s="98"/>
      <c r="E1012" s="98"/>
      <c r="F1012" s="102"/>
      <c r="G1012" s="103"/>
    </row>
    <row r="1013" spans="1:7" x14ac:dyDescent="0.25">
      <c r="A1013" s="101"/>
      <c r="B1013" s="36"/>
      <c r="C1013" s="98"/>
      <c r="D1013" s="98"/>
      <c r="E1013" s="98"/>
      <c r="F1013" s="102"/>
      <c r="G1013" s="103"/>
    </row>
    <row r="1014" spans="1:7" x14ac:dyDescent="0.25">
      <c r="A1014" s="101"/>
      <c r="B1014" s="36"/>
      <c r="C1014" s="98"/>
      <c r="D1014" s="98"/>
      <c r="E1014" s="98"/>
      <c r="F1014" s="102"/>
      <c r="G1014" s="103"/>
    </row>
    <row r="1015" spans="1:7" x14ac:dyDescent="0.25">
      <c r="A1015" s="101"/>
      <c r="B1015" s="36"/>
      <c r="C1015" s="98"/>
      <c r="D1015" s="98"/>
      <c r="E1015" s="98"/>
      <c r="F1015" s="102"/>
      <c r="G1015" s="103"/>
    </row>
    <row r="1016" spans="1:7" x14ac:dyDescent="0.25">
      <c r="A1016" s="101"/>
      <c r="B1016" s="36"/>
      <c r="C1016" s="98"/>
      <c r="D1016" s="98"/>
      <c r="E1016" s="98"/>
      <c r="F1016" s="102"/>
      <c r="G1016" s="103"/>
    </row>
    <row r="1017" spans="1:7" x14ac:dyDescent="0.25">
      <c r="A1017" s="101"/>
      <c r="B1017" s="36"/>
      <c r="C1017" s="98"/>
      <c r="D1017" s="98"/>
      <c r="E1017" s="98"/>
      <c r="F1017" s="102"/>
      <c r="G1017" s="103"/>
    </row>
    <row r="1018" spans="1:7" x14ac:dyDescent="0.25">
      <c r="A1018" s="101"/>
      <c r="B1018" s="36"/>
      <c r="C1018" s="98"/>
      <c r="D1018" s="98"/>
      <c r="E1018" s="98"/>
      <c r="F1018" s="102"/>
      <c r="G1018" s="103"/>
    </row>
    <row r="1019" spans="1:7" x14ac:dyDescent="0.25">
      <c r="A1019" s="101"/>
      <c r="B1019" s="36"/>
      <c r="C1019" s="98"/>
      <c r="D1019" s="98"/>
      <c r="E1019" s="98"/>
      <c r="F1019" s="102"/>
      <c r="G1019" s="103"/>
    </row>
    <row r="1020" spans="1:7" x14ac:dyDescent="0.25">
      <c r="A1020" s="101"/>
      <c r="B1020" s="36"/>
      <c r="C1020" s="98"/>
      <c r="D1020" s="98"/>
      <c r="E1020" s="98"/>
      <c r="F1020" s="102"/>
      <c r="G1020" s="103"/>
    </row>
    <row r="1021" spans="1:7" x14ac:dyDescent="0.25">
      <c r="A1021" s="101"/>
      <c r="B1021" s="36"/>
      <c r="C1021" s="98"/>
      <c r="D1021" s="98"/>
      <c r="E1021" s="98"/>
      <c r="F1021" s="102"/>
      <c r="G1021" s="103"/>
    </row>
    <row r="1022" spans="1:7" x14ac:dyDescent="0.25">
      <c r="A1022" s="101"/>
      <c r="B1022" s="36"/>
      <c r="C1022" s="98"/>
      <c r="D1022" s="98"/>
      <c r="E1022" s="98"/>
      <c r="F1022" s="102"/>
      <c r="G1022" s="103"/>
    </row>
    <row r="1023" spans="1:7" x14ac:dyDescent="0.25">
      <c r="A1023" s="101"/>
      <c r="B1023" s="36"/>
      <c r="C1023" s="98"/>
      <c r="D1023" s="98"/>
      <c r="E1023" s="98"/>
      <c r="F1023" s="102"/>
      <c r="G1023" s="103"/>
    </row>
    <row r="1024" spans="1:7" x14ac:dyDescent="0.25">
      <c r="A1024" s="101"/>
      <c r="B1024" s="36"/>
      <c r="C1024" s="98"/>
      <c r="D1024" s="98"/>
      <c r="E1024" s="98"/>
      <c r="F1024" s="102"/>
      <c r="G1024" s="103"/>
    </row>
    <row r="1025" spans="1:7" x14ac:dyDescent="0.25">
      <c r="A1025" s="101"/>
      <c r="B1025" s="36"/>
      <c r="C1025" s="98"/>
      <c r="D1025" s="98"/>
      <c r="E1025" s="98"/>
      <c r="F1025" s="102"/>
      <c r="G1025" s="103"/>
    </row>
    <row r="1026" spans="1:7" x14ac:dyDescent="0.25">
      <c r="A1026" s="101"/>
      <c r="B1026" s="36"/>
      <c r="C1026" s="98"/>
      <c r="D1026" s="98"/>
      <c r="E1026" s="98"/>
      <c r="F1026" s="102"/>
      <c r="G1026" s="103"/>
    </row>
    <row r="1027" spans="1:7" x14ac:dyDescent="0.25">
      <c r="A1027" s="101"/>
      <c r="B1027" s="36"/>
      <c r="C1027" s="98"/>
      <c r="D1027" s="98"/>
      <c r="E1027" s="98"/>
      <c r="F1027" s="102"/>
      <c r="G1027" s="103"/>
    </row>
    <row r="1028" spans="1:7" x14ac:dyDescent="0.25">
      <c r="A1028" s="101"/>
      <c r="B1028" s="36"/>
      <c r="C1028" s="98"/>
      <c r="D1028" s="98"/>
      <c r="E1028" s="98"/>
      <c r="F1028" s="102"/>
      <c r="G1028" s="103"/>
    </row>
    <row r="1029" spans="1:7" x14ac:dyDescent="0.25">
      <c r="A1029" s="101"/>
      <c r="B1029" s="36"/>
      <c r="C1029" s="98"/>
      <c r="D1029" s="98"/>
      <c r="E1029" s="98"/>
      <c r="F1029" s="102"/>
      <c r="G1029" s="103"/>
    </row>
    <row r="1030" spans="1:7" x14ac:dyDescent="0.25">
      <c r="A1030" s="101"/>
      <c r="B1030" s="36"/>
      <c r="C1030" s="98"/>
      <c r="D1030" s="98"/>
      <c r="E1030" s="98"/>
      <c r="F1030" s="102"/>
      <c r="G1030" s="103"/>
    </row>
    <row r="1031" spans="1:7" x14ac:dyDescent="0.25">
      <c r="A1031" s="101"/>
      <c r="B1031" s="36"/>
      <c r="C1031" s="98"/>
      <c r="D1031" s="98"/>
      <c r="E1031" s="98"/>
      <c r="F1031" s="102"/>
      <c r="G1031" s="103"/>
    </row>
    <row r="1032" spans="1:7" x14ac:dyDescent="0.25">
      <c r="A1032" s="101"/>
      <c r="B1032" s="36"/>
      <c r="C1032" s="98"/>
      <c r="D1032" s="98"/>
      <c r="E1032" s="98"/>
      <c r="F1032" s="102"/>
      <c r="G1032" s="103"/>
    </row>
    <row r="1033" spans="1:7" x14ac:dyDescent="0.25">
      <c r="A1033" s="101"/>
      <c r="B1033" s="67"/>
      <c r="C1033" s="98"/>
      <c r="D1033" s="98"/>
      <c r="E1033" s="98"/>
      <c r="F1033" s="102"/>
      <c r="G1033" s="103"/>
    </row>
    <row r="1034" spans="1:7" x14ac:dyDescent="0.25">
      <c r="A1034" s="101"/>
      <c r="B1034" s="36"/>
      <c r="C1034" s="98"/>
      <c r="D1034" s="98"/>
      <c r="E1034" s="98"/>
      <c r="F1034" s="102"/>
      <c r="G1034" s="103"/>
    </row>
    <row r="1035" spans="1:7" x14ac:dyDescent="0.25">
      <c r="A1035" s="101"/>
      <c r="B1035" s="67"/>
      <c r="C1035" s="98"/>
      <c r="D1035" s="98"/>
      <c r="E1035" s="98"/>
      <c r="F1035" s="102"/>
      <c r="G1035" s="103"/>
    </row>
    <row r="1036" spans="1:7" x14ac:dyDescent="0.25">
      <c r="A1036" s="101"/>
      <c r="B1036" s="36"/>
      <c r="C1036" s="98"/>
      <c r="D1036" s="98"/>
      <c r="E1036" s="98"/>
      <c r="F1036" s="102"/>
      <c r="G1036" s="103"/>
    </row>
    <row r="1037" spans="1:7" x14ac:dyDescent="0.25">
      <c r="A1037" s="101"/>
      <c r="B1037" s="36"/>
      <c r="C1037" s="98"/>
      <c r="D1037" s="98"/>
      <c r="E1037" s="98"/>
      <c r="F1037" s="102"/>
      <c r="G1037" s="103"/>
    </row>
    <row r="1038" spans="1:7" x14ac:dyDescent="0.25">
      <c r="A1038" s="101"/>
      <c r="B1038" s="36"/>
      <c r="C1038" s="98"/>
      <c r="D1038" s="98"/>
      <c r="E1038" s="98"/>
      <c r="F1038" s="102"/>
      <c r="G1038" s="103"/>
    </row>
    <row r="1039" spans="1:7" x14ac:dyDescent="0.25">
      <c r="A1039" s="101"/>
      <c r="B1039" s="36"/>
      <c r="C1039" s="98"/>
      <c r="D1039" s="98"/>
      <c r="E1039" s="98"/>
      <c r="F1039" s="102"/>
      <c r="G1039" s="103"/>
    </row>
    <row r="1040" spans="1:7" x14ac:dyDescent="0.25">
      <c r="A1040" s="101"/>
      <c r="B1040" s="36"/>
      <c r="C1040" s="98"/>
      <c r="D1040" s="98"/>
      <c r="E1040" s="98"/>
      <c r="F1040" s="102"/>
      <c r="G1040" s="103"/>
    </row>
    <row r="1041" spans="1:7" x14ac:dyDescent="0.25">
      <c r="A1041" s="101"/>
      <c r="B1041" s="36"/>
      <c r="C1041" s="98"/>
      <c r="D1041" s="98"/>
      <c r="E1041" s="98"/>
      <c r="F1041" s="102"/>
      <c r="G1041" s="103"/>
    </row>
    <row r="1042" spans="1:7" x14ac:dyDescent="0.25">
      <c r="A1042" s="101"/>
      <c r="B1042" s="36"/>
      <c r="C1042" s="98"/>
      <c r="D1042" s="98"/>
      <c r="E1042" s="98"/>
      <c r="F1042" s="102"/>
      <c r="G1042" s="103"/>
    </row>
    <row r="1043" spans="1:7" x14ac:dyDescent="0.25">
      <c r="A1043" s="101"/>
      <c r="B1043" s="36"/>
      <c r="C1043" s="98"/>
      <c r="D1043" s="98"/>
      <c r="E1043" s="98"/>
      <c r="F1043" s="102"/>
      <c r="G1043" s="103"/>
    </row>
    <row r="1044" spans="1:7" x14ac:dyDescent="0.25">
      <c r="A1044" s="101"/>
      <c r="B1044" s="36"/>
      <c r="C1044" s="98"/>
      <c r="D1044" s="98"/>
      <c r="E1044" s="98"/>
      <c r="F1044" s="102"/>
      <c r="G1044" s="103"/>
    </row>
    <row r="1045" spans="1:7" x14ac:dyDescent="0.25">
      <c r="A1045" s="101"/>
      <c r="B1045" s="36"/>
      <c r="C1045" s="98"/>
      <c r="D1045" s="98"/>
      <c r="E1045" s="98"/>
      <c r="F1045" s="102"/>
      <c r="G1045" s="103"/>
    </row>
    <row r="1046" spans="1:7" x14ac:dyDescent="0.25">
      <c r="A1046" s="101"/>
      <c r="B1046" s="36"/>
      <c r="C1046" s="98"/>
      <c r="D1046" s="98"/>
      <c r="E1046" s="98"/>
      <c r="F1046" s="102"/>
      <c r="G1046" s="103"/>
    </row>
    <row r="1047" spans="1:7" x14ac:dyDescent="0.25">
      <c r="A1047" s="101"/>
      <c r="B1047" s="36"/>
      <c r="C1047" s="98"/>
      <c r="D1047" s="98"/>
      <c r="E1047" s="98"/>
      <c r="F1047" s="102"/>
      <c r="G1047" s="103"/>
    </row>
    <row r="1048" spans="1:7" x14ac:dyDescent="0.25">
      <c r="A1048" s="101"/>
      <c r="B1048" s="36"/>
      <c r="C1048" s="98"/>
      <c r="D1048" s="98"/>
      <c r="E1048" s="98"/>
      <c r="F1048" s="102"/>
      <c r="G1048" s="103"/>
    </row>
    <row r="1049" spans="1:7" x14ac:dyDescent="0.25">
      <c r="A1049" s="101"/>
      <c r="B1049" s="36"/>
      <c r="C1049" s="98"/>
      <c r="D1049" s="98"/>
      <c r="E1049" s="98"/>
      <c r="F1049" s="102"/>
      <c r="G1049" s="103"/>
    </row>
    <row r="1050" spans="1:7" x14ac:dyDescent="0.25">
      <c r="A1050" s="101"/>
      <c r="B1050" s="36"/>
      <c r="C1050" s="98"/>
      <c r="D1050" s="98"/>
      <c r="E1050" s="98"/>
      <c r="F1050" s="102"/>
      <c r="G1050" s="103"/>
    </row>
    <row r="1051" spans="1:7" x14ac:dyDescent="0.25">
      <c r="A1051" s="101"/>
      <c r="B1051" s="36"/>
      <c r="C1051" s="98"/>
      <c r="D1051" s="98"/>
      <c r="E1051" s="98"/>
      <c r="F1051" s="102"/>
      <c r="G1051" s="103"/>
    </row>
    <row r="1052" spans="1:7" x14ac:dyDescent="0.25">
      <c r="A1052" s="101"/>
      <c r="B1052" s="36"/>
      <c r="C1052" s="98"/>
      <c r="D1052" s="98"/>
      <c r="E1052" s="98"/>
      <c r="F1052" s="102"/>
      <c r="G1052" s="103"/>
    </row>
    <row r="1053" spans="1:7" x14ac:dyDescent="0.25">
      <c r="A1053" s="101"/>
      <c r="B1053" s="36"/>
      <c r="C1053" s="98"/>
      <c r="D1053" s="98"/>
      <c r="E1053" s="98"/>
      <c r="F1053" s="102"/>
      <c r="G1053" s="103"/>
    </row>
    <row r="1054" spans="1:7" x14ac:dyDescent="0.25">
      <c r="A1054" s="101"/>
      <c r="B1054" s="36"/>
      <c r="C1054" s="98"/>
      <c r="D1054" s="98"/>
      <c r="E1054" s="98"/>
      <c r="F1054" s="102"/>
      <c r="G1054" s="103"/>
    </row>
    <row r="1055" spans="1:7" x14ac:dyDescent="0.25">
      <c r="A1055" s="101"/>
      <c r="B1055" s="36"/>
      <c r="C1055" s="98"/>
      <c r="D1055" s="98"/>
      <c r="E1055" s="98"/>
      <c r="F1055" s="102"/>
      <c r="G1055" s="103"/>
    </row>
    <row r="1056" spans="1:7" x14ac:dyDescent="0.25">
      <c r="A1056" s="101"/>
      <c r="B1056" s="36"/>
      <c r="C1056" s="98"/>
      <c r="D1056" s="98"/>
      <c r="E1056" s="98"/>
      <c r="F1056" s="102"/>
      <c r="G1056" s="103"/>
    </row>
    <row r="1057" spans="1:7" x14ac:dyDescent="0.25">
      <c r="A1057" s="101"/>
      <c r="B1057" s="36"/>
      <c r="C1057" s="98"/>
      <c r="D1057" s="98"/>
      <c r="E1057" s="98"/>
      <c r="F1057" s="102"/>
      <c r="G1057" s="103"/>
    </row>
    <row r="1058" spans="1:7" x14ac:dyDescent="0.25">
      <c r="A1058" s="101"/>
      <c r="B1058" s="36"/>
      <c r="C1058" s="98"/>
      <c r="D1058" s="98"/>
      <c r="E1058" s="98"/>
      <c r="F1058" s="102"/>
      <c r="G1058" s="103"/>
    </row>
    <row r="1059" spans="1:7" x14ac:dyDescent="0.25">
      <c r="A1059" s="101"/>
      <c r="B1059" s="36"/>
      <c r="C1059" s="98"/>
      <c r="D1059" s="98"/>
      <c r="E1059" s="98"/>
      <c r="F1059" s="102"/>
      <c r="G1059" s="103"/>
    </row>
    <row r="1060" spans="1:7" x14ac:dyDescent="0.25">
      <c r="A1060" s="101"/>
      <c r="B1060" s="36"/>
      <c r="C1060" s="98"/>
      <c r="D1060" s="98"/>
      <c r="E1060" s="98"/>
      <c r="F1060" s="102"/>
      <c r="G1060" s="103"/>
    </row>
    <row r="1061" spans="1:7" x14ac:dyDescent="0.25">
      <c r="A1061" s="101"/>
      <c r="B1061" s="36"/>
      <c r="C1061" s="98"/>
      <c r="D1061" s="98"/>
      <c r="E1061" s="98"/>
      <c r="F1061" s="102"/>
      <c r="G1061" s="103"/>
    </row>
    <row r="1062" spans="1:7" x14ac:dyDescent="0.25">
      <c r="A1062" s="101"/>
      <c r="B1062" s="36"/>
      <c r="C1062" s="98"/>
      <c r="D1062" s="98"/>
      <c r="E1062" s="98"/>
      <c r="F1062" s="102"/>
      <c r="G1062" s="103"/>
    </row>
    <row r="1063" spans="1:7" x14ac:dyDescent="0.25">
      <c r="A1063" s="101"/>
      <c r="B1063" s="36"/>
      <c r="C1063" s="98"/>
      <c r="D1063" s="98"/>
      <c r="E1063" s="98"/>
      <c r="F1063" s="102"/>
      <c r="G1063" s="103"/>
    </row>
    <row r="1064" spans="1:7" x14ac:dyDescent="0.25">
      <c r="A1064" s="101"/>
      <c r="B1064" s="36"/>
      <c r="C1064" s="98"/>
      <c r="D1064" s="98"/>
      <c r="E1064" s="98"/>
      <c r="F1064" s="102"/>
      <c r="G1064" s="103"/>
    </row>
    <row r="1065" spans="1:7" x14ac:dyDescent="0.25">
      <c r="A1065" s="101"/>
      <c r="B1065" s="36"/>
      <c r="C1065" s="98"/>
      <c r="D1065" s="98"/>
      <c r="E1065" s="98"/>
      <c r="F1065" s="102"/>
      <c r="G1065" s="103"/>
    </row>
    <row r="1066" spans="1:7" x14ac:dyDescent="0.25">
      <c r="A1066" s="101"/>
      <c r="B1066" s="36"/>
      <c r="C1066" s="98"/>
      <c r="D1066" s="98"/>
      <c r="E1066" s="98"/>
      <c r="F1066" s="102"/>
      <c r="G1066" s="103"/>
    </row>
    <row r="1067" spans="1:7" x14ac:dyDescent="0.25">
      <c r="A1067" s="101"/>
      <c r="B1067" s="36"/>
      <c r="C1067" s="98"/>
      <c r="D1067" s="98"/>
      <c r="E1067" s="98"/>
      <c r="F1067" s="102"/>
      <c r="G1067" s="103"/>
    </row>
    <row r="1068" spans="1:7" x14ac:dyDescent="0.25">
      <c r="A1068" s="101"/>
      <c r="B1068" s="66"/>
      <c r="C1068" s="98"/>
      <c r="D1068" s="98"/>
      <c r="E1068" s="98"/>
      <c r="F1068" s="102"/>
      <c r="G1068" s="103"/>
    </row>
    <row r="1069" spans="1:7" x14ac:dyDescent="0.25">
      <c r="A1069" s="101"/>
      <c r="B1069" s="36"/>
      <c r="C1069" s="98"/>
      <c r="D1069" s="98"/>
      <c r="E1069" s="98"/>
      <c r="F1069" s="102"/>
      <c r="G1069" s="103"/>
    </row>
    <row r="1070" spans="1:7" x14ac:dyDescent="0.25">
      <c r="A1070" s="101"/>
      <c r="B1070" s="36"/>
      <c r="C1070" s="98"/>
      <c r="D1070" s="98"/>
      <c r="E1070" s="98"/>
      <c r="F1070" s="102"/>
      <c r="G1070" s="103"/>
    </row>
    <row r="1071" spans="1:7" x14ac:dyDescent="0.25">
      <c r="A1071" s="101"/>
      <c r="B1071" s="36"/>
      <c r="C1071" s="98"/>
      <c r="D1071" s="98"/>
      <c r="E1071" s="98"/>
      <c r="F1071" s="102"/>
      <c r="G1071" s="103"/>
    </row>
    <row r="1072" spans="1:7" x14ac:dyDescent="0.25">
      <c r="A1072" s="101"/>
      <c r="B1072" s="36"/>
      <c r="C1072" s="98"/>
      <c r="D1072" s="98"/>
      <c r="E1072" s="98"/>
      <c r="F1072" s="102"/>
      <c r="G1072" s="103"/>
    </row>
    <row r="1073" spans="1:7" x14ac:dyDescent="0.25">
      <c r="A1073" s="101"/>
      <c r="B1073" s="36"/>
      <c r="C1073" s="98"/>
      <c r="D1073" s="98"/>
      <c r="E1073" s="98"/>
      <c r="F1073" s="102"/>
      <c r="G1073" s="103"/>
    </row>
    <row r="1074" spans="1:7" x14ac:dyDescent="0.25">
      <c r="A1074" s="101"/>
      <c r="B1074" s="36"/>
      <c r="C1074" s="98"/>
      <c r="D1074" s="98"/>
      <c r="E1074" s="98"/>
      <c r="F1074" s="102"/>
      <c r="G1074" s="103"/>
    </row>
    <row r="1075" spans="1:7" x14ac:dyDescent="0.25">
      <c r="A1075" s="101"/>
      <c r="B1075" s="36"/>
      <c r="C1075" s="98"/>
      <c r="D1075" s="98"/>
      <c r="E1075" s="98"/>
      <c r="F1075" s="102"/>
      <c r="G1075" s="103"/>
    </row>
    <row r="1076" spans="1:7" x14ac:dyDescent="0.25">
      <c r="A1076" s="101"/>
      <c r="B1076" s="36"/>
      <c r="C1076" s="98"/>
      <c r="D1076" s="98"/>
      <c r="E1076" s="98"/>
      <c r="F1076" s="102"/>
      <c r="G1076" s="103"/>
    </row>
    <row r="1077" spans="1:7" x14ac:dyDescent="0.25">
      <c r="A1077" s="101"/>
      <c r="B1077" s="36"/>
      <c r="C1077" s="98"/>
      <c r="D1077" s="98"/>
      <c r="E1077" s="98"/>
      <c r="F1077" s="102"/>
      <c r="G1077" s="103"/>
    </row>
    <row r="1078" spans="1:7" x14ac:dyDescent="0.25">
      <c r="A1078" s="101"/>
      <c r="B1078" s="36"/>
      <c r="C1078" s="98"/>
      <c r="D1078" s="98"/>
      <c r="E1078" s="98"/>
      <c r="F1078" s="102"/>
      <c r="G1078" s="103"/>
    </row>
    <row r="1079" spans="1:7" x14ac:dyDescent="0.25">
      <c r="A1079" s="101"/>
      <c r="B1079" s="36"/>
      <c r="C1079" s="98"/>
      <c r="D1079" s="98"/>
      <c r="E1079" s="98"/>
      <c r="F1079" s="102"/>
      <c r="G1079" s="103"/>
    </row>
    <row r="1080" spans="1:7" x14ac:dyDescent="0.25">
      <c r="A1080" s="101"/>
      <c r="B1080" s="36"/>
      <c r="C1080" s="98"/>
      <c r="D1080" s="98"/>
      <c r="E1080" s="98"/>
      <c r="F1080" s="102"/>
      <c r="G1080" s="103"/>
    </row>
    <row r="1081" spans="1:7" x14ac:dyDescent="0.25">
      <c r="A1081" s="101"/>
      <c r="B1081" s="36"/>
      <c r="C1081" s="98"/>
      <c r="D1081" s="98"/>
      <c r="E1081" s="98"/>
      <c r="F1081" s="102"/>
      <c r="G1081" s="103"/>
    </row>
    <row r="1082" spans="1:7" x14ac:dyDescent="0.25">
      <c r="A1082" s="101"/>
      <c r="B1082" s="36"/>
      <c r="C1082" s="98"/>
      <c r="D1082" s="98"/>
      <c r="E1082" s="98"/>
      <c r="F1082" s="102"/>
      <c r="G1082" s="103"/>
    </row>
    <row r="1083" spans="1:7" x14ac:dyDescent="0.25">
      <c r="A1083" s="101"/>
      <c r="B1083" s="36"/>
      <c r="C1083" s="98"/>
      <c r="D1083" s="98"/>
      <c r="E1083" s="98"/>
      <c r="F1083" s="102"/>
      <c r="G1083" s="103"/>
    </row>
    <row r="1084" spans="1:7" x14ac:dyDescent="0.25">
      <c r="A1084" s="101"/>
      <c r="B1084" s="36"/>
      <c r="C1084" s="98"/>
      <c r="D1084" s="98"/>
      <c r="E1084" s="98"/>
      <c r="F1084" s="102"/>
      <c r="G1084" s="103"/>
    </row>
    <row r="1085" spans="1:7" x14ac:dyDescent="0.25">
      <c r="A1085" s="101"/>
      <c r="B1085" s="36"/>
      <c r="C1085" s="98"/>
      <c r="D1085" s="98"/>
      <c r="E1085" s="98"/>
      <c r="F1085" s="102"/>
      <c r="G1085" s="103"/>
    </row>
    <row r="1086" spans="1:7" x14ac:dyDescent="0.25">
      <c r="A1086" s="101"/>
      <c r="B1086" s="36"/>
      <c r="C1086" s="98"/>
      <c r="D1086" s="98"/>
      <c r="E1086" s="98"/>
      <c r="F1086" s="102"/>
      <c r="G1086" s="103"/>
    </row>
    <row r="1087" spans="1:7" x14ac:dyDescent="0.25">
      <c r="A1087" s="101"/>
      <c r="B1087" s="36"/>
      <c r="C1087" s="98"/>
      <c r="D1087" s="98"/>
      <c r="E1087" s="98"/>
      <c r="F1087" s="102"/>
      <c r="G1087" s="103"/>
    </row>
    <row r="1088" spans="1:7" x14ac:dyDescent="0.25">
      <c r="A1088" s="101"/>
      <c r="B1088" s="36"/>
      <c r="C1088" s="98"/>
      <c r="D1088" s="98"/>
      <c r="E1088" s="98"/>
      <c r="F1088" s="102"/>
      <c r="G1088" s="103"/>
    </row>
    <row r="1089" spans="1:7" x14ac:dyDescent="0.25">
      <c r="A1089" s="101"/>
      <c r="B1089" s="36"/>
      <c r="C1089" s="98"/>
      <c r="D1089" s="98"/>
      <c r="E1089" s="98"/>
      <c r="F1089" s="102"/>
      <c r="G1089" s="103"/>
    </row>
    <row r="1090" spans="1:7" x14ac:dyDescent="0.25">
      <c r="A1090" s="101"/>
      <c r="B1090" s="36"/>
      <c r="C1090" s="98"/>
      <c r="D1090" s="98"/>
      <c r="E1090" s="98"/>
      <c r="F1090" s="102"/>
      <c r="G1090" s="103"/>
    </row>
    <row r="1091" spans="1:7" x14ac:dyDescent="0.25">
      <c r="A1091" s="101"/>
      <c r="B1091" s="36"/>
      <c r="C1091" s="98"/>
      <c r="D1091" s="98"/>
      <c r="E1091" s="98"/>
      <c r="F1091" s="102"/>
      <c r="G1091" s="103"/>
    </row>
    <row r="1092" spans="1:7" x14ac:dyDescent="0.25">
      <c r="A1092" s="101"/>
      <c r="B1092" s="36"/>
      <c r="C1092" s="98"/>
      <c r="D1092" s="98"/>
      <c r="E1092" s="98"/>
      <c r="F1092" s="102"/>
      <c r="G1092" s="103"/>
    </row>
    <row r="1093" spans="1:7" x14ac:dyDescent="0.25">
      <c r="A1093" s="101"/>
      <c r="B1093" s="36"/>
      <c r="C1093" s="98"/>
      <c r="D1093" s="98"/>
      <c r="E1093" s="98"/>
      <c r="F1093" s="102"/>
      <c r="G1093" s="103"/>
    </row>
    <row r="1094" spans="1:7" x14ac:dyDescent="0.25">
      <c r="A1094" s="101"/>
      <c r="B1094" s="38"/>
      <c r="C1094" s="98"/>
      <c r="D1094" s="98"/>
      <c r="E1094" s="98"/>
      <c r="F1094" s="102"/>
      <c r="G1094" s="103"/>
    </row>
    <row r="1095" spans="1:7" x14ac:dyDescent="0.25">
      <c r="A1095" s="101"/>
      <c r="B1095" s="38"/>
      <c r="C1095" s="98"/>
      <c r="D1095" s="98"/>
      <c r="E1095" s="98"/>
      <c r="F1095" s="102"/>
      <c r="G1095" s="103"/>
    </row>
    <row r="1096" spans="1:7" x14ac:dyDescent="0.25">
      <c r="A1096" s="101"/>
      <c r="B1096" s="38"/>
      <c r="C1096" s="98"/>
      <c r="D1096" s="98"/>
      <c r="E1096" s="98"/>
      <c r="F1096" s="102"/>
      <c r="G1096" s="103"/>
    </row>
    <row r="1097" spans="1:7" x14ac:dyDescent="0.25">
      <c r="A1097" s="101"/>
      <c r="B1097" s="38"/>
      <c r="C1097" s="98"/>
      <c r="D1097" s="98"/>
      <c r="E1097" s="98"/>
      <c r="F1097" s="102"/>
      <c r="G1097" s="103"/>
    </row>
    <row r="1098" spans="1:7" x14ac:dyDescent="0.25">
      <c r="A1098" s="101"/>
      <c r="B1098" s="36"/>
      <c r="C1098" s="98"/>
      <c r="D1098" s="98"/>
      <c r="E1098" s="98"/>
      <c r="F1098" s="102"/>
      <c r="G1098" s="103"/>
    </row>
    <row r="1099" spans="1:7" x14ac:dyDescent="0.25">
      <c r="A1099" s="101"/>
      <c r="B1099" s="67"/>
      <c r="C1099" s="98"/>
      <c r="D1099" s="98"/>
      <c r="E1099" s="98"/>
      <c r="F1099" s="102"/>
      <c r="G1099" s="103"/>
    </row>
    <row r="1100" spans="1:7" x14ac:dyDescent="0.25">
      <c r="A1100" s="101"/>
      <c r="B1100" s="36"/>
      <c r="C1100" s="98"/>
      <c r="D1100" s="98"/>
      <c r="E1100" s="98"/>
      <c r="F1100" s="102"/>
      <c r="G1100" s="103"/>
    </row>
    <row r="1101" spans="1:7" x14ac:dyDescent="0.25">
      <c r="A1101" s="101"/>
      <c r="B1101" s="67"/>
      <c r="C1101" s="98"/>
      <c r="D1101" s="98"/>
      <c r="E1101" s="98"/>
      <c r="F1101" s="102"/>
      <c r="G1101" s="103"/>
    </row>
    <row r="1102" spans="1:7" x14ac:dyDescent="0.25">
      <c r="A1102" s="101"/>
      <c r="B1102" s="67"/>
      <c r="C1102" s="98"/>
      <c r="D1102" s="98"/>
      <c r="E1102" s="98"/>
      <c r="F1102" s="102"/>
      <c r="G1102" s="103"/>
    </row>
    <row r="1103" spans="1:7" x14ac:dyDescent="0.25">
      <c r="A1103" s="101"/>
      <c r="B1103" s="36"/>
      <c r="C1103" s="98"/>
      <c r="D1103" s="98"/>
      <c r="E1103" s="98"/>
      <c r="F1103" s="102"/>
      <c r="G1103" s="103"/>
    </row>
    <row r="1104" spans="1:7" x14ac:dyDescent="0.25">
      <c r="A1104" s="101"/>
      <c r="B1104" s="36"/>
      <c r="C1104" s="98"/>
      <c r="D1104" s="98"/>
      <c r="E1104" s="98"/>
      <c r="F1104" s="102"/>
      <c r="G1104" s="103"/>
    </row>
    <row r="1105" spans="1:7" x14ac:dyDescent="0.25">
      <c r="A1105" s="101"/>
      <c r="B1105" s="36"/>
      <c r="C1105" s="98"/>
      <c r="D1105" s="98"/>
      <c r="E1105" s="98"/>
      <c r="F1105" s="102"/>
      <c r="G1105" s="103"/>
    </row>
    <row r="1106" spans="1:7" x14ac:dyDescent="0.25">
      <c r="A1106" s="101"/>
      <c r="B1106" s="36"/>
      <c r="C1106" s="98"/>
      <c r="D1106" s="98"/>
      <c r="E1106" s="98"/>
      <c r="F1106" s="102"/>
      <c r="G1106" s="103"/>
    </row>
    <row r="1107" spans="1:7" x14ac:dyDescent="0.25">
      <c r="A1107" s="101"/>
      <c r="B1107" s="36"/>
      <c r="C1107" s="98"/>
      <c r="D1107" s="98"/>
      <c r="E1107" s="98"/>
      <c r="F1107" s="102"/>
      <c r="G1107" s="103"/>
    </row>
    <row r="1108" spans="1:7" x14ac:dyDescent="0.25">
      <c r="A1108" s="101"/>
      <c r="B1108" s="36"/>
      <c r="C1108" s="98"/>
      <c r="D1108" s="98"/>
      <c r="E1108" s="98"/>
      <c r="F1108" s="102"/>
      <c r="G1108" s="103"/>
    </row>
    <row r="1109" spans="1:7" x14ac:dyDescent="0.25">
      <c r="A1109" s="101"/>
      <c r="B1109" s="36"/>
      <c r="C1109" s="98"/>
      <c r="D1109" s="98"/>
      <c r="E1109" s="98"/>
      <c r="F1109" s="102"/>
      <c r="G1109" s="103"/>
    </row>
    <row r="1110" spans="1:7" x14ac:dyDescent="0.25">
      <c r="A1110" s="101"/>
      <c r="B1110" s="36"/>
      <c r="C1110" s="98"/>
      <c r="D1110" s="98"/>
      <c r="E1110" s="98"/>
      <c r="F1110" s="102"/>
      <c r="G1110" s="103"/>
    </row>
    <row r="1111" spans="1:7" x14ac:dyDescent="0.25">
      <c r="A1111" s="101"/>
      <c r="B1111" s="36"/>
      <c r="C1111" s="98"/>
      <c r="D1111" s="98"/>
      <c r="E1111" s="98"/>
      <c r="F1111" s="102"/>
      <c r="G1111" s="103"/>
    </row>
    <row r="1112" spans="1:7" x14ac:dyDescent="0.25">
      <c r="A1112" s="101"/>
      <c r="B1112" s="36"/>
      <c r="C1112" s="98"/>
      <c r="D1112" s="98"/>
      <c r="E1112" s="98"/>
      <c r="F1112" s="102"/>
      <c r="G1112" s="103"/>
    </row>
    <row r="1113" spans="1:7" x14ac:dyDescent="0.25">
      <c r="A1113" s="101"/>
      <c r="B1113" s="36"/>
      <c r="C1113" s="98"/>
      <c r="D1113" s="98"/>
      <c r="E1113" s="98"/>
      <c r="F1113" s="102"/>
      <c r="G1113" s="103"/>
    </row>
    <row r="1114" spans="1:7" x14ac:dyDescent="0.25">
      <c r="A1114" s="101"/>
      <c r="B1114" s="36"/>
      <c r="C1114" s="98"/>
      <c r="D1114" s="98"/>
      <c r="E1114" s="98"/>
      <c r="F1114" s="102"/>
      <c r="G1114" s="103"/>
    </row>
    <row r="1115" spans="1:7" x14ac:dyDescent="0.25">
      <c r="A1115" s="101"/>
      <c r="B1115" s="36"/>
      <c r="C1115" s="98"/>
      <c r="D1115" s="98"/>
      <c r="E1115" s="98"/>
      <c r="F1115" s="102"/>
      <c r="G1115" s="103"/>
    </row>
    <row r="1116" spans="1:7" x14ac:dyDescent="0.25">
      <c r="A1116" s="101"/>
      <c r="B1116" s="36"/>
      <c r="C1116" s="98"/>
      <c r="D1116" s="98"/>
      <c r="E1116" s="98"/>
      <c r="F1116" s="102"/>
      <c r="G1116" s="103"/>
    </row>
    <row r="1117" spans="1:7" x14ac:dyDescent="0.25">
      <c r="A1117" s="101"/>
      <c r="B1117" s="38"/>
      <c r="C1117" s="98"/>
      <c r="D1117" s="98"/>
      <c r="E1117" s="98"/>
      <c r="F1117" s="102"/>
      <c r="G1117" s="103"/>
    </row>
    <row r="1118" spans="1:7" x14ac:dyDescent="0.25">
      <c r="A1118" s="101"/>
      <c r="B1118" s="38"/>
      <c r="C1118" s="98"/>
      <c r="D1118" s="98"/>
      <c r="E1118" s="98"/>
      <c r="F1118" s="102"/>
      <c r="G1118" s="103"/>
    </row>
    <row r="1119" spans="1:7" x14ac:dyDescent="0.25">
      <c r="A1119" s="101"/>
      <c r="B1119" s="38"/>
      <c r="C1119" s="98"/>
      <c r="D1119" s="98"/>
      <c r="E1119" s="98"/>
      <c r="F1119" s="102"/>
      <c r="G1119" s="103"/>
    </row>
    <row r="1120" spans="1:7" x14ac:dyDescent="0.25">
      <c r="A1120" s="101"/>
      <c r="B1120" s="38"/>
      <c r="C1120" s="98"/>
      <c r="D1120" s="98"/>
      <c r="E1120" s="98"/>
      <c r="F1120" s="102"/>
      <c r="G1120" s="103"/>
    </row>
    <row r="1121" spans="1:7" x14ac:dyDescent="0.25">
      <c r="A1121" s="101"/>
      <c r="B1121" s="38"/>
      <c r="C1121" s="98"/>
      <c r="D1121" s="98"/>
      <c r="E1121" s="98"/>
      <c r="F1121" s="102"/>
      <c r="G1121" s="103"/>
    </row>
    <row r="1122" spans="1:7" x14ac:dyDescent="0.25">
      <c r="A1122" s="101"/>
      <c r="B1122" s="38"/>
      <c r="C1122" s="98"/>
      <c r="D1122" s="98"/>
      <c r="E1122" s="98"/>
      <c r="F1122" s="102"/>
      <c r="G1122" s="103"/>
    </row>
    <row r="1123" spans="1:7" x14ac:dyDescent="0.25">
      <c r="A1123" s="101"/>
      <c r="B1123" s="38"/>
      <c r="C1123" s="98"/>
      <c r="D1123" s="98"/>
      <c r="E1123" s="98"/>
      <c r="F1123" s="102"/>
      <c r="G1123" s="103"/>
    </row>
    <row r="1124" spans="1:7" x14ac:dyDescent="0.25">
      <c r="A1124" s="101"/>
      <c r="B1124" s="38"/>
      <c r="C1124" s="98"/>
      <c r="D1124" s="98"/>
      <c r="E1124" s="98"/>
      <c r="F1124" s="102"/>
      <c r="G1124" s="103"/>
    </row>
    <row r="1125" spans="1:7" x14ac:dyDescent="0.25">
      <c r="A1125" s="101"/>
      <c r="B1125" s="38"/>
      <c r="C1125" s="98"/>
      <c r="D1125" s="98"/>
      <c r="E1125" s="98"/>
      <c r="F1125" s="102"/>
      <c r="G1125" s="103"/>
    </row>
    <row r="1126" spans="1:7" x14ac:dyDescent="0.25">
      <c r="A1126" s="101"/>
      <c r="B1126" s="38"/>
      <c r="C1126" s="98"/>
      <c r="D1126" s="98"/>
      <c r="E1126" s="98"/>
      <c r="F1126" s="102"/>
      <c r="G1126" s="103"/>
    </row>
    <row r="1127" spans="1:7" x14ac:dyDescent="0.25">
      <c r="A1127" s="101"/>
      <c r="B1127" s="38"/>
      <c r="C1127" s="98"/>
      <c r="D1127" s="98"/>
      <c r="E1127" s="98"/>
      <c r="F1127" s="102"/>
      <c r="G1127" s="103"/>
    </row>
    <row r="1128" spans="1:7" x14ac:dyDescent="0.25">
      <c r="A1128" s="101"/>
      <c r="B1128" s="38"/>
      <c r="C1128" s="98"/>
      <c r="D1128" s="98"/>
      <c r="E1128" s="98"/>
      <c r="F1128" s="102"/>
      <c r="G1128" s="103"/>
    </row>
    <row r="1129" spans="1:7" x14ac:dyDescent="0.25">
      <c r="A1129" s="101"/>
      <c r="B1129" s="38"/>
      <c r="C1129" s="98"/>
      <c r="D1129" s="98"/>
      <c r="E1129" s="98"/>
      <c r="F1129" s="102"/>
      <c r="G1129" s="103"/>
    </row>
    <row r="1130" spans="1:7" x14ac:dyDescent="0.25">
      <c r="A1130" s="101"/>
      <c r="B1130" s="36"/>
      <c r="C1130" s="98"/>
      <c r="D1130" s="98"/>
      <c r="E1130" s="98"/>
      <c r="F1130" s="102"/>
      <c r="G1130" s="103"/>
    </row>
    <row r="1131" spans="1:7" x14ac:dyDescent="0.25">
      <c r="A1131" s="101"/>
      <c r="B1131" s="36"/>
      <c r="C1131" s="98"/>
      <c r="D1131" s="98"/>
      <c r="E1131" s="98"/>
      <c r="F1131" s="102"/>
      <c r="G1131" s="103"/>
    </row>
    <row r="1132" spans="1:7" x14ac:dyDescent="0.25">
      <c r="A1132" s="101"/>
      <c r="B1132" s="36"/>
      <c r="C1132" s="98"/>
      <c r="D1132" s="98"/>
      <c r="E1132" s="98"/>
      <c r="F1132" s="102"/>
      <c r="G1132" s="103"/>
    </row>
    <row r="1133" spans="1:7" x14ac:dyDescent="0.25">
      <c r="A1133" s="101"/>
      <c r="B1133" s="36"/>
      <c r="C1133" s="98"/>
      <c r="D1133" s="98"/>
      <c r="E1133" s="98"/>
      <c r="F1133" s="102"/>
      <c r="G1133" s="103"/>
    </row>
    <row r="1134" spans="1:7" x14ac:dyDescent="0.25">
      <c r="A1134" s="101"/>
      <c r="B1134" s="36"/>
      <c r="C1134" s="98"/>
      <c r="D1134" s="98"/>
      <c r="E1134" s="98"/>
      <c r="F1134" s="102"/>
      <c r="G1134" s="103"/>
    </row>
    <row r="1135" spans="1:7" x14ac:dyDescent="0.25">
      <c r="A1135" s="101"/>
      <c r="B1135" s="66"/>
      <c r="C1135" s="98"/>
      <c r="D1135" s="98"/>
      <c r="E1135" s="98"/>
      <c r="F1135" s="102"/>
      <c r="G1135" s="103"/>
    </row>
    <row r="1136" spans="1:7" x14ac:dyDescent="0.25">
      <c r="A1136" s="101"/>
      <c r="B1136" s="36"/>
      <c r="C1136" s="98"/>
      <c r="D1136" s="98"/>
      <c r="E1136" s="98"/>
      <c r="F1136" s="102"/>
      <c r="G1136" s="103"/>
    </row>
    <row r="1137" spans="1:7" x14ac:dyDescent="0.25">
      <c r="A1137" s="101"/>
      <c r="B1137" s="36"/>
      <c r="C1137" s="98"/>
      <c r="D1137" s="98"/>
      <c r="E1137" s="98"/>
      <c r="F1137" s="102"/>
      <c r="G1137" s="103"/>
    </row>
    <row r="1138" spans="1:7" x14ac:dyDescent="0.25">
      <c r="A1138" s="101"/>
      <c r="B1138" s="36"/>
      <c r="C1138" s="98"/>
      <c r="D1138" s="98"/>
      <c r="E1138" s="98"/>
      <c r="F1138" s="102"/>
      <c r="G1138" s="103"/>
    </row>
    <row r="1139" spans="1:7" x14ac:dyDescent="0.25">
      <c r="A1139" s="101"/>
      <c r="B1139" s="36"/>
      <c r="C1139" s="98"/>
      <c r="D1139" s="98"/>
      <c r="E1139" s="98"/>
      <c r="F1139" s="102"/>
      <c r="G1139" s="103"/>
    </row>
    <row r="1140" spans="1:7" x14ac:dyDescent="0.25">
      <c r="A1140" s="101"/>
      <c r="B1140" s="36"/>
      <c r="C1140" s="98"/>
      <c r="D1140" s="98"/>
      <c r="E1140" s="98"/>
      <c r="F1140" s="102"/>
      <c r="G1140" s="103"/>
    </row>
    <row r="1141" spans="1:7" x14ac:dyDescent="0.25">
      <c r="A1141" s="101"/>
      <c r="B1141" s="36"/>
      <c r="C1141" s="98"/>
      <c r="D1141" s="98"/>
      <c r="E1141" s="98"/>
      <c r="F1141" s="102"/>
      <c r="G1141" s="103"/>
    </row>
    <row r="1142" spans="1:7" x14ac:dyDescent="0.25">
      <c r="A1142" s="101"/>
      <c r="B1142" s="36"/>
      <c r="C1142" s="98"/>
      <c r="D1142" s="98"/>
      <c r="E1142" s="98"/>
      <c r="F1142" s="102"/>
      <c r="G1142" s="103"/>
    </row>
    <row r="1143" spans="1:7" x14ac:dyDescent="0.25">
      <c r="A1143" s="101"/>
      <c r="B1143" s="36"/>
      <c r="C1143" s="98"/>
      <c r="D1143" s="98"/>
      <c r="E1143" s="98"/>
      <c r="F1143" s="102"/>
      <c r="G1143" s="103"/>
    </row>
    <row r="1144" spans="1:7" x14ac:dyDescent="0.25">
      <c r="A1144" s="101"/>
      <c r="B1144" s="36"/>
      <c r="C1144" s="98"/>
      <c r="D1144" s="98"/>
      <c r="E1144" s="98"/>
      <c r="F1144" s="102"/>
      <c r="G1144" s="103"/>
    </row>
    <row r="1145" spans="1:7" x14ac:dyDescent="0.25">
      <c r="A1145" s="101"/>
      <c r="B1145" s="36"/>
      <c r="C1145" s="98"/>
      <c r="D1145" s="98"/>
      <c r="E1145" s="98"/>
      <c r="F1145" s="102"/>
      <c r="G1145" s="103"/>
    </row>
    <row r="1146" spans="1:7" x14ac:dyDescent="0.25">
      <c r="A1146" s="101"/>
      <c r="B1146" s="36"/>
      <c r="C1146" s="98"/>
      <c r="D1146" s="98"/>
      <c r="E1146" s="98"/>
      <c r="F1146" s="102"/>
      <c r="G1146" s="103"/>
    </row>
    <row r="1147" spans="1:7" x14ac:dyDescent="0.25">
      <c r="A1147" s="101"/>
      <c r="B1147" s="36"/>
      <c r="C1147" s="98"/>
      <c r="D1147" s="98"/>
      <c r="E1147" s="98"/>
      <c r="F1147" s="102"/>
      <c r="G1147" s="103"/>
    </row>
    <row r="1148" spans="1:7" x14ac:dyDescent="0.25">
      <c r="A1148" s="101"/>
      <c r="B1148" s="36"/>
      <c r="C1148" s="98"/>
      <c r="D1148" s="98"/>
      <c r="E1148" s="98"/>
      <c r="F1148" s="102"/>
      <c r="G1148" s="103"/>
    </row>
    <row r="1149" spans="1:7" x14ac:dyDescent="0.25">
      <c r="A1149" s="101"/>
      <c r="B1149" s="36"/>
      <c r="C1149" s="98"/>
      <c r="D1149" s="98"/>
      <c r="E1149" s="98"/>
      <c r="F1149" s="102"/>
      <c r="G1149" s="103"/>
    </row>
    <row r="1150" spans="1:7" x14ac:dyDescent="0.25">
      <c r="A1150" s="101"/>
      <c r="B1150" s="36"/>
      <c r="C1150" s="98"/>
      <c r="D1150" s="98"/>
      <c r="E1150" s="98"/>
      <c r="F1150" s="102"/>
      <c r="G1150" s="103"/>
    </row>
    <row r="1151" spans="1:7" x14ac:dyDescent="0.25">
      <c r="A1151" s="101"/>
      <c r="B1151" s="36"/>
      <c r="C1151" s="98"/>
      <c r="D1151" s="98"/>
      <c r="E1151" s="98"/>
      <c r="F1151" s="102"/>
      <c r="G1151" s="103"/>
    </row>
    <row r="1152" spans="1:7" x14ac:dyDescent="0.25">
      <c r="A1152" s="101"/>
      <c r="B1152" s="38"/>
      <c r="C1152" s="98"/>
      <c r="D1152" s="98"/>
      <c r="E1152" s="98"/>
      <c r="F1152" s="102"/>
      <c r="G1152" s="103"/>
    </row>
    <row r="1153" spans="1:7" x14ac:dyDescent="0.25">
      <c r="A1153" s="101"/>
      <c r="B1153" s="38"/>
      <c r="C1153" s="98"/>
      <c r="D1153" s="98"/>
      <c r="E1153" s="98"/>
      <c r="F1153" s="102"/>
      <c r="G1153" s="103"/>
    </row>
    <row r="1154" spans="1:7" x14ac:dyDescent="0.25">
      <c r="A1154" s="101"/>
      <c r="B1154" s="36"/>
      <c r="C1154" s="98"/>
      <c r="D1154" s="98"/>
      <c r="E1154" s="98"/>
      <c r="F1154" s="102"/>
      <c r="G1154" s="103"/>
    </row>
    <row r="1155" spans="1:7" x14ac:dyDescent="0.25">
      <c r="A1155" s="101"/>
      <c r="B1155" s="36"/>
      <c r="C1155" s="98"/>
      <c r="D1155" s="98"/>
      <c r="E1155" s="98"/>
      <c r="F1155" s="102"/>
      <c r="G1155" s="103"/>
    </row>
    <row r="1156" spans="1:7" x14ac:dyDescent="0.25">
      <c r="A1156" s="101"/>
      <c r="B1156" s="36"/>
      <c r="C1156" s="98"/>
      <c r="D1156" s="98"/>
      <c r="E1156" s="98"/>
      <c r="F1156" s="102"/>
      <c r="G1156" s="103"/>
    </row>
    <row r="1157" spans="1:7" x14ac:dyDescent="0.25">
      <c r="A1157" s="101"/>
      <c r="B1157" s="36"/>
      <c r="C1157" s="98"/>
      <c r="D1157" s="98"/>
      <c r="E1157" s="98"/>
      <c r="F1157" s="102"/>
      <c r="G1157" s="103"/>
    </row>
    <row r="1158" spans="1:7" x14ac:dyDescent="0.25">
      <c r="A1158" s="101"/>
      <c r="B1158" s="36"/>
      <c r="C1158" s="98"/>
      <c r="D1158" s="98"/>
      <c r="E1158" s="98"/>
      <c r="F1158" s="102"/>
      <c r="G1158" s="103"/>
    </row>
    <row r="1159" spans="1:7" x14ac:dyDescent="0.25">
      <c r="A1159" s="101"/>
      <c r="B1159" s="67"/>
      <c r="C1159" s="98"/>
      <c r="D1159" s="98"/>
      <c r="E1159" s="98"/>
      <c r="F1159" s="102"/>
      <c r="G1159" s="103"/>
    </row>
    <row r="1160" spans="1:7" x14ac:dyDescent="0.25">
      <c r="A1160" s="101"/>
      <c r="B1160" s="36"/>
      <c r="C1160" s="98"/>
      <c r="D1160" s="98"/>
      <c r="E1160" s="98"/>
      <c r="F1160" s="102"/>
      <c r="G1160" s="103"/>
    </row>
    <row r="1161" spans="1:7" x14ac:dyDescent="0.25">
      <c r="A1161" s="101"/>
      <c r="B1161" s="36"/>
      <c r="C1161" s="98"/>
      <c r="D1161" s="98"/>
      <c r="E1161" s="98"/>
      <c r="F1161" s="102"/>
      <c r="G1161" s="103"/>
    </row>
    <row r="1162" spans="1:7" x14ac:dyDescent="0.25">
      <c r="A1162" s="101"/>
      <c r="B1162" s="36"/>
      <c r="C1162" s="98"/>
      <c r="D1162" s="98"/>
      <c r="E1162" s="98"/>
      <c r="F1162" s="102"/>
      <c r="G1162" s="103"/>
    </row>
    <row r="1163" spans="1:7" x14ac:dyDescent="0.25">
      <c r="A1163" s="101"/>
      <c r="B1163" s="36"/>
      <c r="C1163" s="98"/>
      <c r="D1163" s="98"/>
      <c r="E1163" s="98"/>
      <c r="F1163" s="102"/>
      <c r="G1163" s="103"/>
    </row>
    <row r="1164" spans="1:7" x14ac:dyDescent="0.25">
      <c r="A1164" s="101"/>
      <c r="B1164" s="36"/>
      <c r="C1164" s="98"/>
      <c r="D1164" s="98"/>
      <c r="E1164" s="98"/>
      <c r="F1164" s="102"/>
      <c r="G1164" s="103"/>
    </row>
    <row r="1165" spans="1:7" x14ac:dyDescent="0.25">
      <c r="A1165" s="101"/>
      <c r="B1165" s="36"/>
      <c r="C1165" s="98"/>
      <c r="D1165" s="98"/>
      <c r="E1165" s="98"/>
      <c r="F1165" s="102"/>
      <c r="G1165" s="103"/>
    </row>
    <row r="1166" spans="1:7" x14ac:dyDescent="0.25">
      <c r="A1166" s="101"/>
      <c r="B1166" s="36"/>
      <c r="C1166" s="98"/>
      <c r="D1166" s="98"/>
      <c r="E1166" s="98"/>
      <c r="F1166" s="102"/>
      <c r="G1166" s="103"/>
    </row>
    <row r="1167" spans="1:7" x14ac:dyDescent="0.25">
      <c r="A1167" s="101"/>
      <c r="B1167" s="36"/>
      <c r="C1167" s="98"/>
      <c r="D1167" s="98"/>
      <c r="E1167" s="98"/>
      <c r="F1167" s="102"/>
      <c r="G1167" s="103"/>
    </row>
    <row r="1168" spans="1:7" x14ac:dyDescent="0.25">
      <c r="A1168" s="101"/>
      <c r="B1168" s="36"/>
      <c r="C1168" s="98"/>
      <c r="D1168" s="98"/>
      <c r="E1168" s="98"/>
      <c r="F1168" s="102"/>
      <c r="G1168" s="103"/>
    </row>
    <row r="1169" spans="1:7" x14ac:dyDescent="0.25">
      <c r="A1169" s="101"/>
      <c r="B1169" s="36"/>
      <c r="C1169" s="98"/>
      <c r="D1169" s="98"/>
      <c r="E1169" s="98"/>
      <c r="F1169" s="102"/>
      <c r="G1169" s="103"/>
    </row>
    <row r="1170" spans="1:7" x14ac:dyDescent="0.25">
      <c r="A1170" s="101"/>
      <c r="B1170" s="36"/>
      <c r="C1170" s="98"/>
      <c r="D1170" s="98"/>
      <c r="E1170" s="98"/>
      <c r="F1170" s="102"/>
      <c r="G1170" s="103"/>
    </row>
    <row r="1171" spans="1:7" x14ac:dyDescent="0.25">
      <c r="A1171" s="101"/>
      <c r="B1171" s="36"/>
      <c r="C1171" s="98"/>
      <c r="D1171" s="98"/>
      <c r="E1171" s="98"/>
      <c r="F1171" s="102"/>
      <c r="G1171" s="103"/>
    </row>
    <row r="1172" spans="1:7" x14ac:dyDescent="0.25">
      <c r="A1172" s="101"/>
      <c r="B1172" s="36"/>
      <c r="C1172" s="98"/>
      <c r="D1172" s="98"/>
      <c r="E1172" s="98"/>
      <c r="F1172" s="102"/>
      <c r="G1172" s="103"/>
    </row>
    <row r="1173" spans="1:7" x14ac:dyDescent="0.25">
      <c r="A1173" s="101"/>
      <c r="B1173" s="36"/>
      <c r="C1173" s="98"/>
      <c r="D1173" s="98"/>
      <c r="E1173" s="98"/>
      <c r="F1173" s="102"/>
      <c r="G1173" s="103"/>
    </row>
    <row r="1174" spans="1:7" x14ac:dyDescent="0.25">
      <c r="A1174" s="101"/>
      <c r="B1174" s="36"/>
      <c r="C1174" s="98"/>
      <c r="D1174" s="98"/>
      <c r="E1174" s="98"/>
      <c r="F1174" s="102"/>
      <c r="G1174" s="103"/>
    </row>
    <row r="1175" spans="1:7" x14ac:dyDescent="0.25">
      <c r="A1175" s="101"/>
      <c r="B1175" s="36"/>
      <c r="C1175" s="98"/>
      <c r="D1175" s="98"/>
      <c r="E1175" s="98"/>
      <c r="F1175" s="102"/>
      <c r="G1175" s="103"/>
    </row>
    <row r="1176" spans="1:7" x14ac:dyDescent="0.25">
      <c r="A1176" s="101"/>
      <c r="B1176" s="36"/>
      <c r="C1176" s="98"/>
      <c r="D1176" s="98"/>
      <c r="E1176" s="98"/>
      <c r="F1176" s="102"/>
      <c r="G1176" s="103"/>
    </row>
    <row r="1177" spans="1:7" x14ac:dyDescent="0.25">
      <c r="A1177" s="101"/>
      <c r="B1177" s="36"/>
      <c r="C1177" s="98"/>
      <c r="D1177" s="98"/>
      <c r="E1177" s="98"/>
      <c r="F1177" s="102"/>
      <c r="G1177" s="103"/>
    </row>
    <row r="1178" spans="1:7" x14ac:dyDescent="0.25">
      <c r="A1178" s="101"/>
      <c r="B1178" s="36"/>
      <c r="C1178" s="98"/>
      <c r="D1178" s="98"/>
      <c r="E1178" s="98"/>
      <c r="F1178" s="102"/>
      <c r="G1178" s="103"/>
    </row>
    <row r="1179" spans="1:7" x14ac:dyDescent="0.25">
      <c r="A1179" s="101"/>
      <c r="B1179" s="36"/>
      <c r="C1179" s="98"/>
      <c r="D1179" s="98"/>
      <c r="E1179" s="98"/>
      <c r="F1179" s="102"/>
      <c r="G1179" s="103"/>
    </row>
    <row r="1180" spans="1:7" x14ac:dyDescent="0.25">
      <c r="A1180" s="101"/>
      <c r="B1180" s="36"/>
      <c r="C1180" s="98"/>
      <c r="D1180" s="98"/>
      <c r="E1180" s="98"/>
      <c r="F1180" s="102"/>
      <c r="G1180" s="103"/>
    </row>
    <row r="1181" spans="1:7" x14ac:dyDescent="0.25">
      <c r="A1181" s="101"/>
      <c r="B1181" s="36"/>
      <c r="C1181" s="98"/>
      <c r="D1181" s="98"/>
      <c r="E1181" s="98"/>
      <c r="F1181" s="102"/>
      <c r="G1181" s="103"/>
    </row>
    <row r="1182" spans="1:7" x14ac:dyDescent="0.25">
      <c r="A1182" s="101"/>
      <c r="B1182" s="36"/>
      <c r="C1182" s="98"/>
      <c r="D1182" s="98"/>
      <c r="E1182" s="98"/>
      <c r="F1182" s="102"/>
      <c r="G1182" s="103"/>
    </row>
    <row r="1183" spans="1:7" x14ac:dyDescent="0.25">
      <c r="A1183" s="101"/>
      <c r="B1183" s="36"/>
      <c r="C1183" s="98"/>
      <c r="D1183" s="98"/>
      <c r="E1183" s="98"/>
      <c r="F1183" s="102"/>
      <c r="G1183" s="103"/>
    </row>
    <row r="1184" spans="1:7" x14ac:dyDescent="0.25">
      <c r="A1184" s="101"/>
      <c r="B1184" s="36"/>
      <c r="C1184" s="98"/>
      <c r="D1184" s="98"/>
      <c r="E1184" s="98"/>
      <c r="F1184" s="102"/>
      <c r="G1184" s="103"/>
    </row>
    <row r="1185" spans="1:7" x14ac:dyDescent="0.25">
      <c r="A1185" s="101"/>
      <c r="B1185" s="36"/>
      <c r="C1185" s="98"/>
      <c r="D1185" s="98"/>
      <c r="E1185" s="98"/>
      <c r="F1185" s="102"/>
      <c r="G1185" s="103"/>
    </row>
    <row r="1186" spans="1:7" x14ac:dyDescent="0.25">
      <c r="A1186" s="101"/>
      <c r="B1186" s="36"/>
      <c r="C1186" s="98"/>
      <c r="D1186" s="98"/>
      <c r="E1186" s="98"/>
      <c r="F1186" s="102"/>
      <c r="G1186" s="103"/>
    </row>
    <row r="1187" spans="1:7" x14ac:dyDescent="0.25">
      <c r="A1187" s="101"/>
      <c r="B1187" s="36"/>
      <c r="C1187" s="98"/>
      <c r="D1187" s="98"/>
      <c r="E1187" s="98"/>
      <c r="F1187" s="102"/>
      <c r="G1187" s="103"/>
    </row>
    <row r="1188" spans="1:7" x14ac:dyDescent="0.25">
      <c r="A1188" s="101"/>
      <c r="B1188" s="36"/>
      <c r="C1188" s="98"/>
      <c r="D1188" s="98"/>
      <c r="E1188" s="98"/>
      <c r="F1188" s="102"/>
      <c r="G1188" s="103"/>
    </row>
    <row r="1189" spans="1:7" x14ac:dyDescent="0.25">
      <c r="A1189" s="101"/>
      <c r="B1189" s="36"/>
      <c r="C1189" s="98"/>
      <c r="D1189" s="98"/>
      <c r="E1189" s="98"/>
      <c r="F1189" s="102"/>
      <c r="G1189" s="103"/>
    </row>
    <row r="1190" spans="1:7" x14ac:dyDescent="0.25">
      <c r="A1190" s="101"/>
      <c r="B1190" s="36"/>
      <c r="C1190" s="98"/>
      <c r="D1190" s="98"/>
      <c r="E1190" s="98"/>
      <c r="F1190" s="102"/>
      <c r="G1190" s="103"/>
    </row>
    <row r="1191" spans="1:7" x14ac:dyDescent="0.25">
      <c r="A1191" s="101"/>
      <c r="B1191" s="36"/>
      <c r="C1191" s="98"/>
      <c r="D1191" s="98"/>
      <c r="E1191" s="98"/>
      <c r="F1191" s="102"/>
      <c r="G1191" s="103"/>
    </row>
    <row r="1192" spans="1:7" x14ac:dyDescent="0.25">
      <c r="A1192" s="101"/>
      <c r="B1192" s="66"/>
      <c r="C1192" s="98"/>
      <c r="D1192" s="98"/>
      <c r="E1192" s="98"/>
      <c r="F1192" s="102"/>
      <c r="G1192" s="103"/>
    </row>
    <row r="1193" spans="1:7" x14ac:dyDescent="0.25">
      <c r="A1193" s="101"/>
      <c r="B1193" s="36"/>
      <c r="C1193" s="98"/>
      <c r="D1193" s="98"/>
      <c r="E1193" s="98"/>
      <c r="F1193" s="102"/>
      <c r="G1193" s="103"/>
    </row>
    <row r="1194" spans="1:7" x14ac:dyDescent="0.25">
      <c r="A1194" s="101"/>
      <c r="B1194" s="36"/>
      <c r="C1194" s="98"/>
      <c r="D1194" s="98"/>
      <c r="E1194" s="98"/>
      <c r="F1194" s="102"/>
      <c r="G1194" s="103"/>
    </row>
    <row r="1195" spans="1:7" x14ac:dyDescent="0.25">
      <c r="A1195" s="101"/>
      <c r="B1195" s="36"/>
      <c r="C1195" s="98"/>
      <c r="D1195" s="98"/>
      <c r="E1195" s="98"/>
      <c r="F1195" s="102"/>
      <c r="G1195" s="103"/>
    </row>
    <row r="1196" spans="1:7" x14ac:dyDescent="0.25">
      <c r="A1196" s="101"/>
      <c r="B1196" s="36"/>
      <c r="C1196" s="98"/>
      <c r="D1196" s="98"/>
      <c r="E1196" s="98"/>
      <c r="F1196" s="102"/>
      <c r="G1196" s="103"/>
    </row>
    <row r="1197" spans="1:7" x14ac:dyDescent="0.25">
      <c r="A1197" s="101"/>
      <c r="B1197" s="36"/>
      <c r="C1197" s="98"/>
      <c r="D1197" s="98"/>
      <c r="E1197" s="98"/>
      <c r="F1197" s="102"/>
      <c r="G1197" s="103"/>
    </row>
    <row r="1198" spans="1:7" x14ac:dyDescent="0.25">
      <c r="A1198" s="101"/>
      <c r="B1198" s="36"/>
      <c r="C1198" s="98"/>
      <c r="D1198" s="98"/>
      <c r="E1198" s="98"/>
      <c r="F1198" s="102"/>
      <c r="G1198" s="103"/>
    </row>
    <row r="1199" spans="1:7" x14ac:dyDescent="0.25">
      <c r="A1199" s="101"/>
      <c r="B1199" s="36"/>
      <c r="C1199" s="98"/>
      <c r="D1199" s="98"/>
      <c r="E1199" s="98"/>
      <c r="F1199" s="102"/>
      <c r="G1199" s="103"/>
    </row>
    <row r="1200" spans="1:7" x14ac:dyDescent="0.25">
      <c r="A1200" s="101"/>
      <c r="B1200" s="36"/>
      <c r="C1200" s="98"/>
      <c r="D1200" s="98"/>
      <c r="E1200" s="98"/>
      <c r="F1200" s="102"/>
      <c r="G1200" s="103"/>
    </row>
    <row r="1201" spans="1:7" x14ac:dyDescent="0.25">
      <c r="A1201" s="101"/>
      <c r="B1201" s="36"/>
      <c r="C1201" s="98"/>
      <c r="D1201" s="98"/>
      <c r="E1201" s="98"/>
      <c r="F1201" s="102"/>
      <c r="G1201" s="103"/>
    </row>
    <row r="1202" spans="1:7" x14ac:dyDescent="0.25">
      <c r="A1202" s="101"/>
      <c r="B1202" s="36"/>
      <c r="C1202" s="98"/>
      <c r="D1202" s="98"/>
      <c r="E1202" s="98"/>
      <c r="F1202" s="102"/>
      <c r="G1202" s="103"/>
    </row>
    <row r="1203" spans="1:7" x14ac:dyDescent="0.25">
      <c r="A1203" s="101"/>
      <c r="B1203" s="36"/>
      <c r="C1203" s="98"/>
      <c r="D1203" s="98"/>
      <c r="E1203" s="98"/>
      <c r="F1203" s="102"/>
      <c r="G1203" s="103"/>
    </row>
    <row r="1204" spans="1:7" x14ac:dyDescent="0.25">
      <c r="A1204" s="101"/>
      <c r="B1204" s="36"/>
      <c r="C1204" s="98"/>
      <c r="D1204" s="98"/>
      <c r="E1204" s="98"/>
      <c r="F1204" s="102"/>
      <c r="G1204" s="103"/>
    </row>
    <row r="1205" spans="1:7" x14ac:dyDescent="0.25">
      <c r="A1205" s="101"/>
      <c r="B1205" s="36"/>
      <c r="C1205" s="98"/>
      <c r="D1205" s="98"/>
      <c r="E1205" s="98"/>
      <c r="F1205" s="102"/>
      <c r="G1205" s="103"/>
    </row>
    <row r="1206" spans="1:7" x14ac:dyDescent="0.25">
      <c r="A1206" s="101"/>
      <c r="B1206" s="36"/>
      <c r="C1206" s="98"/>
      <c r="D1206" s="98"/>
      <c r="E1206" s="98"/>
      <c r="F1206" s="102"/>
      <c r="G1206" s="103"/>
    </row>
    <row r="1207" spans="1:7" x14ac:dyDescent="0.25">
      <c r="A1207" s="101"/>
      <c r="B1207" s="36"/>
      <c r="C1207" s="98"/>
      <c r="D1207" s="98"/>
      <c r="E1207" s="98"/>
      <c r="F1207" s="102"/>
      <c r="G1207" s="103"/>
    </row>
    <row r="1208" spans="1:7" x14ac:dyDescent="0.25">
      <c r="A1208" s="101"/>
      <c r="B1208" s="36"/>
      <c r="C1208" s="98"/>
      <c r="D1208" s="98"/>
      <c r="E1208" s="98"/>
      <c r="F1208" s="102"/>
      <c r="G1208" s="103"/>
    </row>
    <row r="1209" spans="1:7" x14ac:dyDescent="0.25">
      <c r="A1209" s="101"/>
      <c r="B1209" s="36"/>
      <c r="C1209" s="98"/>
      <c r="D1209" s="98"/>
      <c r="E1209" s="98"/>
      <c r="F1209" s="102"/>
      <c r="G1209" s="103"/>
    </row>
    <row r="1210" spans="1:7" x14ac:dyDescent="0.25">
      <c r="A1210" s="101"/>
      <c r="B1210" s="36"/>
      <c r="C1210" s="98"/>
      <c r="D1210" s="98"/>
      <c r="E1210" s="98"/>
      <c r="F1210" s="102"/>
      <c r="G1210" s="103"/>
    </row>
    <row r="1211" spans="1:7" x14ac:dyDescent="0.25">
      <c r="A1211" s="101"/>
      <c r="B1211" s="36"/>
      <c r="C1211" s="98"/>
      <c r="D1211" s="98"/>
      <c r="E1211" s="98"/>
      <c r="F1211" s="102"/>
      <c r="G1211" s="103"/>
    </row>
    <row r="1212" spans="1:7" x14ac:dyDescent="0.25">
      <c r="A1212" s="101"/>
      <c r="B1212" s="36"/>
      <c r="C1212" s="98"/>
      <c r="D1212" s="98"/>
      <c r="E1212" s="98"/>
      <c r="F1212" s="102"/>
      <c r="G1212" s="103"/>
    </row>
    <row r="1213" spans="1:7" x14ac:dyDescent="0.25">
      <c r="A1213" s="101"/>
      <c r="B1213" s="36"/>
      <c r="C1213" s="98"/>
      <c r="D1213" s="98"/>
      <c r="E1213" s="98"/>
      <c r="F1213" s="102"/>
      <c r="G1213" s="103"/>
    </row>
    <row r="1214" spans="1:7" x14ac:dyDescent="0.25">
      <c r="A1214" s="101"/>
      <c r="B1214" s="36"/>
      <c r="C1214" s="98"/>
      <c r="D1214" s="98"/>
      <c r="E1214" s="98"/>
      <c r="F1214" s="102"/>
      <c r="G1214" s="103"/>
    </row>
    <row r="1215" spans="1:7" x14ac:dyDescent="0.25">
      <c r="A1215" s="101"/>
      <c r="B1215" s="36"/>
      <c r="C1215" s="98"/>
      <c r="D1215" s="98"/>
      <c r="E1215" s="98"/>
      <c r="F1215" s="102"/>
      <c r="G1215" s="103"/>
    </row>
    <row r="1216" spans="1:7" x14ac:dyDescent="0.25">
      <c r="A1216" s="101"/>
      <c r="B1216" s="36"/>
      <c r="C1216" s="98"/>
      <c r="D1216" s="98"/>
      <c r="E1216" s="98"/>
      <c r="F1216" s="102"/>
      <c r="G1216" s="103"/>
    </row>
    <row r="1217" spans="1:7" x14ac:dyDescent="0.25">
      <c r="A1217" s="101"/>
      <c r="B1217" s="67"/>
      <c r="C1217" s="98"/>
      <c r="D1217" s="98"/>
      <c r="E1217" s="98"/>
      <c r="F1217" s="102"/>
      <c r="G1217" s="103"/>
    </row>
    <row r="1218" spans="1:7" x14ac:dyDescent="0.25">
      <c r="A1218" s="101"/>
      <c r="B1218" s="36"/>
      <c r="C1218" s="98"/>
      <c r="D1218" s="98"/>
      <c r="E1218" s="98"/>
      <c r="F1218" s="102"/>
      <c r="G1218" s="103"/>
    </row>
    <row r="1219" spans="1:7" x14ac:dyDescent="0.25">
      <c r="A1219" s="101"/>
      <c r="B1219" s="36"/>
      <c r="C1219" s="98"/>
      <c r="D1219" s="98"/>
      <c r="E1219" s="98"/>
      <c r="F1219" s="102"/>
      <c r="G1219" s="103"/>
    </row>
    <row r="1220" spans="1:7" x14ac:dyDescent="0.25">
      <c r="A1220" s="101"/>
      <c r="B1220" s="36"/>
      <c r="C1220" s="98"/>
      <c r="D1220" s="98"/>
      <c r="E1220" s="98"/>
      <c r="F1220" s="102"/>
      <c r="G1220" s="103"/>
    </row>
    <row r="1221" spans="1:7" x14ac:dyDescent="0.25">
      <c r="A1221" s="101"/>
      <c r="B1221" s="36"/>
      <c r="C1221" s="98"/>
      <c r="D1221" s="98"/>
      <c r="E1221" s="98"/>
      <c r="F1221" s="102"/>
      <c r="G1221" s="103"/>
    </row>
    <row r="1222" spans="1:7" x14ac:dyDescent="0.25">
      <c r="A1222" s="101"/>
      <c r="B1222" s="36"/>
      <c r="C1222" s="98"/>
      <c r="D1222" s="98"/>
      <c r="E1222" s="98"/>
      <c r="F1222" s="102"/>
      <c r="G1222" s="103"/>
    </row>
    <row r="1223" spans="1:7" x14ac:dyDescent="0.25">
      <c r="A1223" s="101"/>
      <c r="B1223" s="36"/>
      <c r="C1223" s="98"/>
      <c r="D1223" s="98"/>
      <c r="E1223" s="98"/>
      <c r="F1223" s="102"/>
      <c r="G1223" s="103"/>
    </row>
    <row r="1224" spans="1:7" x14ac:dyDescent="0.25">
      <c r="A1224" s="101"/>
      <c r="B1224" s="36"/>
      <c r="C1224" s="98"/>
      <c r="D1224" s="98"/>
      <c r="E1224" s="98"/>
      <c r="F1224" s="102"/>
      <c r="G1224" s="103"/>
    </row>
    <row r="1225" spans="1:7" x14ac:dyDescent="0.25">
      <c r="A1225" s="101"/>
      <c r="B1225" s="36"/>
      <c r="C1225" s="98"/>
      <c r="D1225" s="98"/>
      <c r="E1225" s="98"/>
      <c r="F1225" s="102"/>
      <c r="G1225" s="103"/>
    </row>
    <row r="1226" spans="1:7" x14ac:dyDescent="0.25">
      <c r="A1226" s="101"/>
      <c r="B1226" s="36"/>
      <c r="C1226" s="98"/>
      <c r="D1226" s="98"/>
      <c r="E1226" s="98"/>
      <c r="F1226" s="102"/>
      <c r="G1226" s="103"/>
    </row>
    <row r="1227" spans="1:7" x14ac:dyDescent="0.25">
      <c r="A1227" s="101"/>
      <c r="B1227" s="36"/>
      <c r="C1227" s="98"/>
      <c r="D1227" s="98"/>
      <c r="E1227" s="98"/>
      <c r="F1227" s="102"/>
      <c r="G1227" s="103"/>
    </row>
    <row r="1228" spans="1:7" x14ac:dyDescent="0.25">
      <c r="A1228" s="101"/>
      <c r="B1228" s="36"/>
      <c r="C1228" s="98"/>
      <c r="D1228" s="98"/>
      <c r="E1228" s="98"/>
      <c r="F1228" s="102"/>
      <c r="G1228" s="103"/>
    </row>
    <row r="1229" spans="1:7" x14ac:dyDescent="0.25">
      <c r="A1229" s="101"/>
      <c r="B1229" s="36"/>
      <c r="C1229" s="98"/>
      <c r="D1229" s="98"/>
      <c r="E1229" s="98"/>
      <c r="F1229" s="102"/>
      <c r="G1229" s="103"/>
    </row>
    <row r="1230" spans="1:7" x14ac:dyDescent="0.25">
      <c r="A1230" s="101"/>
      <c r="B1230" s="36"/>
      <c r="C1230" s="98"/>
      <c r="D1230" s="98"/>
      <c r="E1230" s="98"/>
      <c r="F1230" s="102"/>
      <c r="G1230" s="103"/>
    </row>
    <row r="1231" spans="1:7" x14ac:dyDescent="0.25">
      <c r="A1231" s="101"/>
      <c r="B1231" s="36"/>
      <c r="C1231" s="98"/>
      <c r="D1231" s="98"/>
      <c r="E1231" s="98"/>
      <c r="F1231" s="102"/>
      <c r="G1231" s="103"/>
    </row>
    <row r="1232" spans="1:7" x14ac:dyDescent="0.25">
      <c r="A1232" s="101"/>
      <c r="B1232" s="36"/>
      <c r="C1232" s="98"/>
      <c r="D1232" s="98"/>
      <c r="E1232" s="98"/>
      <c r="F1232" s="102"/>
      <c r="G1232" s="103"/>
    </row>
    <row r="1233" spans="1:7" x14ac:dyDescent="0.25">
      <c r="A1233" s="101"/>
      <c r="B1233" s="36"/>
      <c r="C1233" s="98"/>
      <c r="D1233" s="98"/>
      <c r="E1233" s="98"/>
      <c r="F1233" s="102"/>
      <c r="G1233" s="103"/>
    </row>
    <row r="1234" spans="1:7" x14ac:dyDescent="0.25">
      <c r="A1234" s="101"/>
      <c r="B1234" s="36"/>
      <c r="C1234" s="98"/>
      <c r="D1234" s="98"/>
      <c r="E1234" s="98"/>
      <c r="F1234" s="102"/>
      <c r="G1234" s="103"/>
    </row>
    <row r="1235" spans="1:7" x14ac:dyDescent="0.25">
      <c r="A1235" s="101"/>
      <c r="B1235" s="36"/>
      <c r="C1235" s="98"/>
      <c r="D1235" s="98"/>
      <c r="E1235" s="98"/>
      <c r="F1235" s="102"/>
      <c r="G1235" s="103"/>
    </row>
    <row r="1236" spans="1:7" x14ac:dyDescent="0.25">
      <c r="A1236" s="101"/>
      <c r="B1236" s="36"/>
      <c r="C1236" s="98"/>
      <c r="D1236" s="98"/>
      <c r="E1236" s="98"/>
      <c r="F1236" s="102"/>
      <c r="G1236" s="103"/>
    </row>
    <row r="1237" spans="1:7" x14ac:dyDescent="0.25">
      <c r="A1237" s="101"/>
      <c r="B1237" s="36"/>
      <c r="C1237" s="98"/>
      <c r="D1237" s="98"/>
      <c r="E1237" s="98"/>
      <c r="F1237" s="102"/>
      <c r="G1237" s="103"/>
    </row>
    <row r="1238" spans="1:7" x14ac:dyDescent="0.25">
      <c r="A1238" s="101"/>
      <c r="B1238" s="36"/>
      <c r="C1238" s="98"/>
      <c r="D1238" s="98"/>
      <c r="E1238" s="98"/>
      <c r="F1238" s="102"/>
      <c r="G1238" s="103"/>
    </row>
    <row r="1239" spans="1:7" x14ac:dyDescent="0.25">
      <c r="A1239" s="101"/>
      <c r="B1239" s="36"/>
      <c r="C1239" s="98"/>
      <c r="D1239" s="98"/>
      <c r="E1239" s="98"/>
      <c r="F1239" s="102"/>
      <c r="G1239" s="103"/>
    </row>
    <row r="1240" spans="1:7" x14ac:dyDescent="0.25">
      <c r="A1240" s="101"/>
      <c r="B1240" s="36"/>
      <c r="C1240" s="98"/>
      <c r="D1240" s="98"/>
      <c r="E1240" s="98"/>
      <c r="F1240" s="102"/>
      <c r="G1240" s="103"/>
    </row>
    <row r="1241" spans="1:7" x14ac:dyDescent="0.25">
      <c r="A1241" s="101"/>
      <c r="B1241" s="36"/>
      <c r="C1241" s="98"/>
      <c r="D1241" s="98"/>
      <c r="E1241" s="98"/>
      <c r="F1241" s="102"/>
      <c r="G1241" s="103"/>
    </row>
    <row r="1242" spans="1:7" x14ac:dyDescent="0.25">
      <c r="A1242" s="101"/>
      <c r="B1242" s="36"/>
      <c r="C1242" s="98"/>
      <c r="D1242" s="98"/>
      <c r="E1242" s="98"/>
      <c r="F1242" s="102"/>
      <c r="G1242" s="103"/>
    </row>
    <row r="1243" spans="1:7" x14ac:dyDescent="0.25">
      <c r="A1243" s="101"/>
      <c r="B1243" s="36"/>
      <c r="C1243" s="98"/>
      <c r="D1243" s="98"/>
      <c r="E1243" s="98"/>
      <c r="F1243" s="102"/>
      <c r="G1243" s="103"/>
    </row>
    <row r="1244" spans="1:7" x14ac:dyDescent="0.25">
      <c r="A1244" s="101"/>
      <c r="B1244" s="36"/>
      <c r="C1244" s="98"/>
      <c r="D1244" s="98"/>
      <c r="E1244" s="98"/>
      <c r="F1244" s="102"/>
      <c r="G1244" s="103"/>
    </row>
    <row r="1245" spans="1:7" x14ac:dyDescent="0.25">
      <c r="A1245" s="101"/>
      <c r="B1245" s="36"/>
      <c r="C1245" s="98"/>
      <c r="D1245" s="98"/>
      <c r="E1245" s="98"/>
      <c r="F1245" s="102"/>
      <c r="G1245" s="103"/>
    </row>
    <row r="1246" spans="1:7" x14ac:dyDescent="0.25">
      <c r="A1246" s="101"/>
      <c r="B1246" s="36"/>
      <c r="C1246" s="98"/>
      <c r="D1246" s="98"/>
      <c r="E1246" s="98"/>
      <c r="F1246" s="102"/>
      <c r="G1246" s="103"/>
    </row>
    <row r="1247" spans="1:7" x14ac:dyDescent="0.25">
      <c r="A1247" s="101"/>
      <c r="B1247" s="36"/>
      <c r="C1247" s="98"/>
      <c r="D1247" s="98"/>
      <c r="E1247" s="98"/>
      <c r="F1247" s="102"/>
      <c r="G1247" s="103"/>
    </row>
    <row r="1248" spans="1:7" x14ac:dyDescent="0.25">
      <c r="A1248" s="101"/>
      <c r="B1248" s="67"/>
      <c r="C1248" s="98"/>
      <c r="D1248" s="98"/>
      <c r="E1248" s="98"/>
      <c r="F1248" s="102"/>
      <c r="G1248" s="103"/>
    </row>
    <row r="1249" spans="1:7" x14ac:dyDescent="0.25">
      <c r="A1249" s="101"/>
      <c r="B1249" s="67"/>
      <c r="C1249" s="98"/>
      <c r="D1249" s="98"/>
      <c r="E1249" s="98"/>
      <c r="F1249" s="102"/>
      <c r="G1249" s="103"/>
    </row>
    <row r="1250" spans="1:7" x14ac:dyDescent="0.25">
      <c r="A1250" s="101"/>
      <c r="B1250" s="36"/>
      <c r="C1250" s="98"/>
      <c r="D1250" s="98"/>
      <c r="E1250" s="98"/>
      <c r="F1250" s="102"/>
      <c r="G1250" s="103"/>
    </row>
    <row r="1251" spans="1:7" x14ac:dyDescent="0.25">
      <c r="A1251" s="101"/>
      <c r="B1251" s="36"/>
      <c r="C1251" s="98"/>
      <c r="D1251" s="98"/>
      <c r="E1251" s="98"/>
      <c r="F1251" s="102"/>
      <c r="G1251" s="103"/>
    </row>
    <row r="1252" spans="1:7" x14ac:dyDescent="0.25">
      <c r="A1252" s="101"/>
      <c r="B1252" s="36"/>
      <c r="C1252" s="98"/>
      <c r="D1252" s="98"/>
      <c r="E1252" s="98"/>
      <c r="F1252" s="102"/>
      <c r="G1252" s="103"/>
    </row>
    <row r="1253" spans="1:7" x14ac:dyDescent="0.25">
      <c r="A1253" s="101"/>
      <c r="B1253" s="36"/>
      <c r="C1253" s="98"/>
      <c r="D1253" s="98"/>
      <c r="E1253" s="98"/>
      <c r="F1253" s="102"/>
      <c r="G1253" s="103"/>
    </row>
    <row r="1254" spans="1:7" x14ac:dyDescent="0.25">
      <c r="A1254" s="101"/>
      <c r="B1254" s="36"/>
      <c r="C1254" s="98"/>
      <c r="D1254" s="98"/>
      <c r="E1254" s="98"/>
      <c r="F1254" s="102"/>
      <c r="G1254" s="103"/>
    </row>
    <row r="1255" spans="1:7" x14ac:dyDescent="0.25">
      <c r="A1255" s="101"/>
      <c r="B1255" s="36"/>
      <c r="C1255" s="98"/>
      <c r="D1255" s="98"/>
      <c r="E1255" s="98"/>
      <c r="F1255" s="102"/>
      <c r="G1255" s="103"/>
    </row>
    <row r="1256" spans="1:7" x14ac:dyDescent="0.25">
      <c r="A1256" s="101"/>
      <c r="B1256" s="36"/>
      <c r="C1256" s="98"/>
      <c r="D1256" s="98"/>
      <c r="E1256" s="98"/>
      <c r="F1256" s="102"/>
      <c r="G1256" s="103"/>
    </row>
    <row r="1257" spans="1:7" x14ac:dyDescent="0.25">
      <c r="A1257" s="101"/>
      <c r="B1257" s="36"/>
      <c r="C1257" s="98"/>
      <c r="D1257" s="98"/>
      <c r="E1257" s="98"/>
      <c r="F1257" s="102"/>
      <c r="G1257" s="103"/>
    </row>
    <row r="1258" spans="1:7" x14ac:dyDescent="0.25">
      <c r="A1258" s="101"/>
      <c r="B1258" s="36"/>
      <c r="C1258" s="98"/>
      <c r="D1258" s="98"/>
      <c r="E1258" s="98"/>
      <c r="F1258" s="102"/>
      <c r="G1258" s="103"/>
    </row>
    <row r="1259" spans="1:7" x14ac:dyDescent="0.25">
      <c r="A1259" s="101"/>
      <c r="B1259" s="36"/>
      <c r="C1259" s="98"/>
      <c r="D1259" s="98"/>
      <c r="E1259" s="98"/>
      <c r="F1259" s="102"/>
      <c r="G1259" s="103"/>
    </row>
    <row r="1260" spans="1:7" x14ac:dyDescent="0.25">
      <c r="A1260" s="101"/>
      <c r="B1260" s="36"/>
      <c r="C1260" s="98"/>
      <c r="D1260" s="98"/>
      <c r="E1260" s="98"/>
      <c r="F1260" s="102"/>
      <c r="G1260" s="103"/>
    </row>
    <row r="1261" spans="1:7" x14ac:dyDescent="0.25">
      <c r="A1261" s="101"/>
      <c r="B1261" s="38"/>
      <c r="C1261" s="98"/>
      <c r="D1261" s="98"/>
      <c r="E1261" s="98"/>
      <c r="F1261" s="102"/>
      <c r="G1261" s="103"/>
    </row>
    <row r="1262" spans="1:7" x14ac:dyDescent="0.25">
      <c r="A1262" s="101"/>
      <c r="B1262" s="38"/>
      <c r="C1262" s="98"/>
      <c r="D1262" s="98"/>
      <c r="E1262" s="98"/>
      <c r="F1262" s="102"/>
      <c r="G1262" s="103"/>
    </row>
    <row r="1263" spans="1:7" x14ac:dyDescent="0.25">
      <c r="A1263" s="101"/>
      <c r="B1263" s="38"/>
      <c r="C1263" s="98"/>
      <c r="D1263" s="98"/>
      <c r="E1263" s="98"/>
      <c r="F1263" s="102"/>
      <c r="G1263" s="103"/>
    </row>
    <row r="1264" spans="1:7" x14ac:dyDescent="0.25">
      <c r="A1264" s="101"/>
      <c r="B1264" s="38"/>
      <c r="C1264" s="98"/>
      <c r="D1264" s="98"/>
      <c r="E1264" s="98"/>
      <c r="F1264" s="102"/>
      <c r="G1264" s="103"/>
    </row>
    <row r="1265" spans="1:7" x14ac:dyDescent="0.25">
      <c r="A1265" s="101"/>
      <c r="B1265" s="38"/>
      <c r="C1265" s="98"/>
      <c r="D1265" s="98"/>
      <c r="E1265" s="98"/>
      <c r="F1265" s="102"/>
      <c r="G1265" s="103"/>
    </row>
    <row r="1266" spans="1:7" x14ac:dyDescent="0.25">
      <c r="A1266" s="101"/>
      <c r="B1266" s="38"/>
      <c r="C1266" s="98"/>
      <c r="D1266" s="98"/>
      <c r="E1266" s="98"/>
      <c r="F1266" s="102"/>
      <c r="G1266" s="103"/>
    </row>
    <row r="1267" spans="1:7" x14ac:dyDescent="0.25">
      <c r="A1267" s="101"/>
      <c r="B1267" s="38"/>
      <c r="C1267" s="98"/>
      <c r="D1267" s="98"/>
      <c r="E1267" s="98"/>
      <c r="F1267" s="102"/>
      <c r="G1267" s="103"/>
    </row>
    <row r="1268" spans="1:7" x14ac:dyDescent="0.25">
      <c r="A1268" s="101"/>
      <c r="B1268" s="38"/>
      <c r="C1268" s="98"/>
      <c r="D1268" s="98"/>
      <c r="E1268" s="98"/>
      <c r="F1268" s="102"/>
      <c r="G1268" s="103"/>
    </row>
    <row r="1269" spans="1:7" x14ac:dyDescent="0.25">
      <c r="A1269" s="101"/>
      <c r="B1269" s="38"/>
      <c r="C1269" s="98"/>
      <c r="D1269" s="98"/>
      <c r="E1269" s="98"/>
      <c r="F1269" s="102"/>
      <c r="G1269" s="103"/>
    </row>
    <row r="1270" spans="1:7" x14ac:dyDescent="0.25">
      <c r="A1270" s="101"/>
      <c r="B1270" s="38"/>
      <c r="C1270" s="98"/>
      <c r="D1270" s="98"/>
      <c r="E1270" s="98"/>
      <c r="F1270" s="102"/>
      <c r="G1270" s="103"/>
    </row>
    <row r="1271" spans="1:7" x14ac:dyDescent="0.25">
      <c r="A1271" s="101"/>
      <c r="B1271" s="38"/>
      <c r="C1271" s="98"/>
      <c r="D1271" s="98"/>
      <c r="E1271" s="98"/>
      <c r="F1271" s="102"/>
      <c r="G1271" s="103"/>
    </row>
    <row r="1272" spans="1:7" x14ac:dyDescent="0.25">
      <c r="A1272" s="101"/>
      <c r="B1272" s="38"/>
      <c r="C1272" s="98"/>
      <c r="D1272" s="98"/>
      <c r="E1272" s="98"/>
      <c r="F1272" s="102"/>
      <c r="G1272" s="103"/>
    </row>
    <row r="1273" spans="1:7" x14ac:dyDescent="0.25">
      <c r="A1273" s="101"/>
      <c r="B1273" s="38"/>
      <c r="C1273" s="98"/>
      <c r="D1273" s="98"/>
      <c r="E1273" s="98"/>
      <c r="F1273" s="102"/>
      <c r="G1273" s="103"/>
    </row>
    <row r="1274" spans="1:7" x14ac:dyDescent="0.25">
      <c r="A1274" s="101"/>
      <c r="B1274" s="38"/>
      <c r="C1274" s="98"/>
      <c r="D1274" s="98"/>
      <c r="E1274" s="98"/>
      <c r="F1274" s="102"/>
      <c r="G1274" s="103"/>
    </row>
    <row r="1275" spans="1:7" x14ac:dyDescent="0.25">
      <c r="A1275" s="101"/>
      <c r="B1275" s="38"/>
      <c r="C1275" s="98"/>
      <c r="D1275" s="98"/>
      <c r="E1275" s="98"/>
      <c r="F1275" s="102"/>
      <c r="G1275" s="103"/>
    </row>
    <row r="1276" spans="1:7" x14ac:dyDescent="0.25">
      <c r="A1276" s="101"/>
      <c r="B1276" s="38"/>
      <c r="C1276" s="98"/>
      <c r="D1276" s="98"/>
      <c r="E1276" s="98"/>
      <c r="F1276" s="102"/>
      <c r="G1276" s="103"/>
    </row>
    <row r="1277" spans="1:7" x14ac:dyDescent="0.25">
      <c r="A1277" s="101"/>
      <c r="B1277" s="38"/>
      <c r="C1277" s="98"/>
      <c r="D1277" s="98"/>
      <c r="E1277" s="98"/>
      <c r="F1277" s="102"/>
      <c r="G1277" s="103"/>
    </row>
    <row r="1278" spans="1:7" x14ac:dyDescent="0.25">
      <c r="A1278" s="101"/>
      <c r="B1278" s="38"/>
      <c r="C1278" s="98"/>
      <c r="D1278" s="98"/>
      <c r="E1278" s="98"/>
      <c r="F1278" s="102"/>
      <c r="G1278" s="103"/>
    </row>
    <row r="1279" spans="1:7" x14ac:dyDescent="0.25">
      <c r="A1279" s="101"/>
      <c r="B1279" s="36"/>
      <c r="C1279" s="98"/>
      <c r="D1279" s="98"/>
      <c r="E1279" s="98"/>
      <c r="F1279" s="102"/>
      <c r="G1279" s="103"/>
    </row>
    <row r="1280" spans="1:7" x14ac:dyDescent="0.25">
      <c r="A1280" s="101"/>
      <c r="B1280" s="36"/>
      <c r="C1280" s="98"/>
      <c r="D1280" s="98"/>
      <c r="E1280" s="98"/>
      <c r="F1280" s="102"/>
      <c r="G1280" s="103"/>
    </row>
    <row r="1281" spans="1:7" x14ac:dyDescent="0.25">
      <c r="A1281" s="101"/>
      <c r="B1281" s="36"/>
      <c r="C1281" s="98"/>
      <c r="D1281" s="98"/>
      <c r="E1281" s="98"/>
      <c r="F1281" s="102"/>
      <c r="G1281" s="103"/>
    </row>
    <row r="1282" spans="1:7" x14ac:dyDescent="0.25">
      <c r="A1282" s="101"/>
      <c r="B1282" s="36"/>
      <c r="C1282" s="98"/>
      <c r="D1282" s="98"/>
      <c r="E1282" s="98"/>
      <c r="F1282" s="102"/>
      <c r="G1282" s="103"/>
    </row>
    <row r="1283" spans="1:7" x14ac:dyDescent="0.25">
      <c r="A1283" s="101"/>
      <c r="B1283" s="36"/>
      <c r="C1283" s="98"/>
      <c r="D1283" s="98"/>
      <c r="E1283" s="98"/>
      <c r="F1283" s="102"/>
      <c r="G1283" s="103"/>
    </row>
    <row r="1284" spans="1:7" x14ac:dyDescent="0.25">
      <c r="A1284" s="101"/>
      <c r="B1284" s="36"/>
      <c r="C1284" s="98"/>
      <c r="D1284" s="98"/>
      <c r="E1284" s="98"/>
      <c r="F1284" s="102"/>
      <c r="G1284" s="103"/>
    </row>
    <row r="1285" spans="1:7" x14ac:dyDescent="0.25">
      <c r="A1285" s="101"/>
      <c r="B1285" s="36"/>
      <c r="C1285" s="98"/>
      <c r="D1285" s="98"/>
      <c r="E1285" s="98"/>
      <c r="F1285" s="102"/>
      <c r="G1285" s="103"/>
    </row>
    <row r="1286" spans="1:7" x14ac:dyDescent="0.25">
      <c r="A1286" s="101"/>
      <c r="B1286" s="36"/>
      <c r="C1286" s="98"/>
      <c r="D1286" s="98"/>
      <c r="E1286" s="98"/>
      <c r="F1286" s="102"/>
      <c r="G1286" s="103"/>
    </row>
    <row r="1287" spans="1:7" x14ac:dyDescent="0.25">
      <c r="A1287" s="101"/>
      <c r="B1287" s="36"/>
      <c r="C1287" s="98"/>
      <c r="D1287" s="98"/>
      <c r="E1287" s="98"/>
      <c r="F1287" s="102"/>
      <c r="G1287" s="103"/>
    </row>
    <row r="1288" spans="1:7" x14ac:dyDescent="0.25">
      <c r="A1288" s="101"/>
      <c r="B1288" s="67"/>
      <c r="C1288" s="98"/>
      <c r="D1288" s="98"/>
      <c r="E1288" s="98"/>
      <c r="F1288" s="102"/>
      <c r="G1288" s="103"/>
    </row>
    <row r="1289" spans="1:7" x14ac:dyDescent="0.25">
      <c r="A1289" s="101"/>
      <c r="B1289" s="36"/>
      <c r="C1289" s="98"/>
      <c r="D1289" s="98"/>
      <c r="E1289" s="98"/>
      <c r="F1289" s="102"/>
      <c r="G1289" s="103"/>
    </row>
    <row r="1290" spans="1:7" x14ac:dyDescent="0.25">
      <c r="A1290" s="101"/>
      <c r="B1290" s="36"/>
      <c r="C1290" s="98"/>
      <c r="D1290" s="98"/>
      <c r="E1290" s="98"/>
      <c r="F1290" s="102"/>
      <c r="G1290" s="103"/>
    </row>
    <row r="1291" spans="1:7" x14ac:dyDescent="0.25">
      <c r="A1291" s="101"/>
      <c r="B1291" s="36"/>
      <c r="C1291" s="98"/>
      <c r="D1291" s="98"/>
      <c r="E1291" s="98"/>
      <c r="F1291" s="102"/>
      <c r="G1291" s="103"/>
    </row>
    <row r="1292" spans="1:7" x14ac:dyDescent="0.25">
      <c r="A1292" s="101"/>
      <c r="B1292" s="36"/>
      <c r="C1292" s="98"/>
      <c r="D1292" s="98"/>
      <c r="E1292" s="98"/>
      <c r="F1292" s="102"/>
      <c r="G1292" s="103"/>
    </row>
    <row r="1293" spans="1:7" x14ac:dyDescent="0.25">
      <c r="A1293" s="101"/>
      <c r="B1293" s="36"/>
      <c r="C1293" s="98"/>
      <c r="D1293" s="98"/>
      <c r="E1293" s="98"/>
      <c r="F1293" s="102"/>
      <c r="G1293" s="103"/>
    </row>
    <row r="1294" spans="1:7" x14ac:dyDescent="0.25">
      <c r="A1294" s="101"/>
      <c r="B1294" s="36"/>
      <c r="C1294" s="98"/>
      <c r="D1294" s="98"/>
      <c r="E1294" s="98"/>
      <c r="F1294" s="102"/>
      <c r="G1294" s="103"/>
    </row>
    <row r="1295" spans="1:7" x14ac:dyDescent="0.25">
      <c r="A1295" s="101"/>
      <c r="B1295" s="36"/>
      <c r="C1295" s="98"/>
      <c r="D1295" s="98"/>
      <c r="E1295" s="98"/>
      <c r="F1295" s="102"/>
      <c r="G1295" s="103"/>
    </row>
    <row r="1296" spans="1:7" x14ac:dyDescent="0.25">
      <c r="A1296" s="101"/>
      <c r="B1296" s="36"/>
      <c r="C1296" s="98"/>
      <c r="D1296" s="98"/>
      <c r="E1296" s="98"/>
      <c r="F1296" s="102"/>
      <c r="G1296" s="103"/>
    </row>
    <row r="1297" spans="1:7" x14ac:dyDescent="0.25">
      <c r="A1297" s="101"/>
      <c r="B1297" s="36"/>
      <c r="C1297" s="98"/>
      <c r="D1297" s="98"/>
      <c r="E1297" s="98"/>
      <c r="F1297" s="102"/>
      <c r="G1297" s="103"/>
    </row>
    <row r="1298" spans="1:7" x14ac:dyDescent="0.25">
      <c r="A1298" s="101"/>
      <c r="B1298" s="36"/>
      <c r="C1298" s="98"/>
      <c r="D1298" s="98"/>
      <c r="E1298" s="98"/>
      <c r="F1298" s="102"/>
      <c r="G1298" s="103"/>
    </row>
    <row r="1299" spans="1:7" x14ac:dyDescent="0.25">
      <c r="A1299" s="101"/>
      <c r="B1299" s="36"/>
      <c r="C1299" s="98"/>
      <c r="D1299" s="98"/>
      <c r="E1299" s="98"/>
      <c r="F1299" s="102"/>
      <c r="G1299" s="103"/>
    </row>
    <row r="1300" spans="1:7" x14ac:dyDescent="0.25">
      <c r="A1300" s="101"/>
      <c r="B1300" s="36"/>
      <c r="C1300" s="98"/>
      <c r="D1300" s="98"/>
      <c r="E1300" s="98"/>
      <c r="F1300" s="102"/>
      <c r="G1300" s="103"/>
    </row>
    <row r="1301" spans="1:7" x14ac:dyDescent="0.25">
      <c r="A1301" s="101"/>
      <c r="B1301" s="36"/>
      <c r="C1301" s="98"/>
      <c r="D1301" s="98"/>
      <c r="E1301" s="98"/>
      <c r="F1301" s="102"/>
      <c r="G1301" s="103"/>
    </row>
    <row r="1302" spans="1:7" x14ac:dyDescent="0.25">
      <c r="A1302" s="101"/>
      <c r="B1302" s="36"/>
      <c r="C1302" s="98"/>
      <c r="D1302" s="98"/>
      <c r="E1302" s="98"/>
      <c r="F1302" s="102"/>
      <c r="G1302" s="103"/>
    </row>
    <row r="1303" spans="1:7" x14ac:dyDescent="0.25">
      <c r="A1303" s="101"/>
      <c r="B1303" s="36"/>
      <c r="C1303" s="98"/>
      <c r="D1303" s="98"/>
      <c r="E1303" s="98"/>
      <c r="F1303" s="102"/>
      <c r="G1303" s="103"/>
    </row>
    <row r="1304" spans="1:7" x14ac:dyDescent="0.25">
      <c r="A1304" s="101"/>
      <c r="B1304" s="36"/>
      <c r="C1304" s="98"/>
      <c r="D1304" s="98"/>
      <c r="E1304" s="98"/>
      <c r="F1304" s="102"/>
      <c r="G1304" s="103"/>
    </row>
    <row r="1305" spans="1:7" x14ac:dyDescent="0.25">
      <c r="A1305" s="101"/>
      <c r="B1305" s="36"/>
      <c r="C1305" s="98"/>
      <c r="D1305" s="98"/>
      <c r="E1305" s="98"/>
      <c r="F1305" s="102"/>
      <c r="G1305" s="103"/>
    </row>
    <row r="1306" spans="1:7" x14ac:dyDescent="0.25">
      <c r="A1306" s="101"/>
      <c r="B1306" s="36"/>
      <c r="C1306" s="98"/>
      <c r="D1306" s="98"/>
      <c r="E1306" s="98"/>
      <c r="F1306" s="102"/>
      <c r="G1306" s="103"/>
    </row>
    <row r="1307" spans="1:7" x14ac:dyDescent="0.25">
      <c r="A1307" s="101"/>
      <c r="B1307" s="36"/>
      <c r="C1307" s="98"/>
      <c r="D1307" s="98"/>
      <c r="E1307" s="98"/>
      <c r="F1307" s="102"/>
      <c r="G1307" s="103"/>
    </row>
    <row r="1308" spans="1:7" x14ac:dyDescent="0.25">
      <c r="A1308" s="101"/>
      <c r="B1308" s="36"/>
      <c r="C1308" s="98"/>
      <c r="D1308" s="98"/>
      <c r="E1308" s="98"/>
      <c r="F1308" s="102"/>
      <c r="G1308" s="103"/>
    </row>
    <row r="1309" spans="1:7" x14ac:dyDescent="0.25">
      <c r="A1309" s="101"/>
      <c r="B1309" s="36"/>
      <c r="C1309" s="98"/>
      <c r="D1309" s="98"/>
      <c r="E1309" s="98"/>
      <c r="F1309" s="102"/>
      <c r="G1309" s="103"/>
    </row>
    <row r="1310" spans="1:7" x14ac:dyDescent="0.25">
      <c r="A1310" s="101"/>
      <c r="B1310" s="36"/>
      <c r="C1310" s="98"/>
      <c r="D1310" s="98"/>
      <c r="E1310" s="98"/>
      <c r="F1310" s="102"/>
      <c r="G1310" s="103"/>
    </row>
    <row r="1311" spans="1:7" x14ac:dyDescent="0.25">
      <c r="A1311" s="101"/>
      <c r="B1311" s="36"/>
      <c r="C1311" s="98"/>
      <c r="D1311" s="98"/>
      <c r="E1311" s="98"/>
      <c r="F1311" s="102"/>
      <c r="G1311" s="103"/>
    </row>
    <row r="1312" spans="1:7" x14ac:dyDescent="0.25">
      <c r="A1312" s="101"/>
      <c r="B1312" s="36"/>
      <c r="C1312" s="98"/>
      <c r="D1312" s="98"/>
      <c r="E1312" s="98"/>
      <c r="F1312" s="102"/>
      <c r="G1312" s="103"/>
    </row>
    <row r="1313" spans="1:7" x14ac:dyDescent="0.25">
      <c r="A1313" s="101"/>
      <c r="B1313" s="36"/>
      <c r="C1313" s="98"/>
      <c r="D1313" s="98"/>
      <c r="E1313" s="98"/>
      <c r="F1313" s="102"/>
      <c r="G1313" s="103"/>
    </row>
    <row r="1314" spans="1:7" x14ac:dyDescent="0.25">
      <c r="A1314" s="101"/>
      <c r="B1314" s="36"/>
      <c r="C1314" s="98"/>
      <c r="D1314" s="98"/>
      <c r="E1314" s="98"/>
      <c r="F1314" s="102"/>
      <c r="G1314" s="103"/>
    </row>
    <row r="1315" spans="1:7" x14ac:dyDescent="0.25">
      <c r="A1315" s="101"/>
      <c r="B1315" s="36"/>
      <c r="C1315" s="98"/>
      <c r="D1315" s="98"/>
      <c r="E1315" s="98"/>
      <c r="F1315" s="102"/>
      <c r="G1315" s="103"/>
    </row>
    <row r="1316" spans="1:7" x14ac:dyDescent="0.25">
      <c r="A1316" s="101"/>
      <c r="B1316" s="67"/>
      <c r="C1316" s="98"/>
      <c r="D1316" s="98"/>
      <c r="E1316" s="98"/>
      <c r="F1316" s="102"/>
      <c r="G1316" s="103"/>
    </row>
    <row r="1317" spans="1:7" x14ac:dyDescent="0.25">
      <c r="A1317" s="101"/>
      <c r="B1317" s="36"/>
      <c r="C1317" s="98"/>
      <c r="D1317" s="98"/>
      <c r="E1317" s="98"/>
      <c r="F1317" s="102"/>
      <c r="G1317" s="103"/>
    </row>
    <row r="1318" spans="1:7" x14ac:dyDescent="0.25">
      <c r="A1318" s="101"/>
      <c r="B1318" s="36"/>
      <c r="C1318" s="98"/>
      <c r="D1318" s="98"/>
      <c r="E1318" s="98"/>
      <c r="F1318" s="102"/>
      <c r="G1318" s="103"/>
    </row>
    <row r="1319" spans="1:7" x14ac:dyDescent="0.25">
      <c r="A1319" s="101"/>
      <c r="B1319" s="36"/>
      <c r="C1319" s="98"/>
      <c r="D1319" s="98"/>
      <c r="E1319" s="98"/>
      <c r="F1319" s="102"/>
      <c r="G1319" s="103"/>
    </row>
    <row r="1320" spans="1:7" x14ac:dyDescent="0.25">
      <c r="A1320" s="101"/>
      <c r="B1320" s="66"/>
      <c r="C1320" s="98"/>
      <c r="D1320" s="98"/>
      <c r="E1320" s="98"/>
      <c r="F1320" s="102"/>
      <c r="G1320" s="103"/>
    </row>
    <row r="1321" spans="1:7" x14ac:dyDescent="0.25">
      <c r="A1321" s="101"/>
      <c r="B1321" s="36"/>
      <c r="C1321" s="98"/>
      <c r="D1321" s="98"/>
      <c r="E1321" s="98"/>
      <c r="F1321" s="102"/>
      <c r="G1321" s="103"/>
    </row>
    <row r="1322" spans="1:7" x14ac:dyDescent="0.25">
      <c r="A1322" s="101"/>
      <c r="B1322" s="36"/>
      <c r="C1322" s="98"/>
      <c r="D1322" s="98"/>
      <c r="E1322" s="98"/>
      <c r="F1322" s="102"/>
      <c r="G1322" s="103"/>
    </row>
    <row r="1323" spans="1:7" x14ac:dyDescent="0.25">
      <c r="A1323" s="101"/>
      <c r="B1323" s="36"/>
      <c r="C1323" s="98"/>
      <c r="D1323" s="98"/>
      <c r="E1323" s="98"/>
      <c r="F1323" s="102"/>
      <c r="G1323" s="103"/>
    </row>
    <row r="1324" spans="1:7" x14ac:dyDescent="0.25">
      <c r="A1324" s="101"/>
      <c r="B1324" s="36"/>
      <c r="C1324" s="98"/>
      <c r="D1324" s="98"/>
      <c r="E1324" s="98"/>
      <c r="F1324" s="102"/>
      <c r="G1324" s="103"/>
    </row>
    <row r="1325" spans="1:7" x14ac:dyDescent="0.25">
      <c r="A1325" s="101"/>
      <c r="B1325" s="38"/>
      <c r="C1325" s="98"/>
      <c r="D1325" s="98"/>
      <c r="E1325" s="98"/>
      <c r="F1325" s="102"/>
      <c r="G1325" s="103"/>
    </row>
    <row r="1326" spans="1:7" x14ac:dyDescent="0.25">
      <c r="A1326" s="101"/>
      <c r="B1326" s="38"/>
      <c r="C1326" s="98"/>
      <c r="D1326" s="98"/>
      <c r="E1326" s="98"/>
      <c r="F1326" s="102"/>
      <c r="G1326" s="103"/>
    </row>
    <row r="1327" spans="1:7" x14ac:dyDescent="0.25">
      <c r="A1327" s="101"/>
      <c r="B1327" s="38"/>
      <c r="C1327" s="98"/>
      <c r="D1327" s="98"/>
      <c r="E1327" s="98"/>
      <c r="F1327" s="102"/>
      <c r="G1327" s="103"/>
    </row>
    <row r="1328" spans="1:7" x14ac:dyDescent="0.25">
      <c r="A1328" s="101"/>
      <c r="B1328" s="38"/>
      <c r="C1328" s="98"/>
      <c r="D1328" s="98"/>
      <c r="E1328" s="98"/>
      <c r="F1328" s="102"/>
      <c r="G1328" s="103"/>
    </row>
    <row r="1329" spans="1:7" x14ac:dyDescent="0.25">
      <c r="A1329" s="101"/>
      <c r="B1329" s="38"/>
      <c r="C1329" s="98"/>
      <c r="D1329" s="98"/>
      <c r="E1329" s="98"/>
      <c r="F1329" s="102"/>
      <c r="G1329" s="103"/>
    </row>
    <row r="1330" spans="1:7" x14ac:dyDescent="0.25">
      <c r="A1330" s="101"/>
      <c r="B1330" s="38"/>
      <c r="C1330" s="98"/>
      <c r="D1330" s="98"/>
      <c r="E1330" s="98"/>
      <c r="F1330" s="102"/>
      <c r="G1330" s="103"/>
    </row>
    <row r="1331" spans="1:7" x14ac:dyDescent="0.25">
      <c r="A1331" s="101"/>
      <c r="B1331" s="38"/>
      <c r="C1331" s="98"/>
      <c r="D1331" s="98"/>
      <c r="E1331" s="98"/>
      <c r="F1331" s="102"/>
      <c r="G1331" s="103"/>
    </row>
    <row r="1332" spans="1:7" x14ac:dyDescent="0.25">
      <c r="A1332" s="101"/>
      <c r="B1332" s="38"/>
      <c r="C1332" s="98"/>
      <c r="D1332" s="98"/>
      <c r="E1332" s="98"/>
      <c r="F1332" s="102"/>
      <c r="G1332" s="103"/>
    </row>
    <row r="1333" spans="1:7" x14ac:dyDescent="0.25">
      <c r="A1333" s="101"/>
      <c r="B1333" s="38"/>
      <c r="C1333" s="98"/>
      <c r="D1333" s="98"/>
      <c r="E1333" s="98"/>
      <c r="F1333" s="102"/>
      <c r="G1333" s="103"/>
    </row>
    <row r="1334" spans="1:7" x14ac:dyDescent="0.25">
      <c r="A1334" s="101"/>
      <c r="B1334" s="38"/>
      <c r="C1334" s="98"/>
      <c r="D1334" s="98"/>
      <c r="E1334" s="98"/>
      <c r="F1334" s="102"/>
      <c r="G1334" s="103"/>
    </row>
    <row r="1335" spans="1:7" x14ac:dyDescent="0.25">
      <c r="A1335" s="101"/>
      <c r="B1335" s="38"/>
      <c r="C1335" s="98"/>
      <c r="D1335" s="98"/>
      <c r="E1335" s="98"/>
      <c r="F1335" s="102"/>
      <c r="G1335" s="103"/>
    </row>
    <row r="1336" spans="1:7" x14ac:dyDescent="0.25">
      <c r="A1336" s="101"/>
      <c r="B1336" s="10"/>
      <c r="C1336" s="98"/>
      <c r="D1336" s="98"/>
      <c r="E1336" s="98"/>
      <c r="F1336" s="102"/>
      <c r="G1336" s="103"/>
    </row>
    <row r="1337" spans="1:7" x14ac:dyDescent="0.25">
      <c r="A1337" s="101"/>
      <c r="B1337" s="38"/>
      <c r="C1337" s="98"/>
      <c r="D1337" s="98"/>
      <c r="E1337" s="98"/>
      <c r="F1337" s="102"/>
      <c r="G1337" s="103"/>
    </row>
    <row r="1338" spans="1:7" x14ac:dyDescent="0.25">
      <c r="A1338" s="101"/>
      <c r="B1338" s="38"/>
      <c r="C1338" s="98"/>
      <c r="D1338" s="98"/>
      <c r="E1338" s="98"/>
      <c r="F1338" s="102"/>
      <c r="G1338" s="103"/>
    </row>
    <row r="1339" spans="1:7" x14ac:dyDescent="0.25">
      <c r="A1339" s="101"/>
      <c r="B1339" s="38"/>
      <c r="C1339" s="98"/>
      <c r="D1339" s="98"/>
      <c r="E1339" s="98"/>
      <c r="F1339" s="102"/>
      <c r="G1339" s="103"/>
    </row>
    <row r="1340" spans="1:7" x14ac:dyDescent="0.25">
      <c r="A1340" s="101"/>
      <c r="B1340" s="38"/>
      <c r="C1340" s="98"/>
      <c r="D1340" s="98"/>
      <c r="E1340" s="98"/>
      <c r="F1340" s="102"/>
      <c r="G1340" s="103"/>
    </row>
    <row r="1341" spans="1:7" x14ac:dyDescent="0.25">
      <c r="A1341" s="101"/>
      <c r="B1341" s="10"/>
      <c r="C1341" s="98"/>
      <c r="D1341" s="98"/>
      <c r="E1341" s="98"/>
      <c r="F1341" s="102"/>
      <c r="G1341" s="103"/>
    </row>
    <row r="1342" spans="1:7" x14ac:dyDescent="0.25">
      <c r="A1342" s="101"/>
      <c r="B1342" s="38"/>
      <c r="C1342" s="98"/>
      <c r="D1342" s="98"/>
      <c r="E1342" s="98"/>
      <c r="F1342" s="102"/>
      <c r="G1342" s="103"/>
    </row>
    <row r="1343" spans="1:7" x14ac:dyDescent="0.25">
      <c r="A1343" s="101"/>
      <c r="B1343" s="38"/>
      <c r="C1343" s="98"/>
      <c r="D1343" s="98"/>
      <c r="E1343" s="98"/>
      <c r="F1343" s="102"/>
      <c r="G1343" s="103"/>
    </row>
    <row r="1344" spans="1:7" x14ac:dyDescent="0.25">
      <c r="A1344" s="101"/>
      <c r="B1344" s="38"/>
      <c r="C1344" s="98"/>
      <c r="D1344" s="98"/>
      <c r="E1344" s="98"/>
      <c r="F1344" s="102"/>
      <c r="G1344" s="103"/>
    </row>
    <row r="1345" spans="1:7" x14ac:dyDescent="0.25">
      <c r="A1345" s="101"/>
      <c r="B1345" s="38"/>
      <c r="C1345" s="98"/>
      <c r="D1345" s="98"/>
      <c r="E1345" s="98"/>
      <c r="F1345" s="102"/>
      <c r="G1345" s="103"/>
    </row>
    <row r="1346" spans="1:7" x14ac:dyDescent="0.25">
      <c r="A1346" s="101"/>
      <c r="B1346" s="38"/>
      <c r="C1346" s="98"/>
      <c r="D1346" s="98"/>
      <c r="E1346" s="98"/>
      <c r="F1346" s="102"/>
      <c r="G1346" s="103"/>
    </row>
    <row r="1347" spans="1:7" x14ac:dyDescent="0.25">
      <c r="A1347" s="101"/>
      <c r="B1347" s="38"/>
      <c r="C1347" s="98"/>
      <c r="D1347" s="98"/>
      <c r="E1347" s="98"/>
      <c r="F1347" s="102"/>
      <c r="G1347" s="103"/>
    </row>
    <row r="1348" spans="1:7" x14ac:dyDescent="0.25">
      <c r="A1348" s="101"/>
      <c r="B1348" s="38"/>
      <c r="C1348" s="98"/>
      <c r="D1348" s="98"/>
      <c r="E1348" s="98"/>
      <c r="F1348" s="102"/>
      <c r="G1348" s="103"/>
    </row>
    <row r="1349" spans="1:7" x14ac:dyDescent="0.25">
      <c r="A1349" s="101"/>
      <c r="B1349" s="38"/>
      <c r="C1349" s="98"/>
      <c r="D1349" s="98"/>
      <c r="E1349" s="98"/>
      <c r="F1349" s="102"/>
      <c r="G1349" s="103"/>
    </row>
    <row r="1350" spans="1:7" x14ac:dyDescent="0.25">
      <c r="A1350" s="101"/>
      <c r="B1350" s="38"/>
      <c r="C1350" s="98"/>
      <c r="D1350" s="98"/>
      <c r="E1350" s="98"/>
      <c r="F1350" s="102"/>
      <c r="G1350" s="103"/>
    </row>
    <row r="1351" spans="1:7" x14ac:dyDescent="0.25">
      <c r="A1351" s="101"/>
      <c r="B1351" s="38"/>
      <c r="C1351" s="98"/>
      <c r="D1351" s="98"/>
      <c r="E1351" s="98"/>
      <c r="F1351" s="102"/>
      <c r="G1351" s="103"/>
    </row>
    <row r="1352" spans="1:7" x14ac:dyDescent="0.25">
      <c r="A1352" s="101"/>
      <c r="B1352" s="38"/>
      <c r="C1352" s="98"/>
      <c r="D1352" s="98"/>
      <c r="E1352" s="98"/>
      <c r="F1352" s="102"/>
      <c r="G1352" s="103"/>
    </row>
    <row r="1353" spans="1:7" x14ac:dyDescent="0.25">
      <c r="A1353" s="101"/>
      <c r="B1353" s="38"/>
      <c r="C1353" s="98"/>
      <c r="D1353" s="98"/>
      <c r="E1353" s="98"/>
      <c r="F1353" s="102"/>
      <c r="G1353" s="103"/>
    </row>
    <row r="1354" spans="1:7" x14ac:dyDescent="0.25">
      <c r="A1354" s="101"/>
      <c r="B1354" s="38"/>
      <c r="C1354" s="98"/>
      <c r="D1354" s="98"/>
      <c r="E1354" s="98"/>
      <c r="F1354" s="102"/>
      <c r="G1354" s="103"/>
    </row>
    <row r="1355" spans="1:7" x14ac:dyDescent="0.25">
      <c r="A1355" s="101"/>
      <c r="B1355" s="38"/>
      <c r="C1355" s="98"/>
      <c r="D1355" s="98"/>
      <c r="E1355" s="98"/>
      <c r="F1355" s="102"/>
      <c r="G1355" s="103"/>
    </row>
    <row r="1356" spans="1:7" x14ac:dyDescent="0.25">
      <c r="A1356" s="101"/>
      <c r="B1356" s="38"/>
      <c r="C1356" s="98"/>
      <c r="D1356" s="98"/>
      <c r="E1356" s="98"/>
      <c r="F1356" s="102"/>
      <c r="G1356" s="103"/>
    </row>
    <row r="1357" spans="1:7" x14ac:dyDescent="0.25">
      <c r="A1357" s="101"/>
      <c r="B1357" s="38"/>
      <c r="C1357" s="98"/>
      <c r="D1357" s="98"/>
      <c r="E1357" s="98"/>
      <c r="F1357" s="102"/>
      <c r="G1357" s="103"/>
    </row>
    <row r="1358" spans="1:7" x14ac:dyDescent="0.25">
      <c r="A1358" s="101"/>
      <c r="B1358" s="38"/>
      <c r="C1358" s="98"/>
      <c r="D1358" s="98"/>
      <c r="E1358" s="98"/>
      <c r="F1358" s="102"/>
      <c r="G1358" s="103"/>
    </row>
    <row r="1359" spans="1:7" x14ac:dyDescent="0.25">
      <c r="A1359" s="101"/>
      <c r="B1359" s="38"/>
      <c r="C1359" s="98"/>
      <c r="D1359" s="98"/>
      <c r="E1359" s="98"/>
      <c r="F1359" s="102"/>
      <c r="G1359" s="103"/>
    </row>
    <row r="1360" spans="1:7" x14ac:dyDescent="0.25">
      <c r="A1360" s="101"/>
      <c r="B1360" s="38"/>
      <c r="C1360" s="98"/>
      <c r="D1360" s="98"/>
      <c r="E1360" s="98"/>
      <c r="F1360" s="102"/>
      <c r="G1360" s="103"/>
    </row>
    <row r="1361" spans="1:7" x14ac:dyDescent="0.25">
      <c r="A1361" s="101"/>
      <c r="B1361" s="38"/>
      <c r="C1361" s="98"/>
      <c r="D1361" s="98"/>
      <c r="E1361" s="98"/>
      <c r="F1361" s="102"/>
      <c r="G1361" s="103"/>
    </row>
    <row r="1362" spans="1:7" x14ac:dyDescent="0.25">
      <c r="A1362" s="101"/>
      <c r="B1362" s="38"/>
      <c r="C1362" s="98"/>
      <c r="D1362" s="98"/>
      <c r="E1362" s="98"/>
      <c r="F1362" s="102"/>
      <c r="G1362" s="103"/>
    </row>
    <row r="1363" spans="1:7" x14ac:dyDescent="0.25">
      <c r="A1363" s="101"/>
      <c r="B1363" s="38"/>
      <c r="C1363" s="98"/>
      <c r="D1363" s="98"/>
      <c r="E1363" s="98"/>
      <c r="F1363" s="102"/>
      <c r="G1363" s="103"/>
    </row>
    <row r="1364" spans="1:7" x14ac:dyDescent="0.25">
      <c r="A1364" s="101"/>
      <c r="B1364" s="38"/>
      <c r="C1364" s="98"/>
      <c r="D1364" s="98"/>
      <c r="E1364" s="98"/>
      <c r="F1364" s="102"/>
      <c r="G1364" s="103"/>
    </row>
    <row r="1365" spans="1:7" x14ac:dyDescent="0.25">
      <c r="A1365" s="101"/>
      <c r="B1365" s="38"/>
      <c r="C1365" s="98"/>
      <c r="D1365" s="98"/>
      <c r="E1365" s="98"/>
      <c r="F1365" s="102"/>
      <c r="G1365" s="103"/>
    </row>
    <row r="1366" spans="1:7" x14ac:dyDescent="0.25">
      <c r="A1366" s="101"/>
      <c r="B1366" s="38"/>
      <c r="C1366" s="98"/>
      <c r="D1366" s="98"/>
      <c r="E1366" s="98"/>
      <c r="F1366" s="102"/>
      <c r="G1366" s="103"/>
    </row>
    <row r="1367" spans="1:7" x14ac:dyDescent="0.25">
      <c r="A1367" s="101"/>
      <c r="B1367" s="38"/>
      <c r="C1367" s="98"/>
      <c r="D1367" s="98"/>
      <c r="E1367" s="98"/>
      <c r="F1367" s="102"/>
      <c r="G1367" s="103"/>
    </row>
    <row r="1368" spans="1:7" x14ac:dyDescent="0.25">
      <c r="A1368" s="101"/>
      <c r="B1368" s="38"/>
      <c r="C1368" s="98"/>
      <c r="D1368" s="98"/>
      <c r="E1368" s="98"/>
      <c r="F1368" s="102"/>
      <c r="G1368" s="103"/>
    </row>
    <row r="1369" spans="1:7" x14ac:dyDescent="0.25">
      <c r="A1369" s="101"/>
      <c r="B1369" s="38"/>
      <c r="C1369" s="98"/>
      <c r="D1369" s="98"/>
      <c r="E1369" s="98"/>
      <c r="F1369" s="102"/>
      <c r="G1369" s="103"/>
    </row>
    <row r="1370" spans="1:7" x14ac:dyDescent="0.25">
      <c r="A1370" s="101"/>
      <c r="B1370" s="38"/>
      <c r="C1370" s="98"/>
      <c r="D1370" s="98"/>
      <c r="E1370" s="98"/>
      <c r="F1370" s="102"/>
      <c r="G1370" s="103"/>
    </row>
    <row r="1371" spans="1:7" x14ac:dyDescent="0.25">
      <c r="A1371" s="101"/>
      <c r="B1371" s="38"/>
      <c r="C1371" s="98"/>
      <c r="D1371" s="98"/>
      <c r="E1371" s="98"/>
      <c r="F1371" s="102"/>
      <c r="G1371" s="103"/>
    </row>
    <row r="1372" spans="1:7" x14ac:dyDescent="0.25">
      <c r="A1372" s="101"/>
      <c r="B1372" s="38"/>
      <c r="C1372" s="98"/>
      <c r="D1372" s="98"/>
      <c r="E1372" s="98"/>
      <c r="F1372" s="102"/>
      <c r="G1372" s="103"/>
    </row>
    <row r="1373" spans="1:7" x14ac:dyDescent="0.25">
      <c r="A1373" s="101"/>
      <c r="B1373" s="38"/>
      <c r="C1373" s="98"/>
      <c r="D1373" s="98"/>
      <c r="E1373" s="98"/>
      <c r="F1373" s="102"/>
      <c r="G1373" s="103"/>
    </row>
    <row r="1374" spans="1:7" x14ac:dyDescent="0.25">
      <c r="A1374" s="101"/>
      <c r="B1374" s="38"/>
      <c r="C1374" s="98"/>
      <c r="D1374" s="98"/>
      <c r="E1374" s="98"/>
      <c r="F1374" s="102"/>
      <c r="G1374" s="103"/>
    </row>
    <row r="1375" spans="1:7" x14ac:dyDescent="0.25">
      <c r="A1375" s="101"/>
      <c r="B1375" s="38"/>
      <c r="C1375" s="98"/>
      <c r="D1375" s="98"/>
      <c r="E1375" s="98"/>
      <c r="F1375" s="102"/>
      <c r="G1375" s="103"/>
    </row>
    <row r="1376" spans="1:7" x14ac:dyDescent="0.25">
      <c r="A1376" s="101"/>
      <c r="B1376" s="38"/>
      <c r="C1376" s="98"/>
      <c r="D1376" s="98"/>
      <c r="E1376" s="98"/>
      <c r="F1376" s="102"/>
      <c r="G1376" s="103"/>
    </row>
    <row r="1377" spans="1:7" x14ac:dyDescent="0.25">
      <c r="A1377" s="101"/>
      <c r="B1377" s="38"/>
      <c r="C1377" s="98"/>
      <c r="D1377" s="98"/>
      <c r="E1377" s="98"/>
      <c r="F1377" s="102"/>
      <c r="G1377" s="103"/>
    </row>
    <row r="1378" spans="1:7" x14ac:dyDescent="0.25">
      <c r="A1378" s="101"/>
      <c r="B1378" s="38"/>
      <c r="C1378" s="98"/>
      <c r="D1378" s="98"/>
      <c r="E1378" s="98"/>
      <c r="F1378" s="102"/>
      <c r="G1378" s="103"/>
    </row>
    <row r="1379" spans="1:7" x14ac:dyDescent="0.25">
      <c r="A1379" s="101"/>
      <c r="B1379" s="38"/>
      <c r="C1379" s="98"/>
      <c r="D1379" s="98"/>
      <c r="E1379" s="98"/>
      <c r="F1379" s="102"/>
      <c r="G1379" s="103"/>
    </row>
    <row r="1380" spans="1:7" x14ac:dyDescent="0.25">
      <c r="A1380" s="101"/>
      <c r="B1380" s="38"/>
      <c r="C1380" s="98"/>
      <c r="D1380" s="98"/>
      <c r="E1380" s="98"/>
      <c r="F1380" s="102"/>
      <c r="G1380" s="103"/>
    </row>
    <row r="1381" spans="1:7" x14ac:dyDescent="0.25">
      <c r="A1381" s="101"/>
      <c r="B1381" s="38"/>
      <c r="C1381" s="98"/>
      <c r="D1381" s="98"/>
      <c r="E1381" s="98"/>
      <c r="F1381" s="102"/>
      <c r="G1381" s="103"/>
    </row>
    <row r="1382" spans="1:7" x14ac:dyDescent="0.25">
      <c r="A1382" s="101"/>
      <c r="B1382" s="38"/>
      <c r="C1382" s="98"/>
      <c r="D1382" s="98"/>
      <c r="E1382" s="98"/>
      <c r="F1382" s="102"/>
      <c r="G1382" s="103"/>
    </row>
    <row r="1383" spans="1:7" x14ac:dyDescent="0.25">
      <c r="A1383" s="101"/>
      <c r="B1383" s="38"/>
      <c r="C1383" s="98"/>
      <c r="D1383" s="98"/>
      <c r="E1383" s="98"/>
      <c r="F1383" s="102"/>
      <c r="G1383" s="103"/>
    </row>
    <row r="1384" spans="1:7" x14ac:dyDescent="0.25">
      <c r="A1384" s="101"/>
      <c r="B1384" s="38"/>
      <c r="C1384" s="98"/>
      <c r="D1384" s="98"/>
      <c r="E1384" s="98"/>
      <c r="F1384" s="102"/>
      <c r="G1384" s="103"/>
    </row>
    <row r="1385" spans="1:7" x14ac:dyDescent="0.25">
      <c r="A1385" s="101"/>
      <c r="B1385" s="38"/>
      <c r="C1385" s="98"/>
      <c r="D1385" s="98"/>
      <c r="E1385" s="98"/>
      <c r="F1385" s="102"/>
      <c r="G1385" s="103"/>
    </row>
    <row r="1386" spans="1:7" x14ac:dyDescent="0.25">
      <c r="A1386" s="101"/>
      <c r="B1386" s="38"/>
      <c r="C1386" s="98"/>
      <c r="D1386" s="98"/>
      <c r="E1386" s="98"/>
      <c r="F1386" s="102"/>
      <c r="G1386" s="103"/>
    </row>
    <row r="1387" spans="1:7" x14ac:dyDescent="0.25">
      <c r="A1387" s="101"/>
      <c r="B1387" s="10"/>
      <c r="C1387" s="98"/>
      <c r="D1387" s="98"/>
      <c r="E1387" s="98"/>
      <c r="F1387" s="102"/>
      <c r="G1387" s="103"/>
    </row>
    <row r="1388" spans="1:7" x14ac:dyDescent="0.25">
      <c r="A1388" s="101"/>
      <c r="B1388" s="10"/>
      <c r="C1388" s="98"/>
      <c r="D1388" s="98"/>
      <c r="E1388" s="98"/>
      <c r="F1388" s="102"/>
      <c r="G1388" s="103"/>
    </row>
    <row r="1389" spans="1:7" x14ac:dyDescent="0.25">
      <c r="A1389" s="101"/>
      <c r="B1389" s="38"/>
      <c r="C1389" s="98"/>
      <c r="D1389" s="98"/>
      <c r="E1389" s="98"/>
      <c r="F1389" s="102"/>
      <c r="G1389" s="103"/>
    </row>
    <row r="1390" spans="1:7" x14ac:dyDescent="0.25">
      <c r="A1390" s="101"/>
      <c r="B1390" s="38"/>
      <c r="C1390" s="98"/>
      <c r="D1390" s="98"/>
      <c r="E1390" s="98"/>
      <c r="F1390" s="102"/>
      <c r="G1390" s="103"/>
    </row>
    <row r="1391" spans="1:7" x14ac:dyDescent="0.25">
      <c r="A1391" s="101"/>
      <c r="B1391" s="38"/>
      <c r="C1391" s="98"/>
      <c r="D1391" s="98"/>
      <c r="E1391" s="98"/>
      <c r="F1391" s="102"/>
      <c r="G1391" s="103"/>
    </row>
    <row r="1392" spans="1:7" x14ac:dyDescent="0.25">
      <c r="A1392" s="101"/>
      <c r="B1392" s="36"/>
      <c r="C1392" s="98"/>
      <c r="D1392" s="98"/>
      <c r="E1392" s="98"/>
      <c r="F1392" s="102"/>
      <c r="G1392" s="103"/>
    </row>
    <row r="1393" spans="1:7" x14ac:dyDescent="0.25">
      <c r="A1393" s="101"/>
      <c r="B1393" s="36"/>
      <c r="C1393" s="98"/>
      <c r="D1393" s="98"/>
      <c r="E1393" s="98"/>
      <c r="F1393" s="102"/>
      <c r="G1393" s="103"/>
    </row>
    <row r="1394" spans="1:7" x14ac:dyDescent="0.25">
      <c r="A1394" s="101"/>
      <c r="B1394" s="36"/>
      <c r="C1394" s="98"/>
      <c r="D1394" s="98"/>
      <c r="E1394" s="98"/>
      <c r="F1394" s="102"/>
      <c r="G1394" s="103"/>
    </row>
    <row r="1395" spans="1:7" x14ac:dyDescent="0.25">
      <c r="A1395" s="101"/>
      <c r="B1395" s="36"/>
      <c r="C1395" s="98"/>
      <c r="D1395" s="98"/>
      <c r="E1395" s="98"/>
      <c r="F1395" s="102"/>
      <c r="G1395" s="103"/>
    </row>
    <row r="1396" spans="1:7" x14ac:dyDescent="0.25">
      <c r="A1396" s="101"/>
      <c r="B1396" s="36"/>
      <c r="C1396" s="98"/>
      <c r="D1396" s="98"/>
      <c r="E1396" s="98"/>
      <c r="F1396" s="102"/>
      <c r="G1396" s="103"/>
    </row>
    <row r="1397" spans="1:7" x14ac:dyDescent="0.25">
      <c r="A1397" s="101"/>
      <c r="B1397" s="36"/>
      <c r="C1397" s="98"/>
      <c r="D1397" s="98"/>
      <c r="E1397" s="98"/>
      <c r="F1397" s="102"/>
      <c r="G1397" s="103"/>
    </row>
    <row r="1398" spans="1:7" x14ac:dyDescent="0.25">
      <c r="A1398" s="101"/>
      <c r="B1398" s="36"/>
      <c r="C1398" s="98"/>
      <c r="D1398" s="98"/>
      <c r="E1398" s="98"/>
      <c r="F1398" s="102"/>
      <c r="G1398" s="103"/>
    </row>
    <row r="1399" spans="1:7" x14ac:dyDescent="0.25">
      <c r="A1399" s="101"/>
      <c r="B1399" s="36"/>
      <c r="C1399" s="98"/>
      <c r="D1399" s="98"/>
      <c r="E1399" s="98"/>
      <c r="F1399" s="102"/>
      <c r="G1399" s="103"/>
    </row>
    <row r="1400" spans="1:7" x14ac:dyDescent="0.25">
      <c r="A1400" s="101"/>
      <c r="B1400" s="36"/>
      <c r="C1400" s="98"/>
      <c r="D1400" s="98"/>
      <c r="E1400" s="98"/>
      <c r="F1400" s="102"/>
      <c r="G1400" s="103"/>
    </row>
    <row r="1401" spans="1:7" x14ac:dyDescent="0.25">
      <c r="A1401" s="101"/>
      <c r="B1401" s="36"/>
      <c r="C1401" s="98"/>
      <c r="D1401" s="98"/>
      <c r="E1401" s="98"/>
      <c r="F1401" s="102"/>
      <c r="G1401" s="103"/>
    </row>
    <row r="1402" spans="1:7" x14ac:dyDescent="0.25">
      <c r="A1402" s="101"/>
      <c r="B1402" s="36"/>
      <c r="C1402" s="98"/>
      <c r="D1402" s="98"/>
      <c r="E1402" s="98"/>
      <c r="F1402" s="102"/>
      <c r="G1402" s="103"/>
    </row>
    <row r="1403" spans="1:7" x14ac:dyDescent="0.25">
      <c r="A1403" s="101"/>
      <c r="B1403" s="36"/>
      <c r="C1403" s="98"/>
      <c r="D1403" s="98"/>
      <c r="E1403" s="98"/>
      <c r="F1403" s="102"/>
      <c r="G1403" s="103"/>
    </row>
    <row r="1404" spans="1:7" x14ac:dyDescent="0.25">
      <c r="A1404" s="101"/>
      <c r="B1404" s="36"/>
      <c r="C1404" s="98"/>
      <c r="D1404" s="98"/>
      <c r="E1404" s="98"/>
      <c r="F1404" s="102"/>
      <c r="G1404" s="103"/>
    </row>
    <row r="1405" spans="1:7" x14ac:dyDescent="0.25">
      <c r="A1405" s="101"/>
      <c r="B1405" s="36"/>
      <c r="C1405" s="98"/>
      <c r="D1405" s="98"/>
      <c r="E1405" s="98"/>
      <c r="F1405" s="102"/>
      <c r="G1405" s="103"/>
    </row>
    <row r="1406" spans="1:7" x14ac:dyDescent="0.25">
      <c r="A1406" s="101"/>
      <c r="B1406" s="36"/>
      <c r="C1406" s="98"/>
      <c r="D1406" s="98"/>
      <c r="E1406" s="98"/>
      <c r="F1406" s="102"/>
      <c r="G1406" s="103"/>
    </row>
    <row r="1407" spans="1:7" x14ac:dyDescent="0.25">
      <c r="A1407" s="101"/>
      <c r="B1407" s="36"/>
      <c r="C1407" s="98"/>
      <c r="D1407" s="98"/>
      <c r="E1407" s="98"/>
      <c r="F1407" s="102"/>
      <c r="G1407" s="103"/>
    </row>
    <row r="1408" spans="1:7" x14ac:dyDescent="0.25">
      <c r="A1408" s="101"/>
      <c r="B1408" s="36"/>
      <c r="C1408" s="98"/>
      <c r="D1408" s="98"/>
      <c r="E1408" s="98"/>
      <c r="F1408" s="102"/>
      <c r="G1408" s="103"/>
    </row>
    <row r="1409" spans="1:7" x14ac:dyDescent="0.25">
      <c r="A1409" s="101"/>
      <c r="B1409" s="36"/>
      <c r="C1409" s="98"/>
      <c r="D1409" s="98"/>
      <c r="E1409" s="98"/>
      <c r="F1409" s="102"/>
      <c r="G1409" s="103"/>
    </row>
    <row r="1410" spans="1:7" x14ac:dyDescent="0.25">
      <c r="A1410" s="101"/>
      <c r="B1410" s="38"/>
      <c r="C1410" s="98"/>
      <c r="D1410" s="98"/>
      <c r="E1410" s="98"/>
      <c r="F1410" s="102"/>
      <c r="G1410" s="103"/>
    </row>
    <row r="1411" spans="1:7" x14ac:dyDescent="0.25">
      <c r="A1411" s="101"/>
      <c r="B1411" s="10"/>
      <c r="C1411" s="98"/>
      <c r="D1411" s="98"/>
      <c r="E1411" s="98"/>
      <c r="F1411" s="102"/>
      <c r="G1411" s="103"/>
    </row>
    <row r="1412" spans="1:7" x14ac:dyDescent="0.25">
      <c r="A1412" s="101"/>
      <c r="B1412" s="38"/>
      <c r="C1412" s="98"/>
      <c r="D1412" s="98"/>
      <c r="E1412" s="98"/>
      <c r="F1412" s="102"/>
      <c r="G1412" s="103"/>
    </row>
    <row r="1413" spans="1:7" x14ac:dyDescent="0.25">
      <c r="A1413" s="101"/>
      <c r="B1413" s="38"/>
      <c r="C1413" s="98"/>
      <c r="D1413" s="98"/>
      <c r="E1413" s="98"/>
      <c r="F1413" s="102"/>
      <c r="G1413" s="103"/>
    </row>
    <row r="1414" spans="1:7" x14ac:dyDescent="0.25">
      <c r="A1414" s="101"/>
      <c r="B1414" s="38"/>
      <c r="C1414" s="98"/>
      <c r="D1414" s="98"/>
      <c r="E1414" s="98"/>
      <c r="F1414" s="102"/>
      <c r="G1414" s="103"/>
    </row>
    <row r="1415" spans="1:7" x14ac:dyDescent="0.25">
      <c r="A1415" s="101"/>
      <c r="B1415" s="38"/>
      <c r="C1415" s="98"/>
      <c r="D1415" s="98"/>
      <c r="E1415" s="98"/>
      <c r="F1415" s="102"/>
      <c r="G1415" s="103"/>
    </row>
    <row r="1416" spans="1:7" x14ac:dyDescent="0.25">
      <c r="A1416" s="101"/>
      <c r="B1416" s="38"/>
      <c r="C1416" s="98"/>
      <c r="D1416" s="98"/>
      <c r="E1416" s="98"/>
      <c r="F1416" s="102"/>
      <c r="G1416" s="103"/>
    </row>
    <row r="1417" spans="1:7" x14ac:dyDescent="0.25">
      <c r="A1417" s="101"/>
      <c r="B1417" s="38"/>
      <c r="C1417" s="98"/>
      <c r="D1417" s="98"/>
      <c r="E1417" s="98"/>
      <c r="F1417" s="102"/>
      <c r="G1417" s="103"/>
    </row>
    <row r="1418" spans="1:7" x14ac:dyDescent="0.25">
      <c r="A1418" s="101"/>
      <c r="B1418" s="38"/>
      <c r="C1418" s="98"/>
      <c r="D1418" s="98"/>
      <c r="E1418" s="98"/>
      <c r="F1418" s="102"/>
      <c r="G1418" s="103"/>
    </row>
    <row r="1419" spans="1:7" x14ac:dyDescent="0.25">
      <c r="A1419" s="101"/>
      <c r="B1419" s="38"/>
      <c r="C1419" s="98"/>
      <c r="D1419" s="98"/>
      <c r="E1419" s="98"/>
      <c r="F1419" s="102"/>
      <c r="G1419" s="103"/>
    </row>
    <row r="1420" spans="1:7" x14ac:dyDescent="0.25">
      <c r="A1420" s="101"/>
      <c r="B1420" s="38"/>
      <c r="C1420" s="98"/>
      <c r="D1420" s="98"/>
      <c r="E1420" s="98"/>
      <c r="F1420" s="102"/>
      <c r="G1420" s="103"/>
    </row>
    <row r="1421" spans="1:7" x14ac:dyDescent="0.25">
      <c r="A1421" s="101"/>
      <c r="B1421" s="38"/>
      <c r="C1421" s="98"/>
      <c r="D1421" s="98"/>
      <c r="E1421" s="98"/>
      <c r="F1421" s="102"/>
      <c r="G1421" s="103"/>
    </row>
    <row r="1422" spans="1:7" x14ac:dyDescent="0.25">
      <c r="A1422" s="101"/>
      <c r="B1422" s="38"/>
      <c r="C1422" s="98"/>
      <c r="D1422" s="98"/>
      <c r="E1422" s="98"/>
      <c r="F1422" s="102"/>
      <c r="G1422" s="103"/>
    </row>
    <row r="1423" spans="1:7" x14ac:dyDescent="0.25">
      <c r="A1423" s="101"/>
      <c r="B1423" s="38"/>
      <c r="C1423" s="98"/>
      <c r="D1423" s="98"/>
      <c r="E1423" s="98"/>
      <c r="F1423" s="102"/>
      <c r="G1423" s="103"/>
    </row>
    <row r="1424" spans="1:7" x14ac:dyDescent="0.25">
      <c r="A1424" s="101"/>
      <c r="B1424" s="38"/>
      <c r="C1424" s="98"/>
      <c r="D1424" s="98"/>
      <c r="E1424" s="98"/>
      <c r="F1424" s="102"/>
      <c r="G1424" s="103"/>
    </row>
    <row r="1425" spans="1:7" x14ac:dyDescent="0.25">
      <c r="A1425" s="101"/>
      <c r="B1425" s="38"/>
      <c r="C1425" s="98"/>
      <c r="D1425" s="98"/>
      <c r="E1425" s="98"/>
      <c r="F1425" s="102"/>
      <c r="G1425" s="103"/>
    </row>
    <row r="1426" spans="1:7" x14ac:dyDescent="0.25">
      <c r="A1426" s="101"/>
      <c r="B1426" s="38"/>
      <c r="C1426" s="98"/>
      <c r="D1426" s="98"/>
      <c r="E1426" s="98"/>
      <c r="F1426" s="102"/>
      <c r="G1426" s="103"/>
    </row>
    <row r="1427" spans="1:7" x14ac:dyDescent="0.25">
      <c r="A1427" s="101"/>
      <c r="B1427" s="38"/>
      <c r="C1427" s="98"/>
      <c r="D1427" s="98"/>
      <c r="E1427" s="98"/>
      <c r="F1427" s="102"/>
      <c r="G1427" s="103"/>
    </row>
    <row r="1428" spans="1:7" x14ac:dyDescent="0.25">
      <c r="A1428" s="101"/>
      <c r="B1428" s="38"/>
      <c r="C1428" s="98"/>
      <c r="D1428" s="98"/>
      <c r="E1428" s="98"/>
      <c r="F1428" s="102"/>
      <c r="G1428" s="103"/>
    </row>
    <row r="1429" spans="1:7" x14ac:dyDescent="0.25">
      <c r="A1429" s="101"/>
      <c r="B1429" s="38"/>
      <c r="C1429" s="98"/>
      <c r="D1429" s="98"/>
      <c r="E1429" s="98"/>
      <c r="F1429" s="102"/>
      <c r="G1429" s="103"/>
    </row>
    <row r="1430" spans="1:7" x14ac:dyDescent="0.25">
      <c r="A1430" s="101"/>
      <c r="B1430" s="38"/>
      <c r="C1430" s="98"/>
      <c r="D1430" s="98"/>
      <c r="E1430" s="98"/>
      <c r="F1430" s="102"/>
      <c r="G1430" s="103"/>
    </row>
    <row r="1431" spans="1:7" x14ac:dyDescent="0.25">
      <c r="A1431" s="101"/>
      <c r="B1431" s="38"/>
      <c r="C1431" s="98"/>
      <c r="D1431" s="98"/>
      <c r="E1431" s="98"/>
      <c r="F1431" s="102"/>
      <c r="G1431" s="103"/>
    </row>
    <row r="1432" spans="1:7" x14ac:dyDescent="0.25">
      <c r="A1432" s="101"/>
      <c r="B1432" s="38"/>
      <c r="C1432" s="98"/>
      <c r="D1432" s="98"/>
      <c r="E1432" s="98"/>
      <c r="F1432" s="102"/>
      <c r="G1432" s="103"/>
    </row>
    <row r="1433" spans="1:7" x14ac:dyDescent="0.25">
      <c r="A1433" s="101"/>
      <c r="B1433" s="38"/>
      <c r="C1433" s="98"/>
      <c r="D1433" s="98"/>
      <c r="E1433" s="98"/>
      <c r="F1433" s="102"/>
      <c r="G1433" s="103"/>
    </row>
    <row r="1434" spans="1:7" x14ac:dyDescent="0.25">
      <c r="A1434" s="101"/>
      <c r="B1434" s="38"/>
      <c r="C1434" s="98"/>
      <c r="D1434" s="98"/>
      <c r="E1434" s="98"/>
      <c r="F1434" s="102"/>
      <c r="G1434" s="103"/>
    </row>
    <row r="1435" spans="1:7" x14ac:dyDescent="0.25">
      <c r="A1435" s="101"/>
      <c r="B1435" s="38"/>
      <c r="C1435" s="98"/>
      <c r="D1435" s="98"/>
      <c r="E1435" s="98"/>
      <c r="F1435" s="102"/>
      <c r="G1435" s="103"/>
    </row>
    <row r="1436" spans="1:7" x14ac:dyDescent="0.25">
      <c r="A1436" s="101"/>
      <c r="B1436" s="38"/>
      <c r="C1436" s="98"/>
      <c r="D1436" s="98"/>
      <c r="E1436" s="98"/>
      <c r="F1436" s="102"/>
      <c r="G1436" s="103"/>
    </row>
    <row r="1437" spans="1:7" x14ac:dyDescent="0.25">
      <c r="A1437" s="101"/>
      <c r="B1437" s="12"/>
      <c r="C1437" s="98"/>
      <c r="D1437" s="98"/>
      <c r="E1437" s="98"/>
      <c r="F1437" s="102"/>
      <c r="G1437" s="103"/>
    </row>
    <row r="1438" spans="1:7" x14ac:dyDescent="0.25">
      <c r="A1438" s="101"/>
      <c r="B1438" s="38"/>
      <c r="C1438" s="98"/>
      <c r="D1438" s="98"/>
      <c r="E1438" s="98"/>
      <c r="F1438" s="102"/>
      <c r="G1438" s="103"/>
    </row>
    <row r="1439" spans="1:7" x14ac:dyDescent="0.25">
      <c r="A1439" s="101"/>
      <c r="B1439" s="38"/>
      <c r="C1439" s="98"/>
      <c r="D1439" s="98"/>
      <c r="E1439" s="98"/>
      <c r="F1439" s="102"/>
      <c r="G1439" s="103"/>
    </row>
    <row r="1440" spans="1:7" x14ac:dyDescent="0.25">
      <c r="A1440" s="101"/>
      <c r="B1440" s="38"/>
      <c r="C1440" s="98"/>
      <c r="D1440" s="98"/>
      <c r="E1440" s="98"/>
      <c r="F1440" s="102"/>
      <c r="G1440" s="103"/>
    </row>
    <row r="1441" spans="1:7" x14ac:dyDescent="0.25">
      <c r="A1441" s="101"/>
      <c r="B1441" s="12"/>
      <c r="C1441" s="98"/>
      <c r="D1441" s="98"/>
      <c r="E1441" s="98"/>
      <c r="F1441" s="102"/>
      <c r="G1441" s="103"/>
    </row>
    <row r="1442" spans="1:7" x14ac:dyDescent="0.25">
      <c r="A1442" s="101"/>
      <c r="B1442" s="38"/>
      <c r="C1442" s="98"/>
      <c r="D1442" s="98"/>
      <c r="E1442" s="98"/>
      <c r="F1442" s="102"/>
      <c r="G1442" s="103"/>
    </row>
    <row r="1443" spans="1:7" x14ac:dyDescent="0.25">
      <c r="A1443" s="101"/>
      <c r="B1443" s="38"/>
      <c r="C1443" s="98"/>
      <c r="D1443" s="98"/>
      <c r="E1443" s="98"/>
      <c r="F1443" s="102"/>
      <c r="G1443" s="103"/>
    </row>
    <row r="1444" spans="1:7" x14ac:dyDescent="0.25">
      <c r="A1444" s="101"/>
      <c r="B1444" s="38"/>
      <c r="C1444" s="98"/>
      <c r="D1444" s="98"/>
      <c r="E1444" s="98"/>
      <c r="F1444" s="102"/>
      <c r="G1444" s="103"/>
    </row>
    <row r="1445" spans="1:7" x14ac:dyDescent="0.25">
      <c r="A1445" s="101"/>
      <c r="B1445" s="38"/>
      <c r="C1445" s="98"/>
      <c r="D1445" s="98"/>
      <c r="E1445" s="98"/>
      <c r="F1445" s="102"/>
      <c r="G1445" s="103"/>
    </row>
    <row r="1446" spans="1:7" x14ac:dyDescent="0.25">
      <c r="A1446" s="101"/>
      <c r="B1446" s="38"/>
      <c r="C1446" s="98"/>
      <c r="D1446" s="98"/>
      <c r="E1446" s="98"/>
      <c r="F1446" s="102"/>
      <c r="G1446" s="103"/>
    </row>
    <row r="1447" spans="1:7" x14ac:dyDescent="0.25">
      <c r="A1447" s="101"/>
      <c r="B1447" s="38"/>
      <c r="C1447" s="98"/>
      <c r="D1447" s="98"/>
      <c r="E1447" s="98"/>
      <c r="F1447" s="102"/>
      <c r="G1447" s="103"/>
    </row>
    <row r="1448" spans="1:7" x14ac:dyDescent="0.25">
      <c r="A1448" s="101"/>
      <c r="B1448" s="38"/>
      <c r="C1448" s="98"/>
      <c r="D1448" s="98"/>
      <c r="E1448" s="98"/>
      <c r="F1448" s="102"/>
      <c r="G1448" s="103"/>
    </row>
    <row r="1449" spans="1:7" x14ac:dyDescent="0.25">
      <c r="A1449" s="101"/>
      <c r="B1449" s="38"/>
      <c r="C1449" s="98"/>
      <c r="D1449" s="98"/>
      <c r="E1449" s="98"/>
      <c r="F1449" s="102"/>
      <c r="G1449" s="103"/>
    </row>
    <row r="1450" spans="1:7" x14ac:dyDescent="0.25">
      <c r="A1450" s="101"/>
      <c r="B1450" s="36"/>
      <c r="C1450" s="98"/>
      <c r="D1450" s="98"/>
      <c r="E1450" s="98"/>
      <c r="F1450" s="102"/>
      <c r="G1450" s="103"/>
    </row>
    <row r="1451" spans="1:7" x14ac:dyDescent="0.25">
      <c r="A1451" s="101"/>
      <c r="B1451" s="36"/>
      <c r="C1451" s="98"/>
      <c r="D1451" s="98"/>
      <c r="E1451" s="98"/>
      <c r="F1451" s="102"/>
      <c r="G1451" s="103"/>
    </row>
    <row r="1452" spans="1:7" x14ac:dyDescent="0.25">
      <c r="A1452" s="101"/>
      <c r="B1452" s="66"/>
      <c r="C1452" s="98"/>
      <c r="D1452" s="98"/>
      <c r="E1452" s="98"/>
      <c r="F1452" s="102"/>
      <c r="G1452" s="103"/>
    </row>
    <row r="1453" spans="1:7" x14ac:dyDescent="0.25">
      <c r="A1453" s="101"/>
      <c r="B1453" s="36"/>
      <c r="C1453" s="98"/>
      <c r="D1453" s="98"/>
      <c r="E1453" s="98"/>
      <c r="F1453" s="102"/>
      <c r="G1453" s="103"/>
    </row>
    <row r="1454" spans="1:7" x14ac:dyDescent="0.25">
      <c r="A1454" s="101"/>
      <c r="B1454" s="36"/>
      <c r="C1454" s="98"/>
      <c r="D1454" s="98"/>
      <c r="E1454" s="98"/>
      <c r="F1454" s="102"/>
      <c r="G1454" s="103"/>
    </row>
    <row r="1455" spans="1:7" x14ac:dyDescent="0.25">
      <c r="A1455" s="101"/>
      <c r="B1455" s="36"/>
      <c r="C1455" s="98"/>
      <c r="D1455" s="98"/>
      <c r="E1455" s="98"/>
      <c r="F1455" s="102"/>
      <c r="G1455" s="103"/>
    </row>
    <row r="1456" spans="1:7" x14ac:dyDescent="0.25">
      <c r="A1456" s="101"/>
      <c r="B1456" s="36"/>
      <c r="C1456" s="98"/>
      <c r="D1456" s="98"/>
      <c r="E1456" s="98"/>
      <c r="F1456" s="102"/>
      <c r="G1456" s="103"/>
    </row>
    <row r="1457" spans="1:7" x14ac:dyDescent="0.25">
      <c r="A1457" s="101"/>
      <c r="B1457" s="36"/>
      <c r="C1457" s="98"/>
      <c r="D1457" s="98"/>
      <c r="E1457" s="98"/>
      <c r="F1457" s="102"/>
      <c r="G1457" s="103"/>
    </row>
    <row r="1458" spans="1:7" x14ac:dyDescent="0.25">
      <c r="A1458" s="101"/>
      <c r="B1458" s="36"/>
      <c r="C1458" s="98"/>
      <c r="D1458" s="98"/>
      <c r="E1458" s="98"/>
      <c r="F1458" s="102"/>
      <c r="G1458" s="103"/>
    </row>
    <row r="1459" spans="1:7" x14ac:dyDescent="0.25">
      <c r="A1459" s="101"/>
      <c r="B1459" s="36"/>
      <c r="C1459" s="98"/>
      <c r="D1459" s="98"/>
      <c r="E1459" s="98"/>
      <c r="F1459" s="102"/>
      <c r="G1459" s="103"/>
    </row>
    <row r="1460" spans="1:7" x14ac:dyDescent="0.25">
      <c r="A1460" s="101"/>
      <c r="B1460" s="66"/>
      <c r="C1460" s="98"/>
      <c r="D1460" s="98"/>
      <c r="E1460" s="98"/>
      <c r="F1460" s="102"/>
      <c r="G1460" s="103"/>
    </row>
    <row r="1461" spans="1:7" x14ac:dyDescent="0.25">
      <c r="A1461" s="101"/>
      <c r="B1461" s="66"/>
      <c r="C1461" s="98"/>
      <c r="D1461" s="98"/>
      <c r="E1461" s="98"/>
      <c r="F1461" s="102"/>
      <c r="G1461" s="103"/>
    </row>
    <row r="1462" spans="1:7" x14ac:dyDescent="0.25">
      <c r="A1462" s="101"/>
      <c r="B1462" s="36"/>
      <c r="C1462" s="98"/>
      <c r="D1462" s="98"/>
      <c r="E1462" s="98"/>
      <c r="F1462" s="102"/>
      <c r="G1462" s="103"/>
    </row>
    <row r="1463" spans="1:7" x14ac:dyDescent="0.25">
      <c r="A1463" s="101"/>
      <c r="B1463" s="36"/>
      <c r="C1463" s="98"/>
      <c r="D1463" s="98"/>
      <c r="E1463" s="98"/>
      <c r="F1463" s="102"/>
      <c r="G1463" s="103"/>
    </row>
    <row r="1464" spans="1:7" x14ac:dyDescent="0.25">
      <c r="A1464" s="101"/>
      <c r="B1464" s="36"/>
      <c r="C1464" s="98"/>
      <c r="D1464" s="98"/>
      <c r="E1464" s="98"/>
      <c r="F1464" s="102"/>
      <c r="G1464" s="103"/>
    </row>
    <row r="1465" spans="1:7" x14ac:dyDescent="0.25">
      <c r="A1465" s="101"/>
      <c r="B1465" s="36"/>
      <c r="C1465" s="98"/>
      <c r="D1465" s="98"/>
      <c r="E1465" s="98"/>
      <c r="F1465" s="102"/>
      <c r="G1465" s="103"/>
    </row>
    <row r="1466" spans="1:7" x14ac:dyDescent="0.25">
      <c r="A1466" s="101"/>
      <c r="B1466" s="36"/>
      <c r="C1466" s="98"/>
      <c r="D1466" s="98"/>
      <c r="E1466" s="98"/>
      <c r="F1466" s="102"/>
      <c r="G1466" s="103"/>
    </row>
    <row r="1467" spans="1:7" x14ac:dyDescent="0.25">
      <c r="A1467" s="101"/>
      <c r="B1467" s="36"/>
      <c r="C1467" s="98"/>
      <c r="D1467" s="98"/>
      <c r="E1467" s="98"/>
      <c r="F1467" s="102"/>
      <c r="G1467" s="103"/>
    </row>
    <row r="1468" spans="1:7" x14ac:dyDescent="0.25">
      <c r="A1468" s="101"/>
      <c r="B1468" s="36"/>
      <c r="C1468" s="98"/>
      <c r="D1468" s="98"/>
      <c r="E1468" s="98"/>
      <c r="F1468" s="102"/>
      <c r="G1468" s="103"/>
    </row>
    <row r="1469" spans="1:7" x14ac:dyDescent="0.25">
      <c r="A1469" s="101"/>
      <c r="B1469" s="36"/>
      <c r="C1469" s="98"/>
      <c r="D1469" s="98"/>
      <c r="E1469" s="98"/>
      <c r="F1469" s="102"/>
      <c r="G1469" s="103"/>
    </row>
    <row r="1470" spans="1:7" x14ac:dyDescent="0.25">
      <c r="A1470" s="101"/>
      <c r="B1470" s="38"/>
      <c r="C1470" s="98"/>
      <c r="D1470" s="98"/>
      <c r="E1470" s="98"/>
      <c r="F1470" s="102"/>
      <c r="G1470" s="103"/>
    </row>
    <row r="1471" spans="1:7" x14ac:dyDescent="0.25">
      <c r="A1471" s="101"/>
      <c r="B1471" s="38"/>
      <c r="C1471" s="98"/>
      <c r="D1471" s="98"/>
      <c r="E1471" s="98"/>
      <c r="F1471" s="102"/>
      <c r="G1471" s="103"/>
    </row>
    <row r="1472" spans="1:7" x14ac:dyDescent="0.25">
      <c r="A1472" s="101"/>
      <c r="B1472" s="38"/>
      <c r="C1472" s="98"/>
      <c r="D1472" s="98"/>
      <c r="E1472" s="98"/>
      <c r="F1472" s="102"/>
      <c r="G1472" s="103"/>
    </row>
    <row r="1473" spans="1:7" x14ac:dyDescent="0.25">
      <c r="A1473" s="101"/>
      <c r="B1473" s="38"/>
      <c r="C1473" s="98"/>
      <c r="D1473" s="98"/>
      <c r="E1473" s="98"/>
      <c r="F1473" s="102"/>
      <c r="G1473" s="103"/>
    </row>
    <row r="1474" spans="1:7" x14ac:dyDescent="0.25">
      <c r="A1474" s="101"/>
      <c r="B1474" s="38"/>
      <c r="C1474" s="98"/>
      <c r="D1474" s="98"/>
      <c r="E1474" s="98"/>
      <c r="F1474" s="102"/>
      <c r="G1474" s="103"/>
    </row>
    <row r="1475" spans="1:7" x14ac:dyDescent="0.25">
      <c r="A1475" s="101"/>
      <c r="B1475" s="38"/>
      <c r="C1475" s="98"/>
      <c r="D1475" s="98"/>
      <c r="E1475" s="98"/>
      <c r="F1475" s="102"/>
      <c r="G1475" s="103"/>
    </row>
    <row r="1476" spans="1:7" x14ac:dyDescent="0.25">
      <c r="A1476" s="101"/>
      <c r="B1476" s="38"/>
      <c r="C1476" s="98"/>
      <c r="D1476" s="98"/>
      <c r="E1476" s="98"/>
      <c r="F1476" s="102"/>
      <c r="G1476" s="103"/>
    </row>
    <row r="1477" spans="1:7" x14ac:dyDescent="0.25">
      <c r="A1477" s="101"/>
      <c r="B1477" s="38"/>
      <c r="C1477" s="98"/>
      <c r="D1477" s="98"/>
      <c r="E1477" s="98"/>
      <c r="F1477" s="102"/>
      <c r="G1477" s="103"/>
    </row>
    <row r="1478" spans="1:7" x14ac:dyDescent="0.25">
      <c r="A1478" s="101"/>
      <c r="B1478" s="12"/>
      <c r="C1478" s="98"/>
      <c r="D1478" s="98"/>
      <c r="E1478" s="98"/>
      <c r="F1478" s="102"/>
      <c r="G1478" s="103"/>
    </row>
    <row r="1479" spans="1:7" x14ac:dyDescent="0.25">
      <c r="A1479" s="101"/>
      <c r="B1479" s="12"/>
      <c r="C1479" s="98"/>
      <c r="D1479" s="98"/>
      <c r="E1479" s="98"/>
      <c r="F1479" s="102"/>
      <c r="G1479" s="103"/>
    </row>
    <row r="1480" spans="1:7" x14ac:dyDescent="0.25">
      <c r="A1480" s="101"/>
      <c r="B1480" s="38"/>
      <c r="C1480" s="98"/>
      <c r="D1480" s="98"/>
      <c r="E1480" s="98"/>
      <c r="F1480" s="102"/>
      <c r="G1480" s="103"/>
    </row>
    <row r="1481" spans="1:7" x14ac:dyDescent="0.25">
      <c r="A1481" s="101"/>
      <c r="B1481" s="38"/>
      <c r="C1481" s="98"/>
      <c r="D1481" s="98"/>
      <c r="E1481" s="98"/>
      <c r="F1481" s="102"/>
      <c r="G1481" s="103"/>
    </row>
    <row r="1482" spans="1:7" x14ac:dyDescent="0.25">
      <c r="A1482" s="101"/>
      <c r="B1482" s="38"/>
      <c r="C1482" s="98"/>
      <c r="D1482" s="98"/>
      <c r="E1482" s="98"/>
      <c r="F1482" s="102"/>
      <c r="G1482" s="103"/>
    </row>
    <row r="1483" spans="1:7" x14ac:dyDescent="0.25">
      <c r="A1483" s="101"/>
      <c r="B1483" s="38"/>
      <c r="C1483" s="98"/>
      <c r="D1483" s="98"/>
      <c r="E1483" s="98"/>
      <c r="F1483" s="102"/>
      <c r="G1483" s="103"/>
    </row>
    <row r="1484" spans="1:7" x14ac:dyDescent="0.25">
      <c r="A1484" s="101"/>
      <c r="B1484" s="38"/>
      <c r="C1484" s="98"/>
      <c r="D1484" s="98"/>
      <c r="E1484" s="98"/>
      <c r="F1484" s="102"/>
      <c r="G1484" s="103"/>
    </row>
    <row r="1485" spans="1:7" x14ac:dyDescent="0.25">
      <c r="A1485" s="101"/>
      <c r="B1485" s="38"/>
      <c r="C1485" s="98"/>
      <c r="D1485" s="98"/>
      <c r="E1485" s="98"/>
      <c r="F1485" s="102"/>
      <c r="G1485" s="103"/>
    </row>
    <row r="1486" spans="1:7" x14ac:dyDescent="0.25">
      <c r="A1486" s="101"/>
      <c r="B1486" s="12"/>
      <c r="C1486" s="98"/>
      <c r="D1486" s="98"/>
      <c r="E1486" s="98"/>
      <c r="F1486" s="102"/>
      <c r="G1486" s="103"/>
    </row>
    <row r="1487" spans="1:7" x14ac:dyDescent="0.25">
      <c r="A1487" s="101"/>
      <c r="B1487" s="38"/>
      <c r="C1487" s="98"/>
      <c r="D1487" s="98"/>
      <c r="E1487" s="98"/>
      <c r="F1487" s="102"/>
      <c r="G1487" s="103"/>
    </row>
    <row r="1488" spans="1:7" x14ac:dyDescent="0.25">
      <c r="A1488" s="101"/>
      <c r="B1488" s="38"/>
      <c r="C1488" s="98"/>
      <c r="D1488" s="98"/>
      <c r="E1488" s="98"/>
      <c r="F1488" s="102"/>
      <c r="G1488" s="103"/>
    </row>
    <row r="1489" spans="1:7" x14ac:dyDescent="0.25">
      <c r="A1489" s="101"/>
      <c r="B1489" s="38"/>
      <c r="C1489" s="98"/>
      <c r="D1489" s="98"/>
      <c r="E1489" s="98"/>
      <c r="F1489" s="102"/>
      <c r="G1489" s="103"/>
    </row>
    <row r="1490" spans="1:7" x14ac:dyDescent="0.25">
      <c r="A1490" s="101"/>
      <c r="B1490" s="38"/>
      <c r="C1490" s="98"/>
      <c r="D1490" s="98"/>
      <c r="E1490" s="98"/>
      <c r="F1490" s="102"/>
      <c r="G1490" s="103"/>
    </row>
    <row r="1491" spans="1:7" x14ac:dyDescent="0.25">
      <c r="A1491" s="101"/>
      <c r="B1491" s="38"/>
      <c r="C1491" s="98"/>
      <c r="D1491" s="98"/>
      <c r="E1491" s="98"/>
      <c r="F1491" s="102"/>
      <c r="G1491" s="103"/>
    </row>
    <row r="1492" spans="1:7" x14ac:dyDescent="0.25">
      <c r="A1492" s="101"/>
      <c r="B1492" s="38"/>
      <c r="C1492" s="98"/>
      <c r="D1492" s="98"/>
      <c r="E1492" s="98"/>
      <c r="F1492" s="102"/>
      <c r="G1492" s="103"/>
    </row>
    <row r="1493" spans="1:7" x14ac:dyDescent="0.25">
      <c r="A1493" s="101"/>
      <c r="B1493" s="38"/>
      <c r="C1493" s="98"/>
      <c r="D1493" s="98"/>
      <c r="E1493" s="98"/>
      <c r="F1493" s="102"/>
      <c r="G1493" s="103"/>
    </row>
    <row r="1494" spans="1:7" x14ac:dyDescent="0.25">
      <c r="A1494" s="101"/>
      <c r="B1494" s="38"/>
      <c r="C1494" s="98"/>
      <c r="D1494" s="98"/>
      <c r="E1494" s="98"/>
      <c r="F1494" s="102"/>
      <c r="G1494" s="103"/>
    </row>
    <row r="1495" spans="1:7" x14ac:dyDescent="0.25">
      <c r="A1495" s="101"/>
      <c r="B1495" s="38"/>
      <c r="C1495" s="98"/>
      <c r="D1495" s="98"/>
      <c r="E1495" s="98"/>
      <c r="F1495" s="102"/>
      <c r="G1495" s="103"/>
    </row>
    <row r="1496" spans="1:7" x14ac:dyDescent="0.25">
      <c r="A1496" s="101"/>
      <c r="B1496" s="38"/>
      <c r="C1496" s="98"/>
      <c r="D1496" s="98"/>
      <c r="E1496" s="98"/>
      <c r="F1496" s="102"/>
      <c r="G1496" s="103"/>
    </row>
    <row r="1497" spans="1:7" x14ac:dyDescent="0.25">
      <c r="A1497" s="101"/>
      <c r="B1497" s="38"/>
      <c r="C1497" s="98"/>
      <c r="D1497" s="98"/>
      <c r="E1497" s="98"/>
      <c r="F1497" s="102"/>
      <c r="G1497" s="103"/>
    </row>
    <row r="1498" spans="1:7" x14ac:dyDescent="0.25">
      <c r="A1498" s="101"/>
      <c r="B1498" s="38"/>
      <c r="C1498" s="98"/>
      <c r="D1498" s="98"/>
      <c r="E1498" s="98"/>
      <c r="F1498" s="102"/>
      <c r="G1498" s="103"/>
    </row>
    <row r="1499" spans="1:7" x14ac:dyDescent="0.25">
      <c r="A1499" s="101"/>
      <c r="B1499" s="38"/>
      <c r="C1499" s="98"/>
      <c r="D1499" s="98"/>
      <c r="E1499" s="98"/>
      <c r="F1499" s="102"/>
      <c r="G1499" s="103"/>
    </row>
    <row r="1500" spans="1:7" x14ac:dyDescent="0.25">
      <c r="A1500" s="101"/>
      <c r="B1500" s="38"/>
      <c r="C1500" s="98"/>
      <c r="D1500" s="98"/>
      <c r="E1500" s="98"/>
      <c r="F1500" s="102"/>
      <c r="G1500" s="103"/>
    </row>
    <row r="1501" spans="1:7" x14ac:dyDescent="0.25">
      <c r="A1501" s="101"/>
      <c r="B1501" s="38"/>
      <c r="C1501" s="98"/>
      <c r="D1501" s="98"/>
      <c r="E1501" s="98"/>
      <c r="F1501" s="102"/>
      <c r="G1501" s="103"/>
    </row>
    <row r="1502" spans="1:7" x14ac:dyDescent="0.25">
      <c r="A1502" s="101"/>
      <c r="B1502" s="38"/>
      <c r="C1502" s="98"/>
      <c r="D1502" s="98"/>
      <c r="E1502" s="98"/>
      <c r="F1502" s="102"/>
      <c r="G1502" s="103"/>
    </row>
    <row r="1503" spans="1:7" x14ac:dyDescent="0.25">
      <c r="A1503" s="101"/>
      <c r="B1503" s="38"/>
      <c r="C1503" s="98"/>
      <c r="D1503" s="98"/>
      <c r="E1503" s="98"/>
      <c r="F1503" s="102"/>
      <c r="G1503" s="103"/>
    </row>
    <row r="1504" spans="1:7" x14ac:dyDescent="0.25">
      <c r="A1504" s="101"/>
      <c r="B1504" s="38"/>
      <c r="C1504" s="98"/>
      <c r="D1504" s="98"/>
      <c r="E1504" s="98"/>
      <c r="F1504" s="102"/>
      <c r="G1504" s="103"/>
    </row>
    <row r="1505" spans="1:7" x14ac:dyDescent="0.25">
      <c r="A1505" s="101"/>
      <c r="B1505" s="12"/>
      <c r="C1505" s="98"/>
      <c r="D1505" s="98"/>
      <c r="E1505" s="98"/>
      <c r="F1505" s="102"/>
      <c r="G1505" s="103"/>
    </row>
    <row r="1506" spans="1:7" x14ac:dyDescent="0.25">
      <c r="A1506" s="101"/>
      <c r="B1506" s="38"/>
      <c r="C1506" s="98"/>
      <c r="D1506" s="98"/>
      <c r="E1506" s="98"/>
      <c r="F1506" s="102"/>
      <c r="G1506" s="103"/>
    </row>
    <row r="1507" spans="1:7" x14ac:dyDescent="0.25">
      <c r="A1507" s="101"/>
      <c r="B1507" s="38"/>
      <c r="C1507" s="98"/>
      <c r="D1507" s="98"/>
      <c r="E1507" s="98"/>
      <c r="F1507" s="102"/>
      <c r="G1507" s="103"/>
    </row>
    <row r="1508" spans="1:7" x14ac:dyDescent="0.25">
      <c r="A1508" s="101"/>
      <c r="B1508" s="38"/>
      <c r="C1508" s="98"/>
      <c r="D1508" s="98"/>
      <c r="E1508" s="98"/>
      <c r="F1508" s="102"/>
      <c r="G1508" s="103"/>
    </row>
    <row r="1509" spans="1:7" x14ac:dyDescent="0.25">
      <c r="A1509" s="101"/>
      <c r="B1509" s="36"/>
      <c r="C1509" s="98"/>
      <c r="D1509" s="98"/>
      <c r="E1509" s="98"/>
      <c r="F1509" s="102"/>
      <c r="G1509" s="103"/>
    </row>
    <row r="1510" spans="1:7" x14ac:dyDescent="0.25">
      <c r="A1510" s="101"/>
      <c r="B1510" s="36"/>
      <c r="C1510" s="98"/>
      <c r="D1510" s="98"/>
      <c r="E1510" s="98"/>
      <c r="F1510" s="102"/>
      <c r="G1510" s="103"/>
    </row>
    <row r="1511" spans="1:7" x14ac:dyDescent="0.25">
      <c r="A1511" s="101"/>
      <c r="B1511" s="36"/>
      <c r="C1511" s="98"/>
      <c r="D1511" s="98"/>
      <c r="E1511" s="98"/>
      <c r="F1511" s="102"/>
      <c r="G1511" s="103"/>
    </row>
    <row r="1512" spans="1:7" x14ac:dyDescent="0.25">
      <c r="A1512" s="101"/>
      <c r="B1512" s="36"/>
      <c r="C1512" s="98"/>
      <c r="D1512" s="98"/>
      <c r="E1512" s="98"/>
      <c r="F1512" s="102"/>
      <c r="G1512" s="103"/>
    </row>
    <row r="1513" spans="1:7" x14ac:dyDescent="0.25">
      <c r="A1513" s="101"/>
      <c r="B1513" s="36"/>
      <c r="C1513" s="98"/>
      <c r="D1513" s="98"/>
      <c r="E1513" s="98"/>
      <c r="F1513" s="102"/>
      <c r="G1513" s="103"/>
    </row>
    <row r="1514" spans="1:7" x14ac:dyDescent="0.25">
      <c r="A1514" s="101"/>
      <c r="B1514" s="36"/>
      <c r="C1514" s="98"/>
      <c r="D1514" s="98"/>
      <c r="E1514" s="98"/>
      <c r="F1514" s="102"/>
      <c r="G1514" s="103"/>
    </row>
    <row r="1515" spans="1:7" x14ac:dyDescent="0.25">
      <c r="A1515" s="101"/>
      <c r="B1515" s="36"/>
      <c r="C1515" s="98"/>
      <c r="D1515" s="98"/>
      <c r="E1515" s="98"/>
      <c r="F1515" s="102"/>
      <c r="G1515" s="103"/>
    </row>
    <row r="1516" spans="1:7" x14ac:dyDescent="0.25">
      <c r="A1516" s="101"/>
      <c r="B1516" s="36"/>
      <c r="C1516" s="98"/>
      <c r="D1516" s="98"/>
      <c r="E1516" s="98"/>
      <c r="F1516" s="102"/>
      <c r="G1516" s="103"/>
    </row>
    <row r="1517" spans="1:7" x14ac:dyDescent="0.25">
      <c r="A1517" s="101"/>
      <c r="B1517" s="36"/>
      <c r="C1517" s="98"/>
      <c r="D1517" s="98"/>
      <c r="E1517" s="98"/>
      <c r="F1517" s="102"/>
      <c r="G1517" s="103"/>
    </row>
    <row r="1518" spans="1:7" x14ac:dyDescent="0.25">
      <c r="A1518" s="101"/>
      <c r="B1518" s="36"/>
      <c r="C1518" s="98"/>
      <c r="D1518" s="98"/>
      <c r="E1518" s="98"/>
      <c r="F1518" s="102"/>
      <c r="G1518" s="103"/>
    </row>
    <row r="1519" spans="1:7" x14ac:dyDescent="0.25">
      <c r="A1519" s="101"/>
      <c r="B1519" s="36"/>
      <c r="C1519" s="98"/>
      <c r="D1519" s="98"/>
      <c r="E1519" s="98"/>
      <c r="F1519" s="102"/>
      <c r="G1519" s="103"/>
    </row>
    <row r="1520" spans="1:7" x14ac:dyDescent="0.25">
      <c r="A1520" s="101"/>
      <c r="B1520" s="36"/>
      <c r="C1520" s="98"/>
      <c r="D1520" s="98"/>
      <c r="E1520" s="98"/>
      <c r="F1520" s="102"/>
      <c r="G1520" s="103"/>
    </row>
    <row r="1521" spans="1:7" x14ac:dyDescent="0.25">
      <c r="A1521" s="101"/>
      <c r="B1521" s="36"/>
      <c r="C1521" s="98"/>
      <c r="D1521" s="98"/>
      <c r="E1521" s="98"/>
      <c r="F1521" s="102"/>
      <c r="G1521" s="103"/>
    </row>
    <row r="1522" spans="1:7" x14ac:dyDescent="0.25">
      <c r="A1522" s="101"/>
      <c r="B1522" s="36"/>
      <c r="C1522" s="98"/>
      <c r="D1522" s="98"/>
      <c r="E1522" s="98"/>
      <c r="F1522" s="102"/>
      <c r="G1522" s="103"/>
    </row>
    <row r="1523" spans="1:7" x14ac:dyDescent="0.25">
      <c r="A1523" s="101"/>
      <c r="B1523" s="36"/>
      <c r="C1523" s="98"/>
      <c r="D1523" s="98"/>
      <c r="E1523" s="98"/>
      <c r="F1523" s="102"/>
      <c r="G1523" s="103"/>
    </row>
    <row r="1524" spans="1:7" x14ac:dyDescent="0.25">
      <c r="A1524" s="101"/>
      <c r="B1524" s="36"/>
      <c r="C1524" s="98"/>
      <c r="D1524" s="98"/>
      <c r="E1524" s="98"/>
      <c r="F1524" s="102"/>
      <c r="G1524" s="103"/>
    </row>
    <row r="1525" spans="1:7" x14ac:dyDescent="0.25">
      <c r="A1525" s="101"/>
      <c r="B1525" s="36"/>
      <c r="C1525" s="98"/>
      <c r="D1525" s="98"/>
      <c r="E1525" s="98"/>
      <c r="F1525" s="102"/>
      <c r="G1525" s="103"/>
    </row>
    <row r="1526" spans="1:7" x14ac:dyDescent="0.25">
      <c r="A1526" s="101"/>
      <c r="B1526" s="36"/>
      <c r="C1526" s="98"/>
      <c r="D1526" s="98"/>
      <c r="E1526" s="98"/>
      <c r="F1526" s="102"/>
      <c r="G1526" s="103"/>
    </row>
    <row r="1527" spans="1:7" x14ac:dyDescent="0.25">
      <c r="A1527" s="101"/>
      <c r="B1527" s="36"/>
      <c r="C1527" s="98"/>
      <c r="D1527" s="98"/>
      <c r="E1527" s="98"/>
      <c r="F1527" s="102"/>
      <c r="G1527" s="103"/>
    </row>
    <row r="1528" spans="1:7" x14ac:dyDescent="0.25">
      <c r="A1528" s="101"/>
      <c r="B1528" s="36"/>
      <c r="C1528" s="98"/>
      <c r="D1528" s="98"/>
      <c r="E1528" s="98"/>
      <c r="F1528" s="102"/>
      <c r="G1528" s="103"/>
    </row>
    <row r="1529" spans="1:7" x14ac:dyDescent="0.25">
      <c r="A1529" s="101"/>
      <c r="B1529" s="36"/>
      <c r="C1529" s="98"/>
      <c r="D1529" s="98"/>
      <c r="E1529" s="98"/>
      <c r="F1529" s="102"/>
      <c r="G1529" s="103"/>
    </row>
    <row r="1530" spans="1:7" x14ac:dyDescent="0.25">
      <c r="A1530" s="101"/>
      <c r="B1530" s="36"/>
      <c r="C1530" s="98"/>
      <c r="D1530" s="98"/>
      <c r="E1530" s="98"/>
      <c r="F1530" s="102"/>
      <c r="G1530" s="103"/>
    </row>
    <row r="1531" spans="1:7" x14ac:dyDescent="0.25">
      <c r="A1531" s="101"/>
      <c r="B1531" s="36"/>
      <c r="C1531" s="98"/>
      <c r="D1531" s="98"/>
      <c r="E1531" s="98"/>
      <c r="F1531" s="102"/>
      <c r="G1531" s="103"/>
    </row>
    <row r="1532" spans="1:7" x14ac:dyDescent="0.25">
      <c r="A1532" s="101"/>
      <c r="B1532" s="36"/>
      <c r="C1532" s="98"/>
      <c r="D1532" s="98"/>
      <c r="E1532" s="98"/>
      <c r="F1532" s="102"/>
      <c r="G1532" s="103"/>
    </row>
    <row r="1533" spans="1:7" x14ac:dyDescent="0.25">
      <c r="A1533" s="101"/>
      <c r="B1533" s="36"/>
      <c r="C1533" s="98"/>
      <c r="D1533" s="98"/>
      <c r="E1533" s="98"/>
      <c r="F1533" s="102"/>
      <c r="G1533" s="103"/>
    </row>
    <row r="1534" spans="1:7" x14ac:dyDescent="0.25">
      <c r="A1534" s="101"/>
      <c r="B1534" s="36"/>
      <c r="C1534" s="98"/>
      <c r="D1534" s="98"/>
      <c r="E1534" s="98"/>
      <c r="F1534" s="102"/>
      <c r="G1534" s="103"/>
    </row>
    <row r="1535" spans="1:7" x14ac:dyDescent="0.25">
      <c r="A1535" s="101"/>
      <c r="B1535" s="36"/>
      <c r="C1535" s="98"/>
      <c r="D1535" s="98"/>
      <c r="E1535" s="98"/>
      <c r="F1535" s="102"/>
      <c r="G1535" s="103"/>
    </row>
    <row r="1536" spans="1:7" x14ac:dyDescent="0.25">
      <c r="A1536" s="101"/>
      <c r="B1536" s="36"/>
      <c r="C1536" s="98"/>
      <c r="D1536" s="98"/>
      <c r="E1536" s="98"/>
      <c r="F1536" s="102"/>
      <c r="G1536" s="103"/>
    </row>
    <row r="1537" spans="1:7" x14ac:dyDescent="0.25">
      <c r="A1537" s="101"/>
      <c r="B1537" s="36"/>
      <c r="C1537" s="98"/>
      <c r="D1537" s="98"/>
      <c r="E1537" s="98"/>
      <c r="F1537" s="102"/>
      <c r="G1537" s="103"/>
    </row>
    <row r="1538" spans="1:7" x14ac:dyDescent="0.25">
      <c r="A1538" s="101"/>
      <c r="B1538" s="36"/>
      <c r="C1538" s="98"/>
      <c r="D1538" s="98"/>
      <c r="E1538" s="98"/>
      <c r="F1538" s="102"/>
      <c r="G1538" s="103"/>
    </row>
    <row r="1539" spans="1:7" x14ac:dyDescent="0.25">
      <c r="A1539" s="101"/>
      <c r="B1539" s="36"/>
      <c r="C1539" s="98"/>
      <c r="D1539" s="98"/>
      <c r="E1539" s="98"/>
      <c r="F1539" s="102"/>
      <c r="G1539" s="103"/>
    </row>
    <row r="1540" spans="1:7" x14ac:dyDescent="0.25">
      <c r="A1540" s="101"/>
      <c r="B1540" s="36"/>
      <c r="C1540" s="98"/>
      <c r="D1540" s="98"/>
      <c r="E1540" s="98"/>
      <c r="F1540" s="102"/>
      <c r="G1540" s="103"/>
    </row>
    <row r="1541" spans="1:7" x14ac:dyDescent="0.25">
      <c r="A1541" s="101"/>
      <c r="B1541" s="36"/>
      <c r="C1541" s="98"/>
      <c r="D1541" s="98"/>
      <c r="E1541" s="98"/>
      <c r="F1541" s="102"/>
      <c r="G1541" s="103"/>
    </row>
    <row r="1542" spans="1:7" x14ac:dyDescent="0.25">
      <c r="A1542" s="101"/>
      <c r="B1542" s="67"/>
      <c r="C1542" s="98"/>
      <c r="D1542" s="98"/>
      <c r="E1542" s="98"/>
      <c r="F1542" s="102"/>
      <c r="G1542" s="103"/>
    </row>
    <row r="1543" spans="1:7" x14ac:dyDescent="0.25">
      <c r="A1543" s="101"/>
      <c r="B1543" s="36"/>
      <c r="C1543" s="98"/>
      <c r="D1543" s="98"/>
      <c r="E1543" s="98"/>
      <c r="F1543" s="102"/>
      <c r="G1543" s="103"/>
    </row>
    <row r="1544" spans="1:7" x14ac:dyDescent="0.25">
      <c r="A1544" s="101"/>
      <c r="B1544" s="36"/>
      <c r="C1544" s="98"/>
      <c r="D1544" s="98"/>
      <c r="E1544" s="98"/>
      <c r="F1544" s="102"/>
      <c r="G1544" s="103"/>
    </row>
    <row r="1545" spans="1:7" x14ac:dyDescent="0.25">
      <c r="A1545" s="101"/>
      <c r="B1545" s="36"/>
      <c r="C1545" s="98"/>
      <c r="D1545" s="98"/>
      <c r="E1545" s="98"/>
      <c r="F1545" s="102"/>
      <c r="G1545" s="103"/>
    </row>
    <row r="1546" spans="1:7" x14ac:dyDescent="0.25">
      <c r="A1546" s="101"/>
      <c r="B1546" s="36"/>
      <c r="C1546" s="98"/>
      <c r="D1546" s="98"/>
      <c r="E1546" s="98"/>
      <c r="F1546" s="102"/>
      <c r="G1546" s="103"/>
    </row>
    <row r="1547" spans="1:7" x14ac:dyDescent="0.25">
      <c r="A1547" s="101"/>
      <c r="B1547" s="36"/>
      <c r="C1547" s="98"/>
      <c r="D1547" s="98"/>
      <c r="E1547" s="98"/>
      <c r="F1547" s="102"/>
      <c r="G1547" s="103"/>
    </row>
    <row r="1548" spans="1:7" x14ac:dyDescent="0.25">
      <c r="A1548" s="101"/>
      <c r="B1548" s="36"/>
      <c r="C1548" s="98"/>
      <c r="D1548" s="98"/>
      <c r="E1548" s="98"/>
      <c r="F1548" s="102"/>
      <c r="G1548" s="103"/>
    </row>
    <row r="1549" spans="1:7" x14ac:dyDescent="0.25">
      <c r="A1549" s="101"/>
      <c r="B1549" s="38"/>
      <c r="C1549" s="98"/>
      <c r="D1549" s="98"/>
      <c r="E1549" s="98"/>
      <c r="F1549" s="102"/>
      <c r="G1549" s="103"/>
    </row>
    <row r="1550" spans="1:7" x14ac:dyDescent="0.25">
      <c r="A1550" s="101"/>
      <c r="B1550" s="38"/>
      <c r="C1550" s="98"/>
      <c r="D1550" s="98"/>
      <c r="E1550" s="98"/>
      <c r="F1550" s="102"/>
      <c r="G1550" s="103"/>
    </row>
    <row r="1551" spans="1:7" x14ac:dyDescent="0.25">
      <c r="A1551" s="101"/>
      <c r="B1551" s="36"/>
      <c r="C1551" s="98"/>
      <c r="D1551" s="98"/>
      <c r="E1551" s="98"/>
      <c r="F1551" s="102"/>
      <c r="G1551" s="103"/>
    </row>
    <row r="1552" spans="1:7" x14ac:dyDescent="0.25">
      <c r="A1552" s="101"/>
      <c r="B1552" s="36"/>
      <c r="C1552" s="98"/>
      <c r="D1552" s="98"/>
      <c r="E1552" s="98"/>
      <c r="F1552" s="102"/>
      <c r="G1552" s="103"/>
    </row>
    <row r="1553" spans="1:7" x14ac:dyDescent="0.25">
      <c r="A1553" s="101"/>
      <c r="B1553" s="36"/>
      <c r="C1553" s="98"/>
      <c r="D1553" s="98"/>
      <c r="E1553" s="98"/>
      <c r="F1553" s="102"/>
      <c r="G1553" s="103"/>
    </row>
    <row r="1554" spans="1:7" x14ac:dyDescent="0.25">
      <c r="A1554" s="101"/>
      <c r="B1554" s="36"/>
      <c r="C1554" s="98"/>
      <c r="D1554" s="98"/>
      <c r="E1554" s="98"/>
      <c r="F1554" s="102"/>
      <c r="G1554" s="103"/>
    </row>
    <row r="1555" spans="1:7" x14ac:dyDescent="0.25">
      <c r="A1555" s="101"/>
      <c r="B1555" s="36"/>
      <c r="C1555" s="98"/>
      <c r="D1555" s="98"/>
      <c r="E1555" s="98"/>
      <c r="F1555" s="102"/>
      <c r="G1555" s="103"/>
    </row>
    <row r="1556" spans="1:7" x14ac:dyDescent="0.25">
      <c r="A1556" s="101"/>
      <c r="B1556" s="36"/>
      <c r="C1556" s="98"/>
      <c r="D1556" s="98"/>
      <c r="E1556" s="98"/>
      <c r="F1556" s="102"/>
      <c r="G1556" s="103"/>
    </row>
    <row r="1557" spans="1:7" x14ac:dyDescent="0.25">
      <c r="A1557" s="101"/>
      <c r="B1557" s="36"/>
      <c r="C1557" s="98"/>
      <c r="D1557" s="98"/>
      <c r="E1557" s="98"/>
      <c r="F1557" s="102"/>
      <c r="G1557" s="103"/>
    </row>
    <row r="1558" spans="1:7" x14ac:dyDescent="0.25">
      <c r="A1558" s="101"/>
      <c r="B1558" s="36"/>
      <c r="C1558" s="98"/>
      <c r="D1558" s="98"/>
      <c r="E1558" s="98"/>
      <c r="F1558" s="102"/>
      <c r="G1558" s="103"/>
    </row>
    <row r="1559" spans="1:7" x14ac:dyDescent="0.25">
      <c r="A1559" s="101"/>
      <c r="B1559" s="36"/>
      <c r="C1559" s="98"/>
      <c r="D1559" s="98"/>
      <c r="E1559" s="98"/>
      <c r="F1559" s="102"/>
      <c r="G1559" s="103"/>
    </row>
    <row r="1560" spans="1:7" x14ac:dyDescent="0.25">
      <c r="A1560" s="101"/>
      <c r="B1560" s="36"/>
      <c r="C1560" s="98"/>
      <c r="D1560" s="98"/>
      <c r="E1560" s="98"/>
      <c r="F1560" s="102"/>
      <c r="G1560" s="103"/>
    </row>
    <row r="1561" spans="1:7" x14ac:dyDescent="0.25">
      <c r="A1561" s="101"/>
      <c r="B1561" s="36"/>
      <c r="C1561" s="98"/>
      <c r="D1561" s="98"/>
      <c r="E1561" s="98"/>
      <c r="F1561" s="102"/>
      <c r="G1561" s="103"/>
    </row>
    <row r="1562" spans="1:7" x14ac:dyDescent="0.25">
      <c r="A1562" s="101"/>
      <c r="B1562" s="36"/>
      <c r="C1562" s="98"/>
      <c r="D1562" s="98"/>
      <c r="E1562" s="98"/>
      <c r="F1562" s="102"/>
      <c r="G1562" s="103"/>
    </row>
    <row r="1563" spans="1:7" x14ac:dyDescent="0.25">
      <c r="A1563" s="101"/>
      <c r="B1563" s="38"/>
      <c r="C1563" s="98"/>
      <c r="D1563" s="98"/>
      <c r="E1563" s="98"/>
      <c r="F1563" s="102"/>
      <c r="G1563" s="103"/>
    </row>
    <row r="1564" spans="1:7" x14ac:dyDescent="0.25">
      <c r="A1564" s="101"/>
      <c r="B1564" s="38"/>
      <c r="C1564" s="98"/>
      <c r="D1564" s="98"/>
      <c r="E1564" s="98"/>
      <c r="F1564" s="102"/>
      <c r="G1564" s="103"/>
    </row>
    <row r="1565" spans="1:7" x14ac:dyDescent="0.25">
      <c r="A1565" s="101"/>
      <c r="B1565" s="38"/>
      <c r="C1565" s="98"/>
      <c r="D1565" s="98"/>
      <c r="E1565" s="98"/>
      <c r="F1565" s="102"/>
      <c r="G1565" s="103"/>
    </row>
    <row r="1566" spans="1:7" x14ac:dyDescent="0.25">
      <c r="A1566" s="101"/>
      <c r="B1566" s="38"/>
      <c r="C1566" s="98"/>
      <c r="D1566" s="98"/>
      <c r="E1566" s="98"/>
      <c r="F1566" s="102"/>
      <c r="G1566" s="103"/>
    </row>
    <row r="1567" spans="1:7" x14ac:dyDescent="0.25">
      <c r="A1567" s="101"/>
      <c r="B1567" s="38"/>
      <c r="C1567" s="98"/>
      <c r="D1567" s="98"/>
      <c r="E1567" s="98"/>
      <c r="F1567" s="102"/>
      <c r="G1567" s="103"/>
    </row>
    <row r="1568" spans="1:7" x14ac:dyDescent="0.25">
      <c r="A1568" s="101"/>
      <c r="B1568" s="10"/>
      <c r="C1568" s="98"/>
      <c r="D1568" s="98"/>
      <c r="E1568" s="98"/>
      <c r="F1568" s="102"/>
      <c r="G1568" s="103"/>
    </row>
    <row r="1569" spans="1:7" x14ac:dyDescent="0.25">
      <c r="A1569" s="101"/>
      <c r="B1569" s="10"/>
      <c r="C1569" s="98"/>
      <c r="D1569" s="98"/>
      <c r="E1569" s="98"/>
      <c r="F1569" s="102"/>
      <c r="G1569" s="103"/>
    </row>
    <row r="1570" spans="1:7" x14ac:dyDescent="0.25">
      <c r="A1570" s="101"/>
      <c r="B1570" s="38"/>
      <c r="C1570" s="98"/>
      <c r="D1570" s="98"/>
      <c r="E1570" s="98"/>
      <c r="F1570" s="102"/>
      <c r="G1570" s="103"/>
    </row>
    <row r="1571" spans="1:7" x14ac:dyDescent="0.25">
      <c r="A1571" s="101"/>
      <c r="B1571" s="38"/>
      <c r="C1571" s="98"/>
      <c r="D1571" s="98"/>
      <c r="E1571" s="98"/>
      <c r="F1571" s="102"/>
      <c r="G1571" s="103"/>
    </row>
    <row r="1572" spans="1:7" x14ac:dyDescent="0.25">
      <c r="A1572" s="101"/>
      <c r="B1572" s="38"/>
      <c r="C1572" s="98"/>
      <c r="D1572" s="98"/>
      <c r="E1572" s="98"/>
      <c r="F1572" s="102"/>
      <c r="G1572" s="103"/>
    </row>
    <row r="1573" spans="1:7" x14ac:dyDescent="0.25">
      <c r="A1573" s="101"/>
      <c r="B1573" s="38"/>
      <c r="C1573" s="98"/>
      <c r="D1573" s="98"/>
      <c r="E1573" s="98"/>
      <c r="F1573" s="102"/>
      <c r="G1573" s="103"/>
    </row>
    <row r="1574" spans="1:7" x14ac:dyDescent="0.25">
      <c r="A1574" s="101"/>
      <c r="B1574" s="36"/>
      <c r="C1574" s="98"/>
      <c r="D1574" s="98"/>
      <c r="E1574" s="98"/>
      <c r="F1574" s="102"/>
      <c r="G1574" s="103"/>
    </row>
    <row r="1575" spans="1:7" x14ac:dyDescent="0.25">
      <c r="A1575" s="101"/>
      <c r="B1575" s="36"/>
      <c r="C1575" s="98"/>
      <c r="D1575" s="98"/>
      <c r="E1575" s="98"/>
      <c r="F1575" s="102"/>
      <c r="G1575" s="103"/>
    </row>
    <row r="1576" spans="1:7" x14ac:dyDescent="0.25">
      <c r="A1576" s="101"/>
      <c r="B1576" s="36"/>
      <c r="C1576" s="98"/>
      <c r="D1576" s="98"/>
      <c r="E1576" s="98"/>
      <c r="F1576" s="102"/>
      <c r="G1576" s="103"/>
    </row>
    <row r="1577" spans="1:7" x14ac:dyDescent="0.25">
      <c r="A1577" s="101"/>
      <c r="B1577" s="36"/>
      <c r="C1577" s="98"/>
      <c r="D1577" s="98"/>
      <c r="E1577" s="98"/>
      <c r="F1577" s="102"/>
      <c r="G1577" s="103"/>
    </row>
    <row r="1578" spans="1:7" x14ac:dyDescent="0.25">
      <c r="A1578" s="101"/>
      <c r="B1578" s="36"/>
      <c r="C1578" s="98"/>
      <c r="D1578" s="98"/>
      <c r="E1578" s="98"/>
      <c r="F1578" s="102"/>
      <c r="G1578" s="103"/>
    </row>
    <row r="1579" spans="1:7" x14ac:dyDescent="0.25">
      <c r="A1579" s="101"/>
      <c r="B1579" s="36"/>
      <c r="C1579" s="98"/>
      <c r="D1579" s="98"/>
      <c r="E1579" s="98"/>
      <c r="F1579" s="102"/>
      <c r="G1579" s="103"/>
    </row>
    <row r="1580" spans="1:7" x14ac:dyDescent="0.25">
      <c r="A1580" s="101"/>
      <c r="B1580" s="36"/>
      <c r="C1580" s="98"/>
      <c r="D1580" s="98"/>
      <c r="E1580" s="98"/>
      <c r="F1580" s="102"/>
      <c r="G1580" s="103"/>
    </row>
    <row r="1581" spans="1:7" x14ac:dyDescent="0.25">
      <c r="A1581" s="101"/>
      <c r="B1581" s="36"/>
      <c r="C1581" s="98"/>
      <c r="D1581" s="98"/>
      <c r="E1581" s="98"/>
      <c r="F1581" s="102"/>
      <c r="G1581" s="103"/>
    </row>
    <row r="1582" spans="1:7" x14ac:dyDescent="0.25">
      <c r="A1582" s="101"/>
      <c r="B1582" s="36"/>
      <c r="C1582" s="98"/>
      <c r="D1582" s="98"/>
      <c r="E1582" s="98"/>
      <c r="F1582" s="102"/>
      <c r="G1582" s="103"/>
    </row>
    <row r="1583" spans="1:7" x14ac:dyDescent="0.25">
      <c r="A1583" s="101"/>
      <c r="B1583" s="36"/>
      <c r="C1583" s="98"/>
      <c r="D1583" s="98"/>
      <c r="E1583" s="98"/>
      <c r="F1583" s="102"/>
      <c r="G1583" s="103"/>
    </row>
    <row r="1584" spans="1:7" x14ac:dyDescent="0.25">
      <c r="A1584" s="101"/>
      <c r="B1584" s="36"/>
      <c r="C1584" s="98"/>
      <c r="D1584" s="98"/>
      <c r="E1584" s="98"/>
      <c r="F1584" s="102"/>
      <c r="G1584" s="103"/>
    </row>
    <row r="1585" spans="1:7" x14ac:dyDescent="0.25">
      <c r="A1585" s="101"/>
      <c r="B1585" s="36"/>
      <c r="C1585" s="98"/>
      <c r="D1585" s="98"/>
      <c r="E1585" s="98"/>
      <c r="F1585" s="102"/>
      <c r="G1585" s="103"/>
    </row>
    <row r="1586" spans="1:7" x14ac:dyDescent="0.25">
      <c r="A1586" s="101"/>
      <c r="B1586" s="36"/>
      <c r="C1586" s="98"/>
      <c r="D1586" s="98"/>
      <c r="E1586" s="98"/>
      <c r="F1586" s="102"/>
      <c r="G1586" s="103"/>
    </row>
    <row r="1587" spans="1:7" x14ac:dyDescent="0.25">
      <c r="A1587" s="101"/>
      <c r="B1587" s="36"/>
      <c r="C1587" s="98"/>
      <c r="D1587" s="98"/>
      <c r="E1587" s="98"/>
      <c r="F1587" s="102"/>
      <c r="G1587" s="103"/>
    </row>
    <row r="1588" spans="1:7" x14ac:dyDescent="0.25">
      <c r="A1588" s="101"/>
      <c r="B1588" s="67"/>
      <c r="C1588" s="98"/>
      <c r="D1588" s="98"/>
      <c r="E1588" s="98"/>
      <c r="F1588" s="102"/>
      <c r="G1588" s="103"/>
    </row>
    <row r="1589" spans="1:7" x14ac:dyDescent="0.25">
      <c r="A1589" s="101"/>
      <c r="B1589" s="36"/>
      <c r="C1589" s="98"/>
      <c r="D1589" s="98"/>
      <c r="E1589" s="98"/>
      <c r="F1589" s="102"/>
      <c r="G1589" s="103"/>
    </row>
    <row r="1590" spans="1:7" x14ac:dyDescent="0.25">
      <c r="A1590" s="101"/>
      <c r="B1590" s="36"/>
      <c r="C1590" s="98"/>
      <c r="D1590" s="98"/>
      <c r="E1590" s="98"/>
      <c r="F1590" s="102"/>
      <c r="G1590" s="103"/>
    </row>
    <row r="1591" spans="1:7" x14ac:dyDescent="0.25">
      <c r="A1591" s="101"/>
      <c r="B1591" s="36"/>
      <c r="C1591" s="98"/>
      <c r="D1591" s="98"/>
      <c r="E1591" s="98"/>
      <c r="F1591" s="102"/>
      <c r="G1591" s="103"/>
    </row>
    <row r="1592" spans="1:7" x14ac:dyDescent="0.25">
      <c r="A1592" s="101"/>
      <c r="B1592" s="36"/>
      <c r="C1592" s="98"/>
      <c r="D1592" s="98"/>
      <c r="E1592" s="98"/>
      <c r="F1592" s="102"/>
      <c r="G1592" s="103"/>
    </row>
    <row r="1593" spans="1:7" x14ac:dyDescent="0.25">
      <c r="A1593" s="101"/>
      <c r="B1593" s="36"/>
      <c r="C1593" s="98"/>
      <c r="D1593" s="98"/>
      <c r="E1593" s="98"/>
      <c r="F1593" s="102"/>
      <c r="G1593" s="103"/>
    </row>
    <row r="1594" spans="1:7" x14ac:dyDescent="0.25">
      <c r="A1594" s="101"/>
      <c r="B1594" s="36"/>
      <c r="C1594" s="98"/>
      <c r="D1594" s="98"/>
      <c r="E1594" s="98"/>
      <c r="F1594" s="102"/>
      <c r="G1594" s="103"/>
    </row>
    <row r="1595" spans="1:7" x14ac:dyDescent="0.25">
      <c r="A1595" s="101"/>
      <c r="B1595" s="36"/>
      <c r="C1595" s="98"/>
      <c r="D1595" s="98"/>
      <c r="E1595" s="98"/>
      <c r="F1595" s="102"/>
      <c r="G1595" s="103"/>
    </row>
    <row r="1596" spans="1:7" x14ac:dyDescent="0.25">
      <c r="A1596" s="101"/>
      <c r="B1596" s="36"/>
      <c r="C1596" s="98"/>
      <c r="D1596" s="98"/>
      <c r="E1596" s="98"/>
      <c r="F1596" s="102"/>
      <c r="G1596" s="103"/>
    </row>
    <row r="1597" spans="1:7" x14ac:dyDescent="0.25">
      <c r="A1597" s="101"/>
      <c r="B1597" s="36"/>
      <c r="C1597" s="98"/>
      <c r="D1597" s="98"/>
      <c r="E1597" s="98"/>
      <c r="F1597" s="102"/>
      <c r="G1597" s="103"/>
    </row>
    <row r="1598" spans="1:7" x14ac:dyDescent="0.25">
      <c r="A1598" s="101"/>
      <c r="B1598" s="36"/>
      <c r="C1598" s="98"/>
      <c r="D1598" s="98"/>
      <c r="E1598" s="98"/>
      <c r="F1598" s="102"/>
      <c r="G1598" s="103"/>
    </row>
    <row r="1599" spans="1:7" x14ac:dyDescent="0.25">
      <c r="A1599" s="101"/>
      <c r="B1599" s="36"/>
      <c r="C1599" s="98"/>
      <c r="D1599" s="98"/>
      <c r="E1599" s="98"/>
      <c r="F1599" s="102"/>
      <c r="G1599" s="103"/>
    </row>
    <row r="1600" spans="1:7" x14ac:dyDescent="0.25">
      <c r="A1600" s="101"/>
      <c r="B1600" s="36"/>
      <c r="C1600" s="98"/>
      <c r="D1600" s="98"/>
      <c r="E1600" s="98"/>
      <c r="F1600" s="102"/>
      <c r="G1600" s="103"/>
    </row>
    <row r="1601" spans="1:7" x14ac:dyDescent="0.25">
      <c r="A1601" s="101"/>
      <c r="B1601" s="36"/>
      <c r="C1601" s="98"/>
      <c r="D1601" s="98"/>
      <c r="E1601" s="98"/>
      <c r="F1601" s="102"/>
      <c r="G1601" s="103"/>
    </row>
    <row r="1602" spans="1:7" x14ac:dyDescent="0.25">
      <c r="A1602" s="101"/>
      <c r="B1602" s="36"/>
      <c r="C1602" s="98"/>
      <c r="D1602" s="98"/>
      <c r="E1602" s="98"/>
      <c r="F1602" s="102"/>
      <c r="G1602" s="103"/>
    </row>
    <row r="1603" spans="1:7" x14ac:dyDescent="0.25">
      <c r="A1603" s="101"/>
      <c r="B1603" s="36"/>
      <c r="C1603" s="98"/>
      <c r="D1603" s="98"/>
      <c r="E1603" s="98"/>
      <c r="F1603" s="102"/>
      <c r="G1603" s="103"/>
    </row>
    <row r="1604" spans="1:7" x14ac:dyDescent="0.25">
      <c r="A1604" s="101"/>
      <c r="B1604" s="36"/>
      <c r="C1604" s="98"/>
      <c r="D1604" s="98"/>
      <c r="E1604" s="98"/>
      <c r="F1604" s="102"/>
      <c r="G1604" s="103"/>
    </row>
    <row r="1605" spans="1:7" x14ac:dyDescent="0.25">
      <c r="A1605" s="101"/>
      <c r="B1605" s="36"/>
      <c r="C1605" s="98"/>
      <c r="D1605" s="98"/>
      <c r="E1605" s="98"/>
      <c r="F1605" s="102"/>
      <c r="G1605" s="103"/>
    </row>
    <row r="1606" spans="1:7" x14ac:dyDescent="0.25">
      <c r="A1606" s="101"/>
      <c r="B1606" s="36"/>
      <c r="C1606" s="98"/>
      <c r="D1606" s="98"/>
      <c r="E1606" s="98"/>
      <c r="F1606" s="102"/>
      <c r="G1606" s="103"/>
    </row>
    <row r="1607" spans="1:7" x14ac:dyDescent="0.25">
      <c r="A1607" s="101"/>
      <c r="B1607" s="36"/>
      <c r="C1607" s="98"/>
      <c r="D1607" s="98"/>
      <c r="E1607" s="98"/>
      <c r="F1607" s="102"/>
      <c r="G1607" s="103"/>
    </row>
    <row r="1608" spans="1:7" x14ac:dyDescent="0.25">
      <c r="A1608" s="101"/>
      <c r="B1608" s="67"/>
      <c r="C1608" s="98"/>
      <c r="D1608" s="98"/>
      <c r="E1608" s="98"/>
      <c r="F1608" s="102"/>
      <c r="G1608" s="103"/>
    </row>
    <row r="1609" spans="1:7" x14ac:dyDescent="0.25">
      <c r="A1609" s="101"/>
      <c r="B1609" s="66"/>
      <c r="C1609" s="98"/>
      <c r="D1609" s="98"/>
      <c r="E1609" s="98"/>
      <c r="F1609" s="102"/>
      <c r="G1609" s="103"/>
    </row>
    <row r="1610" spans="1:7" x14ac:dyDescent="0.25">
      <c r="A1610" s="101"/>
      <c r="B1610" s="36"/>
      <c r="C1610" s="98"/>
      <c r="D1610" s="98"/>
      <c r="E1610" s="98"/>
      <c r="F1610" s="102"/>
      <c r="G1610" s="103"/>
    </row>
    <row r="1611" spans="1:7" x14ac:dyDescent="0.25">
      <c r="A1611" s="101"/>
      <c r="B1611" s="36"/>
      <c r="C1611" s="98"/>
      <c r="D1611" s="98"/>
      <c r="E1611" s="98"/>
      <c r="F1611" s="102"/>
      <c r="G1611" s="103"/>
    </row>
    <row r="1612" spans="1:7" x14ac:dyDescent="0.25">
      <c r="A1612" s="101"/>
      <c r="B1612" s="36"/>
      <c r="C1612" s="98"/>
      <c r="D1612" s="98"/>
      <c r="E1612" s="98"/>
      <c r="F1612" s="102"/>
      <c r="G1612" s="103"/>
    </row>
    <row r="1613" spans="1:7" x14ac:dyDescent="0.25">
      <c r="A1613" s="101"/>
      <c r="B1613" s="36"/>
      <c r="C1613" s="98"/>
      <c r="D1613" s="98"/>
      <c r="E1613" s="98"/>
      <c r="F1613" s="102"/>
      <c r="G1613" s="103"/>
    </row>
    <row r="1614" spans="1:7" x14ac:dyDescent="0.25">
      <c r="A1614" s="101"/>
      <c r="B1614" s="36"/>
      <c r="C1614" s="98"/>
      <c r="D1614" s="98"/>
      <c r="E1614" s="98"/>
      <c r="F1614" s="102"/>
      <c r="G1614" s="103"/>
    </row>
    <row r="1615" spans="1:7" x14ac:dyDescent="0.25">
      <c r="A1615" s="101"/>
      <c r="B1615" s="36"/>
      <c r="C1615" s="98"/>
      <c r="D1615" s="98"/>
      <c r="E1615" s="98"/>
      <c r="F1615" s="102"/>
      <c r="G1615" s="103"/>
    </row>
    <row r="1616" spans="1:7" x14ac:dyDescent="0.25">
      <c r="A1616" s="101"/>
      <c r="B1616" s="36"/>
      <c r="C1616" s="98"/>
      <c r="D1616" s="98"/>
      <c r="E1616" s="98"/>
      <c r="F1616" s="102"/>
      <c r="G1616" s="103"/>
    </row>
    <row r="1617" spans="1:7" x14ac:dyDescent="0.25">
      <c r="A1617" s="101"/>
      <c r="B1617" s="36"/>
      <c r="C1617" s="98"/>
      <c r="D1617" s="98"/>
      <c r="E1617" s="98"/>
      <c r="F1617" s="102"/>
      <c r="G1617" s="103"/>
    </row>
    <row r="1618" spans="1:7" x14ac:dyDescent="0.25">
      <c r="A1618" s="101"/>
      <c r="B1618" s="36"/>
      <c r="C1618" s="98"/>
      <c r="D1618" s="98"/>
      <c r="E1618" s="98"/>
      <c r="F1618" s="102"/>
      <c r="G1618" s="103"/>
    </row>
    <row r="1619" spans="1:7" x14ac:dyDescent="0.25">
      <c r="A1619" s="101"/>
      <c r="B1619" s="36"/>
      <c r="C1619" s="98"/>
      <c r="D1619" s="98"/>
      <c r="E1619" s="98"/>
      <c r="F1619" s="102"/>
      <c r="G1619" s="103"/>
    </row>
    <row r="1620" spans="1:7" x14ac:dyDescent="0.25">
      <c r="A1620" s="101"/>
      <c r="B1620" s="36"/>
      <c r="C1620" s="98"/>
      <c r="D1620" s="98"/>
      <c r="E1620" s="98"/>
      <c r="F1620" s="102"/>
      <c r="G1620" s="103"/>
    </row>
    <row r="1621" spans="1:7" x14ac:dyDescent="0.25">
      <c r="A1621" s="101"/>
      <c r="B1621" s="36"/>
      <c r="C1621" s="98"/>
      <c r="D1621" s="98"/>
      <c r="E1621" s="98"/>
      <c r="F1621" s="102"/>
      <c r="G1621" s="103"/>
    </row>
    <row r="1622" spans="1:7" x14ac:dyDescent="0.25">
      <c r="A1622" s="101"/>
      <c r="B1622" s="36"/>
      <c r="C1622" s="98"/>
      <c r="D1622" s="98"/>
      <c r="E1622" s="98"/>
      <c r="F1622" s="102"/>
      <c r="G1622" s="103"/>
    </row>
    <row r="1623" spans="1:7" x14ac:dyDescent="0.25">
      <c r="A1623" s="101"/>
      <c r="B1623" s="36"/>
      <c r="C1623" s="98"/>
      <c r="D1623" s="98"/>
      <c r="E1623" s="98"/>
      <c r="F1623" s="102"/>
      <c r="G1623" s="103"/>
    </row>
    <row r="1624" spans="1:7" x14ac:dyDescent="0.25">
      <c r="A1624" s="101"/>
      <c r="B1624" s="36"/>
      <c r="C1624" s="98"/>
      <c r="D1624" s="98"/>
      <c r="E1624" s="98"/>
      <c r="F1624" s="102"/>
      <c r="G1624" s="103"/>
    </row>
    <row r="1625" spans="1:7" x14ac:dyDescent="0.25">
      <c r="A1625" s="101"/>
      <c r="B1625" s="36"/>
      <c r="C1625" s="98"/>
      <c r="D1625" s="98"/>
      <c r="E1625" s="98"/>
      <c r="F1625" s="102"/>
      <c r="G1625" s="103"/>
    </row>
    <row r="1626" spans="1:7" x14ac:dyDescent="0.25">
      <c r="A1626" s="101"/>
      <c r="B1626" s="66"/>
      <c r="C1626" s="98"/>
      <c r="D1626" s="98"/>
      <c r="E1626" s="98"/>
      <c r="F1626" s="102"/>
      <c r="G1626" s="103"/>
    </row>
    <row r="1627" spans="1:7" x14ac:dyDescent="0.25">
      <c r="A1627" s="101"/>
      <c r="B1627" s="66"/>
      <c r="C1627" s="98"/>
      <c r="D1627" s="98"/>
      <c r="E1627" s="98"/>
      <c r="F1627" s="102"/>
      <c r="G1627" s="103"/>
    </row>
    <row r="1628" spans="1:7" x14ac:dyDescent="0.25">
      <c r="A1628" s="101"/>
      <c r="B1628" s="36"/>
      <c r="C1628" s="98"/>
      <c r="D1628" s="98"/>
      <c r="E1628" s="98"/>
      <c r="F1628" s="102"/>
      <c r="G1628" s="103"/>
    </row>
    <row r="1629" spans="1:7" x14ac:dyDescent="0.25">
      <c r="A1629" s="101"/>
      <c r="B1629" s="36"/>
      <c r="C1629" s="98"/>
      <c r="D1629" s="98"/>
      <c r="E1629" s="98"/>
      <c r="F1629" s="102"/>
      <c r="G1629" s="103"/>
    </row>
    <row r="1630" spans="1:7" x14ac:dyDescent="0.25">
      <c r="A1630" s="101"/>
      <c r="B1630" s="36"/>
      <c r="C1630" s="98"/>
      <c r="D1630" s="98"/>
      <c r="E1630" s="98"/>
      <c r="F1630" s="102"/>
      <c r="G1630" s="103"/>
    </row>
    <row r="1631" spans="1:7" x14ac:dyDescent="0.25">
      <c r="A1631" s="101"/>
      <c r="B1631" s="36"/>
      <c r="C1631" s="98"/>
      <c r="D1631" s="98"/>
      <c r="E1631" s="98"/>
      <c r="F1631" s="102"/>
      <c r="G1631" s="103"/>
    </row>
    <row r="1632" spans="1:7" x14ac:dyDescent="0.25">
      <c r="A1632" s="101"/>
      <c r="B1632" s="36"/>
      <c r="C1632" s="98"/>
      <c r="D1632" s="98"/>
      <c r="E1632" s="98"/>
      <c r="F1632" s="102"/>
      <c r="G1632" s="103"/>
    </row>
    <row r="1633" spans="1:7" x14ac:dyDescent="0.25">
      <c r="A1633" s="101"/>
      <c r="B1633" s="36"/>
      <c r="C1633" s="98"/>
      <c r="D1633" s="98"/>
      <c r="E1633" s="98"/>
      <c r="F1633" s="102"/>
      <c r="G1633" s="103"/>
    </row>
    <row r="1634" spans="1:7" x14ac:dyDescent="0.25">
      <c r="A1634" s="101"/>
      <c r="B1634" s="36"/>
      <c r="C1634" s="98"/>
      <c r="D1634" s="98"/>
      <c r="E1634" s="98"/>
      <c r="F1634" s="102"/>
      <c r="G1634" s="103"/>
    </row>
    <row r="1635" spans="1:7" x14ac:dyDescent="0.25">
      <c r="A1635" s="101"/>
      <c r="B1635" s="36"/>
      <c r="C1635" s="98"/>
      <c r="D1635" s="98"/>
      <c r="E1635" s="98"/>
      <c r="F1635" s="102"/>
      <c r="G1635" s="103"/>
    </row>
    <row r="1636" spans="1:7" x14ac:dyDescent="0.25">
      <c r="A1636" s="101"/>
      <c r="B1636" s="36"/>
      <c r="C1636" s="98"/>
      <c r="D1636" s="98"/>
      <c r="E1636" s="98"/>
      <c r="F1636" s="102"/>
      <c r="G1636" s="103"/>
    </row>
    <row r="1637" spans="1:7" x14ac:dyDescent="0.25">
      <c r="A1637" s="101"/>
      <c r="B1637" s="36"/>
      <c r="C1637" s="98"/>
      <c r="D1637" s="98"/>
      <c r="E1637" s="98"/>
      <c r="F1637" s="102"/>
      <c r="G1637" s="103"/>
    </row>
    <row r="1638" spans="1:7" x14ac:dyDescent="0.25">
      <c r="A1638" s="101"/>
      <c r="B1638" s="36"/>
      <c r="C1638" s="98"/>
      <c r="D1638" s="98"/>
      <c r="E1638" s="98"/>
      <c r="F1638" s="102"/>
      <c r="G1638" s="103"/>
    </row>
    <row r="1639" spans="1:7" x14ac:dyDescent="0.25">
      <c r="A1639" s="101"/>
      <c r="B1639" s="36"/>
      <c r="C1639" s="98"/>
      <c r="D1639" s="98"/>
      <c r="E1639" s="98"/>
      <c r="F1639" s="102"/>
      <c r="G1639" s="103"/>
    </row>
    <row r="1640" spans="1:7" x14ac:dyDescent="0.25">
      <c r="A1640" s="101"/>
      <c r="B1640" s="36"/>
      <c r="C1640" s="98"/>
      <c r="D1640" s="98"/>
      <c r="E1640" s="98"/>
      <c r="F1640" s="102"/>
      <c r="G1640" s="103"/>
    </row>
    <row r="1641" spans="1:7" x14ac:dyDescent="0.25">
      <c r="A1641" s="101"/>
      <c r="B1641" s="36"/>
      <c r="C1641" s="98"/>
      <c r="D1641" s="98"/>
      <c r="E1641" s="98"/>
      <c r="F1641" s="102"/>
      <c r="G1641" s="103"/>
    </row>
    <row r="1642" spans="1:7" x14ac:dyDescent="0.25">
      <c r="A1642" s="101"/>
      <c r="B1642" s="36"/>
      <c r="C1642" s="98"/>
      <c r="D1642" s="98"/>
      <c r="E1642" s="98"/>
      <c r="F1642" s="102"/>
      <c r="G1642" s="103"/>
    </row>
    <row r="1643" spans="1:7" x14ac:dyDescent="0.25">
      <c r="A1643" s="101"/>
      <c r="B1643" s="36"/>
      <c r="C1643" s="98"/>
      <c r="D1643" s="98"/>
      <c r="E1643" s="98"/>
      <c r="F1643" s="102"/>
      <c r="G1643" s="103"/>
    </row>
    <row r="1644" spans="1:7" x14ac:dyDescent="0.25">
      <c r="A1644" s="101"/>
      <c r="B1644" s="36"/>
      <c r="C1644" s="98"/>
      <c r="D1644" s="98"/>
      <c r="E1644" s="98"/>
      <c r="F1644" s="102"/>
      <c r="G1644" s="103"/>
    </row>
    <row r="1645" spans="1:7" x14ac:dyDescent="0.25">
      <c r="A1645" s="101"/>
      <c r="B1645" s="36"/>
      <c r="C1645" s="98"/>
      <c r="D1645" s="98"/>
      <c r="E1645" s="98"/>
      <c r="F1645" s="102"/>
      <c r="G1645" s="103"/>
    </row>
    <row r="1646" spans="1:7" x14ac:dyDescent="0.25">
      <c r="A1646" s="101"/>
      <c r="B1646" s="66"/>
      <c r="C1646" s="98"/>
      <c r="D1646" s="98"/>
      <c r="E1646" s="98"/>
      <c r="F1646" s="102"/>
      <c r="G1646" s="103"/>
    </row>
    <row r="1647" spans="1:7" x14ac:dyDescent="0.25">
      <c r="A1647" s="101"/>
      <c r="B1647" s="36"/>
      <c r="C1647" s="98"/>
      <c r="D1647" s="98"/>
      <c r="E1647" s="98"/>
      <c r="F1647" s="102"/>
      <c r="G1647" s="103"/>
    </row>
    <row r="1648" spans="1:7" x14ac:dyDescent="0.25">
      <c r="A1648" s="101"/>
      <c r="B1648" s="36"/>
      <c r="C1648" s="98"/>
      <c r="D1648" s="98"/>
      <c r="E1648" s="98"/>
      <c r="F1648" s="102"/>
      <c r="G1648" s="103"/>
    </row>
    <row r="1649" spans="1:7" x14ac:dyDescent="0.25">
      <c r="A1649" s="101"/>
      <c r="B1649" s="36"/>
      <c r="C1649" s="98"/>
      <c r="D1649" s="98"/>
      <c r="E1649" s="98"/>
      <c r="F1649" s="102"/>
      <c r="G1649" s="103"/>
    </row>
    <row r="1650" spans="1:7" x14ac:dyDescent="0.25">
      <c r="A1650" s="101"/>
      <c r="B1650" s="36"/>
      <c r="C1650" s="98"/>
      <c r="D1650" s="98"/>
      <c r="E1650" s="98"/>
      <c r="F1650" s="102"/>
      <c r="G1650" s="103"/>
    </row>
    <row r="1651" spans="1:7" x14ac:dyDescent="0.25">
      <c r="A1651" s="101"/>
      <c r="B1651" s="36"/>
      <c r="C1651" s="98"/>
      <c r="D1651" s="98"/>
      <c r="E1651" s="98"/>
      <c r="F1651" s="102"/>
      <c r="G1651" s="103"/>
    </row>
    <row r="1652" spans="1:7" x14ac:dyDescent="0.25">
      <c r="A1652" s="101"/>
      <c r="B1652" s="36"/>
      <c r="C1652" s="98"/>
      <c r="D1652" s="98"/>
      <c r="E1652" s="98"/>
      <c r="F1652" s="102"/>
      <c r="G1652" s="103"/>
    </row>
    <row r="1653" spans="1:7" x14ac:dyDescent="0.25">
      <c r="A1653" s="101"/>
      <c r="B1653" s="36"/>
      <c r="C1653" s="98"/>
      <c r="D1653" s="98"/>
      <c r="E1653" s="98"/>
      <c r="F1653" s="102"/>
      <c r="G1653" s="103"/>
    </row>
    <row r="1654" spans="1:7" x14ac:dyDescent="0.25">
      <c r="A1654" s="101"/>
      <c r="B1654" s="36"/>
      <c r="C1654" s="98"/>
      <c r="D1654" s="98"/>
      <c r="E1654" s="98"/>
      <c r="F1654" s="102"/>
      <c r="G1654" s="103"/>
    </row>
    <row r="1655" spans="1:7" x14ac:dyDescent="0.25">
      <c r="A1655" s="101"/>
      <c r="B1655" s="36"/>
      <c r="C1655" s="98"/>
      <c r="D1655" s="98"/>
      <c r="E1655" s="98"/>
      <c r="F1655" s="102"/>
      <c r="G1655" s="103"/>
    </row>
    <row r="1656" spans="1:7" x14ac:dyDescent="0.25">
      <c r="A1656" s="101"/>
      <c r="B1656" s="36"/>
      <c r="C1656" s="98"/>
      <c r="D1656" s="98"/>
      <c r="E1656" s="98"/>
      <c r="F1656" s="102"/>
      <c r="G1656" s="103"/>
    </row>
    <row r="1657" spans="1:7" x14ac:dyDescent="0.25">
      <c r="A1657" s="101"/>
      <c r="B1657" s="36"/>
      <c r="C1657" s="98"/>
      <c r="D1657" s="98"/>
      <c r="E1657" s="98"/>
      <c r="F1657" s="102"/>
      <c r="G1657" s="103"/>
    </row>
    <row r="1658" spans="1:7" x14ac:dyDescent="0.25">
      <c r="A1658" s="101"/>
      <c r="B1658" s="36"/>
      <c r="C1658" s="98"/>
      <c r="D1658" s="98"/>
      <c r="E1658" s="98"/>
      <c r="F1658" s="102"/>
      <c r="G1658" s="103"/>
    </row>
    <row r="1659" spans="1:7" x14ac:dyDescent="0.25">
      <c r="A1659" s="101"/>
      <c r="B1659" s="36"/>
      <c r="C1659" s="98"/>
      <c r="D1659" s="98"/>
      <c r="E1659" s="98"/>
      <c r="F1659" s="102"/>
      <c r="G1659" s="103"/>
    </row>
    <row r="1660" spans="1:7" x14ac:dyDescent="0.25">
      <c r="A1660" s="101"/>
      <c r="B1660" s="66"/>
      <c r="C1660" s="98"/>
      <c r="D1660" s="98"/>
      <c r="E1660" s="98"/>
      <c r="F1660" s="102"/>
      <c r="G1660" s="103"/>
    </row>
    <row r="1661" spans="1:7" x14ac:dyDescent="0.25">
      <c r="A1661" s="101"/>
      <c r="B1661" s="66"/>
      <c r="C1661" s="98"/>
      <c r="D1661" s="98"/>
      <c r="E1661" s="98"/>
      <c r="F1661" s="102"/>
      <c r="G1661" s="103"/>
    </row>
    <row r="1662" spans="1:7" x14ac:dyDescent="0.25">
      <c r="A1662" s="101"/>
      <c r="B1662" s="36"/>
      <c r="C1662" s="98"/>
      <c r="D1662" s="98"/>
      <c r="E1662" s="98"/>
      <c r="F1662" s="102"/>
      <c r="G1662" s="103"/>
    </row>
    <row r="1663" spans="1:7" x14ac:dyDescent="0.25">
      <c r="A1663" s="101"/>
      <c r="B1663" s="36"/>
      <c r="C1663" s="98"/>
      <c r="D1663" s="98"/>
      <c r="E1663" s="98"/>
      <c r="F1663" s="102"/>
      <c r="G1663" s="103"/>
    </row>
    <row r="1664" spans="1:7" x14ac:dyDescent="0.25">
      <c r="A1664" s="101"/>
      <c r="B1664" s="36"/>
      <c r="C1664" s="98"/>
      <c r="D1664" s="98"/>
      <c r="E1664" s="98"/>
      <c r="F1664" s="102"/>
      <c r="G1664" s="103"/>
    </row>
    <row r="1665" spans="1:7" x14ac:dyDescent="0.25">
      <c r="A1665" s="101"/>
      <c r="B1665" s="36"/>
      <c r="C1665" s="98"/>
      <c r="D1665" s="98"/>
      <c r="E1665" s="98"/>
      <c r="F1665" s="102"/>
      <c r="G1665" s="103"/>
    </row>
    <row r="1666" spans="1:7" x14ac:dyDescent="0.25">
      <c r="A1666" s="101"/>
      <c r="B1666" s="36"/>
      <c r="C1666" s="98"/>
      <c r="D1666" s="98"/>
      <c r="E1666" s="98"/>
      <c r="F1666" s="102"/>
      <c r="G1666" s="103"/>
    </row>
    <row r="1667" spans="1:7" x14ac:dyDescent="0.25">
      <c r="A1667" s="101"/>
      <c r="B1667" s="36"/>
      <c r="C1667" s="98"/>
      <c r="D1667" s="98"/>
      <c r="E1667" s="98"/>
      <c r="F1667" s="102"/>
      <c r="G1667" s="103"/>
    </row>
    <row r="1668" spans="1:7" x14ac:dyDescent="0.25">
      <c r="A1668" s="101"/>
      <c r="B1668" s="36"/>
      <c r="C1668" s="98"/>
      <c r="D1668" s="98"/>
      <c r="E1668" s="98"/>
      <c r="F1668" s="102"/>
      <c r="G1668" s="103"/>
    </row>
    <row r="1669" spans="1:7" x14ac:dyDescent="0.25">
      <c r="A1669" s="101"/>
      <c r="B1669" s="36"/>
      <c r="C1669" s="98"/>
      <c r="D1669" s="98"/>
      <c r="E1669" s="98"/>
      <c r="F1669" s="102"/>
      <c r="G1669" s="103"/>
    </row>
    <row r="1670" spans="1:7" x14ac:dyDescent="0.25">
      <c r="A1670" s="101"/>
      <c r="B1670" s="36"/>
      <c r="C1670" s="98"/>
      <c r="D1670" s="98"/>
      <c r="E1670" s="98"/>
      <c r="F1670" s="102"/>
      <c r="G1670" s="103"/>
    </row>
    <row r="1671" spans="1:7" x14ac:dyDescent="0.25">
      <c r="A1671" s="101"/>
      <c r="B1671" s="36"/>
      <c r="C1671" s="98"/>
      <c r="D1671" s="98"/>
      <c r="E1671" s="98"/>
      <c r="F1671" s="102"/>
      <c r="G1671" s="103"/>
    </row>
    <row r="1672" spans="1:7" x14ac:dyDescent="0.25">
      <c r="A1672" s="101"/>
      <c r="B1672" s="66"/>
      <c r="C1672" s="98"/>
      <c r="D1672" s="98"/>
      <c r="E1672" s="98"/>
      <c r="F1672" s="102"/>
      <c r="G1672" s="103"/>
    </row>
    <row r="1673" spans="1:7" x14ac:dyDescent="0.25">
      <c r="A1673" s="101"/>
      <c r="B1673" s="36"/>
      <c r="C1673" s="98"/>
      <c r="D1673" s="98"/>
      <c r="E1673" s="98"/>
      <c r="F1673" s="102"/>
      <c r="G1673" s="103"/>
    </row>
    <row r="1674" spans="1:7" x14ac:dyDescent="0.25">
      <c r="A1674" s="101"/>
      <c r="B1674" s="36"/>
      <c r="C1674" s="98"/>
      <c r="D1674" s="98"/>
      <c r="E1674" s="98"/>
      <c r="F1674" s="102"/>
      <c r="G1674" s="103"/>
    </row>
    <row r="1675" spans="1:7" x14ac:dyDescent="0.25">
      <c r="A1675" s="101"/>
      <c r="B1675" s="36"/>
      <c r="C1675" s="98"/>
      <c r="D1675" s="98"/>
      <c r="E1675" s="98"/>
      <c r="F1675" s="102"/>
      <c r="G1675" s="103"/>
    </row>
    <row r="1676" spans="1:7" x14ac:dyDescent="0.25">
      <c r="A1676" s="101"/>
      <c r="B1676" s="36"/>
      <c r="C1676" s="98"/>
      <c r="D1676" s="98"/>
      <c r="E1676" s="98"/>
      <c r="F1676" s="102"/>
      <c r="G1676" s="103"/>
    </row>
    <row r="1677" spans="1:7" x14ac:dyDescent="0.25">
      <c r="A1677" s="101"/>
      <c r="B1677" s="36"/>
      <c r="C1677" s="98"/>
      <c r="D1677" s="98"/>
      <c r="E1677" s="98"/>
      <c r="F1677" s="102"/>
      <c r="G1677" s="103"/>
    </row>
    <row r="1678" spans="1:7" x14ac:dyDescent="0.25">
      <c r="A1678" s="101"/>
      <c r="B1678" s="36"/>
      <c r="C1678" s="98"/>
      <c r="D1678" s="98"/>
      <c r="E1678" s="98"/>
      <c r="F1678" s="102"/>
      <c r="G1678" s="103"/>
    </row>
    <row r="1679" spans="1:7" x14ac:dyDescent="0.25">
      <c r="A1679" s="101"/>
      <c r="B1679" s="36"/>
      <c r="C1679" s="98"/>
      <c r="D1679" s="98"/>
      <c r="E1679" s="98"/>
      <c r="F1679" s="102"/>
      <c r="G1679" s="103"/>
    </row>
    <row r="1680" spans="1:7" x14ac:dyDescent="0.25">
      <c r="A1680" s="101"/>
      <c r="B1680" s="36"/>
      <c r="C1680" s="98"/>
      <c r="D1680" s="98"/>
      <c r="E1680" s="98"/>
      <c r="F1680" s="102"/>
      <c r="G1680" s="103"/>
    </row>
    <row r="1681" spans="1:7" x14ac:dyDescent="0.25">
      <c r="A1681" s="101"/>
      <c r="B1681" s="66"/>
      <c r="C1681" s="98"/>
      <c r="D1681" s="98"/>
      <c r="E1681" s="98"/>
      <c r="F1681" s="102"/>
      <c r="G1681" s="103"/>
    </row>
    <row r="1682" spans="1:7" x14ac:dyDescent="0.25">
      <c r="A1682" s="101"/>
      <c r="B1682" s="66"/>
      <c r="C1682" s="98"/>
      <c r="D1682" s="98"/>
      <c r="E1682" s="98"/>
      <c r="F1682" s="102"/>
      <c r="G1682" s="103"/>
    </row>
    <row r="1683" spans="1:7" x14ac:dyDescent="0.25">
      <c r="A1683" s="101"/>
      <c r="B1683" s="66"/>
      <c r="C1683" s="98"/>
      <c r="D1683" s="98"/>
      <c r="E1683" s="98"/>
      <c r="F1683" s="102"/>
      <c r="G1683" s="103"/>
    </row>
    <row r="1684" spans="1:7" x14ac:dyDescent="0.25">
      <c r="A1684" s="101"/>
      <c r="B1684" s="36"/>
      <c r="C1684" s="98"/>
      <c r="D1684" s="98"/>
      <c r="E1684" s="98"/>
      <c r="F1684" s="102"/>
      <c r="G1684" s="103"/>
    </row>
    <row r="1685" spans="1:7" x14ac:dyDescent="0.25">
      <c r="A1685" s="101"/>
      <c r="B1685" s="36"/>
      <c r="C1685" s="98"/>
      <c r="D1685" s="98"/>
      <c r="E1685" s="98"/>
      <c r="F1685" s="102"/>
      <c r="G1685" s="103"/>
    </row>
    <row r="1686" spans="1:7" x14ac:dyDescent="0.25">
      <c r="A1686" s="101"/>
      <c r="B1686" s="36"/>
      <c r="C1686" s="98"/>
      <c r="D1686" s="98"/>
      <c r="E1686" s="98"/>
      <c r="F1686" s="102"/>
      <c r="G1686" s="103"/>
    </row>
    <row r="1687" spans="1:7" x14ac:dyDescent="0.25">
      <c r="A1687" s="101"/>
      <c r="B1687" s="36"/>
      <c r="C1687" s="98"/>
      <c r="D1687" s="98"/>
      <c r="E1687" s="98"/>
      <c r="F1687" s="102"/>
      <c r="G1687" s="103"/>
    </row>
    <row r="1688" spans="1:7" x14ac:dyDescent="0.25">
      <c r="A1688" s="101"/>
      <c r="B1688" s="36"/>
      <c r="C1688" s="98"/>
      <c r="D1688" s="98"/>
      <c r="E1688" s="98"/>
      <c r="F1688" s="102"/>
      <c r="G1688" s="103"/>
    </row>
    <row r="1689" spans="1:7" x14ac:dyDescent="0.25">
      <c r="A1689" s="101"/>
      <c r="B1689" s="36"/>
      <c r="C1689" s="98"/>
      <c r="D1689" s="98"/>
      <c r="E1689" s="98"/>
      <c r="F1689" s="102"/>
      <c r="G1689" s="103"/>
    </row>
    <row r="1690" spans="1:7" x14ac:dyDescent="0.25">
      <c r="A1690" s="101"/>
      <c r="B1690" s="36"/>
      <c r="C1690" s="98"/>
      <c r="D1690" s="98"/>
      <c r="E1690" s="98"/>
      <c r="F1690" s="102"/>
      <c r="G1690" s="103"/>
    </row>
    <row r="1691" spans="1:7" x14ac:dyDescent="0.25">
      <c r="A1691" s="101"/>
      <c r="B1691" s="36"/>
      <c r="C1691" s="98"/>
      <c r="D1691" s="98"/>
      <c r="E1691" s="98"/>
      <c r="F1691" s="102"/>
      <c r="G1691" s="103"/>
    </row>
    <row r="1692" spans="1:7" x14ac:dyDescent="0.25">
      <c r="A1692" s="101"/>
      <c r="B1692" s="36"/>
      <c r="C1692" s="98"/>
      <c r="D1692" s="98"/>
      <c r="E1692" s="98"/>
      <c r="F1692" s="102"/>
      <c r="G1692" s="103"/>
    </row>
    <row r="1693" spans="1:7" x14ac:dyDescent="0.25">
      <c r="A1693" s="101"/>
      <c r="B1693" s="36"/>
      <c r="C1693" s="98"/>
      <c r="D1693" s="98"/>
      <c r="E1693" s="98"/>
      <c r="F1693" s="102"/>
      <c r="G1693" s="103"/>
    </row>
    <row r="1694" spans="1:7" x14ac:dyDescent="0.25">
      <c r="A1694" s="101"/>
      <c r="B1694" s="36"/>
      <c r="C1694" s="98"/>
      <c r="D1694" s="98"/>
      <c r="E1694" s="98"/>
      <c r="F1694" s="102"/>
      <c r="G1694" s="103"/>
    </row>
    <row r="1695" spans="1:7" x14ac:dyDescent="0.25">
      <c r="A1695" s="101"/>
      <c r="B1695" s="36"/>
      <c r="C1695" s="98"/>
      <c r="D1695" s="98"/>
      <c r="E1695" s="98"/>
      <c r="F1695" s="102"/>
      <c r="G1695" s="103"/>
    </row>
    <row r="1696" spans="1:7" x14ac:dyDescent="0.25">
      <c r="A1696" s="101"/>
      <c r="B1696" s="67"/>
      <c r="C1696" s="98"/>
      <c r="D1696" s="98"/>
      <c r="E1696" s="98"/>
      <c r="F1696" s="102"/>
      <c r="G1696" s="103"/>
    </row>
    <row r="1697" spans="1:7" x14ac:dyDescent="0.25">
      <c r="A1697" s="101"/>
      <c r="B1697" s="66"/>
      <c r="C1697" s="98"/>
      <c r="D1697" s="98"/>
      <c r="E1697" s="98"/>
      <c r="F1697" s="102"/>
      <c r="G1697" s="103"/>
    </row>
    <row r="1698" spans="1:7" x14ac:dyDescent="0.25">
      <c r="A1698" s="101"/>
      <c r="B1698" s="36"/>
      <c r="C1698" s="98"/>
      <c r="D1698" s="98"/>
      <c r="E1698" s="98"/>
      <c r="F1698" s="102"/>
      <c r="G1698" s="103"/>
    </row>
    <row r="1699" spans="1:7" x14ac:dyDescent="0.25">
      <c r="A1699" s="101"/>
      <c r="B1699" s="36"/>
      <c r="C1699" s="98"/>
      <c r="D1699" s="98"/>
      <c r="E1699" s="98"/>
      <c r="F1699" s="102"/>
      <c r="G1699" s="103"/>
    </row>
    <row r="1700" spans="1:7" x14ac:dyDescent="0.25">
      <c r="A1700" s="101"/>
      <c r="B1700" s="36"/>
      <c r="C1700" s="98"/>
      <c r="D1700" s="98"/>
      <c r="E1700" s="98"/>
      <c r="F1700" s="102"/>
      <c r="G1700" s="103"/>
    </row>
    <row r="1701" spans="1:7" x14ac:dyDescent="0.25">
      <c r="A1701" s="101"/>
      <c r="B1701" s="36"/>
      <c r="C1701" s="98"/>
      <c r="D1701" s="98"/>
      <c r="E1701" s="98"/>
      <c r="F1701" s="102"/>
      <c r="G1701" s="103"/>
    </row>
    <row r="1702" spans="1:7" x14ac:dyDescent="0.25">
      <c r="A1702" s="101"/>
      <c r="B1702" s="36"/>
      <c r="C1702" s="98"/>
      <c r="D1702" s="98"/>
      <c r="E1702" s="98"/>
      <c r="F1702" s="102"/>
      <c r="G1702" s="103"/>
    </row>
    <row r="1703" spans="1:7" x14ac:dyDescent="0.25">
      <c r="A1703" s="101"/>
      <c r="B1703" s="36"/>
      <c r="C1703" s="98"/>
      <c r="D1703" s="98"/>
      <c r="E1703" s="98"/>
      <c r="F1703" s="102"/>
      <c r="G1703" s="103"/>
    </row>
    <row r="1704" spans="1:7" x14ac:dyDescent="0.25">
      <c r="A1704" s="101"/>
      <c r="B1704" s="36"/>
      <c r="C1704" s="98"/>
      <c r="D1704" s="98"/>
      <c r="E1704" s="98"/>
      <c r="F1704" s="102"/>
      <c r="G1704" s="103"/>
    </row>
    <row r="1705" spans="1:7" x14ac:dyDescent="0.25">
      <c r="A1705" s="101"/>
      <c r="B1705" s="36"/>
      <c r="C1705" s="98"/>
      <c r="D1705" s="98"/>
      <c r="E1705" s="98"/>
      <c r="F1705" s="102"/>
      <c r="G1705" s="103"/>
    </row>
    <row r="1706" spans="1:7" x14ac:dyDescent="0.25">
      <c r="A1706" s="101"/>
      <c r="B1706" s="36"/>
      <c r="C1706" s="98"/>
      <c r="D1706" s="98"/>
      <c r="E1706" s="98"/>
      <c r="F1706" s="102"/>
      <c r="G1706" s="103"/>
    </row>
    <row r="1707" spans="1:7" x14ac:dyDescent="0.25">
      <c r="A1707" s="101"/>
      <c r="B1707" s="36"/>
      <c r="C1707" s="98"/>
      <c r="D1707" s="98"/>
      <c r="E1707" s="98"/>
      <c r="F1707" s="102"/>
      <c r="G1707" s="103"/>
    </row>
    <row r="1708" spans="1:7" x14ac:dyDescent="0.25">
      <c r="A1708" s="101"/>
      <c r="B1708" s="67"/>
      <c r="C1708" s="98"/>
      <c r="D1708" s="98"/>
      <c r="E1708" s="98"/>
      <c r="F1708" s="102"/>
      <c r="G1708" s="103"/>
    </row>
    <row r="1709" spans="1:7" x14ac:dyDescent="0.25">
      <c r="A1709" s="101"/>
      <c r="B1709" s="66"/>
      <c r="C1709" s="98"/>
      <c r="D1709" s="98"/>
      <c r="E1709" s="98"/>
      <c r="F1709" s="102"/>
      <c r="G1709" s="103"/>
    </row>
    <row r="1710" spans="1:7" x14ac:dyDescent="0.25">
      <c r="A1710" s="101"/>
      <c r="B1710" s="66"/>
      <c r="C1710" s="98"/>
      <c r="D1710" s="98"/>
      <c r="E1710" s="98"/>
      <c r="F1710" s="102"/>
      <c r="G1710" s="103"/>
    </row>
    <row r="1711" spans="1:7" x14ac:dyDescent="0.25">
      <c r="A1711" s="101"/>
      <c r="B1711" s="36"/>
      <c r="C1711" s="98"/>
      <c r="D1711" s="98"/>
      <c r="E1711" s="98"/>
      <c r="F1711" s="102"/>
      <c r="G1711" s="103"/>
    </row>
    <row r="1712" spans="1:7" x14ac:dyDescent="0.25">
      <c r="A1712" s="101"/>
      <c r="B1712" s="36"/>
      <c r="C1712" s="98"/>
      <c r="D1712" s="98"/>
      <c r="E1712" s="98"/>
      <c r="F1712" s="102"/>
      <c r="G1712" s="103"/>
    </row>
    <row r="1713" spans="1:7" x14ac:dyDescent="0.25">
      <c r="A1713" s="101"/>
      <c r="B1713" s="36"/>
      <c r="C1713" s="98"/>
      <c r="D1713" s="98"/>
      <c r="E1713" s="98"/>
      <c r="F1713" s="102"/>
      <c r="G1713" s="103"/>
    </row>
    <row r="1714" spans="1:7" x14ac:dyDescent="0.25">
      <c r="A1714" s="101"/>
      <c r="B1714" s="36"/>
      <c r="C1714" s="98"/>
      <c r="D1714" s="98"/>
      <c r="E1714" s="98"/>
      <c r="F1714" s="102"/>
      <c r="G1714" s="103"/>
    </row>
    <row r="1715" spans="1:7" x14ac:dyDescent="0.25">
      <c r="A1715" s="101"/>
      <c r="B1715" s="36"/>
      <c r="C1715" s="98"/>
      <c r="D1715" s="98"/>
      <c r="E1715" s="98"/>
      <c r="F1715" s="102"/>
      <c r="G1715" s="103"/>
    </row>
    <row r="1716" spans="1:7" x14ac:dyDescent="0.25">
      <c r="A1716" s="101"/>
      <c r="B1716" s="36"/>
      <c r="C1716" s="98"/>
      <c r="D1716" s="98"/>
      <c r="E1716" s="98"/>
      <c r="F1716" s="102"/>
      <c r="G1716" s="103"/>
    </row>
    <row r="1717" spans="1:7" x14ac:dyDescent="0.25">
      <c r="A1717" s="101"/>
      <c r="B1717" s="36"/>
      <c r="C1717" s="98"/>
      <c r="D1717" s="98"/>
      <c r="E1717" s="98"/>
      <c r="F1717" s="102"/>
      <c r="G1717" s="103"/>
    </row>
    <row r="1718" spans="1:7" x14ac:dyDescent="0.25">
      <c r="A1718" s="101"/>
      <c r="B1718" s="36"/>
      <c r="C1718" s="98"/>
      <c r="D1718" s="98"/>
      <c r="E1718" s="98"/>
      <c r="F1718" s="102"/>
      <c r="G1718" s="103"/>
    </row>
    <row r="1719" spans="1:7" x14ac:dyDescent="0.25">
      <c r="A1719" s="101"/>
      <c r="B1719" s="36"/>
      <c r="C1719" s="98"/>
      <c r="D1719" s="98"/>
      <c r="E1719" s="98"/>
      <c r="F1719" s="102"/>
      <c r="G1719" s="103"/>
    </row>
    <row r="1720" spans="1:7" x14ac:dyDescent="0.25">
      <c r="A1720" s="101"/>
      <c r="B1720" s="36"/>
      <c r="C1720" s="98"/>
      <c r="D1720" s="98"/>
      <c r="E1720" s="98"/>
      <c r="F1720" s="102"/>
      <c r="G1720" s="103"/>
    </row>
    <row r="1721" spans="1:7" x14ac:dyDescent="0.25">
      <c r="A1721" s="101"/>
      <c r="B1721" s="36"/>
      <c r="C1721" s="98"/>
      <c r="D1721" s="98"/>
      <c r="E1721" s="98"/>
      <c r="F1721" s="102"/>
      <c r="G1721" s="103"/>
    </row>
    <row r="1722" spans="1:7" x14ac:dyDescent="0.25">
      <c r="A1722" s="101"/>
      <c r="B1722" s="36"/>
      <c r="C1722" s="98"/>
      <c r="D1722" s="98"/>
      <c r="E1722" s="98"/>
      <c r="F1722" s="102"/>
      <c r="G1722" s="103"/>
    </row>
    <row r="1723" spans="1:7" x14ac:dyDescent="0.25">
      <c r="A1723" s="101"/>
      <c r="B1723" s="36"/>
      <c r="C1723" s="98"/>
      <c r="D1723" s="98"/>
      <c r="E1723" s="98"/>
      <c r="F1723" s="102"/>
      <c r="G1723" s="103"/>
    </row>
    <row r="1724" spans="1:7" x14ac:dyDescent="0.25">
      <c r="A1724" s="101"/>
      <c r="B1724" s="67"/>
      <c r="C1724" s="98"/>
      <c r="D1724" s="98"/>
      <c r="E1724" s="98"/>
      <c r="F1724" s="102"/>
      <c r="G1724" s="103"/>
    </row>
    <row r="1725" spans="1:7" x14ac:dyDescent="0.25">
      <c r="A1725" s="101"/>
      <c r="B1725" s="67"/>
      <c r="C1725" s="98"/>
      <c r="D1725" s="98"/>
      <c r="E1725" s="98"/>
      <c r="F1725" s="102"/>
      <c r="G1725" s="103"/>
    </row>
    <row r="1726" spans="1:7" x14ac:dyDescent="0.25">
      <c r="A1726" s="101"/>
      <c r="B1726" s="36"/>
      <c r="C1726" s="98"/>
      <c r="D1726" s="98"/>
      <c r="E1726" s="98"/>
      <c r="F1726" s="102"/>
      <c r="G1726" s="103"/>
    </row>
    <row r="1727" spans="1:7" x14ac:dyDescent="0.25">
      <c r="A1727" s="101"/>
      <c r="B1727" s="36"/>
      <c r="C1727" s="98"/>
      <c r="D1727" s="98"/>
      <c r="E1727" s="98"/>
      <c r="F1727" s="102"/>
      <c r="G1727" s="103"/>
    </row>
    <row r="1728" spans="1:7" x14ac:dyDescent="0.25">
      <c r="A1728" s="101"/>
      <c r="B1728" s="36"/>
      <c r="C1728" s="98"/>
      <c r="D1728" s="98"/>
      <c r="E1728" s="98"/>
      <c r="F1728" s="102"/>
      <c r="G1728" s="103"/>
    </row>
    <row r="1729" spans="1:7" x14ac:dyDescent="0.25">
      <c r="A1729" s="101"/>
      <c r="B1729" s="36"/>
      <c r="C1729" s="98"/>
      <c r="D1729" s="98"/>
      <c r="E1729" s="98"/>
      <c r="F1729" s="102"/>
      <c r="G1729" s="103"/>
    </row>
    <row r="1730" spans="1:7" x14ac:dyDescent="0.25">
      <c r="A1730" s="101"/>
      <c r="B1730" s="36"/>
      <c r="C1730" s="98"/>
      <c r="D1730" s="98"/>
      <c r="E1730" s="98"/>
      <c r="F1730" s="102"/>
      <c r="G1730" s="103"/>
    </row>
    <row r="1731" spans="1:7" x14ac:dyDescent="0.25">
      <c r="A1731" s="101"/>
      <c r="B1731" s="66"/>
      <c r="C1731" s="98"/>
      <c r="D1731" s="98"/>
      <c r="E1731" s="98"/>
      <c r="F1731" s="102"/>
      <c r="G1731" s="103"/>
    </row>
    <row r="1732" spans="1:7" x14ac:dyDescent="0.25">
      <c r="A1732" s="101"/>
      <c r="B1732" s="36"/>
      <c r="C1732" s="98"/>
      <c r="D1732" s="98"/>
      <c r="E1732" s="98"/>
      <c r="F1732" s="102"/>
      <c r="G1732" s="103"/>
    </row>
    <row r="1733" spans="1:7" x14ac:dyDescent="0.25">
      <c r="A1733" s="101"/>
      <c r="B1733" s="36"/>
      <c r="C1733" s="98"/>
      <c r="D1733" s="98"/>
      <c r="E1733" s="98"/>
      <c r="F1733" s="102"/>
      <c r="G1733" s="103"/>
    </row>
    <row r="1734" spans="1:7" x14ac:dyDescent="0.25">
      <c r="A1734" s="101"/>
      <c r="B1734" s="36"/>
      <c r="C1734" s="98"/>
      <c r="D1734" s="98"/>
      <c r="E1734" s="98"/>
      <c r="F1734" s="102"/>
      <c r="G1734" s="103"/>
    </row>
    <row r="1735" spans="1:7" x14ac:dyDescent="0.25">
      <c r="A1735" s="101"/>
      <c r="B1735" s="36"/>
      <c r="C1735" s="98"/>
      <c r="D1735" s="98"/>
      <c r="E1735" s="98"/>
      <c r="F1735" s="102"/>
      <c r="G1735" s="103"/>
    </row>
    <row r="1736" spans="1:7" x14ac:dyDescent="0.25">
      <c r="A1736" s="101"/>
      <c r="B1736" s="36"/>
      <c r="C1736" s="98"/>
      <c r="D1736" s="98"/>
      <c r="E1736" s="98"/>
      <c r="F1736" s="102"/>
      <c r="G1736" s="103"/>
    </row>
    <row r="1737" spans="1:7" x14ac:dyDescent="0.25">
      <c r="A1737" s="101"/>
      <c r="B1737" s="36"/>
      <c r="C1737" s="98"/>
      <c r="D1737" s="98"/>
      <c r="E1737" s="98"/>
      <c r="F1737" s="102"/>
      <c r="G1737" s="103"/>
    </row>
    <row r="1738" spans="1:7" x14ac:dyDescent="0.25">
      <c r="A1738" s="101"/>
      <c r="B1738" s="36"/>
      <c r="C1738" s="98"/>
      <c r="D1738" s="98"/>
      <c r="E1738" s="98"/>
      <c r="F1738" s="102"/>
      <c r="G1738" s="103"/>
    </row>
    <row r="1739" spans="1:7" x14ac:dyDescent="0.25">
      <c r="A1739" s="101"/>
      <c r="B1739" s="67"/>
      <c r="C1739" s="98"/>
      <c r="D1739" s="98"/>
      <c r="E1739" s="98"/>
      <c r="F1739" s="102"/>
      <c r="G1739" s="103"/>
    </row>
    <row r="1740" spans="1:7" x14ac:dyDescent="0.25">
      <c r="A1740" s="101"/>
      <c r="B1740" s="67"/>
      <c r="C1740" s="98"/>
      <c r="D1740" s="98"/>
      <c r="E1740" s="98"/>
      <c r="F1740" s="102"/>
      <c r="G1740" s="103"/>
    </row>
    <row r="1741" spans="1:7" x14ac:dyDescent="0.25">
      <c r="A1741" s="101"/>
      <c r="B1741" s="36"/>
      <c r="C1741" s="98"/>
      <c r="D1741" s="98"/>
      <c r="E1741" s="98"/>
      <c r="F1741" s="102"/>
      <c r="G1741" s="103"/>
    </row>
    <row r="1742" spans="1:7" x14ac:dyDescent="0.25">
      <c r="A1742" s="101"/>
      <c r="B1742" s="36"/>
      <c r="C1742" s="98"/>
      <c r="D1742" s="98"/>
      <c r="E1742" s="98"/>
      <c r="F1742" s="102"/>
      <c r="G1742" s="103"/>
    </row>
    <row r="1743" spans="1:7" x14ac:dyDescent="0.25">
      <c r="A1743" s="101"/>
      <c r="B1743" s="36"/>
      <c r="C1743" s="98"/>
      <c r="D1743" s="98"/>
      <c r="E1743" s="98"/>
      <c r="F1743" s="102"/>
      <c r="G1743" s="103"/>
    </row>
    <row r="1744" spans="1:7" x14ac:dyDescent="0.25">
      <c r="A1744" s="101"/>
      <c r="B1744" s="36"/>
      <c r="C1744" s="98"/>
      <c r="D1744" s="98"/>
      <c r="E1744" s="98"/>
      <c r="F1744" s="102"/>
      <c r="G1744" s="103"/>
    </row>
    <row r="1745" spans="1:7" x14ac:dyDescent="0.25">
      <c r="A1745" s="101"/>
      <c r="B1745" s="36"/>
      <c r="C1745" s="98"/>
      <c r="D1745" s="98"/>
      <c r="E1745" s="98"/>
      <c r="F1745" s="102"/>
      <c r="G1745" s="103"/>
    </row>
    <row r="1746" spans="1:7" x14ac:dyDescent="0.25">
      <c r="A1746" s="101"/>
      <c r="B1746" s="36"/>
      <c r="C1746" s="98"/>
      <c r="D1746" s="98"/>
      <c r="E1746" s="98"/>
      <c r="F1746" s="102"/>
      <c r="G1746" s="103"/>
    </row>
    <row r="1747" spans="1:7" x14ac:dyDescent="0.25">
      <c r="A1747" s="101"/>
      <c r="B1747" s="36"/>
      <c r="C1747" s="98"/>
      <c r="D1747" s="98"/>
      <c r="E1747" s="98"/>
      <c r="F1747" s="102"/>
      <c r="G1747" s="103"/>
    </row>
    <row r="1748" spans="1:7" x14ac:dyDescent="0.25">
      <c r="A1748" s="101"/>
      <c r="B1748" s="36"/>
      <c r="C1748" s="98"/>
      <c r="D1748" s="98"/>
      <c r="E1748" s="98"/>
      <c r="F1748" s="102"/>
      <c r="G1748" s="103"/>
    </row>
    <row r="1749" spans="1:7" x14ac:dyDescent="0.25">
      <c r="A1749" s="101"/>
      <c r="B1749" s="36"/>
      <c r="C1749" s="98"/>
      <c r="D1749" s="98"/>
      <c r="E1749" s="98"/>
      <c r="F1749" s="102"/>
      <c r="G1749" s="103"/>
    </row>
    <row r="1750" spans="1:7" x14ac:dyDescent="0.25">
      <c r="A1750" s="101"/>
      <c r="B1750" s="36"/>
      <c r="C1750" s="98"/>
      <c r="D1750" s="98"/>
      <c r="E1750" s="98"/>
      <c r="F1750" s="102"/>
      <c r="G1750" s="103"/>
    </row>
    <row r="1751" spans="1:7" x14ac:dyDescent="0.25">
      <c r="A1751" s="101"/>
      <c r="B1751" s="36"/>
      <c r="C1751" s="98"/>
      <c r="D1751" s="98"/>
      <c r="E1751" s="98"/>
      <c r="F1751" s="102"/>
      <c r="G1751" s="103"/>
    </row>
    <row r="1752" spans="1:7" x14ac:dyDescent="0.25">
      <c r="A1752" s="101"/>
      <c r="B1752" s="36"/>
      <c r="C1752" s="98"/>
      <c r="D1752" s="98"/>
      <c r="E1752" s="98"/>
      <c r="F1752" s="102"/>
      <c r="G1752" s="103"/>
    </row>
    <row r="1753" spans="1:7" x14ac:dyDescent="0.25">
      <c r="A1753" s="101"/>
      <c r="B1753" s="36"/>
      <c r="C1753" s="98"/>
      <c r="D1753" s="98"/>
      <c r="E1753" s="98"/>
      <c r="F1753" s="102"/>
      <c r="G1753" s="103"/>
    </row>
    <row r="1754" spans="1:7" x14ac:dyDescent="0.25">
      <c r="A1754" s="101"/>
      <c r="B1754" s="36"/>
      <c r="C1754" s="98"/>
      <c r="D1754" s="98"/>
      <c r="E1754" s="98"/>
      <c r="F1754" s="102"/>
      <c r="G1754" s="103"/>
    </row>
    <row r="1755" spans="1:7" x14ac:dyDescent="0.25">
      <c r="A1755" s="101"/>
      <c r="B1755" s="36"/>
      <c r="C1755" s="98"/>
      <c r="D1755" s="98"/>
      <c r="E1755" s="98"/>
      <c r="F1755" s="102"/>
      <c r="G1755" s="103"/>
    </row>
    <row r="1756" spans="1:7" x14ac:dyDescent="0.25">
      <c r="A1756" s="101"/>
      <c r="B1756" s="36"/>
      <c r="C1756" s="98"/>
      <c r="D1756" s="98"/>
      <c r="E1756" s="98"/>
      <c r="F1756" s="102"/>
      <c r="G1756" s="103"/>
    </row>
    <row r="1757" spans="1:7" x14ac:dyDescent="0.25">
      <c r="A1757" s="101"/>
      <c r="B1757" s="36"/>
      <c r="C1757" s="98"/>
      <c r="D1757" s="98"/>
      <c r="E1757" s="98"/>
      <c r="F1757" s="102"/>
      <c r="G1757" s="103"/>
    </row>
    <row r="1758" spans="1:7" x14ac:dyDescent="0.25">
      <c r="A1758" s="101"/>
      <c r="B1758" s="36"/>
      <c r="C1758" s="98"/>
      <c r="D1758" s="98"/>
      <c r="E1758" s="98"/>
      <c r="F1758" s="102"/>
      <c r="G1758" s="103"/>
    </row>
    <row r="1759" spans="1:7" x14ac:dyDescent="0.25">
      <c r="A1759" s="101"/>
      <c r="B1759" s="36"/>
      <c r="C1759" s="98"/>
      <c r="D1759" s="98"/>
      <c r="E1759" s="98"/>
      <c r="F1759" s="102"/>
      <c r="G1759" s="103"/>
    </row>
    <row r="1760" spans="1:7" x14ac:dyDescent="0.25">
      <c r="A1760" s="101"/>
      <c r="B1760" s="36"/>
      <c r="C1760" s="98"/>
      <c r="D1760" s="98"/>
      <c r="E1760" s="98"/>
      <c r="F1760" s="102"/>
      <c r="G1760" s="103"/>
    </row>
    <row r="1761" spans="1:7" x14ac:dyDescent="0.25">
      <c r="A1761" s="101"/>
      <c r="B1761" s="36"/>
      <c r="C1761" s="98"/>
      <c r="D1761" s="98"/>
      <c r="E1761" s="98"/>
      <c r="F1761" s="102"/>
      <c r="G1761" s="103"/>
    </row>
    <row r="1762" spans="1:7" x14ac:dyDescent="0.25">
      <c r="A1762" s="101"/>
      <c r="B1762" s="36"/>
      <c r="C1762" s="98"/>
      <c r="D1762" s="98"/>
      <c r="E1762" s="98"/>
      <c r="F1762" s="102"/>
      <c r="G1762" s="103"/>
    </row>
    <row r="1763" spans="1:7" x14ac:dyDescent="0.25">
      <c r="A1763" s="101"/>
      <c r="B1763" s="36"/>
      <c r="C1763" s="98"/>
      <c r="D1763" s="98"/>
      <c r="E1763" s="98"/>
      <c r="F1763" s="102"/>
      <c r="G1763" s="103"/>
    </row>
    <row r="1764" spans="1:7" x14ac:dyDescent="0.25">
      <c r="A1764" s="101"/>
      <c r="B1764" s="36"/>
      <c r="C1764" s="98"/>
      <c r="D1764" s="98"/>
      <c r="E1764" s="98"/>
      <c r="F1764" s="102"/>
      <c r="G1764" s="103"/>
    </row>
    <row r="1765" spans="1:7" x14ac:dyDescent="0.25">
      <c r="A1765" s="101"/>
      <c r="B1765" s="36"/>
      <c r="C1765" s="98"/>
      <c r="D1765" s="98"/>
      <c r="E1765" s="98"/>
      <c r="F1765" s="102"/>
      <c r="G1765" s="103"/>
    </row>
    <row r="1766" spans="1:7" x14ac:dyDescent="0.25">
      <c r="A1766" s="101"/>
      <c r="B1766" s="36"/>
      <c r="C1766" s="98"/>
      <c r="D1766" s="98"/>
      <c r="E1766" s="98"/>
      <c r="F1766" s="102"/>
      <c r="G1766" s="103"/>
    </row>
    <row r="1767" spans="1:7" x14ac:dyDescent="0.25">
      <c r="A1767" s="101"/>
      <c r="B1767" s="36"/>
      <c r="C1767" s="98"/>
      <c r="D1767" s="98"/>
      <c r="E1767" s="98"/>
      <c r="F1767" s="102"/>
      <c r="G1767" s="103"/>
    </row>
    <row r="1768" spans="1:7" x14ac:dyDescent="0.25">
      <c r="A1768" s="101"/>
      <c r="B1768" s="67"/>
      <c r="C1768" s="98"/>
      <c r="D1768" s="98"/>
      <c r="E1768" s="98"/>
      <c r="F1768" s="102"/>
      <c r="G1768" s="103"/>
    </row>
    <row r="1769" spans="1:7" x14ac:dyDescent="0.25">
      <c r="A1769" s="101"/>
      <c r="B1769" s="36"/>
      <c r="C1769" s="98"/>
      <c r="D1769" s="98"/>
      <c r="E1769" s="98"/>
      <c r="F1769" s="102"/>
      <c r="G1769" s="103"/>
    </row>
    <row r="1770" spans="1:7" x14ac:dyDescent="0.25">
      <c r="A1770" s="101"/>
      <c r="B1770" s="36"/>
      <c r="C1770" s="98"/>
      <c r="D1770" s="98"/>
      <c r="E1770" s="98"/>
      <c r="F1770" s="102"/>
      <c r="G1770" s="103"/>
    </row>
    <row r="1771" spans="1:7" x14ac:dyDescent="0.25">
      <c r="A1771" s="101"/>
      <c r="B1771" s="36"/>
      <c r="C1771" s="98"/>
      <c r="D1771" s="98"/>
      <c r="E1771" s="98"/>
      <c r="F1771" s="102"/>
      <c r="G1771" s="103"/>
    </row>
    <row r="1772" spans="1:7" x14ac:dyDescent="0.25">
      <c r="A1772" s="101"/>
      <c r="B1772" s="36"/>
      <c r="C1772" s="98"/>
      <c r="D1772" s="98"/>
      <c r="E1772" s="98"/>
      <c r="F1772" s="102"/>
      <c r="G1772" s="103"/>
    </row>
    <row r="1773" spans="1:7" x14ac:dyDescent="0.25">
      <c r="A1773" s="101"/>
      <c r="B1773" s="36"/>
      <c r="C1773" s="98"/>
      <c r="D1773" s="98"/>
      <c r="E1773" s="98"/>
      <c r="F1773" s="102"/>
      <c r="G1773" s="103"/>
    </row>
    <row r="1774" spans="1:7" x14ac:dyDescent="0.25">
      <c r="A1774" s="101"/>
      <c r="B1774" s="36"/>
      <c r="C1774" s="98"/>
      <c r="D1774" s="98"/>
      <c r="E1774" s="98"/>
      <c r="F1774" s="102"/>
      <c r="G1774" s="103"/>
    </row>
    <row r="1775" spans="1:7" x14ac:dyDescent="0.25">
      <c r="A1775" s="101"/>
      <c r="B1775" s="36"/>
      <c r="C1775" s="98"/>
      <c r="D1775" s="98"/>
      <c r="E1775" s="98"/>
      <c r="F1775" s="102"/>
      <c r="G1775" s="103"/>
    </row>
    <row r="1776" spans="1:7" x14ac:dyDescent="0.25">
      <c r="A1776" s="101"/>
      <c r="B1776" s="67"/>
      <c r="C1776" s="98"/>
      <c r="D1776" s="98"/>
      <c r="E1776" s="98"/>
      <c r="F1776" s="102"/>
      <c r="G1776" s="103"/>
    </row>
    <row r="1777" spans="1:7" x14ac:dyDescent="0.25">
      <c r="A1777" s="101"/>
      <c r="B1777" s="36"/>
      <c r="C1777" s="98"/>
      <c r="D1777" s="98"/>
      <c r="E1777" s="98"/>
      <c r="F1777" s="102"/>
      <c r="G1777" s="103"/>
    </row>
    <row r="1778" spans="1:7" x14ac:dyDescent="0.25">
      <c r="A1778" s="101"/>
      <c r="B1778" s="36"/>
      <c r="C1778" s="98"/>
      <c r="D1778" s="98"/>
      <c r="E1778" s="98"/>
      <c r="F1778" s="102"/>
      <c r="G1778" s="103"/>
    </row>
    <row r="1779" spans="1:7" x14ac:dyDescent="0.25">
      <c r="A1779" s="101"/>
      <c r="B1779" s="36"/>
      <c r="C1779" s="98"/>
      <c r="D1779" s="98"/>
      <c r="E1779" s="98"/>
      <c r="F1779" s="102"/>
      <c r="G1779" s="103"/>
    </row>
    <row r="1780" spans="1:7" x14ac:dyDescent="0.25">
      <c r="A1780" s="101"/>
      <c r="B1780" s="36"/>
      <c r="C1780" s="98"/>
      <c r="D1780" s="98"/>
      <c r="E1780" s="98"/>
      <c r="F1780" s="102"/>
      <c r="G1780" s="103"/>
    </row>
    <row r="1781" spans="1:7" x14ac:dyDescent="0.25">
      <c r="A1781" s="101"/>
      <c r="B1781" s="36"/>
      <c r="C1781" s="98"/>
      <c r="D1781" s="98"/>
      <c r="E1781" s="98"/>
      <c r="F1781" s="102"/>
      <c r="G1781" s="103"/>
    </row>
    <row r="1782" spans="1:7" x14ac:dyDescent="0.25">
      <c r="A1782" s="101"/>
      <c r="B1782" s="36"/>
      <c r="C1782" s="98"/>
      <c r="D1782" s="98"/>
      <c r="E1782" s="98"/>
      <c r="F1782" s="102"/>
      <c r="G1782" s="103"/>
    </row>
    <row r="1783" spans="1:7" x14ac:dyDescent="0.25">
      <c r="A1783" s="101"/>
      <c r="B1783" s="36"/>
      <c r="C1783" s="98"/>
      <c r="D1783" s="98"/>
      <c r="E1783" s="98"/>
      <c r="F1783" s="102"/>
      <c r="G1783" s="103"/>
    </row>
    <row r="1784" spans="1:7" x14ac:dyDescent="0.25">
      <c r="A1784" s="101"/>
      <c r="B1784" s="36"/>
      <c r="C1784" s="98"/>
      <c r="D1784" s="98"/>
      <c r="E1784" s="98"/>
      <c r="F1784" s="102"/>
      <c r="G1784" s="103"/>
    </row>
    <row r="1785" spans="1:7" x14ac:dyDescent="0.25">
      <c r="A1785" s="101"/>
      <c r="B1785" s="36"/>
      <c r="C1785" s="98"/>
      <c r="D1785" s="98"/>
      <c r="E1785" s="98"/>
      <c r="F1785" s="102"/>
      <c r="G1785" s="103"/>
    </row>
    <row r="1786" spans="1:7" x14ac:dyDescent="0.25">
      <c r="A1786" s="101"/>
      <c r="B1786" s="36"/>
      <c r="C1786" s="98"/>
      <c r="D1786" s="98"/>
      <c r="E1786" s="98"/>
      <c r="F1786" s="102"/>
      <c r="G1786" s="103"/>
    </row>
    <row r="1787" spans="1:7" x14ac:dyDescent="0.25">
      <c r="A1787" s="101"/>
      <c r="B1787" s="36"/>
      <c r="C1787" s="98"/>
      <c r="D1787" s="98"/>
      <c r="E1787" s="98"/>
      <c r="F1787" s="102"/>
      <c r="G1787" s="103"/>
    </row>
    <row r="1788" spans="1:7" x14ac:dyDescent="0.25">
      <c r="A1788" s="101"/>
      <c r="B1788" s="36"/>
      <c r="C1788" s="98"/>
      <c r="D1788" s="98"/>
      <c r="E1788" s="98"/>
      <c r="F1788" s="102"/>
      <c r="G1788" s="103"/>
    </row>
    <row r="1789" spans="1:7" x14ac:dyDescent="0.25">
      <c r="A1789" s="101"/>
      <c r="B1789" s="36"/>
      <c r="C1789" s="98"/>
      <c r="D1789" s="98"/>
      <c r="E1789" s="98"/>
      <c r="F1789" s="102"/>
      <c r="G1789" s="103"/>
    </row>
    <row r="1790" spans="1:7" x14ac:dyDescent="0.25">
      <c r="A1790" s="101"/>
      <c r="B1790" s="36"/>
      <c r="C1790" s="98"/>
      <c r="D1790" s="98"/>
      <c r="E1790" s="98"/>
      <c r="F1790" s="102"/>
      <c r="G1790" s="103"/>
    </row>
    <row r="1791" spans="1:7" x14ac:dyDescent="0.25">
      <c r="A1791" s="101"/>
      <c r="B1791" s="36"/>
      <c r="C1791" s="98"/>
      <c r="D1791" s="98"/>
      <c r="E1791" s="98"/>
      <c r="F1791" s="102"/>
      <c r="G1791" s="103"/>
    </row>
    <row r="1792" spans="1:7" x14ac:dyDescent="0.25">
      <c r="A1792" s="101"/>
      <c r="B1792" s="36"/>
      <c r="C1792" s="98"/>
      <c r="D1792" s="98"/>
      <c r="E1792" s="98"/>
      <c r="F1792" s="102"/>
      <c r="G1792" s="103"/>
    </row>
    <row r="1793" spans="1:7" x14ac:dyDescent="0.25">
      <c r="A1793" s="101"/>
      <c r="B1793" s="36"/>
      <c r="C1793" s="98"/>
      <c r="D1793" s="98"/>
      <c r="E1793" s="98"/>
      <c r="F1793" s="102"/>
      <c r="G1793" s="103"/>
    </row>
    <row r="1794" spans="1:7" x14ac:dyDescent="0.25">
      <c r="A1794" s="101"/>
      <c r="B1794" s="36"/>
      <c r="C1794" s="98"/>
      <c r="D1794" s="98"/>
      <c r="E1794" s="98"/>
      <c r="F1794" s="102"/>
      <c r="G1794" s="103"/>
    </row>
    <row r="1795" spans="1:7" x14ac:dyDescent="0.25">
      <c r="A1795" s="101"/>
      <c r="B1795" s="36"/>
      <c r="C1795" s="98"/>
      <c r="D1795" s="98"/>
      <c r="E1795" s="98"/>
      <c r="F1795" s="102"/>
      <c r="G1795" s="103"/>
    </row>
    <row r="1796" spans="1:7" x14ac:dyDescent="0.25">
      <c r="A1796" s="101"/>
      <c r="B1796" s="67"/>
      <c r="C1796" s="98"/>
      <c r="D1796" s="98"/>
      <c r="E1796" s="98"/>
      <c r="F1796" s="102"/>
      <c r="G1796" s="103"/>
    </row>
    <row r="1797" spans="1:7" x14ac:dyDescent="0.25">
      <c r="A1797" s="101"/>
      <c r="B1797" s="67"/>
      <c r="C1797" s="98"/>
      <c r="D1797" s="98"/>
      <c r="E1797" s="98"/>
      <c r="F1797" s="102"/>
      <c r="G1797" s="103"/>
    </row>
    <row r="1798" spans="1:7" x14ac:dyDescent="0.25">
      <c r="A1798" s="101"/>
      <c r="B1798" s="36"/>
      <c r="C1798" s="98"/>
      <c r="D1798" s="98"/>
      <c r="E1798" s="98"/>
      <c r="F1798" s="102"/>
      <c r="G1798" s="103"/>
    </row>
    <row r="1799" spans="1:7" x14ac:dyDescent="0.25">
      <c r="A1799" s="101"/>
      <c r="B1799" s="36"/>
      <c r="C1799" s="98"/>
      <c r="D1799" s="98"/>
      <c r="E1799" s="98"/>
      <c r="F1799" s="102"/>
      <c r="G1799" s="103"/>
    </row>
    <row r="1800" spans="1:7" x14ac:dyDescent="0.25">
      <c r="A1800" s="101"/>
      <c r="B1800" s="36"/>
      <c r="C1800" s="98"/>
      <c r="D1800" s="98"/>
      <c r="E1800" s="98"/>
      <c r="F1800" s="102"/>
      <c r="G1800" s="103"/>
    </row>
    <row r="1801" spans="1:7" x14ac:dyDescent="0.25">
      <c r="A1801" s="101"/>
      <c r="B1801" s="36"/>
      <c r="C1801" s="98"/>
      <c r="D1801" s="98"/>
      <c r="E1801" s="98"/>
      <c r="F1801" s="102"/>
      <c r="G1801" s="103"/>
    </row>
    <row r="1802" spans="1:7" x14ac:dyDescent="0.25">
      <c r="A1802" s="101"/>
      <c r="B1802" s="36"/>
      <c r="C1802" s="98"/>
      <c r="D1802" s="98"/>
      <c r="E1802" s="98"/>
      <c r="F1802" s="102"/>
      <c r="G1802" s="103"/>
    </row>
    <row r="1803" spans="1:7" x14ac:dyDescent="0.25">
      <c r="A1803" s="101"/>
      <c r="B1803" s="36"/>
      <c r="C1803" s="98"/>
      <c r="D1803" s="98"/>
      <c r="E1803" s="98"/>
      <c r="F1803" s="102"/>
      <c r="G1803" s="103"/>
    </row>
    <row r="1804" spans="1:7" x14ac:dyDescent="0.25">
      <c r="A1804" s="101"/>
      <c r="B1804" s="36"/>
      <c r="C1804" s="98"/>
      <c r="D1804" s="98"/>
      <c r="E1804" s="98"/>
      <c r="F1804" s="102"/>
      <c r="G1804" s="103"/>
    </row>
    <row r="1805" spans="1:7" x14ac:dyDescent="0.25">
      <c r="A1805" s="101"/>
      <c r="B1805" s="36"/>
      <c r="C1805" s="98"/>
      <c r="D1805" s="98"/>
      <c r="E1805" s="98"/>
      <c r="F1805" s="102"/>
      <c r="G1805" s="103"/>
    </row>
    <row r="1806" spans="1:7" x14ac:dyDescent="0.25">
      <c r="A1806" s="101"/>
      <c r="B1806" s="36"/>
      <c r="C1806" s="98"/>
      <c r="D1806" s="98"/>
      <c r="E1806" s="98"/>
      <c r="F1806" s="102"/>
      <c r="G1806" s="103"/>
    </row>
    <row r="1807" spans="1:7" x14ac:dyDescent="0.25">
      <c r="A1807" s="101"/>
      <c r="B1807" s="36"/>
      <c r="C1807" s="98"/>
      <c r="D1807" s="98"/>
      <c r="E1807" s="98"/>
      <c r="F1807" s="102"/>
      <c r="G1807" s="103"/>
    </row>
    <row r="1808" spans="1:7" x14ac:dyDescent="0.25">
      <c r="A1808" s="101"/>
      <c r="B1808" s="36"/>
      <c r="C1808" s="98"/>
      <c r="D1808" s="98"/>
      <c r="E1808" s="98"/>
      <c r="F1808" s="102"/>
      <c r="G1808" s="103"/>
    </row>
    <row r="1809" spans="1:7" x14ac:dyDescent="0.25">
      <c r="A1809" s="101"/>
      <c r="B1809" s="36"/>
      <c r="C1809" s="98"/>
      <c r="D1809" s="98"/>
      <c r="E1809" s="98"/>
      <c r="F1809" s="102"/>
      <c r="G1809" s="103"/>
    </row>
    <row r="1810" spans="1:7" x14ac:dyDescent="0.25">
      <c r="A1810" s="101"/>
      <c r="B1810" s="36"/>
      <c r="C1810" s="98"/>
      <c r="D1810" s="98"/>
      <c r="E1810" s="98"/>
      <c r="F1810" s="102"/>
      <c r="G1810" s="103"/>
    </row>
    <row r="1811" spans="1:7" x14ac:dyDescent="0.25">
      <c r="A1811" s="101"/>
      <c r="B1811" s="36"/>
      <c r="C1811" s="98"/>
      <c r="D1811" s="98"/>
      <c r="E1811" s="98"/>
      <c r="F1811" s="102"/>
      <c r="G1811" s="103"/>
    </row>
    <row r="1812" spans="1:7" x14ac:dyDescent="0.25">
      <c r="A1812" s="101"/>
      <c r="B1812" s="36"/>
      <c r="C1812" s="98"/>
      <c r="D1812" s="98"/>
      <c r="E1812" s="98"/>
      <c r="F1812" s="102"/>
      <c r="G1812" s="103"/>
    </row>
    <row r="1813" spans="1:7" x14ac:dyDescent="0.25">
      <c r="A1813" s="101"/>
      <c r="B1813" s="36"/>
      <c r="C1813" s="98"/>
      <c r="D1813" s="98"/>
      <c r="E1813" s="98"/>
      <c r="F1813" s="102"/>
      <c r="G1813" s="103"/>
    </row>
    <row r="1814" spans="1:7" x14ac:dyDescent="0.25">
      <c r="A1814" s="101"/>
      <c r="B1814" s="36"/>
      <c r="C1814" s="98"/>
      <c r="D1814" s="98"/>
      <c r="E1814" s="98"/>
      <c r="F1814" s="102"/>
      <c r="G1814" s="103"/>
    </row>
    <row r="1815" spans="1:7" x14ac:dyDescent="0.25">
      <c r="A1815" s="101"/>
      <c r="B1815" s="36"/>
      <c r="C1815" s="98"/>
      <c r="D1815" s="98"/>
      <c r="E1815" s="98"/>
      <c r="F1815" s="102"/>
      <c r="G1815" s="103"/>
    </row>
    <row r="1816" spans="1:7" x14ac:dyDescent="0.25">
      <c r="A1816" s="101"/>
      <c r="B1816" s="36"/>
      <c r="C1816" s="98"/>
      <c r="D1816" s="98"/>
      <c r="E1816" s="98"/>
      <c r="F1816" s="102"/>
      <c r="G1816" s="103"/>
    </row>
    <row r="1817" spans="1:7" x14ac:dyDescent="0.25">
      <c r="A1817" s="101"/>
      <c r="B1817" s="36"/>
      <c r="C1817" s="98"/>
      <c r="D1817" s="98"/>
      <c r="E1817" s="98"/>
      <c r="F1817" s="102"/>
      <c r="G1817" s="103"/>
    </row>
    <row r="1818" spans="1:7" x14ac:dyDescent="0.25">
      <c r="A1818" s="101"/>
      <c r="B1818" s="36"/>
      <c r="C1818" s="98"/>
      <c r="D1818" s="98"/>
      <c r="E1818" s="98"/>
      <c r="F1818" s="102"/>
      <c r="G1818" s="103"/>
    </row>
    <row r="1819" spans="1:7" x14ac:dyDescent="0.25">
      <c r="A1819" s="101"/>
      <c r="B1819" s="36"/>
      <c r="C1819" s="98"/>
      <c r="D1819" s="98"/>
      <c r="E1819" s="98"/>
      <c r="F1819" s="102"/>
      <c r="G1819" s="103"/>
    </row>
    <row r="1820" spans="1:7" x14ac:dyDescent="0.25">
      <c r="A1820" s="101"/>
      <c r="B1820" s="36"/>
      <c r="C1820" s="98"/>
      <c r="D1820" s="98"/>
      <c r="E1820" s="98"/>
      <c r="F1820" s="102"/>
      <c r="G1820" s="103"/>
    </row>
    <row r="1821" spans="1:7" x14ac:dyDescent="0.25">
      <c r="A1821" s="101"/>
      <c r="B1821" s="36"/>
      <c r="C1821" s="98"/>
      <c r="D1821" s="98"/>
      <c r="E1821" s="98"/>
      <c r="F1821" s="102"/>
      <c r="G1821" s="103"/>
    </row>
    <row r="1822" spans="1:7" x14ac:dyDescent="0.25">
      <c r="A1822" s="101"/>
      <c r="B1822" s="36"/>
      <c r="C1822" s="98"/>
      <c r="D1822" s="98"/>
      <c r="E1822" s="98"/>
      <c r="F1822" s="102"/>
      <c r="G1822" s="103"/>
    </row>
    <row r="1823" spans="1:7" x14ac:dyDescent="0.25">
      <c r="A1823" s="101"/>
      <c r="B1823" s="36"/>
      <c r="C1823" s="98"/>
      <c r="D1823" s="98"/>
      <c r="E1823" s="98"/>
      <c r="F1823" s="102"/>
      <c r="G1823" s="103"/>
    </row>
    <row r="1824" spans="1:7" x14ac:dyDescent="0.25">
      <c r="A1824" s="101"/>
      <c r="B1824" s="36"/>
      <c r="C1824" s="98"/>
      <c r="D1824" s="98"/>
      <c r="E1824" s="98"/>
      <c r="F1824" s="102"/>
      <c r="G1824" s="103"/>
    </row>
    <row r="1825" spans="1:7" x14ac:dyDescent="0.25">
      <c r="A1825" s="101"/>
      <c r="B1825" s="36"/>
      <c r="C1825" s="98"/>
      <c r="D1825" s="98"/>
      <c r="E1825" s="98"/>
      <c r="F1825" s="102"/>
      <c r="G1825" s="103"/>
    </row>
    <row r="1826" spans="1:7" x14ac:dyDescent="0.25">
      <c r="A1826" s="101"/>
      <c r="B1826" s="36"/>
      <c r="C1826" s="98"/>
      <c r="D1826" s="98"/>
      <c r="E1826" s="98"/>
      <c r="F1826" s="102"/>
      <c r="G1826" s="103"/>
    </row>
    <row r="1827" spans="1:7" x14ac:dyDescent="0.25">
      <c r="A1827" s="101"/>
      <c r="B1827" s="36"/>
      <c r="C1827" s="98"/>
      <c r="D1827" s="98"/>
      <c r="E1827" s="98"/>
      <c r="F1827" s="102"/>
      <c r="G1827" s="103"/>
    </row>
    <row r="1828" spans="1:7" x14ac:dyDescent="0.25">
      <c r="A1828" s="101"/>
      <c r="B1828" s="36"/>
      <c r="C1828" s="98"/>
      <c r="D1828" s="98"/>
      <c r="E1828" s="98"/>
      <c r="F1828" s="102"/>
      <c r="G1828" s="103"/>
    </row>
    <row r="1829" spans="1:7" x14ac:dyDescent="0.25">
      <c r="A1829" s="101"/>
      <c r="B1829" s="36"/>
      <c r="C1829" s="98"/>
      <c r="D1829" s="98"/>
      <c r="E1829" s="98"/>
      <c r="F1829" s="102"/>
      <c r="G1829" s="103"/>
    </row>
    <row r="1830" spans="1:7" x14ac:dyDescent="0.25">
      <c r="A1830" s="101"/>
      <c r="B1830" s="36"/>
      <c r="C1830" s="98"/>
      <c r="D1830" s="98"/>
      <c r="E1830" s="98"/>
      <c r="F1830" s="102"/>
      <c r="G1830" s="103"/>
    </row>
    <row r="1831" spans="1:7" x14ac:dyDescent="0.25">
      <c r="A1831" s="101"/>
      <c r="B1831" s="36"/>
      <c r="C1831" s="98"/>
      <c r="D1831" s="98"/>
      <c r="E1831" s="98"/>
      <c r="F1831" s="102"/>
      <c r="G1831" s="103"/>
    </row>
    <row r="1832" spans="1:7" x14ac:dyDescent="0.25">
      <c r="A1832" s="101"/>
      <c r="B1832" s="36"/>
      <c r="C1832" s="98"/>
      <c r="D1832" s="98"/>
      <c r="E1832" s="98"/>
      <c r="F1832" s="102"/>
      <c r="G1832" s="103"/>
    </row>
    <row r="1833" spans="1:7" x14ac:dyDescent="0.25">
      <c r="A1833" s="101"/>
      <c r="B1833" s="36"/>
      <c r="C1833" s="98"/>
      <c r="D1833" s="98"/>
      <c r="E1833" s="98"/>
      <c r="F1833" s="102"/>
      <c r="G1833" s="103"/>
    </row>
    <row r="1834" spans="1:7" x14ac:dyDescent="0.25">
      <c r="A1834" s="101"/>
      <c r="B1834" s="36"/>
      <c r="C1834" s="98"/>
      <c r="D1834" s="98"/>
      <c r="E1834" s="98"/>
      <c r="F1834" s="102"/>
      <c r="G1834" s="103"/>
    </row>
    <row r="1835" spans="1:7" x14ac:dyDescent="0.25">
      <c r="A1835" s="101"/>
      <c r="B1835" s="36"/>
      <c r="C1835" s="98"/>
      <c r="D1835" s="98"/>
      <c r="E1835" s="98"/>
      <c r="F1835" s="102"/>
      <c r="G1835" s="103"/>
    </row>
    <row r="1836" spans="1:7" x14ac:dyDescent="0.25">
      <c r="A1836" s="101"/>
      <c r="B1836" s="36"/>
      <c r="C1836" s="98"/>
      <c r="D1836" s="98"/>
      <c r="E1836" s="98"/>
      <c r="F1836" s="102"/>
      <c r="G1836" s="103"/>
    </row>
    <row r="1837" spans="1:7" x14ac:dyDescent="0.25">
      <c r="A1837" s="101"/>
      <c r="B1837" s="36"/>
      <c r="C1837" s="98"/>
      <c r="D1837" s="98"/>
      <c r="E1837" s="98"/>
      <c r="F1837" s="102"/>
      <c r="G1837" s="103"/>
    </row>
    <row r="1838" spans="1:7" x14ac:dyDescent="0.25">
      <c r="A1838" s="101"/>
      <c r="B1838" s="36"/>
      <c r="C1838" s="98"/>
      <c r="D1838" s="98"/>
      <c r="E1838" s="98"/>
      <c r="F1838" s="102"/>
      <c r="G1838" s="103"/>
    </row>
    <row r="1839" spans="1:7" x14ac:dyDescent="0.25">
      <c r="A1839" s="101"/>
      <c r="B1839" s="36"/>
      <c r="C1839" s="98"/>
      <c r="D1839" s="98"/>
      <c r="E1839" s="98"/>
      <c r="F1839" s="102"/>
      <c r="G1839" s="103"/>
    </row>
    <row r="1840" spans="1:7" x14ac:dyDescent="0.25">
      <c r="A1840" s="101"/>
      <c r="B1840" s="36"/>
      <c r="C1840" s="98"/>
      <c r="D1840" s="98"/>
      <c r="E1840" s="98"/>
      <c r="F1840" s="102"/>
      <c r="G1840" s="103"/>
    </row>
    <row r="1841" spans="1:7" x14ac:dyDescent="0.25">
      <c r="A1841" s="101"/>
      <c r="B1841" s="36"/>
      <c r="C1841" s="98"/>
      <c r="D1841" s="98"/>
      <c r="E1841" s="98"/>
      <c r="F1841" s="102"/>
      <c r="G1841" s="103"/>
    </row>
    <row r="1842" spans="1:7" x14ac:dyDescent="0.25">
      <c r="A1842" s="101"/>
      <c r="B1842" s="36"/>
      <c r="C1842" s="98"/>
      <c r="D1842" s="98"/>
      <c r="E1842" s="98"/>
      <c r="F1842" s="102"/>
      <c r="G1842" s="103"/>
    </row>
    <row r="1843" spans="1:7" x14ac:dyDescent="0.25">
      <c r="A1843" s="101"/>
      <c r="B1843" s="36"/>
      <c r="C1843" s="98"/>
      <c r="D1843" s="98"/>
      <c r="E1843" s="98"/>
      <c r="F1843" s="102"/>
      <c r="G1843" s="103"/>
    </row>
    <row r="1844" spans="1:7" x14ac:dyDescent="0.25">
      <c r="A1844" s="101"/>
      <c r="B1844" s="36"/>
      <c r="C1844" s="98"/>
      <c r="D1844" s="98"/>
      <c r="E1844" s="98"/>
      <c r="F1844" s="102"/>
      <c r="G1844" s="103"/>
    </row>
    <row r="1845" spans="1:7" x14ac:dyDescent="0.25">
      <c r="A1845" s="101"/>
      <c r="B1845" s="36"/>
      <c r="C1845" s="98"/>
      <c r="D1845" s="98"/>
      <c r="E1845" s="98"/>
      <c r="F1845" s="102"/>
      <c r="G1845" s="103"/>
    </row>
    <row r="1846" spans="1:7" x14ac:dyDescent="0.25">
      <c r="A1846" s="101"/>
      <c r="B1846" s="36"/>
      <c r="C1846" s="98"/>
      <c r="D1846" s="98"/>
      <c r="E1846" s="98"/>
      <c r="F1846" s="102"/>
      <c r="G1846" s="103"/>
    </row>
    <row r="1847" spans="1:7" x14ac:dyDescent="0.25">
      <c r="A1847" s="101"/>
      <c r="B1847" s="67"/>
      <c r="C1847" s="98"/>
      <c r="D1847" s="98"/>
      <c r="E1847" s="98"/>
      <c r="F1847" s="102"/>
      <c r="G1847" s="103"/>
    </row>
    <row r="1848" spans="1:7" x14ac:dyDescent="0.25">
      <c r="A1848" s="101"/>
      <c r="B1848" s="36"/>
      <c r="C1848" s="98"/>
      <c r="D1848" s="98"/>
      <c r="E1848" s="98"/>
      <c r="F1848" s="102"/>
      <c r="G1848" s="103"/>
    </row>
    <row r="1849" spans="1:7" x14ac:dyDescent="0.25">
      <c r="A1849" s="101"/>
      <c r="B1849" s="36"/>
      <c r="C1849" s="98"/>
      <c r="D1849" s="98"/>
      <c r="E1849" s="98"/>
      <c r="F1849" s="102"/>
      <c r="G1849" s="103"/>
    </row>
    <row r="1850" spans="1:7" x14ac:dyDescent="0.25">
      <c r="A1850" s="101"/>
      <c r="B1850" s="36"/>
      <c r="C1850" s="98"/>
      <c r="D1850" s="98"/>
      <c r="E1850" s="98"/>
      <c r="F1850" s="102"/>
      <c r="G1850" s="103"/>
    </row>
    <row r="1851" spans="1:7" x14ac:dyDescent="0.25">
      <c r="A1851" s="101"/>
      <c r="B1851" s="36"/>
      <c r="C1851" s="98"/>
      <c r="D1851" s="98"/>
      <c r="E1851" s="98"/>
      <c r="F1851" s="102"/>
      <c r="G1851" s="103"/>
    </row>
    <row r="1852" spans="1:7" x14ac:dyDescent="0.25">
      <c r="A1852" s="101"/>
      <c r="B1852" s="36"/>
      <c r="C1852" s="98"/>
      <c r="D1852" s="98"/>
      <c r="E1852" s="98"/>
      <c r="F1852" s="102"/>
      <c r="G1852" s="103"/>
    </row>
    <row r="1853" spans="1:7" x14ac:dyDescent="0.25">
      <c r="A1853" s="101"/>
      <c r="B1853" s="36"/>
      <c r="C1853" s="98"/>
      <c r="D1853" s="98"/>
      <c r="E1853" s="98"/>
      <c r="F1853" s="102"/>
      <c r="G1853" s="103"/>
    </row>
    <row r="1854" spans="1:7" x14ac:dyDescent="0.25">
      <c r="A1854" s="101"/>
      <c r="B1854" s="36"/>
      <c r="C1854" s="98"/>
      <c r="D1854" s="98"/>
      <c r="E1854" s="98"/>
      <c r="F1854" s="102"/>
      <c r="G1854" s="103"/>
    </row>
    <row r="1855" spans="1:7" x14ac:dyDescent="0.25">
      <c r="A1855" s="101"/>
      <c r="B1855" s="36"/>
      <c r="C1855" s="98"/>
      <c r="D1855" s="98"/>
      <c r="E1855" s="98"/>
      <c r="F1855" s="102"/>
      <c r="G1855" s="103"/>
    </row>
    <row r="1856" spans="1:7" x14ac:dyDescent="0.25">
      <c r="A1856" s="101"/>
      <c r="B1856" s="36"/>
      <c r="C1856" s="98"/>
      <c r="D1856" s="98"/>
      <c r="E1856" s="98"/>
      <c r="F1856" s="102"/>
      <c r="G1856" s="103"/>
    </row>
    <row r="1857" spans="1:7" x14ac:dyDescent="0.25">
      <c r="A1857" s="101"/>
      <c r="B1857" s="36"/>
      <c r="C1857" s="98"/>
      <c r="D1857" s="98"/>
      <c r="E1857" s="98"/>
      <c r="F1857" s="102"/>
      <c r="G1857" s="103"/>
    </row>
    <row r="1858" spans="1:7" x14ac:dyDescent="0.25">
      <c r="A1858" s="101"/>
      <c r="B1858" s="36"/>
      <c r="C1858" s="98"/>
      <c r="D1858" s="98"/>
      <c r="E1858" s="98"/>
      <c r="F1858" s="102"/>
      <c r="G1858" s="103"/>
    </row>
    <row r="1859" spans="1:7" x14ac:dyDescent="0.25">
      <c r="A1859" s="101"/>
      <c r="B1859" s="36"/>
      <c r="C1859" s="98"/>
      <c r="D1859" s="98"/>
      <c r="E1859" s="98"/>
      <c r="F1859" s="102"/>
      <c r="G1859" s="103"/>
    </row>
    <row r="1860" spans="1:7" x14ac:dyDescent="0.25">
      <c r="A1860" s="101"/>
      <c r="B1860" s="36"/>
      <c r="C1860" s="98"/>
      <c r="D1860" s="98"/>
      <c r="E1860" s="98"/>
      <c r="F1860" s="102"/>
      <c r="G1860" s="103"/>
    </row>
    <row r="1861" spans="1:7" x14ac:dyDescent="0.25">
      <c r="A1861" s="101"/>
      <c r="B1861" s="36"/>
      <c r="C1861" s="98"/>
      <c r="D1861" s="98"/>
      <c r="E1861" s="98"/>
      <c r="F1861" s="102"/>
      <c r="G1861" s="103"/>
    </row>
    <row r="1862" spans="1:7" x14ac:dyDescent="0.25">
      <c r="A1862" s="101"/>
      <c r="B1862" s="36"/>
      <c r="C1862" s="98"/>
      <c r="D1862" s="98"/>
      <c r="E1862" s="98"/>
      <c r="F1862" s="102"/>
      <c r="G1862" s="103"/>
    </row>
    <row r="1863" spans="1:7" x14ac:dyDescent="0.25">
      <c r="A1863" s="101"/>
      <c r="B1863" s="36"/>
      <c r="C1863" s="98"/>
      <c r="D1863" s="98"/>
      <c r="E1863" s="98"/>
      <c r="F1863" s="102"/>
      <c r="G1863" s="103"/>
    </row>
    <row r="1864" spans="1:7" x14ac:dyDescent="0.25">
      <c r="A1864" s="101"/>
      <c r="B1864" s="36"/>
      <c r="C1864" s="98"/>
      <c r="D1864" s="98"/>
      <c r="E1864" s="98"/>
      <c r="F1864" s="102"/>
      <c r="G1864" s="103"/>
    </row>
    <row r="1865" spans="1:7" x14ac:dyDescent="0.25">
      <c r="A1865" s="101"/>
      <c r="B1865" s="36"/>
      <c r="C1865" s="98"/>
      <c r="D1865" s="98"/>
      <c r="E1865" s="98"/>
      <c r="F1865" s="102"/>
      <c r="G1865" s="103"/>
    </row>
    <row r="1866" spans="1:7" x14ac:dyDescent="0.25">
      <c r="A1866" s="101"/>
      <c r="B1866" s="36"/>
      <c r="C1866" s="98"/>
      <c r="D1866" s="98"/>
      <c r="E1866" s="98"/>
      <c r="F1866" s="102"/>
      <c r="G1866" s="103"/>
    </row>
    <row r="1867" spans="1:7" x14ac:dyDescent="0.25">
      <c r="A1867" s="101"/>
      <c r="B1867" s="36"/>
      <c r="C1867" s="98"/>
      <c r="D1867" s="98"/>
      <c r="E1867" s="98"/>
      <c r="F1867" s="102"/>
      <c r="G1867" s="103"/>
    </row>
    <row r="1868" spans="1:7" x14ac:dyDescent="0.25">
      <c r="A1868" s="101"/>
      <c r="B1868" s="36"/>
      <c r="C1868" s="98"/>
      <c r="D1868" s="98"/>
      <c r="E1868" s="98"/>
      <c r="F1868" s="102"/>
      <c r="G1868" s="103"/>
    </row>
    <row r="1869" spans="1:7" x14ac:dyDescent="0.25">
      <c r="A1869" s="101"/>
      <c r="B1869" s="36"/>
      <c r="C1869" s="98"/>
      <c r="D1869" s="98"/>
      <c r="E1869" s="98"/>
      <c r="F1869" s="102"/>
      <c r="G1869" s="103"/>
    </row>
    <row r="1870" spans="1:7" x14ac:dyDescent="0.25">
      <c r="A1870" s="101"/>
      <c r="B1870" s="36"/>
      <c r="C1870" s="98"/>
      <c r="D1870" s="98"/>
      <c r="E1870" s="98"/>
      <c r="F1870" s="102"/>
      <c r="G1870" s="103"/>
    </row>
    <row r="1871" spans="1:7" x14ac:dyDescent="0.25">
      <c r="A1871" s="101"/>
      <c r="B1871" s="36"/>
      <c r="C1871" s="98"/>
      <c r="D1871" s="98"/>
      <c r="E1871" s="98"/>
      <c r="F1871" s="102"/>
      <c r="G1871" s="103"/>
    </row>
    <row r="1872" spans="1:7" x14ac:dyDescent="0.25">
      <c r="A1872" s="101"/>
      <c r="B1872" s="36"/>
      <c r="C1872" s="98"/>
      <c r="D1872" s="98"/>
      <c r="E1872" s="98"/>
      <c r="F1872" s="102"/>
      <c r="G1872" s="103"/>
    </row>
    <row r="1873" spans="1:7" x14ac:dyDescent="0.25">
      <c r="A1873" s="101"/>
      <c r="B1873" s="36"/>
      <c r="C1873" s="98"/>
      <c r="D1873" s="98"/>
      <c r="E1873" s="98"/>
      <c r="F1873" s="102"/>
      <c r="G1873" s="103"/>
    </row>
    <row r="1874" spans="1:7" x14ac:dyDescent="0.25">
      <c r="A1874" s="101"/>
      <c r="B1874" s="36"/>
      <c r="C1874" s="98"/>
      <c r="D1874" s="98"/>
      <c r="E1874" s="98"/>
      <c r="F1874" s="102"/>
      <c r="G1874" s="103"/>
    </row>
    <row r="1875" spans="1:7" x14ac:dyDescent="0.25">
      <c r="A1875" s="101"/>
      <c r="B1875" s="36"/>
      <c r="C1875" s="98"/>
      <c r="D1875" s="98"/>
      <c r="E1875" s="98"/>
      <c r="F1875" s="102"/>
      <c r="G1875" s="103"/>
    </row>
    <row r="1876" spans="1:7" x14ac:dyDescent="0.25">
      <c r="A1876" s="101"/>
      <c r="B1876" s="36"/>
      <c r="C1876" s="98"/>
      <c r="D1876" s="98"/>
      <c r="E1876" s="98"/>
      <c r="F1876" s="102"/>
      <c r="G1876" s="103"/>
    </row>
    <row r="1877" spans="1:7" x14ac:dyDescent="0.25">
      <c r="A1877" s="101"/>
      <c r="B1877" s="36"/>
      <c r="C1877" s="98"/>
      <c r="D1877" s="98"/>
      <c r="E1877" s="98"/>
      <c r="F1877" s="102"/>
      <c r="G1877" s="103"/>
    </row>
    <row r="1878" spans="1:7" x14ac:dyDescent="0.25">
      <c r="A1878" s="101"/>
      <c r="B1878" s="36"/>
      <c r="C1878" s="98"/>
      <c r="D1878" s="98"/>
      <c r="E1878" s="98"/>
      <c r="F1878" s="102"/>
      <c r="G1878" s="103"/>
    </row>
    <row r="1879" spans="1:7" x14ac:dyDescent="0.25">
      <c r="A1879" s="101"/>
      <c r="B1879" s="36"/>
      <c r="C1879" s="98"/>
      <c r="D1879" s="98"/>
      <c r="E1879" s="98"/>
      <c r="F1879" s="102"/>
      <c r="G1879" s="103"/>
    </row>
    <row r="1880" spans="1:7" x14ac:dyDescent="0.25">
      <c r="A1880" s="101"/>
      <c r="B1880" s="36"/>
      <c r="C1880" s="98"/>
      <c r="D1880" s="98"/>
      <c r="E1880" s="98"/>
      <c r="F1880" s="102"/>
      <c r="G1880" s="103"/>
    </row>
    <row r="1881" spans="1:7" x14ac:dyDescent="0.25">
      <c r="A1881" s="101"/>
      <c r="B1881" s="36"/>
      <c r="C1881" s="98"/>
      <c r="D1881" s="98"/>
      <c r="E1881" s="98"/>
      <c r="F1881" s="102"/>
      <c r="G1881" s="103"/>
    </row>
    <row r="1882" spans="1:7" x14ac:dyDescent="0.25">
      <c r="A1882" s="101"/>
      <c r="B1882" s="36"/>
      <c r="C1882" s="98"/>
      <c r="D1882" s="98"/>
      <c r="E1882" s="98"/>
      <c r="F1882" s="102"/>
      <c r="G1882" s="103"/>
    </row>
    <row r="1883" spans="1:7" x14ac:dyDescent="0.25">
      <c r="A1883" s="101"/>
      <c r="B1883" s="36"/>
      <c r="C1883" s="98"/>
      <c r="D1883" s="98"/>
      <c r="E1883" s="98"/>
      <c r="F1883" s="102"/>
      <c r="G1883" s="103"/>
    </row>
    <row r="1884" spans="1:7" x14ac:dyDescent="0.25">
      <c r="A1884" s="101"/>
      <c r="B1884" s="36"/>
      <c r="C1884" s="98"/>
      <c r="D1884" s="98"/>
      <c r="E1884" s="98"/>
      <c r="F1884" s="102"/>
      <c r="G1884" s="103"/>
    </row>
    <row r="1885" spans="1:7" x14ac:dyDescent="0.25">
      <c r="A1885" s="101"/>
      <c r="B1885" s="36"/>
      <c r="C1885" s="98"/>
      <c r="D1885" s="98"/>
      <c r="E1885" s="98"/>
      <c r="F1885" s="102"/>
      <c r="G1885" s="103"/>
    </row>
    <row r="1886" spans="1:7" x14ac:dyDescent="0.25">
      <c r="A1886" s="101"/>
      <c r="B1886" s="36"/>
      <c r="C1886" s="98"/>
      <c r="D1886" s="98"/>
      <c r="E1886" s="98"/>
      <c r="F1886" s="102"/>
      <c r="G1886" s="103"/>
    </row>
    <row r="1887" spans="1:7" x14ac:dyDescent="0.25">
      <c r="A1887" s="101"/>
      <c r="B1887" s="36"/>
      <c r="C1887" s="98"/>
      <c r="D1887" s="98"/>
      <c r="E1887" s="98"/>
      <c r="F1887" s="102"/>
      <c r="G1887" s="103"/>
    </row>
    <row r="1888" spans="1:7" x14ac:dyDescent="0.25">
      <c r="A1888" s="101"/>
      <c r="B1888" s="36"/>
      <c r="C1888" s="98"/>
      <c r="D1888" s="98"/>
      <c r="E1888" s="98"/>
      <c r="F1888" s="102"/>
      <c r="G1888" s="103"/>
    </row>
    <row r="1889" spans="1:7" x14ac:dyDescent="0.25">
      <c r="A1889" s="101"/>
      <c r="B1889" s="36"/>
      <c r="C1889" s="98"/>
      <c r="D1889" s="98"/>
      <c r="E1889" s="98"/>
      <c r="F1889" s="102"/>
      <c r="G1889" s="103"/>
    </row>
    <row r="1890" spans="1:7" x14ac:dyDescent="0.25">
      <c r="A1890" s="101"/>
      <c r="B1890" s="36"/>
      <c r="C1890" s="98"/>
      <c r="D1890" s="98"/>
      <c r="E1890" s="98"/>
      <c r="F1890" s="102"/>
      <c r="G1890" s="103"/>
    </row>
    <row r="1891" spans="1:7" x14ac:dyDescent="0.25">
      <c r="A1891" s="101"/>
      <c r="B1891" s="36"/>
      <c r="C1891" s="98"/>
      <c r="D1891" s="98"/>
      <c r="E1891" s="98"/>
      <c r="F1891" s="102"/>
      <c r="G1891" s="103"/>
    </row>
    <row r="1892" spans="1:7" x14ac:dyDescent="0.25">
      <c r="A1892" s="101"/>
      <c r="B1892" s="36"/>
      <c r="C1892" s="98"/>
      <c r="D1892" s="98"/>
      <c r="E1892" s="98"/>
      <c r="F1892" s="102"/>
      <c r="G1892" s="103"/>
    </row>
    <row r="1893" spans="1:7" x14ac:dyDescent="0.25">
      <c r="A1893" s="101"/>
      <c r="B1893" s="36"/>
      <c r="C1893" s="98"/>
      <c r="D1893" s="98"/>
      <c r="E1893" s="98"/>
      <c r="F1893" s="102"/>
      <c r="G1893" s="103"/>
    </row>
    <row r="1894" spans="1:7" x14ac:dyDescent="0.25">
      <c r="A1894" s="101"/>
      <c r="B1894" s="66"/>
      <c r="C1894" s="98"/>
      <c r="D1894" s="98"/>
      <c r="E1894" s="98"/>
      <c r="F1894" s="102"/>
      <c r="G1894" s="103"/>
    </row>
    <row r="1895" spans="1:7" x14ac:dyDescent="0.25">
      <c r="A1895" s="101"/>
      <c r="B1895" s="36"/>
      <c r="C1895" s="98"/>
      <c r="D1895" s="98"/>
      <c r="E1895" s="98"/>
      <c r="F1895" s="102"/>
      <c r="G1895" s="103"/>
    </row>
    <row r="1896" spans="1:7" x14ac:dyDescent="0.25">
      <c r="A1896" s="101"/>
      <c r="B1896" s="36"/>
      <c r="C1896" s="98"/>
      <c r="D1896" s="98"/>
      <c r="E1896" s="98"/>
      <c r="F1896" s="102"/>
      <c r="G1896" s="103"/>
    </row>
    <row r="1897" spans="1:7" x14ac:dyDescent="0.25">
      <c r="A1897" s="101"/>
      <c r="B1897" s="36"/>
      <c r="C1897" s="98"/>
      <c r="D1897" s="98"/>
      <c r="E1897" s="98"/>
      <c r="F1897" s="102"/>
      <c r="G1897" s="103"/>
    </row>
    <row r="1898" spans="1:7" x14ac:dyDescent="0.25">
      <c r="A1898" s="101"/>
      <c r="B1898" s="36"/>
      <c r="C1898" s="98"/>
      <c r="D1898" s="98"/>
      <c r="E1898" s="98"/>
      <c r="F1898" s="102"/>
      <c r="G1898" s="103"/>
    </row>
    <row r="1899" spans="1:7" x14ac:dyDescent="0.25">
      <c r="A1899" s="101"/>
      <c r="B1899" s="36"/>
      <c r="C1899" s="98"/>
      <c r="D1899" s="98"/>
      <c r="E1899" s="98"/>
      <c r="F1899" s="102"/>
      <c r="G1899" s="103"/>
    </row>
    <row r="1900" spans="1:7" x14ac:dyDescent="0.25">
      <c r="A1900" s="101"/>
      <c r="B1900" s="36"/>
      <c r="C1900" s="98"/>
      <c r="D1900" s="98"/>
      <c r="E1900" s="98"/>
      <c r="F1900" s="102"/>
      <c r="G1900" s="103"/>
    </row>
    <row r="1901" spans="1:7" x14ac:dyDescent="0.25">
      <c r="A1901" s="101"/>
      <c r="B1901" s="36"/>
      <c r="C1901" s="98"/>
      <c r="D1901" s="98"/>
      <c r="E1901" s="98"/>
      <c r="F1901" s="102"/>
      <c r="G1901" s="103"/>
    </row>
    <row r="1902" spans="1:7" x14ac:dyDescent="0.25">
      <c r="A1902" s="101"/>
      <c r="B1902" s="36"/>
      <c r="C1902" s="98"/>
      <c r="D1902" s="98"/>
      <c r="E1902" s="98"/>
      <c r="F1902" s="102"/>
      <c r="G1902" s="103"/>
    </row>
    <row r="1903" spans="1:7" x14ac:dyDescent="0.25">
      <c r="A1903" s="101"/>
      <c r="B1903" s="36"/>
      <c r="C1903" s="98"/>
      <c r="D1903" s="98"/>
      <c r="E1903" s="98"/>
      <c r="F1903" s="102"/>
      <c r="G1903" s="103"/>
    </row>
    <row r="1904" spans="1:7" x14ac:dyDescent="0.25">
      <c r="A1904" s="101"/>
      <c r="B1904" s="36"/>
      <c r="C1904" s="98"/>
      <c r="D1904" s="98"/>
      <c r="E1904" s="98"/>
      <c r="F1904" s="102"/>
      <c r="G1904" s="103"/>
    </row>
    <row r="1905" spans="1:7" x14ac:dyDescent="0.25">
      <c r="A1905" s="101"/>
      <c r="B1905" s="36"/>
      <c r="C1905" s="98"/>
      <c r="D1905" s="98"/>
      <c r="E1905" s="98"/>
      <c r="F1905" s="102"/>
      <c r="G1905" s="103"/>
    </row>
    <row r="1906" spans="1:7" x14ac:dyDescent="0.25">
      <c r="A1906" s="101"/>
      <c r="B1906" s="36"/>
      <c r="C1906" s="98"/>
      <c r="D1906" s="98"/>
      <c r="E1906" s="98"/>
      <c r="F1906" s="102"/>
      <c r="G1906" s="103"/>
    </row>
    <row r="1907" spans="1:7" x14ac:dyDescent="0.25">
      <c r="A1907" s="101"/>
      <c r="B1907" s="36"/>
      <c r="C1907" s="98"/>
      <c r="D1907" s="98"/>
      <c r="E1907" s="98"/>
      <c r="F1907" s="102"/>
      <c r="G1907" s="103"/>
    </row>
    <row r="1908" spans="1:7" x14ac:dyDescent="0.25">
      <c r="A1908" s="101"/>
      <c r="B1908" s="36"/>
      <c r="C1908" s="98"/>
      <c r="D1908" s="98"/>
      <c r="E1908" s="98"/>
      <c r="F1908" s="102"/>
      <c r="G1908" s="103"/>
    </row>
    <row r="1909" spans="1:7" x14ac:dyDescent="0.25">
      <c r="A1909" s="101"/>
      <c r="B1909" s="36"/>
      <c r="C1909" s="98"/>
      <c r="D1909" s="98"/>
      <c r="E1909" s="98"/>
      <c r="F1909" s="102"/>
      <c r="G1909" s="103"/>
    </row>
    <row r="1910" spans="1:7" x14ac:dyDescent="0.25">
      <c r="A1910" s="101"/>
      <c r="B1910" s="36"/>
      <c r="C1910" s="98"/>
      <c r="D1910" s="98"/>
      <c r="E1910" s="98"/>
      <c r="F1910" s="102"/>
      <c r="G1910" s="103"/>
    </row>
    <row r="1911" spans="1:7" x14ac:dyDescent="0.25">
      <c r="A1911" s="101"/>
      <c r="B1911" s="36"/>
      <c r="C1911" s="98"/>
      <c r="D1911" s="98"/>
      <c r="E1911" s="98"/>
      <c r="F1911" s="102"/>
      <c r="G1911" s="103"/>
    </row>
    <row r="1912" spans="1:7" x14ac:dyDescent="0.25">
      <c r="A1912" s="101"/>
      <c r="B1912" s="36"/>
      <c r="C1912" s="98"/>
      <c r="D1912" s="98"/>
      <c r="E1912" s="98"/>
      <c r="F1912" s="102"/>
      <c r="G1912" s="103"/>
    </row>
    <row r="1913" spans="1:7" x14ac:dyDescent="0.25">
      <c r="A1913" s="101"/>
      <c r="B1913" s="36"/>
      <c r="C1913" s="98"/>
      <c r="D1913" s="98"/>
      <c r="E1913" s="98"/>
      <c r="F1913" s="102"/>
      <c r="G1913" s="103"/>
    </row>
    <row r="1914" spans="1:7" x14ac:dyDescent="0.25">
      <c r="A1914" s="101"/>
      <c r="B1914" s="36"/>
      <c r="C1914" s="98"/>
      <c r="D1914" s="98"/>
      <c r="E1914" s="98"/>
      <c r="F1914" s="102"/>
      <c r="G1914" s="103"/>
    </row>
    <row r="1915" spans="1:7" x14ac:dyDescent="0.25">
      <c r="A1915" s="101"/>
      <c r="B1915" s="67"/>
      <c r="C1915" s="98"/>
      <c r="D1915" s="98"/>
      <c r="E1915" s="98"/>
      <c r="F1915" s="102"/>
      <c r="G1915" s="103"/>
    </row>
    <row r="1916" spans="1:7" x14ac:dyDescent="0.25">
      <c r="A1916" s="101"/>
      <c r="B1916" s="36"/>
      <c r="C1916" s="98"/>
      <c r="D1916" s="98"/>
      <c r="E1916" s="98"/>
      <c r="F1916" s="102"/>
      <c r="G1916" s="103"/>
    </row>
    <row r="1917" spans="1:7" x14ac:dyDescent="0.25">
      <c r="A1917" s="101"/>
      <c r="B1917" s="36"/>
      <c r="C1917" s="98"/>
      <c r="D1917" s="98"/>
      <c r="E1917" s="98"/>
      <c r="F1917" s="102"/>
      <c r="G1917" s="103"/>
    </row>
    <row r="1918" spans="1:7" x14ac:dyDescent="0.25">
      <c r="A1918" s="101"/>
      <c r="B1918" s="36"/>
      <c r="C1918" s="98"/>
      <c r="D1918" s="98"/>
      <c r="E1918" s="98"/>
      <c r="F1918" s="102"/>
      <c r="G1918" s="103"/>
    </row>
    <row r="1919" spans="1:7" x14ac:dyDescent="0.25">
      <c r="A1919" s="101"/>
      <c r="B1919" s="36"/>
      <c r="C1919" s="98"/>
      <c r="D1919" s="98"/>
      <c r="E1919" s="98"/>
      <c r="F1919" s="102"/>
      <c r="G1919" s="103"/>
    </row>
    <row r="1920" spans="1:7" x14ac:dyDescent="0.25">
      <c r="A1920" s="101"/>
      <c r="B1920" s="36"/>
      <c r="C1920" s="98"/>
      <c r="D1920" s="98"/>
      <c r="E1920" s="98"/>
      <c r="F1920" s="102"/>
      <c r="G1920" s="103"/>
    </row>
    <row r="1921" spans="1:7" x14ac:dyDescent="0.25">
      <c r="A1921" s="101"/>
      <c r="B1921" s="36"/>
      <c r="C1921" s="98"/>
      <c r="D1921" s="98"/>
      <c r="E1921" s="98"/>
      <c r="F1921" s="102"/>
      <c r="G1921" s="103"/>
    </row>
    <row r="1922" spans="1:7" x14ac:dyDescent="0.25">
      <c r="A1922" s="101"/>
      <c r="B1922" s="36"/>
      <c r="C1922" s="98"/>
      <c r="D1922" s="98"/>
      <c r="E1922" s="98"/>
      <c r="F1922" s="102"/>
      <c r="G1922" s="103"/>
    </row>
    <row r="1923" spans="1:7" x14ac:dyDescent="0.25">
      <c r="A1923" s="101"/>
      <c r="B1923" s="36"/>
      <c r="C1923" s="98"/>
      <c r="D1923" s="98"/>
      <c r="E1923" s="98"/>
      <c r="F1923" s="102"/>
      <c r="G1923" s="103"/>
    </row>
    <row r="1924" spans="1:7" x14ac:dyDescent="0.25">
      <c r="A1924" s="101"/>
      <c r="B1924" s="36"/>
      <c r="C1924" s="98"/>
      <c r="D1924" s="98"/>
      <c r="E1924" s="98"/>
      <c r="F1924" s="102"/>
      <c r="G1924" s="103"/>
    </row>
    <row r="1925" spans="1:7" x14ac:dyDescent="0.25">
      <c r="A1925" s="101"/>
      <c r="B1925" s="36"/>
      <c r="C1925" s="98"/>
      <c r="D1925" s="98"/>
      <c r="E1925" s="98"/>
      <c r="F1925" s="102"/>
      <c r="G1925" s="103"/>
    </row>
    <row r="1926" spans="1:7" x14ac:dyDescent="0.25">
      <c r="A1926" s="101"/>
      <c r="B1926" s="36"/>
      <c r="C1926" s="98"/>
      <c r="D1926" s="98"/>
      <c r="E1926" s="98"/>
      <c r="F1926" s="102"/>
      <c r="G1926" s="103"/>
    </row>
    <row r="1927" spans="1:7" x14ac:dyDescent="0.25">
      <c r="A1927" s="101"/>
      <c r="B1927" s="36"/>
      <c r="C1927" s="98"/>
      <c r="D1927" s="98"/>
      <c r="E1927" s="98"/>
      <c r="F1927" s="102"/>
      <c r="G1927" s="103"/>
    </row>
    <row r="1928" spans="1:7" x14ac:dyDescent="0.25">
      <c r="A1928" s="101"/>
      <c r="B1928" s="36"/>
      <c r="C1928" s="98"/>
      <c r="D1928" s="98"/>
      <c r="E1928" s="98"/>
      <c r="F1928" s="102"/>
      <c r="G1928" s="103"/>
    </row>
    <row r="1929" spans="1:7" x14ac:dyDescent="0.25">
      <c r="A1929" s="101"/>
      <c r="B1929" s="36"/>
      <c r="C1929" s="98"/>
      <c r="D1929" s="98"/>
      <c r="E1929" s="98"/>
      <c r="F1929" s="102"/>
      <c r="G1929" s="103"/>
    </row>
    <row r="1930" spans="1:7" x14ac:dyDescent="0.25">
      <c r="A1930" s="101"/>
      <c r="B1930" s="36"/>
      <c r="C1930" s="98"/>
      <c r="D1930" s="98"/>
      <c r="E1930" s="98"/>
      <c r="F1930" s="102"/>
      <c r="G1930" s="103"/>
    </row>
    <row r="1931" spans="1:7" x14ac:dyDescent="0.25">
      <c r="A1931" s="101"/>
      <c r="B1931" s="36"/>
      <c r="C1931" s="98"/>
      <c r="D1931" s="98"/>
      <c r="E1931" s="98"/>
      <c r="F1931" s="102"/>
      <c r="G1931" s="103"/>
    </row>
    <row r="1932" spans="1:7" x14ac:dyDescent="0.25">
      <c r="A1932" s="101"/>
      <c r="B1932" s="67"/>
      <c r="C1932" s="98"/>
      <c r="D1932" s="98"/>
      <c r="E1932" s="98"/>
      <c r="F1932" s="102"/>
      <c r="G1932" s="103"/>
    </row>
    <row r="1933" spans="1:7" x14ac:dyDescent="0.25">
      <c r="A1933" s="101"/>
      <c r="B1933" s="36"/>
      <c r="C1933" s="98"/>
      <c r="D1933" s="98"/>
      <c r="E1933" s="98"/>
      <c r="F1933" s="102"/>
      <c r="G1933" s="103"/>
    </row>
    <row r="1934" spans="1:7" x14ac:dyDescent="0.25">
      <c r="A1934" s="101"/>
      <c r="B1934" s="36"/>
      <c r="C1934" s="98"/>
      <c r="D1934" s="98"/>
      <c r="E1934" s="98"/>
      <c r="F1934" s="102"/>
      <c r="G1934" s="103"/>
    </row>
    <row r="1935" spans="1:7" x14ac:dyDescent="0.25">
      <c r="A1935" s="101"/>
      <c r="B1935" s="36"/>
      <c r="C1935" s="98"/>
      <c r="D1935" s="98"/>
      <c r="E1935" s="98"/>
      <c r="F1935" s="102"/>
      <c r="G1935" s="103"/>
    </row>
    <row r="1936" spans="1:7" x14ac:dyDescent="0.25">
      <c r="A1936" s="101"/>
      <c r="B1936" s="36"/>
      <c r="C1936" s="98"/>
      <c r="D1936" s="98"/>
      <c r="E1936" s="98"/>
      <c r="F1936" s="102"/>
      <c r="G1936" s="103"/>
    </row>
    <row r="1937" spans="1:7" x14ac:dyDescent="0.25">
      <c r="A1937" s="101"/>
      <c r="B1937" s="36"/>
      <c r="C1937" s="98"/>
      <c r="D1937" s="98"/>
      <c r="E1937" s="98"/>
      <c r="F1937" s="102"/>
      <c r="G1937" s="103"/>
    </row>
    <row r="1938" spans="1:7" x14ac:dyDescent="0.25">
      <c r="A1938" s="101"/>
      <c r="B1938" s="36"/>
      <c r="C1938" s="98"/>
      <c r="D1938" s="98"/>
      <c r="E1938" s="98"/>
      <c r="F1938" s="102"/>
      <c r="G1938" s="103"/>
    </row>
    <row r="1939" spans="1:7" x14ac:dyDescent="0.25">
      <c r="A1939" s="101"/>
      <c r="B1939" s="36"/>
      <c r="C1939" s="98"/>
      <c r="D1939" s="98"/>
      <c r="E1939" s="98"/>
      <c r="F1939" s="102"/>
      <c r="G1939" s="103"/>
    </row>
    <row r="1940" spans="1:7" x14ac:dyDescent="0.25">
      <c r="A1940" s="101"/>
      <c r="B1940" s="36"/>
      <c r="C1940" s="98"/>
      <c r="D1940" s="98"/>
      <c r="E1940" s="98"/>
      <c r="F1940" s="102"/>
      <c r="G1940" s="103"/>
    </row>
    <row r="1941" spans="1:7" x14ac:dyDescent="0.25">
      <c r="A1941" s="101"/>
      <c r="B1941" s="36"/>
      <c r="C1941" s="98"/>
      <c r="D1941" s="98"/>
      <c r="E1941" s="98"/>
      <c r="F1941" s="102"/>
      <c r="G1941" s="103"/>
    </row>
    <row r="1942" spans="1:7" x14ac:dyDescent="0.25">
      <c r="A1942" s="101"/>
      <c r="B1942" s="36"/>
      <c r="C1942" s="98"/>
      <c r="D1942" s="98"/>
      <c r="E1942" s="98"/>
      <c r="F1942" s="102"/>
      <c r="G1942" s="103"/>
    </row>
    <row r="1943" spans="1:7" x14ac:dyDescent="0.25">
      <c r="A1943" s="101"/>
      <c r="B1943" s="36"/>
      <c r="C1943" s="98"/>
      <c r="D1943" s="98"/>
      <c r="E1943" s="98"/>
      <c r="F1943" s="102"/>
      <c r="G1943" s="103"/>
    </row>
    <row r="1944" spans="1:7" x14ac:dyDescent="0.25">
      <c r="A1944" s="101"/>
      <c r="B1944" s="36"/>
      <c r="C1944" s="98"/>
      <c r="D1944" s="98"/>
      <c r="E1944" s="98"/>
      <c r="F1944" s="102"/>
      <c r="G1944" s="103"/>
    </row>
    <row r="1945" spans="1:7" x14ac:dyDescent="0.25">
      <c r="A1945" s="101"/>
      <c r="B1945" s="36"/>
      <c r="C1945" s="98"/>
      <c r="D1945" s="98"/>
      <c r="E1945" s="98"/>
      <c r="F1945" s="102"/>
      <c r="G1945" s="103"/>
    </row>
    <row r="1946" spans="1:7" x14ac:dyDescent="0.25">
      <c r="A1946" s="101"/>
      <c r="B1946" s="36"/>
      <c r="C1946" s="98"/>
      <c r="D1946" s="98"/>
      <c r="E1946" s="98"/>
      <c r="F1946" s="102"/>
      <c r="G1946" s="103"/>
    </row>
    <row r="1947" spans="1:7" x14ac:dyDescent="0.25">
      <c r="A1947" s="101"/>
      <c r="B1947" s="36"/>
      <c r="C1947" s="98"/>
      <c r="D1947" s="98"/>
      <c r="E1947" s="98"/>
      <c r="F1947" s="102"/>
      <c r="G1947" s="103"/>
    </row>
    <row r="1948" spans="1:7" x14ac:dyDescent="0.25">
      <c r="A1948" s="101"/>
      <c r="B1948" s="36"/>
      <c r="C1948" s="98"/>
      <c r="D1948" s="98"/>
      <c r="E1948" s="98"/>
      <c r="F1948" s="102"/>
      <c r="G1948" s="103"/>
    </row>
    <row r="1949" spans="1:7" x14ac:dyDescent="0.25">
      <c r="A1949" s="101"/>
      <c r="B1949" s="36"/>
      <c r="C1949" s="98"/>
      <c r="D1949" s="98"/>
      <c r="E1949" s="98"/>
      <c r="F1949" s="102"/>
      <c r="G1949" s="103"/>
    </row>
    <row r="1950" spans="1:7" x14ac:dyDescent="0.25">
      <c r="A1950" s="101"/>
      <c r="B1950" s="36"/>
      <c r="C1950" s="98"/>
      <c r="D1950" s="98"/>
      <c r="E1950" s="98"/>
      <c r="F1950" s="102"/>
      <c r="G1950" s="103"/>
    </row>
    <row r="1951" spans="1:7" x14ac:dyDescent="0.25">
      <c r="A1951" s="101"/>
      <c r="B1951" s="36"/>
      <c r="C1951" s="98"/>
      <c r="D1951" s="98"/>
      <c r="E1951" s="98"/>
      <c r="F1951" s="102"/>
      <c r="G1951" s="103"/>
    </row>
    <row r="1952" spans="1:7" x14ac:dyDescent="0.25">
      <c r="A1952" s="101"/>
      <c r="B1952" s="36"/>
      <c r="C1952" s="98"/>
      <c r="D1952" s="98"/>
      <c r="E1952" s="98"/>
      <c r="F1952" s="102"/>
      <c r="G1952" s="103"/>
    </row>
    <row r="1953" spans="1:7" x14ac:dyDescent="0.25">
      <c r="A1953" s="101"/>
      <c r="B1953" s="36"/>
      <c r="C1953" s="98"/>
      <c r="D1953" s="98"/>
      <c r="E1953" s="98"/>
      <c r="F1953" s="102"/>
      <c r="G1953" s="103"/>
    </row>
    <row r="1954" spans="1:7" x14ac:dyDescent="0.25">
      <c r="A1954" s="101"/>
      <c r="B1954" s="36"/>
      <c r="C1954" s="98"/>
      <c r="D1954" s="98"/>
      <c r="E1954" s="98"/>
      <c r="F1954" s="102"/>
      <c r="G1954" s="103"/>
    </row>
    <row r="1955" spans="1:7" x14ac:dyDescent="0.25">
      <c r="A1955" s="101"/>
      <c r="B1955" s="36"/>
      <c r="C1955" s="98"/>
      <c r="D1955" s="98"/>
      <c r="E1955" s="98"/>
      <c r="F1955" s="102"/>
      <c r="G1955" s="103"/>
    </row>
    <row r="1956" spans="1:7" x14ac:dyDescent="0.25">
      <c r="A1956" s="101"/>
      <c r="B1956" s="36"/>
      <c r="C1956" s="98"/>
      <c r="D1956" s="98"/>
      <c r="E1956" s="98"/>
      <c r="F1956" s="102"/>
      <c r="G1956" s="103"/>
    </row>
    <row r="1957" spans="1:7" x14ac:dyDescent="0.25">
      <c r="A1957" s="101"/>
      <c r="B1957" s="36"/>
      <c r="C1957" s="98"/>
      <c r="D1957" s="98"/>
      <c r="E1957" s="98"/>
      <c r="F1957" s="102"/>
      <c r="G1957" s="103"/>
    </row>
    <row r="1958" spans="1:7" x14ac:dyDescent="0.25">
      <c r="A1958" s="101"/>
      <c r="B1958" s="36"/>
      <c r="C1958" s="98"/>
      <c r="D1958" s="98"/>
      <c r="E1958" s="98"/>
      <c r="F1958" s="102"/>
      <c r="G1958" s="103"/>
    </row>
    <row r="1959" spans="1:7" x14ac:dyDescent="0.25">
      <c r="A1959" s="101"/>
      <c r="B1959" s="36"/>
      <c r="C1959" s="98"/>
      <c r="D1959" s="98"/>
      <c r="E1959" s="98"/>
      <c r="F1959" s="102"/>
      <c r="G1959" s="103"/>
    </row>
    <row r="1960" spans="1:7" x14ac:dyDescent="0.25">
      <c r="A1960" s="101"/>
      <c r="B1960" s="36"/>
      <c r="C1960" s="98"/>
      <c r="D1960" s="98"/>
      <c r="E1960" s="98"/>
      <c r="F1960" s="102"/>
      <c r="G1960" s="103"/>
    </row>
    <row r="1961" spans="1:7" x14ac:dyDescent="0.25">
      <c r="A1961" s="101"/>
      <c r="B1961" s="36"/>
      <c r="C1961" s="98"/>
      <c r="D1961" s="98"/>
      <c r="E1961" s="98"/>
      <c r="F1961" s="102"/>
      <c r="G1961" s="103"/>
    </row>
    <row r="1962" spans="1:7" x14ac:dyDescent="0.25">
      <c r="A1962" s="101"/>
      <c r="B1962" s="36"/>
      <c r="C1962" s="98"/>
      <c r="D1962" s="98"/>
      <c r="E1962" s="98"/>
      <c r="F1962" s="102"/>
      <c r="G1962" s="103"/>
    </row>
    <row r="1963" spans="1:7" x14ac:dyDescent="0.25">
      <c r="A1963" s="101"/>
      <c r="B1963" s="36"/>
      <c r="C1963" s="98"/>
      <c r="D1963" s="98"/>
      <c r="E1963" s="98"/>
      <c r="F1963" s="102"/>
      <c r="G1963" s="103"/>
    </row>
    <row r="1964" spans="1:7" x14ac:dyDescent="0.25">
      <c r="A1964" s="101"/>
      <c r="B1964" s="36"/>
      <c r="C1964" s="98"/>
      <c r="D1964" s="98"/>
      <c r="E1964" s="98"/>
      <c r="F1964" s="102"/>
      <c r="G1964" s="103"/>
    </row>
    <row r="1965" spans="1:7" x14ac:dyDescent="0.25">
      <c r="A1965" s="101"/>
      <c r="B1965" s="36"/>
      <c r="C1965" s="98"/>
      <c r="D1965" s="98"/>
      <c r="E1965" s="98"/>
      <c r="F1965" s="102"/>
      <c r="G1965" s="103"/>
    </row>
    <row r="1966" spans="1:7" x14ac:dyDescent="0.25">
      <c r="A1966" s="101"/>
      <c r="B1966" s="36"/>
      <c r="C1966" s="98"/>
      <c r="D1966" s="98"/>
      <c r="E1966" s="98"/>
      <c r="F1966" s="102"/>
      <c r="G1966" s="103"/>
    </row>
    <row r="1967" spans="1:7" x14ac:dyDescent="0.25">
      <c r="A1967" s="101"/>
      <c r="B1967" s="36"/>
      <c r="C1967" s="98"/>
      <c r="D1967" s="98"/>
      <c r="E1967" s="98"/>
      <c r="F1967" s="102"/>
      <c r="G1967" s="103"/>
    </row>
    <row r="1968" spans="1:7" x14ac:dyDescent="0.25">
      <c r="A1968" s="101"/>
      <c r="B1968" s="36"/>
      <c r="C1968" s="98"/>
      <c r="D1968" s="98"/>
      <c r="E1968" s="98"/>
      <c r="F1968" s="102"/>
      <c r="G1968" s="103"/>
    </row>
    <row r="1969" spans="1:7" x14ac:dyDescent="0.25">
      <c r="A1969" s="101"/>
      <c r="B1969" s="36"/>
      <c r="C1969" s="98"/>
      <c r="D1969" s="98"/>
      <c r="E1969" s="98"/>
      <c r="F1969" s="102"/>
      <c r="G1969" s="103"/>
    </row>
    <row r="1970" spans="1:7" x14ac:dyDescent="0.25">
      <c r="A1970" s="101"/>
      <c r="B1970" s="36"/>
      <c r="C1970" s="98"/>
      <c r="D1970" s="98"/>
      <c r="E1970" s="98"/>
      <c r="F1970" s="102"/>
      <c r="G1970" s="103"/>
    </row>
    <row r="1971" spans="1:7" x14ac:dyDescent="0.25">
      <c r="A1971" s="101"/>
      <c r="B1971" s="36"/>
      <c r="C1971" s="98"/>
      <c r="D1971" s="98"/>
      <c r="E1971" s="98"/>
      <c r="F1971" s="102"/>
      <c r="G1971" s="103"/>
    </row>
    <row r="1972" spans="1:7" x14ac:dyDescent="0.25">
      <c r="A1972" s="101"/>
      <c r="B1972" s="36"/>
      <c r="C1972" s="98"/>
      <c r="D1972" s="98"/>
      <c r="E1972" s="98"/>
      <c r="F1972" s="102"/>
      <c r="G1972" s="103"/>
    </row>
    <row r="1973" spans="1:7" x14ac:dyDescent="0.25">
      <c r="A1973" s="101"/>
      <c r="B1973" s="36"/>
      <c r="C1973" s="98"/>
      <c r="D1973" s="98"/>
      <c r="E1973" s="98"/>
      <c r="F1973" s="102"/>
      <c r="G1973" s="103"/>
    </row>
    <row r="1974" spans="1:7" x14ac:dyDescent="0.25">
      <c r="A1974" s="101"/>
      <c r="B1974" s="36"/>
      <c r="C1974" s="98"/>
      <c r="D1974" s="98"/>
      <c r="E1974" s="98"/>
      <c r="F1974" s="102"/>
      <c r="G1974" s="103"/>
    </row>
    <row r="1975" spans="1:7" x14ac:dyDescent="0.25">
      <c r="A1975" s="101"/>
      <c r="B1975" s="36"/>
      <c r="C1975" s="98"/>
      <c r="D1975" s="98"/>
      <c r="E1975" s="98"/>
      <c r="F1975" s="102"/>
      <c r="G1975" s="103"/>
    </row>
    <row r="1976" spans="1:7" x14ac:dyDescent="0.25">
      <c r="A1976" s="101"/>
      <c r="B1976" s="36"/>
      <c r="C1976" s="98"/>
      <c r="D1976" s="98"/>
      <c r="E1976" s="98"/>
      <c r="F1976" s="102"/>
      <c r="G1976" s="103"/>
    </row>
    <row r="1977" spans="1:7" x14ac:dyDescent="0.25">
      <c r="A1977" s="101"/>
      <c r="B1977" s="36"/>
      <c r="C1977" s="98"/>
      <c r="D1977" s="98"/>
      <c r="E1977" s="98"/>
      <c r="F1977" s="102"/>
      <c r="G1977" s="103"/>
    </row>
    <row r="1978" spans="1:7" x14ac:dyDescent="0.25">
      <c r="A1978" s="101"/>
      <c r="B1978" s="36"/>
      <c r="C1978" s="98"/>
      <c r="D1978" s="98"/>
      <c r="E1978" s="98"/>
      <c r="F1978" s="102"/>
      <c r="G1978" s="103"/>
    </row>
    <row r="1979" spans="1:7" x14ac:dyDescent="0.25">
      <c r="A1979" s="101"/>
      <c r="B1979" s="36"/>
      <c r="C1979" s="98"/>
      <c r="D1979" s="98"/>
      <c r="E1979" s="98"/>
      <c r="F1979" s="102"/>
      <c r="G1979" s="103"/>
    </row>
    <row r="1980" spans="1:7" x14ac:dyDescent="0.25">
      <c r="A1980" s="101"/>
      <c r="B1980" s="36"/>
      <c r="C1980" s="98"/>
      <c r="D1980" s="98"/>
      <c r="E1980" s="98"/>
      <c r="F1980" s="102"/>
      <c r="G1980" s="103"/>
    </row>
    <row r="1981" spans="1:7" x14ac:dyDescent="0.25">
      <c r="A1981" s="101"/>
      <c r="B1981" s="36"/>
      <c r="C1981" s="98"/>
      <c r="D1981" s="98"/>
      <c r="E1981" s="98"/>
      <c r="F1981" s="102"/>
      <c r="G1981" s="103"/>
    </row>
    <row r="1982" spans="1:7" x14ac:dyDescent="0.25">
      <c r="A1982" s="101"/>
      <c r="B1982" s="36"/>
      <c r="C1982" s="98"/>
      <c r="D1982" s="98"/>
      <c r="E1982" s="98"/>
      <c r="F1982" s="102"/>
      <c r="G1982" s="103"/>
    </row>
    <row r="1983" spans="1:7" x14ac:dyDescent="0.25">
      <c r="A1983" s="101"/>
      <c r="B1983" s="36"/>
      <c r="C1983" s="98"/>
      <c r="D1983" s="98"/>
      <c r="E1983" s="98"/>
      <c r="F1983" s="102"/>
      <c r="G1983" s="103"/>
    </row>
    <row r="1984" spans="1:7" x14ac:dyDescent="0.25">
      <c r="A1984" s="101"/>
      <c r="B1984" s="36"/>
      <c r="C1984" s="98"/>
      <c r="D1984" s="98"/>
      <c r="E1984" s="98"/>
      <c r="F1984" s="102"/>
      <c r="G1984" s="103"/>
    </row>
    <row r="1985" spans="1:7" x14ac:dyDescent="0.25">
      <c r="A1985" s="101"/>
      <c r="B1985" s="36"/>
      <c r="C1985" s="98"/>
      <c r="D1985" s="98"/>
      <c r="E1985" s="98"/>
      <c r="F1985" s="102"/>
      <c r="G1985" s="103"/>
    </row>
    <row r="1986" spans="1:7" x14ac:dyDescent="0.25">
      <c r="A1986" s="101"/>
      <c r="B1986" s="67"/>
      <c r="C1986" s="98"/>
      <c r="D1986" s="98"/>
      <c r="E1986" s="98"/>
      <c r="F1986" s="102"/>
      <c r="G1986" s="103"/>
    </row>
    <row r="1987" spans="1:7" x14ac:dyDescent="0.25">
      <c r="A1987" s="101"/>
      <c r="B1987" s="36"/>
      <c r="C1987" s="98"/>
      <c r="D1987" s="98"/>
      <c r="E1987" s="98"/>
      <c r="F1987" s="102"/>
      <c r="G1987" s="103"/>
    </row>
    <row r="1988" spans="1:7" x14ac:dyDescent="0.25">
      <c r="A1988" s="101"/>
      <c r="B1988" s="36"/>
      <c r="C1988" s="98"/>
      <c r="D1988" s="98"/>
      <c r="E1988" s="98"/>
      <c r="F1988" s="102"/>
      <c r="G1988" s="103"/>
    </row>
    <row r="1989" spans="1:7" x14ac:dyDescent="0.25">
      <c r="A1989" s="101"/>
      <c r="B1989" s="36"/>
      <c r="C1989" s="98"/>
      <c r="D1989" s="98"/>
      <c r="E1989" s="98"/>
      <c r="F1989" s="102"/>
      <c r="G1989" s="103"/>
    </row>
    <row r="1990" spans="1:7" x14ac:dyDescent="0.25">
      <c r="A1990" s="101"/>
      <c r="B1990" s="66"/>
      <c r="C1990" s="98"/>
      <c r="D1990" s="98"/>
      <c r="E1990" s="98"/>
      <c r="F1990" s="102"/>
      <c r="G1990" s="103"/>
    </row>
    <row r="1991" spans="1:7" x14ac:dyDescent="0.25">
      <c r="A1991" s="101"/>
      <c r="B1991" s="36"/>
      <c r="C1991" s="98"/>
      <c r="D1991" s="98"/>
      <c r="E1991" s="98"/>
      <c r="F1991" s="102"/>
      <c r="G1991" s="103"/>
    </row>
    <row r="1992" spans="1:7" x14ac:dyDescent="0.25">
      <c r="A1992" s="101"/>
      <c r="B1992" s="36"/>
      <c r="C1992" s="98"/>
      <c r="D1992" s="98"/>
      <c r="E1992" s="98"/>
      <c r="F1992" s="102"/>
      <c r="G1992" s="103"/>
    </row>
    <row r="1993" spans="1:7" x14ac:dyDescent="0.25">
      <c r="A1993" s="101"/>
      <c r="B1993" s="36"/>
      <c r="C1993" s="98"/>
      <c r="D1993" s="98"/>
      <c r="E1993" s="98"/>
      <c r="F1993" s="102"/>
      <c r="G1993" s="103"/>
    </row>
    <row r="1994" spans="1:7" x14ac:dyDescent="0.25">
      <c r="A1994" s="101"/>
      <c r="B1994" s="36"/>
      <c r="C1994" s="98"/>
      <c r="D1994" s="98"/>
      <c r="E1994" s="98"/>
      <c r="F1994" s="102"/>
      <c r="G1994" s="103"/>
    </row>
    <row r="1995" spans="1:7" x14ac:dyDescent="0.25">
      <c r="A1995" s="101"/>
      <c r="B1995" s="36"/>
      <c r="C1995" s="98"/>
      <c r="D1995" s="98"/>
      <c r="E1995" s="98"/>
      <c r="F1995" s="102"/>
      <c r="G1995" s="103"/>
    </row>
    <row r="1996" spans="1:7" x14ac:dyDescent="0.25">
      <c r="A1996" s="101"/>
      <c r="B1996" s="36"/>
      <c r="C1996" s="98"/>
      <c r="D1996" s="98"/>
      <c r="E1996" s="98"/>
      <c r="F1996" s="102"/>
      <c r="G1996" s="103"/>
    </row>
    <row r="1997" spans="1:7" x14ac:dyDescent="0.25">
      <c r="A1997" s="101"/>
      <c r="B1997" s="36"/>
      <c r="C1997" s="98"/>
      <c r="D1997" s="98"/>
      <c r="E1997" s="98"/>
      <c r="F1997" s="102"/>
      <c r="G1997" s="103"/>
    </row>
    <row r="1998" spans="1:7" x14ac:dyDescent="0.25">
      <c r="A1998" s="101"/>
      <c r="B1998" s="36"/>
      <c r="C1998" s="98"/>
      <c r="D1998" s="98"/>
      <c r="E1998" s="98"/>
      <c r="F1998" s="102"/>
      <c r="G1998" s="103"/>
    </row>
    <row r="1999" spans="1:7" x14ac:dyDescent="0.25">
      <c r="A1999" s="101"/>
      <c r="B1999" s="36"/>
      <c r="C1999" s="98"/>
      <c r="D1999" s="98"/>
      <c r="E1999" s="98"/>
      <c r="F1999" s="102"/>
      <c r="G1999" s="103"/>
    </row>
    <row r="2000" spans="1:7" x14ac:dyDescent="0.25">
      <c r="A2000" s="101"/>
      <c r="B2000" s="36"/>
      <c r="C2000" s="98"/>
      <c r="D2000" s="98"/>
      <c r="E2000" s="98"/>
      <c r="F2000" s="102"/>
      <c r="G2000" s="103"/>
    </row>
    <row r="2001" spans="1:7" x14ac:dyDescent="0.25">
      <c r="A2001" s="101"/>
      <c r="B2001" s="36"/>
      <c r="C2001" s="98"/>
      <c r="D2001" s="98"/>
      <c r="E2001" s="98"/>
      <c r="F2001" s="102"/>
      <c r="G2001" s="103"/>
    </row>
    <row r="2002" spans="1:7" x14ac:dyDescent="0.25">
      <c r="A2002" s="101"/>
      <c r="B2002" s="36"/>
      <c r="C2002" s="98"/>
      <c r="D2002" s="98"/>
      <c r="E2002" s="98"/>
      <c r="F2002" s="102"/>
      <c r="G2002" s="103"/>
    </row>
    <row r="2003" spans="1:7" x14ac:dyDescent="0.25">
      <c r="A2003" s="101"/>
      <c r="B2003" s="36"/>
      <c r="C2003" s="98"/>
      <c r="D2003" s="98"/>
      <c r="E2003" s="98"/>
      <c r="F2003" s="102"/>
      <c r="G2003" s="103"/>
    </row>
    <row r="2004" spans="1:7" x14ac:dyDescent="0.25">
      <c r="A2004" s="101"/>
      <c r="B2004" s="36"/>
      <c r="C2004" s="98"/>
      <c r="D2004" s="98"/>
      <c r="E2004" s="98"/>
      <c r="F2004" s="102"/>
      <c r="G2004" s="103"/>
    </row>
    <row r="2005" spans="1:7" x14ac:dyDescent="0.25">
      <c r="A2005" s="101"/>
      <c r="B2005" s="36"/>
      <c r="C2005" s="98"/>
      <c r="D2005" s="98"/>
      <c r="E2005" s="98"/>
      <c r="F2005" s="102"/>
      <c r="G2005" s="103"/>
    </row>
    <row r="2006" spans="1:7" x14ac:dyDescent="0.25">
      <c r="A2006" s="101"/>
      <c r="B2006" s="36"/>
      <c r="C2006" s="98"/>
      <c r="D2006" s="98"/>
      <c r="E2006" s="98"/>
      <c r="F2006" s="102"/>
      <c r="G2006" s="103"/>
    </row>
    <row r="2007" spans="1:7" x14ac:dyDescent="0.25">
      <c r="A2007" s="101"/>
      <c r="B2007" s="36"/>
      <c r="C2007" s="98"/>
      <c r="D2007" s="98"/>
      <c r="E2007" s="98"/>
      <c r="F2007" s="102"/>
      <c r="G2007" s="103"/>
    </row>
    <row r="2008" spans="1:7" x14ac:dyDescent="0.25">
      <c r="A2008" s="101"/>
      <c r="B2008" s="36"/>
      <c r="C2008" s="98"/>
      <c r="D2008" s="98"/>
      <c r="E2008" s="98"/>
      <c r="F2008" s="102"/>
      <c r="G2008" s="103"/>
    </row>
    <row r="2009" spans="1:7" x14ac:dyDescent="0.25">
      <c r="A2009" s="101"/>
      <c r="B2009" s="36"/>
      <c r="C2009" s="98"/>
      <c r="D2009" s="98"/>
      <c r="E2009" s="98"/>
      <c r="F2009" s="102"/>
      <c r="G2009" s="103"/>
    </row>
    <row r="2010" spans="1:7" x14ac:dyDescent="0.25">
      <c r="A2010" s="101"/>
      <c r="B2010" s="36"/>
      <c r="C2010" s="98"/>
      <c r="D2010" s="98"/>
      <c r="E2010" s="98"/>
      <c r="F2010" s="102"/>
      <c r="G2010" s="103"/>
    </row>
    <row r="2011" spans="1:7" x14ac:dyDescent="0.25">
      <c r="A2011" s="101"/>
      <c r="B2011" s="36"/>
      <c r="C2011" s="98"/>
      <c r="D2011" s="98"/>
      <c r="E2011" s="98"/>
      <c r="F2011" s="102"/>
      <c r="G2011" s="103"/>
    </row>
    <row r="2012" spans="1:7" x14ac:dyDescent="0.25">
      <c r="A2012" s="101"/>
      <c r="B2012" s="36"/>
      <c r="C2012" s="98"/>
      <c r="D2012" s="98"/>
      <c r="E2012" s="98"/>
      <c r="F2012" s="102"/>
      <c r="G2012" s="103"/>
    </row>
    <row r="2013" spans="1:7" x14ac:dyDescent="0.25">
      <c r="A2013" s="101"/>
      <c r="B2013" s="36"/>
      <c r="C2013" s="98"/>
      <c r="D2013" s="98"/>
      <c r="E2013" s="98"/>
      <c r="F2013" s="102"/>
      <c r="G2013" s="103"/>
    </row>
    <row r="2014" spans="1:7" x14ac:dyDescent="0.25">
      <c r="A2014" s="101"/>
      <c r="B2014" s="36"/>
      <c r="C2014" s="98"/>
      <c r="D2014" s="98"/>
      <c r="E2014" s="98"/>
      <c r="F2014" s="102"/>
      <c r="G2014" s="103"/>
    </row>
    <row r="2015" spans="1:7" x14ac:dyDescent="0.25">
      <c r="A2015" s="101"/>
      <c r="B2015" s="36"/>
      <c r="C2015" s="98"/>
      <c r="D2015" s="98"/>
      <c r="E2015" s="98"/>
      <c r="F2015" s="102"/>
      <c r="G2015" s="103"/>
    </row>
    <row r="2016" spans="1:7" x14ac:dyDescent="0.25">
      <c r="A2016" s="101"/>
      <c r="B2016" s="36"/>
      <c r="C2016" s="98"/>
      <c r="D2016" s="98"/>
      <c r="E2016" s="98"/>
      <c r="F2016" s="102"/>
      <c r="G2016" s="103"/>
    </row>
    <row r="2017" spans="1:7" x14ac:dyDescent="0.25">
      <c r="A2017" s="101"/>
      <c r="B2017" s="36"/>
      <c r="C2017" s="98"/>
      <c r="D2017" s="98"/>
      <c r="E2017" s="98"/>
      <c r="F2017" s="102"/>
      <c r="G2017" s="103"/>
    </row>
    <row r="2018" spans="1:7" x14ac:dyDescent="0.25">
      <c r="A2018" s="101"/>
      <c r="B2018" s="36"/>
      <c r="C2018" s="98"/>
      <c r="D2018" s="98"/>
      <c r="E2018" s="98"/>
      <c r="F2018" s="102"/>
      <c r="G2018" s="103"/>
    </row>
    <row r="2019" spans="1:7" x14ac:dyDescent="0.25">
      <c r="A2019" s="101"/>
      <c r="B2019" s="36"/>
      <c r="C2019" s="98"/>
      <c r="D2019" s="98"/>
      <c r="E2019" s="98"/>
      <c r="F2019" s="102"/>
      <c r="G2019" s="103"/>
    </row>
    <row r="2020" spans="1:7" x14ac:dyDescent="0.25">
      <c r="A2020" s="101"/>
      <c r="B2020" s="36"/>
      <c r="C2020" s="98"/>
      <c r="D2020" s="98"/>
      <c r="E2020" s="98"/>
      <c r="F2020" s="102"/>
      <c r="G2020" s="103"/>
    </row>
    <row r="2021" spans="1:7" x14ac:dyDescent="0.25">
      <c r="A2021" s="101"/>
      <c r="B2021" s="67"/>
      <c r="C2021" s="98"/>
      <c r="D2021" s="98"/>
      <c r="E2021" s="98"/>
      <c r="F2021" s="102"/>
      <c r="G2021" s="103"/>
    </row>
    <row r="2022" spans="1:7" x14ac:dyDescent="0.25">
      <c r="A2022" s="101"/>
      <c r="B2022" s="36"/>
      <c r="C2022" s="98"/>
      <c r="D2022" s="98"/>
      <c r="E2022" s="98"/>
      <c r="F2022" s="102"/>
      <c r="G2022" s="103"/>
    </row>
    <row r="2023" spans="1:7" x14ac:dyDescent="0.25">
      <c r="A2023" s="101"/>
      <c r="B2023" s="36"/>
      <c r="C2023" s="98"/>
      <c r="D2023" s="98"/>
      <c r="E2023" s="98"/>
      <c r="F2023" s="102"/>
      <c r="G2023" s="103"/>
    </row>
    <row r="2024" spans="1:7" x14ac:dyDescent="0.25">
      <c r="A2024" s="101"/>
      <c r="B2024" s="36"/>
      <c r="C2024" s="98"/>
      <c r="D2024" s="98"/>
      <c r="E2024" s="98"/>
      <c r="F2024" s="102"/>
      <c r="G2024" s="103"/>
    </row>
    <row r="2025" spans="1:7" x14ac:dyDescent="0.25">
      <c r="A2025" s="101"/>
      <c r="B2025" s="36"/>
      <c r="C2025" s="98"/>
      <c r="D2025" s="98"/>
      <c r="E2025" s="98"/>
      <c r="F2025" s="102"/>
      <c r="G2025" s="103"/>
    </row>
    <row r="2026" spans="1:7" x14ac:dyDescent="0.25">
      <c r="A2026" s="101"/>
      <c r="B2026" s="36"/>
      <c r="C2026" s="98"/>
      <c r="D2026" s="98"/>
      <c r="E2026" s="98"/>
      <c r="F2026" s="102"/>
      <c r="G2026" s="103"/>
    </row>
    <row r="2027" spans="1:7" x14ac:dyDescent="0.25">
      <c r="A2027" s="101"/>
      <c r="B2027" s="36"/>
      <c r="C2027" s="98"/>
      <c r="D2027" s="98"/>
      <c r="E2027" s="98"/>
      <c r="F2027" s="102"/>
      <c r="G2027" s="103"/>
    </row>
    <row r="2028" spans="1:7" x14ac:dyDescent="0.25">
      <c r="A2028" s="101"/>
      <c r="B2028" s="36"/>
      <c r="C2028" s="98"/>
      <c r="D2028" s="98"/>
      <c r="E2028" s="98"/>
      <c r="F2028" s="102"/>
      <c r="G2028" s="103"/>
    </row>
    <row r="2029" spans="1:7" x14ac:dyDescent="0.25">
      <c r="A2029" s="101"/>
      <c r="B2029" s="36"/>
      <c r="C2029" s="98"/>
      <c r="D2029" s="98"/>
      <c r="E2029" s="98"/>
      <c r="F2029" s="102"/>
      <c r="G2029" s="103"/>
    </row>
    <row r="2030" spans="1:7" x14ac:dyDescent="0.25">
      <c r="A2030" s="101"/>
      <c r="B2030" s="36"/>
      <c r="C2030" s="98"/>
      <c r="D2030" s="98"/>
      <c r="E2030" s="98"/>
      <c r="F2030" s="102"/>
      <c r="G2030" s="103"/>
    </row>
    <row r="2031" spans="1:7" x14ac:dyDescent="0.25">
      <c r="A2031" s="101"/>
      <c r="B2031" s="36"/>
      <c r="C2031" s="98"/>
      <c r="D2031" s="98"/>
      <c r="E2031" s="98"/>
      <c r="F2031" s="102"/>
      <c r="G2031" s="103"/>
    </row>
    <row r="2032" spans="1:7" x14ac:dyDescent="0.25">
      <c r="A2032" s="101"/>
      <c r="B2032" s="36"/>
      <c r="C2032" s="98"/>
      <c r="D2032" s="98"/>
      <c r="E2032" s="98"/>
      <c r="F2032" s="102"/>
      <c r="G2032" s="103"/>
    </row>
    <row r="2033" spans="1:7" x14ac:dyDescent="0.25">
      <c r="A2033" s="101"/>
      <c r="B2033" s="36"/>
      <c r="C2033" s="98"/>
      <c r="D2033" s="98"/>
      <c r="E2033" s="98"/>
      <c r="F2033" s="102"/>
      <c r="G2033" s="103"/>
    </row>
    <row r="2034" spans="1:7" x14ac:dyDescent="0.25">
      <c r="A2034" s="101"/>
      <c r="B2034" s="36"/>
      <c r="C2034" s="98"/>
      <c r="D2034" s="98"/>
      <c r="E2034" s="98"/>
      <c r="F2034" s="102"/>
      <c r="G2034" s="103"/>
    </row>
    <row r="2035" spans="1:7" x14ac:dyDescent="0.25">
      <c r="A2035" s="101"/>
      <c r="B2035" s="36"/>
      <c r="C2035" s="98"/>
      <c r="D2035" s="98"/>
      <c r="E2035" s="98"/>
      <c r="F2035" s="102"/>
      <c r="G2035" s="103"/>
    </row>
    <row r="2036" spans="1:7" x14ac:dyDescent="0.25">
      <c r="A2036" s="101"/>
      <c r="B2036" s="36"/>
      <c r="C2036" s="98"/>
      <c r="D2036" s="98"/>
      <c r="E2036" s="98"/>
      <c r="F2036" s="102"/>
      <c r="G2036" s="103"/>
    </row>
    <row r="2037" spans="1:7" x14ac:dyDescent="0.25">
      <c r="A2037" s="101"/>
      <c r="B2037" s="36"/>
      <c r="C2037" s="98"/>
      <c r="D2037" s="98"/>
      <c r="E2037" s="98"/>
      <c r="F2037" s="102"/>
      <c r="G2037" s="103"/>
    </row>
    <row r="2038" spans="1:7" x14ac:dyDescent="0.25">
      <c r="A2038" s="101"/>
      <c r="B2038" s="36"/>
      <c r="C2038" s="98"/>
      <c r="D2038" s="98"/>
      <c r="E2038" s="98"/>
      <c r="F2038" s="102"/>
      <c r="G2038" s="103"/>
    </row>
    <row r="2039" spans="1:7" x14ac:dyDescent="0.25">
      <c r="A2039" s="101"/>
      <c r="B2039" s="36"/>
      <c r="C2039" s="98"/>
      <c r="D2039" s="98"/>
      <c r="E2039" s="98"/>
      <c r="F2039" s="102"/>
      <c r="G2039" s="103"/>
    </row>
    <row r="2040" spans="1:7" x14ac:dyDescent="0.25">
      <c r="A2040" s="101"/>
      <c r="B2040" s="36"/>
      <c r="C2040" s="98"/>
      <c r="D2040" s="98"/>
      <c r="E2040" s="98"/>
      <c r="F2040" s="102"/>
      <c r="G2040" s="103"/>
    </row>
    <row r="2041" spans="1:7" x14ac:dyDescent="0.25">
      <c r="A2041" s="101"/>
      <c r="B2041" s="36"/>
      <c r="C2041" s="98"/>
      <c r="D2041" s="98"/>
      <c r="E2041" s="98"/>
      <c r="F2041" s="102"/>
      <c r="G2041" s="103"/>
    </row>
    <row r="2042" spans="1:7" x14ac:dyDescent="0.25">
      <c r="A2042" s="101"/>
      <c r="B2042" s="36"/>
      <c r="C2042" s="98"/>
      <c r="D2042" s="98"/>
      <c r="E2042" s="98"/>
      <c r="F2042" s="102"/>
      <c r="G2042" s="103"/>
    </row>
    <row r="2043" spans="1:7" x14ac:dyDescent="0.25">
      <c r="A2043" s="101"/>
      <c r="B2043" s="36"/>
      <c r="C2043" s="98"/>
      <c r="D2043" s="98"/>
      <c r="E2043" s="98"/>
      <c r="F2043" s="102"/>
      <c r="G2043" s="103"/>
    </row>
    <row r="2044" spans="1:7" x14ac:dyDescent="0.25">
      <c r="A2044" s="101"/>
      <c r="B2044" s="36"/>
      <c r="C2044" s="98"/>
      <c r="D2044" s="98"/>
      <c r="E2044" s="98"/>
      <c r="F2044" s="102"/>
      <c r="G2044" s="103"/>
    </row>
    <row r="2045" spans="1:7" x14ac:dyDescent="0.25">
      <c r="A2045" s="101"/>
      <c r="B2045" s="36"/>
      <c r="C2045" s="98"/>
      <c r="D2045" s="98"/>
      <c r="E2045" s="98"/>
      <c r="F2045" s="102"/>
      <c r="G2045" s="103"/>
    </row>
    <row r="2046" spans="1:7" x14ac:dyDescent="0.25">
      <c r="A2046" s="101"/>
      <c r="B2046" s="66"/>
      <c r="C2046" s="98"/>
      <c r="D2046" s="98"/>
      <c r="E2046" s="98"/>
      <c r="F2046" s="102"/>
      <c r="G2046" s="103"/>
    </row>
    <row r="2047" spans="1:7" x14ac:dyDescent="0.25">
      <c r="A2047" s="101"/>
      <c r="B2047" s="36"/>
      <c r="C2047" s="98"/>
      <c r="D2047" s="98"/>
      <c r="E2047" s="98"/>
      <c r="F2047" s="102"/>
      <c r="G2047" s="103"/>
    </row>
    <row r="2048" spans="1:7" x14ac:dyDescent="0.25">
      <c r="A2048" s="101"/>
      <c r="B2048" s="36"/>
      <c r="C2048" s="98"/>
      <c r="D2048" s="98"/>
      <c r="E2048" s="98"/>
      <c r="F2048" s="102"/>
      <c r="G2048" s="103"/>
    </row>
    <row r="2049" spans="1:7" x14ac:dyDescent="0.25">
      <c r="A2049" s="101"/>
      <c r="B2049" s="36"/>
      <c r="C2049" s="98"/>
      <c r="D2049" s="98"/>
      <c r="E2049" s="98"/>
      <c r="F2049" s="102"/>
      <c r="G2049" s="103"/>
    </row>
    <row r="2050" spans="1:7" x14ac:dyDescent="0.25">
      <c r="A2050" s="101"/>
      <c r="B2050" s="36"/>
      <c r="C2050" s="98"/>
      <c r="D2050" s="98"/>
      <c r="E2050" s="98"/>
      <c r="F2050" s="102"/>
      <c r="G2050" s="103"/>
    </row>
    <row r="2051" spans="1:7" x14ac:dyDescent="0.25">
      <c r="A2051" s="101"/>
      <c r="B2051" s="36"/>
      <c r="C2051" s="98"/>
      <c r="D2051" s="98"/>
      <c r="E2051" s="98"/>
      <c r="F2051" s="102"/>
      <c r="G2051" s="103"/>
    </row>
    <row r="2052" spans="1:7" x14ac:dyDescent="0.25">
      <c r="A2052" s="101"/>
      <c r="B2052" s="36"/>
      <c r="C2052" s="98"/>
      <c r="D2052" s="98"/>
      <c r="E2052" s="98"/>
      <c r="F2052" s="102"/>
      <c r="G2052" s="103"/>
    </row>
    <row r="2053" spans="1:7" x14ac:dyDescent="0.25">
      <c r="A2053" s="101"/>
      <c r="B2053" s="36"/>
      <c r="C2053" s="98"/>
      <c r="D2053" s="98"/>
      <c r="E2053" s="98"/>
      <c r="F2053" s="102"/>
      <c r="G2053" s="103"/>
    </row>
    <row r="2054" spans="1:7" x14ac:dyDescent="0.25">
      <c r="A2054" s="101"/>
      <c r="B2054" s="36"/>
      <c r="C2054" s="98"/>
      <c r="D2054" s="98"/>
      <c r="E2054" s="98"/>
      <c r="F2054" s="102"/>
      <c r="G2054" s="103"/>
    </row>
    <row r="2055" spans="1:7" x14ac:dyDescent="0.25">
      <c r="A2055" s="101"/>
      <c r="B2055" s="36"/>
      <c r="C2055" s="98"/>
      <c r="D2055" s="98"/>
      <c r="E2055" s="98"/>
      <c r="F2055" s="102"/>
      <c r="G2055" s="103"/>
    </row>
    <row r="2056" spans="1:7" x14ac:dyDescent="0.25">
      <c r="A2056" s="101"/>
      <c r="B2056" s="36"/>
      <c r="C2056" s="98"/>
      <c r="D2056" s="98"/>
      <c r="E2056" s="98"/>
      <c r="F2056" s="102"/>
      <c r="G2056" s="103"/>
    </row>
    <row r="2057" spans="1:7" x14ac:dyDescent="0.25">
      <c r="A2057" s="101"/>
      <c r="B2057" s="36"/>
      <c r="C2057" s="98"/>
      <c r="D2057" s="98"/>
      <c r="E2057" s="98"/>
      <c r="F2057" s="102"/>
      <c r="G2057" s="103"/>
    </row>
    <row r="2058" spans="1:7" x14ac:dyDescent="0.25">
      <c r="A2058" s="101"/>
      <c r="B2058" s="36"/>
      <c r="C2058" s="98"/>
      <c r="D2058" s="98"/>
      <c r="E2058" s="98"/>
      <c r="F2058" s="102"/>
      <c r="G2058" s="103"/>
    </row>
    <row r="2059" spans="1:7" x14ac:dyDescent="0.25">
      <c r="A2059" s="101"/>
      <c r="B2059" s="36"/>
      <c r="C2059" s="98"/>
      <c r="D2059" s="98"/>
      <c r="E2059" s="98"/>
      <c r="F2059" s="102"/>
      <c r="G2059" s="103"/>
    </row>
    <row r="2060" spans="1:7" x14ac:dyDescent="0.25">
      <c r="A2060" s="101"/>
      <c r="B2060" s="36"/>
      <c r="C2060" s="98"/>
      <c r="D2060" s="98"/>
      <c r="E2060" s="98"/>
      <c r="F2060" s="102"/>
      <c r="G2060" s="103"/>
    </row>
    <row r="2061" spans="1:7" x14ac:dyDescent="0.25">
      <c r="A2061" s="101"/>
      <c r="B2061" s="36"/>
      <c r="C2061" s="98"/>
      <c r="D2061" s="98"/>
      <c r="E2061" s="98"/>
      <c r="F2061" s="102"/>
      <c r="G2061" s="103"/>
    </row>
    <row r="2062" spans="1:7" x14ac:dyDescent="0.25">
      <c r="A2062" s="101"/>
      <c r="B2062" s="36"/>
      <c r="C2062" s="98"/>
      <c r="D2062" s="98"/>
      <c r="E2062" s="98"/>
      <c r="F2062" s="102"/>
      <c r="G2062" s="103"/>
    </row>
    <row r="2063" spans="1:7" x14ac:dyDescent="0.25">
      <c r="A2063" s="101"/>
      <c r="B2063" s="36"/>
      <c r="C2063" s="98"/>
      <c r="D2063" s="98"/>
      <c r="E2063" s="98"/>
      <c r="F2063" s="102"/>
      <c r="G2063" s="103"/>
    </row>
    <row r="2064" spans="1:7" x14ac:dyDescent="0.25">
      <c r="A2064" s="101"/>
      <c r="B2064" s="36"/>
      <c r="C2064" s="98"/>
      <c r="D2064" s="98"/>
      <c r="E2064" s="98"/>
      <c r="F2064" s="102"/>
      <c r="G2064" s="103"/>
    </row>
    <row r="2065" spans="1:7" x14ac:dyDescent="0.25">
      <c r="A2065" s="101"/>
      <c r="B2065" s="36"/>
      <c r="C2065" s="98"/>
      <c r="D2065" s="98"/>
      <c r="E2065" s="98"/>
      <c r="F2065" s="102"/>
      <c r="G2065" s="103"/>
    </row>
    <row r="2066" spans="1:7" x14ac:dyDescent="0.25">
      <c r="A2066" s="101"/>
      <c r="B2066" s="36"/>
      <c r="C2066" s="98"/>
      <c r="D2066" s="98"/>
      <c r="E2066" s="98"/>
      <c r="F2066" s="102"/>
      <c r="G2066" s="103"/>
    </row>
    <row r="2067" spans="1:7" x14ac:dyDescent="0.25">
      <c r="A2067" s="101"/>
      <c r="B2067" s="36"/>
      <c r="C2067" s="98"/>
      <c r="D2067" s="98"/>
      <c r="E2067" s="98"/>
      <c r="F2067" s="102"/>
      <c r="G2067" s="103"/>
    </row>
    <row r="2068" spans="1:7" x14ac:dyDescent="0.25">
      <c r="A2068" s="101"/>
      <c r="B2068" s="67"/>
      <c r="C2068" s="98"/>
      <c r="D2068" s="98"/>
      <c r="E2068" s="98"/>
      <c r="F2068" s="102"/>
      <c r="G2068" s="103"/>
    </row>
    <row r="2069" spans="1:7" x14ac:dyDescent="0.25">
      <c r="A2069" s="101"/>
      <c r="B2069" s="36"/>
      <c r="C2069" s="98"/>
      <c r="D2069" s="98"/>
      <c r="E2069" s="98"/>
      <c r="F2069" s="102"/>
      <c r="G2069" s="103"/>
    </row>
    <row r="2070" spans="1:7" x14ac:dyDescent="0.25">
      <c r="A2070" s="101"/>
      <c r="B2070" s="36"/>
      <c r="C2070" s="98"/>
      <c r="D2070" s="98"/>
      <c r="E2070" s="98"/>
      <c r="F2070" s="102"/>
      <c r="G2070" s="103"/>
    </row>
    <row r="2071" spans="1:7" x14ac:dyDescent="0.25">
      <c r="A2071" s="101"/>
      <c r="B2071" s="36"/>
      <c r="C2071" s="98"/>
      <c r="D2071" s="98"/>
      <c r="E2071" s="98"/>
      <c r="F2071" s="102"/>
      <c r="G2071" s="103"/>
    </row>
    <row r="2072" spans="1:7" x14ac:dyDescent="0.25">
      <c r="A2072" s="101"/>
      <c r="B2072" s="36"/>
      <c r="C2072" s="98"/>
      <c r="D2072" s="98"/>
      <c r="E2072" s="98"/>
      <c r="F2072" s="102"/>
      <c r="G2072" s="103"/>
    </row>
    <row r="2073" spans="1:7" x14ac:dyDescent="0.25">
      <c r="A2073" s="101"/>
      <c r="B2073" s="36"/>
      <c r="C2073" s="98"/>
      <c r="D2073" s="98"/>
      <c r="E2073" s="98"/>
      <c r="F2073" s="102"/>
      <c r="G2073" s="103"/>
    </row>
    <row r="2074" spans="1:7" x14ac:dyDescent="0.25">
      <c r="A2074" s="101"/>
      <c r="B2074" s="36"/>
      <c r="C2074" s="98"/>
      <c r="D2074" s="98"/>
      <c r="E2074" s="98"/>
      <c r="F2074" s="102"/>
      <c r="G2074" s="103"/>
    </row>
    <row r="2075" spans="1:7" x14ac:dyDescent="0.25">
      <c r="A2075" s="101"/>
      <c r="B2075" s="36"/>
      <c r="C2075" s="98"/>
      <c r="D2075" s="98"/>
      <c r="E2075" s="98"/>
      <c r="F2075" s="102"/>
      <c r="G2075" s="103"/>
    </row>
    <row r="2076" spans="1:7" x14ac:dyDescent="0.25">
      <c r="A2076" s="101"/>
      <c r="B2076" s="36"/>
      <c r="C2076" s="98"/>
      <c r="D2076" s="98"/>
      <c r="E2076" s="98"/>
      <c r="F2076" s="102"/>
      <c r="G2076" s="103"/>
    </row>
    <row r="2077" spans="1:7" x14ac:dyDescent="0.25">
      <c r="A2077" s="101"/>
      <c r="B2077" s="36"/>
      <c r="C2077" s="98"/>
      <c r="D2077" s="98"/>
      <c r="E2077" s="98"/>
      <c r="F2077" s="102"/>
      <c r="G2077" s="103"/>
    </row>
    <row r="2078" spans="1:7" x14ac:dyDescent="0.25">
      <c r="A2078" s="101"/>
      <c r="B2078" s="36"/>
      <c r="C2078" s="98"/>
      <c r="D2078" s="98"/>
      <c r="E2078" s="98"/>
      <c r="F2078" s="102"/>
      <c r="G2078" s="103"/>
    </row>
    <row r="2079" spans="1:7" x14ac:dyDescent="0.25">
      <c r="A2079" s="101"/>
      <c r="B2079" s="36"/>
      <c r="C2079" s="98"/>
      <c r="D2079" s="98"/>
      <c r="E2079" s="98"/>
      <c r="F2079" s="102"/>
      <c r="G2079" s="103"/>
    </row>
    <row r="2080" spans="1:7" x14ac:dyDescent="0.25">
      <c r="A2080" s="101"/>
      <c r="B2080" s="36"/>
      <c r="C2080" s="98"/>
      <c r="D2080" s="98"/>
      <c r="E2080" s="98"/>
      <c r="F2080" s="102"/>
      <c r="G2080" s="103"/>
    </row>
    <row r="2081" spans="1:7" x14ac:dyDescent="0.25">
      <c r="A2081" s="101"/>
      <c r="B2081" s="36"/>
      <c r="C2081" s="98"/>
      <c r="D2081" s="98"/>
      <c r="E2081" s="98"/>
      <c r="F2081" s="102"/>
      <c r="G2081" s="103"/>
    </row>
    <row r="2082" spans="1:7" x14ac:dyDescent="0.25">
      <c r="A2082" s="101"/>
      <c r="B2082" s="36"/>
      <c r="C2082" s="98"/>
      <c r="D2082" s="98"/>
      <c r="E2082" s="98"/>
      <c r="F2082" s="102"/>
      <c r="G2082" s="103"/>
    </row>
    <row r="2083" spans="1:7" x14ac:dyDescent="0.25">
      <c r="A2083" s="101"/>
      <c r="B2083" s="36"/>
      <c r="C2083" s="98"/>
      <c r="D2083" s="98"/>
      <c r="E2083" s="98"/>
      <c r="F2083" s="102"/>
      <c r="G2083" s="103"/>
    </row>
    <row r="2084" spans="1:7" x14ac:dyDescent="0.25">
      <c r="A2084" s="101"/>
      <c r="B2084" s="36"/>
      <c r="C2084" s="98"/>
      <c r="D2084" s="98"/>
      <c r="E2084" s="98"/>
      <c r="F2084" s="102"/>
      <c r="G2084" s="103"/>
    </row>
    <row r="2085" spans="1:7" x14ac:dyDescent="0.25">
      <c r="A2085" s="101"/>
      <c r="B2085" s="36"/>
      <c r="C2085" s="98"/>
      <c r="D2085" s="98"/>
      <c r="E2085" s="98"/>
      <c r="F2085" s="102"/>
      <c r="G2085" s="103"/>
    </row>
    <row r="2086" spans="1:7" x14ac:dyDescent="0.25">
      <c r="A2086" s="101"/>
      <c r="B2086" s="36"/>
      <c r="C2086" s="98"/>
      <c r="D2086" s="98"/>
      <c r="E2086" s="98"/>
      <c r="F2086" s="102"/>
      <c r="G2086" s="103"/>
    </row>
    <row r="2087" spans="1:7" x14ac:dyDescent="0.25">
      <c r="A2087" s="101"/>
      <c r="B2087" s="36"/>
      <c r="C2087" s="98"/>
      <c r="D2087" s="98"/>
      <c r="E2087" s="98"/>
      <c r="F2087" s="102"/>
      <c r="G2087" s="103"/>
    </row>
    <row r="2088" spans="1:7" x14ac:dyDescent="0.25">
      <c r="A2088" s="101"/>
      <c r="B2088" s="36"/>
      <c r="C2088" s="98"/>
      <c r="D2088" s="98"/>
      <c r="E2088" s="98"/>
      <c r="F2088" s="102"/>
      <c r="G2088" s="103"/>
    </row>
    <row r="2089" spans="1:7" x14ac:dyDescent="0.25">
      <c r="A2089" s="101"/>
      <c r="B2089" s="36"/>
      <c r="C2089" s="98"/>
      <c r="D2089" s="98"/>
      <c r="E2089" s="98"/>
      <c r="F2089" s="102"/>
      <c r="G2089" s="103"/>
    </row>
    <row r="2090" spans="1:7" x14ac:dyDescent="0.25">
      <c r="A2090" s="101"/>
      <c r="B2090" s="36"/>
      <c r="C2090" s="98"/>
      <c r="D2090" s="98"/>
      <c r="E2090" s="98"/>
      <c r="F2090" s="102"/>
      <c r="G2090" s="103"/>
    </row>
    <row r="2091" spans="1:7" x14ac:dyDescent="0.25">
      <c r="A2091" s="101"/>
      <c r="B2091" s="36"/>
      <c r="C2091" s="98"/>
      <c r="D2091" s="98"/>
      <c r="E2091" s="98"/>
      <c r="F2091" s="102"/>
      <c r="G2091" s="103"/>
    </row>
    <row r="2092" spans="1:7" x14ac:dyDescent="0.25">
      <c r="A2092" s="101"/>
      <c r="B2092" s="36"/>
      <c r="C2092" s="98"/>
      <c r="D2092" s="98"/>
      <c r="E2092" s="98"/>
      <c r="F2092" s="102"/>
      <c r="G2092" s="103"/>
    </row>
    <row r="2093" spans="1:7" x14ac:dyDescent="0.25">
      <c r="A2093" s="101"/>
      <c r="B2093" s="36"/>
      <c r="C2093" s="98"/>
      <c r="D2093" s="98"/>
      <c r="E2093" s="98"/>
      <c r="F2093" s="102"/>
      <c r="G2093" s="103"/>
    </row>
    <row r="2094" spans="1:7" x14ac:dyDescent="0.25">
      <c r="A2094" s="101"/>
      <c r="B2094" s="36"/>
      <c r="C2094" s="98"/>
      <c r="D2094" s="98"/>
      <c r="E2094" s="98"/>
      <c r="F2094" s="102"/>
      <c r="G2094" s="103"/>
    </row>
    <row r="2095" spans="1:7" x14ac:dyDescent="0.25">
      <c r="A2095" s="101"/>
      <c r="B2095" s="36"/>
      <c r="C2095" s="98"/>
      <c r="D2095" s="98"/>
      <c r="E2095" s="98"/>
      <c r="F2095" s="102"/>
      <c r="G2095" s="103"/>
    </row>
    <row r="2096" spans="1:7" x14ac:dyDescent="0.25">
      <c r="A2096" s="101"/>
      <c r="B2096" s="36"/>
      <c r="C2096" s="98"/>
      <c r="D2096" s="98"/>
      <c r="E2096" s="98"/>
      <c r="F2096" s="102"/>
      <c r="G2096" s="103"/>
    </row>
    <row r="2097" spans="1:7" x14ac:dyDescent="0.25">
      <c r="A2097" s="101"/>
      <c r="B2097" s="36"/>
      <c r="C2097" s="98"/>
      <c r="D2097" s="98"/>
      <c r="E2097" s="98"/>
      <c r="F2097" s="102"/>
      <c r="G2097" s="103"/>
    </row>
    <row r="2098" spans="1:7" x14ac:dyDescent="0.25">
      <c r="A2098" s="101"/>
      <c r="B2098" s="36"/>
      <c r="C2098" s="98"/>
      <c r="D2098" s="98"/>
      <c r="E2098" s="98"/>
      <c r="F2098" s="102"/>
      <c r="G2098" s="103"/>
    </row>
    <row r="2099" spans="1:7" x14ac:dyDescent="0.25">
      <c r="A2099" s="101"/>
      <c r="B2099" s="67"/>
      <c r="C2099" s="98"/>
      <c r="D2099" s="98"/>
      <c r="E2099" s="98"/>
      <c r="F2099" s="102"/>
      <c r="G2099" s="103"/>
    </row>
    <row r="2100" spans="1:7" x14ac:dyDescent="0.25">
      <c r="A2100" s="101"/>
      <c r="B2100" s="36"/>
      <c r="C2100" s="98"/>
      <c r="D2100" s="98"/>
      <c r="E2100" s="98"/>
      <c r="F2100" s="102"/>
      <c r="G2100" s="103"/>
    </row>
    <row r="2101" spans="1:7" x14ac:dyDescent="0.25">
      <c r="A2101" s="101"/>
      <c r="B2101" s="36"/>
      <c r="C2101" s="98"/>
      <c r="D2101" s="98"/>
      <c r="E2101" s="98"/>
      <c r="F2101" s="102"/>
      <c r="G2101" s="103"/>
    </row>
    <row r="2102" spans="1:7" x14ac:dyDescent="0.25">
      <c r="A2102" s="101"/>
      <c r="B2102" s="36"/>
      <c r="C2102" s="98"/>
      <c r="D2102" s="98"/>
      <c r="E2102" s="98"/>
      <c r="F2102" s="102"/>
      <c r="G2102" s="103"/>
    </row>
    <row r="2103" spans="1:7" x14ac:dyDescent="0.25">
      <c r="A2103" s="101"/>
      <c r="B2103" s="36"/>
      <c r="C2103" s="98"/>
      <c r="D2103" s="98"/>
      <c r="E2103" s="98"/>
      <c r="F2103" s="102"/>
      <c r="G2103" s="103"/>
    </row>
    <row r="2104" spans="1:7" x14ac:dyDescent="0.25">
      <c r="A2104" s="101"/>
      <c r="B2104" s="36"/>
      <c r="C2104" s="98"/>
      <c r="D2104" s="98"/>
      <c r="E2104" s="98"/>
      <c r="F2104" s="102"/>
      <c r="G2104" s="103"/>
    </row>
    <row r="2105" spans="1:7" x14ac:dyDescent="0.25">
      <c r="A2105" s="101"/>
      <c r="B2105" s="36"/>
      <c r="C2105" s="98"/>
      <c r="D2105" s="98"/>
      <c r="E2105" s="98"/>
      <c r="F2105" s="102"/>
      <c r="G2105" s="103"/>
    </row>
    <row r="2106" spans="1:7" x14ac:dyDescent="0.25">
      <c r="A2106" s="101"/>
      <c r="B2106" s="36"/>
      <c r="C2106" s="98"/>
      <c r="D2106" s="98"/>
      <c r="E2106" s="98"/>
      <c r="F2106" s="102"/>
      <c r="G2106" s="103"/>
    </row>
    <row r="2107" spans="1:7" x14ac:dyDescent="0.25">
      <c r="A2107" s="101"/>
      <c r="B2107" s="36"/>
      <c r="C2107" s="98"/>
      <c r="D2107" s="98"/>
      <c r="E2107" s="98"/>
      <c r="F2107" s="102"/>
      <c r="G2107" s="103"/>
    </row>
    <row r="2108" spans="1:7" x14ac:dyDescent="0.25">
      <c r="A2108" s="101"/>
      <c r="B2108" s="36"/>
      <c r="C2108" s="98"/>
      <c r="D2108" s="98"/>
      <c r="E2108" s="98"/>
      <c r="F2108" s="102"/>
      <c r="G2108" s="103"/>
    </row>
    <row r="2109" spans="1:7" x14ac:dyDescent="0.25">
      <c r="A2109" s="101"/>
      <c r="B2109" s="36"/>
      <c r="C2109" s="98"/>
      <c r="D2109" s="98"/>
      <c r="E2109" s="98"/>
      <c r="F2109" s="102"/>
      <c r="G2109" s="103"/>
    </row>
    <row r="2110" spans="1:7" x14ac:dyDescent="0.25">
      <c r="A2110" s="101"/>
      <c r="B2110" s="36"/>
      <c r="C2110" s="98"/>
      <c r="D2110" s="98"/>
      <c r="E2110" s="98"/>
      <c r="F2110" s="102"/>
      <c r="G2110" s="103"/>
    </row>
    <row r="2111" spans="1:7" x14ac:dyDescent="0.25">
      <c r="A2111" s="101"/>
      <c r="B2111" s="36"/>
      <c r="C2111" s="98"/>
      <c r="D2111" s="98"/>
      <c r="E2111" s="98"/>
      <c r="F2111" s="102"/>
      <c r="G2111" s="103"/>
    </row>
    <row r="2112" spans="1:7" x14ac:dyDescent="0.25">
      <c r="A2112" s="101"/>
      <c r="B2112" s="38"/>
      <c r="C2112" s="98"/>
      <c r="D2112" s="98"/>
      <c r="E2112" s="98"/>
      <c r="F2112" s="102"/>
      <c r="G2112" s="103"/>
    </row>
    <row r="2113" spans="1:7" x14ac:dyDescent="0.25">
      <c r="A2113" s="101"/>
      <c r="B2113" s="38"/>
      <c r="C2113" s="98"/>
      <c r="D2113" s="98"/>
      <c r="E2113" s="98"/>
      <c r="F2113" s="102"/>
      <c r="G2113" s="103"/>
    </row>
    <row r="2114" spans="1:7" x14ac:dyDescent="0.25">
      <c r="A2114" s="101"/>
      <c r="B2114" s="38"/>
      <c r="C2114" s="98"/>
      <c r="D2114" s="98"/>
      <c r="E2114" s="98"/>
      <c r="F2114" s="102"/>
      <c r="G2114" s="103"/>
    </row>
    <row r="2115" spans="1:7" x14ac:dyDescent="0.25">
      <c r="A2115" s="101"/>
      <c r="B2115" s="38"/>
      <c r="C2115" s="98"/>
      <c r="D2115" s="98"/>
      <c r="E2115" s="98"/>
      <c r="F2115" s="102"/>
      <c r="G2115" s="103"/>
    </row>
    <row r="2116" spans="1:7" x14ac:dyDescent="0.25">
      <c r="A2116" s="101"/>
      <c r="B2116" s="10"/>
      <c r="C2116" s="98"/>
      <c r="D2116" s="98"/>
      <c r="E2116" s="98"/>
      <c r="F2116" s="102"/>
      <c r="G2116" s="103"/>
    </row>
    <row r="2117" spans="1:7" x14ac:dyDescent="0.25">
      <c r="A2117" s="101"/>
      <c r="B2117" s="38"/>
      <c r="C2117" s="98"/>
      <c r="D2117" s="98"/>
      <c r="E2117" s="98"/>
      <c r="F2117" s="102"/>
      <c r="G2117" s="103"/>
    </row>
    <row r="2118" spans="1:7" x14ac:dyDescent="0.25">
      <c r="A2118" s="101"/>
      <c r="B2118" s="38"/>
      <c r="C2118" s="98"/>
      <c r="D2118" s="98"/>
      <c r="E2118" s="98"/>
      <c r="F2118" s="102"/>
      <c r="G2118" s="103"/>
    </row>
    <row r="2119" spans="1:7" x14ac:dyDescent="0.25">
      <c r="A2119" s="101"/>
      <c r="B2119" s="38"/>
      <c r="C2119" s="98"/>
      <c r="D2119" s="98"/>
      <c r="E2119" s="98"/>
      <c r="F2119" s="102"/>
      <c r="G2119" s="103"/>
    </row>
    <row r="2120" spans="1:7" x14ac:dyDescent="0.25">
      <c r="A2120" s="101"/>
      <c r="B2120" s="36"/>
      <c r="C2120" s="98"/>
      <c r="D2120" s="98"/>
      <c r="E2120" s="98"/>
      <c r="F2120" s="102"/>
      <c r="G2120" s="103"/>
    </row>
    <row r="2121" spans="1:7" x14ac:dyDescent="0.25">
      <c r="A2121" s="101"/>
      <c r="B2121" s="36"/>
      <c r="C2121" s="98"/>
      <c r="D2121" s="98"/>
      <c r="E2121" s="98"/>
      <c r="F2121" s="102"/>
      <c r="G2121" s="103"/>
    </row>
    <row r="2122" spans="1:7" x14ac:dyDescent="0.25">
      <c r="A2122" s="101"/>
      <c r="B2122" s="36"/>
      <c r="C2122" s="98"/>
      <c r="D2122" s="98"/>
      <c r="E2122" s="98"/>
      <c r="F2122" s="102"/>
      <c r="G2122" s="103"/>
    </row>
    <row r="2123" spans="1:7" x14ac:dyDescent="0.25">
      <c r="A2123" s="101"/>
      <c r="B2123" s="36"/>
      <c r="C2123" s="98"/>
      <c r="D2123" s="98"/>
      <c r="E2123" s="98"/>
      <c r="F2123" s="102"/>
      <c r="G2123" s="103"/>
    </row>
    <row r="2124" spans="1:7" x14ac:dyDescent="0.25">
      <c r="A2124" s="101"/>
      <c r="B2124" s="36"/>
      <c r="C2124" s="98"/>
      <c r="D2124" s="98"/>
      <c r="E2124" s="98"/>
      <c r="F2124" s="102"/>
      <c r="G2124" s="103"/>
    </row>
    <row r="2125" spans="1:7" x14ac:dyDescent="0.25">
      <c r="A2125" s="101"/>
      <c r="B2125" s="36"/>
      <c r="C2125" s="98"/>
      <c r="D2125" s="98"/>
      <c r="E2125" s="98"/>
      <c r="F2125" s="102"/>
      <c r="G2125" s="103"/>
    </row>
    <row r="2126" spans="1:7" x14ac:dyDescent="0.25">
      <c r="A2126" s="101"/>
      <c r="B2126" s="36"/>
      <c r="C2126" s="98"/>
      <c r="D2126" s="98"/>
      <c r="E2126" s="98"/>
      <c r="F2126" s="102"/>
      <c r="G2126" s="103"/>
    </row>
    <row r="2127" spans="1:7" x14ac:dyDescent="0.25">
      <c r="A2127" s="101"/>
      <c r="B2127" s="36"/>
      <c r="C2127" s="98"/>
      <c r="D2127" s="98"/>
      <c r="E2127" s="98"/>
      <c r="F2127" s="102"/>
      <c r="G2127" s="103"/>
    </row>
    <row r="2128" spans="1:7" x14ac:dyDescent="0.25">
      <c r="A2128" s="101"/>
      <c r="B2128" s="36"/>
      <c r="C2128" s="98"/>
      <c r="D2128" s="98"/>
      <c r="E2128" s="98"/>
      <c r="F2128" s="102"/>
      <c r="G2128" s="103"/>
    </row>
    <row r="2129" spans="1:7" x14ac:dyDescent="0.25">
      <c r="A2129" s="101"/>
      <c r="B2129" s="36"/>
      <c r="C2129" s="98"/>
      <c r="D2129" s="98"/>
      <c r="E2129" s="98"/>
      <c r="F2129" s="102"/>
      <c r="G2129" s="103"/>
    </row>
    <row r="2130" spans="1:7" x14ac:dyDescent="0.25">
      <c r="A2130" s="101"/>
      <c r="B2130" s="36"/>
      <c r="C2130" s="98"/>
      <c r="D2130" s="98"/>
      <c r="E2130" s="98"/>
      <c r="F2130" s="102"/>
      <c r="G2130" s="103"/>
    </row>
    <row r="2131" spans="1:7" x14ac:dyDescent="0.25">
      <c r="A2131" s="101"/>
      <c r="B2131" s="36"/>
      <c r="C2131" s="98"/>
      <c r="D2131" s="98"/>
      <c r="E2131" s="98"/>
      <c r="F2131" s="102"/>
      <c r="G2131" s="103"/>
    </row>
    <row r="2132" spans="1:7" x14ac:dyDescent="0.25">
      <c r="A2132" s="101"/>
      <c r="B2132" s="36"/>
      <c r="C2132" s="98"/>
      <c r="D2132" s="98"/>
      <c r="E2132" s="98"/>
      <c r="F2132" s="102"/>
      <c r="G2132" s="103"/>
    </row>
    <row r="2133" spans="1:7" x14ac:dyDescent="0.25">
      <c r="A2133" s="101"/>
      <c r="B2133" s="36"/>
      <c r="C2133" s="98"/>
      <c r="D2133" s="98"/>
      <c r="E2133" s="98"/>
      <c r="F2133" s="102"/>
      <c r="G2133" s="103"/>
    </row>
    <row r="2134" spans="1:7" x14ac:dyDescent="0.25">
      <c r="A2134" s="101"/>
      <c r="B2134" s="36"/>
      <c r="C2134" s="98"/>
      <c r="D2134" s="98"/>
      <c r="E2134" s="98"/>
      <c r="F2134" s="102"/>
      <c r="G2134" s="103"/>
    </row>
    <row r="2135" spans="1:7" x14ac:dyDescent="0.25">
      <c r="A2135" s="101"/>
      <c r="B2135" s="36"/>
      <c r="C2135" s="98"/>
      <c r="D2135" s="98"/>
      <c r="E2135" s="98"/>
      <c r="F2135" s="102"/>
      <c r="G2135" s="103"/>
    </row>
    <row r="2136" spans="1:7" x14ac:dyDescent="0.25">
      <c r="A2136" s="101"/>
      <c r="B2136" s="36"/>
      <c r="C2136" s="98"/>
      <c r="D2136" s="98"/>
      <c r="E2136" s="98"/>
      <c r="F2136" s="102"/>
      <c r="G2136" s="103"/>
    </row>
    <row r="2137" spans="1:7" x14ac:dyDescent="0.25">
      <c r="A2137" s="101"/>
      <c r="B2137" s="36"/>
      <c r="C2137" s="98"/>
      <c r="D2137" s="98"/>
      <c r="E2137" s="98"/>
      <c r="F2137" s="102"/>
      <c r="G2137" s="103"/>
    </row>
    <row r="2138" spans="1:7" x14ac:dyDescent="0.25">
      <c r="A2138" s="101"/>
      <c r="B2138" s="36"/>
      <c r="C2138" s="98"/>
      <c r="D2138" s="98"/>
      <c r="E2138" s="98"/>
      <c r="F2138" s="102"/>
      <c r="G2138" s="103"/>
    </row>
    <row r="2139" spans="1:7" x14ac:dyDescent="0.25">
      <c r="A2139" s="101"/>
      <c r="B2139" s="36"/>
      <c r="C2139" s="98"/>
      <c r="D2139" s="98"/>
      <c r="E2139" s="98"/>
      <c r="F2139" s="102"/>
      <c r="G2139" s="103"/>
    </row>
    <row r="2140" spans="1:7" x14ac:dyDescent="0.25">
      <c r="A2140" s="101"/>
      <c r="B2140" s="36"/>
      <c r="C2140" s="98"/>
      <c r="D2140" s="98"/>
      <c r="E2140" s="98"/>
      <c r="F2140" s="102"/>
      <c r="G2140" s="103"/>
    </row>
    <row r="2141" spans="1:7" x14ac:dyDescent="0.25">
      <c r="A2141" s="101"/>
      <c r="B2141" s="36"/>
      <c r="C2141" s="98"/>
      <c r="D2141" s="98"/>
      <c r="E2141" s="98"/>
      <c r="F2141" s="102"/>
      <c r="G2141" s="103"/>
    </row>
    <row r="2142" spans="1:7" x14ac:dyDescent="0.25">
      <c r="A2142" s="101"/>
      <c r="B2142" s="36"/>
      <c r="C2142" s="98"/>
      <c r="D2142" s="98"/>
      <c r="E2142" s="98"/>
      <c r="F2142" s="102"/>
      <c r="G2142" s="103"/>
    </row>
    <row r="2143" spans="1:7" x14ac:dyDescent="0.25">
      <c r="A2143" s="101"/>
      <c r="B2143" s="36"/>
      <c r="C2143" s="98"/>
      <c r="D2143" s="98"/>
      <c r="E2143" s="98"/>
      <c r="F2143" s="102"/>
      <c r="G2143" s="103"/>
    </row>
    <row r="2144" spans="1:7" x14ac:dyDescent="0.25">
      <c r="A2144" s="101"/>
      <c r="B2144" s="36"/>
      <c r="C2144" s="98"/>
      <c r="D2144" s="98"/>
      <c r="E2144" s="98"/>
      <c r="F2144" s="102"/>
      <c r="G2144" s="103"/>
    </row>
    <row r="2145" spans="1:7" x14ac:dyDescent="0.25">
      <c r="A2145" s="101"/>
      <c r="B2145" s="36"/>
      <c r="C2145" s="98"/>
      <c r="D2145" s="98"/>
      <c r="E2145" s="98"/>
      <c r="F2145" s="102"/>
      <c r="G2145" s="103"/>
    </row>
    <row r="2146" spans="1:7" x14ac:dyDescent="0.25">
      <c r="A2146" s="101"/>
      <c r="B2146" s="36"/>
      <c r="C2146" s="98"/>
      <c r="D2146" s="98"/>
      <c r="E2146" s="98"/>
      <c r="F2146" s="102"/>
      <c r="G2146" s="103"/>
    </row>
    <row r="2147" spans="1:7" x14ac:dyDescent="0.25">
      <c r="A2147" s="101"/>
      <c r="B2147" s="36"/>
      <c r="C2147" s="98"/>
      <c r="D2147" s="98"/>
      <c r="E2147" s="98"/>
      <c r="F2147" s="102"/>
      <c r="G2147" s="103"/>
    </row>
    <row r="2148" spans="1:7" x14ac:dyDescent="0.25">
      <c r="A2148" s="101"/>
      <c r="B2148" s="36"/>
      <c r="C2148" s="98"/>
      <c r="D2148" s="98"/>
      <c r="E2148" s="98"/>
      <c r="F2148" s="102"/>
      <c r="G2148" s="103"/>
    </row>
    <row r="2149" spans="1:7" x14ac:dyDescent="0.25">
      <c r="A2149" s="101"/>
      <c r="B2149" s="36"/>
      <c r="C2149" s="98"/>
      <c r="D2149" s="98"/>
      <c r="E2149" s="98"/>
      <c r="F2149" s="102"/>
      <c r="G2149" s="103"/>
    </row>
    <row r="2150" spans="1:7" x14ac:dyDescent="0.25">
      <c r="A2150" s="101"/>
      <c r="B2150" s="36"/>
      <c r="C2150" s="98"/>
      <c r="D2150" s="98"/>
      <c r="E2150" s="98"/>
      <c r="F2150" s="102"/>
      <c r="G2150" s="103"/>
    </row>
    <row r="2151" spans="1:7" x14ac:dyDescent="0.25">
      <c r="A2151" s="101"/>
      <c r="B2151" s="36"/>
      <c r="C2151" s="98"/>
      <c r="D2151" s="98"/>
      <c r="E2151" s="98"/>
      <c r="F2151" s="102"/>
      <c r="G2151" s="103"/>
    </row>
    <row r="2152" spans="1:7" x14ac:dyDescent="0.25">
      <c r="A2152" s="101"/>
      <c r="B2152" s="36"/>
      <c r="C2152" s="98"/>
      <c r="D2152" s="98"/>
      <c r="E2152" s="98"/>
      <c r="F2152" s="102"/>
      <c r="G2152" s="103"/>
    </row>
    <row r="2153" spans="1:7" x14ac:dyDescent="0.25">
      <c r="A2153" s="101"/>
      <c r="B2153" s="36"/>
      <c r="C2153" s="98"/>
      <c r="D2153" s="98"/>
      <c r="E2153" s="98"/>
      <c r="F2153" s="102"/>
      <c r="G2153" s="103"/>
    </row>
    <row r="2154" spans="1:7" x14ac:dyDescent="0.25">
      <c r="A2154" s="101"/>
      <c r="B2154" s="36"/>
      <c r="C2154" s="98"/>
      <c r="D2154" s="98"/>
      <c r="E2154" s="98"/>
      <c r="F2154" s="102"/>
      <c r="G2154" s="103"/>
    </row>
    <row r="2155" spans="1:7" x14ac:dyDescent="0.25">
      <c r="A2155" s="101"/>
      <c r="B2155" s="36"/>
      <c r="C2155" s="98"/>
      <c r="D2155" s="98"/>
      <c r="E2155" s="98"/>
      <c r="F2155" s="102"/>
      <c r="G2155" s="103"/>
    </row>
    <row r="2156" spans="1:7" x14ac:dyDescent="0.25">
      <c r="A2156" s="101"/>
      <c r="B2156" s="36"/>
      <c r="C2156" s="98"/>
      <c r="D2156" s="98"/>
      <c r="E2156" s="98"/>
      <c r="F2156" s="102"/>
      <c r="G2156" s="103"/>
    </row>
    <row r="2157" spans="1:7" x14ac:dyDescent="0.25">
      <c r="A2157" s="101"/>
      <c r="B2157" s="36"/>
      <c r="C2157" s="98"/>
      <c r="D2157" s="98"/>
      <c r="E2157" s="98"/>
      <c r="F2157" s="102"/>
      <c r="G2157" s="103"/>
    </row>
    <row r="2158" spans="1:7" x14ac:dyDescent="0.25">
      <c r="A2158" s="101"/>
      <c r="B2158" s="36"/>
      <c r="C2158" s="98"/>
      <c r="D2158" s="98"/>
      <c r="E2158" s="98"/>
      <c r="F2158" s="102"/>
      <c r="G2158" s="103"/>
    </row>
    <row r="2159" spans="1:7" x14ac:dyDescent="0.25">
      <c r="A2159" s="101"/>
      <c r="B2159" s="36"/>
      <c r="C2159" s="98"/>
      <c r="D2159" s="98"/>
      <c r="E2159" s="98"/>
      <c r="F2159" s="102"/>
      <c r="G2159" s="103"/>
    </row>
    <row r="2160" spans="1:7" x14ac:dyDescent="0.25">
      <c r="A2160" s="101"/>
      <c r="B2160" s="36"/>
      <c r="C2160" s="98"/>
      <c r="D2160" s="98"/>
      <c r="E2160" s="98"/>
      <c r="F2160" s="102"/>
      <c r="G2160" s="103"/>
    </row>
    <row r="2161" spans="1:7" x14ac:dyDescent="0.25">
      <c r="A2161" s="101"/>
      <c r="B2161" s="36"/>
      <c r="C2161" s="98"/>
      <c r="D2161" s="98"/>
      <c r="E2161" s="98"/>
      <c r="F2161" s="102"/>
      <c r="G2161" s="103"/>
    </row>
    <row r="2162" spans="1:7" x14ac:dyDescent="0.25">
      <c r="A2162" s="101"/>
      <c r="B2162" s="36"/>
      <c r="C2162" s="98"/>
      <c r="D2162" s="98"/>
      <c r="E2162" s="98"/>
      <c r="F2162" s="102"/>
      <c r="G2162" s="103"/>
    </row>
    <row r="2163" spans="1:7" x14ac:dyDescent="0.25">
      <c r="A2163" s="101"/>
      <c r="B2163" s="36"/>
      <c r="C2163" s="98"/>
      <c r="D2163" s="98"/>
      <c r="E2163" s="98"/>
      <c r="F2163" s="102"/>
      <c r="G2163" s="103"/>
    </row>
    <row r="2164" spans="1:7" x14ac:dyDescent="0.25">
      <c r="A2164" s="101"/>
      <c r="B2164" s="36"/>
      <c r="C2164" s="98"/>
      <c r="D2164" s="98"/>
      <c r="E2164" s="98"/>
      <c r="F2164" s="102"/>
      <c r="G2164" s="103"/>
    </row>
    <row r="2165" spans="1:7" x14ac:dyDescent="0.25">
      <c r="A2165" s="101"/>
      <c r="B2165" s="36"/>
      <c r="C2165" s="98"/>
      <c r="D2165" s="98"/>
      <c r="E2165" s="98"/>
      <c r="F2165" s="102"/>
      <c r="G2165" s="103"/>
    </row>
    <row r="2166" spans="1:7" x14ac:dyDescent="0.25">
      <c r="A2166" s="101"/>
      <c r="B2166" s="36"/>
      <c r="C2166" s="98"/>
      <c r="D2166" s="98"/>
      <c r="E2166" s="98"/>
      <c r="F2166" s="102"/>
      <c r="G2166" s="103"/>
    </row>
    <row r="2167" spans="1:7" x14ac:dyDescent="0.25">
      <c r="A2167" s="101"/>
      <c r="B2167" s="36"/>
      <c r="C2167" s="98"/>
      <c r="D2167" s="98"/>
      <c r="E2167" s="98"/>
      <c r="F2167" s="102"/>
      <c r="G2167" s="103"/>
    </row>
    <row r="2168" spans="1:7" x14ac:dyDescent="0.25">
      <c r="A2168" s="101"/>
      <c r="B2168" s="36"/>
      <c r="C2168" s="98"/>
      <c r="D2168" s="98"/>
      <c r="E2168" s="98"/>
      <c r="F2168" s="102"/>
      <c r="G2168" s="103"/>
    </row>
    <row r="2169" spans="1:7" x14ac:dyDescent="0.25">
      <c r="A2169" s="101"/>
      <c r="B2169" s="36"/>
      <c r="C2169" s="98"/>
      <c r="D2169" s="98"/>
      <c r="E2169" s="98"/>
      <c r="F2169" s="102"/>
      <c r="G2169" s="103"/>
    </row>
    <row r="2170" spans="1:7" x14ac:dyDescent="0.25">
      <c r="A2170" s="101"/>
      <c r="B2170" s="36"/>
      <c r="C2170" s="98"/>
      <c r="D2170" s="98"/>
      <c r="E2170" s="98"/>
      <c r="F2170" s="102"/>
      <c r="G2170" s="103"/>
    </row>
    <row r="2171" spans="1:7" x14ac:dyDescent="0.25">
      <c r="A2171" s="101"/>
      <c r="B2171" s="36"/>
      <c r="C2171" s="98"/>
      <c r="D2171" s="98"/>
      <c r="E2171" s="98"/>
      <c r="F2171" s="102"/>
      <c r="G2171" s="103"/>
    </row>
    <row r="2172" spans="1:7" x14ac:dyDescent="0.25">
      <c r="A2172" s="101"/>
      <c r="B2172" s="36"/>
      <c r="C2172" s="98"/>
      <c r="D2172" s="98"/>
      <c r="E2172" s="98"/>
      <c r="F2172" s="102"/>
      <c r="G2172" s="103"/>
    </row>
    <row r="2173" spans="1:7" x14ac:dyDescent="0.25">
      <c r="A2173" s="101"/>
      <c r="B2173" s="36"/>
      <c r="C2173" s="98"/>
      <c r="D2173" s="98"/>
      <c r="E2173" s="98"/>
      <c r="F2173" s="102"/>
      <c r="G2173" s="103"/>
    </row>
    <row r="2174" spans="1:7" x14ac:dyDescent="0.25">
      <c r="A2174" s="101"/>
      <c r="B2174" s="36"/>
      <c r="C2174" s="98"/>
      <c r="D2174" s="98"/>
      <c r="E2174" s="98"/>
      <c r="F2174" s="102"/>
      <c r="G2174" s="103"/>
    </row>
    <row r="2175" spans="1:7" x14ac:dyDescent="0.25">
      <c r="A2175" s="101"/>
      <c r="B2175" s="36"/>
      <c r="C2175" s="98"/>
      <c r="D2175" s="98"/>
      <c r="E2175" s="98"/>
      <c r="F2175" s="102"/>
      <c r="G2175" s="103"/>
    </row>
    <row r="2176" spans="1:7" x14ac:dyDescent="0.25">
      <c r="A2176" s="101"/>
      <c r="B2176" s="36"/>
      <c r="C2176" s="98"/>
      <c r="D2176" s="98"/>
      <c r="E2176" s="98"/>
      <c r="F2176" s="102"/>
      <c r="G2176" s="103"/>
    </row>
    <row r="2177" spans="1:7" x14ac:dyDescent="0.25">
      <c r="A2177" s="101"/>
      <c r="B2177" s="36"/>
      <c r="C2177" s="98"/>
      <c r="D2177" s="98"/>
      <c r="E2177" s="98"/>
      <c r="F2177" s="102"/>
      <c r="G2177" s="103"/>
    </row>
    <row r="2178" spans="1:7" x14ac:dyDescent="0.25">
      <c r="A2178" s="101"/>
      <c r="B2178" s="36"/>
      <c r="C2178" s="98"/>
      <c r="D2178" s="98"/>
      <c r="E2178" s="98"/>
      <c r="F2178" s="102"/>
      <c r="G2178" s="103"/>
    </row>
    <row r="2179" spans="1:7" x14ac:dyDescent="0.25">
      <c r="A2179" s="101"/>
      <c r="B2179" s="36"/>
      <c r="C2179" s="98"/>
      <c r="D2179" s="98"/>
      <c r="E2179" s="98"/>
      <c r="F2179" s="102"/>
      <c r="G2179" s="103"/>
    </row>
    <row r="2180" spans="1:7" x14ac:dyDescent="0.25">
      <c r="A2180" s="101"/>
      <c r="B2180" s="36"/>
      <c r="C2180" s="98"/>
      <c r="D2180" s="98"/>
      <c r="E2180" s="98"/>
      <c r="F2180" s="102"/>
      <c r="G2180" s="103"/>
    </row>
    <row r="2181" spans="1:7" x14ac:dyDescent="0.25">
      <c r="A2181" s="101"/>
      <c r="B2181" s="36"/>
      <c r="C2181" s="98"/>
      <c r="D2181" s="98"/>
      <c r="E2181" s="98"/>
      <c r="F2181" s="102"/>
      <c r="G2181" s="103"/>
    </row>
    <row r="2182" spans="1:7" x14ac:dyDescent="0.25">
      <c r="A2182" s="101"/>
      <c r="B2182" s="36"/>
      <c r="C2182" s="98"/>
      <c r="D2182" s="98"/>
      <c r="E2182" s="98"/>
      <c r="F2182" s="102"/>
      <c r="G2182" s="103"/>
    </row>
    <row r="2183" spans="1:7" x14ac:dyDescent="0.25">
      <c r="A2183" s="101"/>
      <c r="B2183" s="36"/>
      <c r="C2183" s="98"/>
      <c r="D2183" s="98"/>
      <c r="E2183" s="98"/>
      <c r="F2183" s="102"/>
      <c r="G2183" s="103"/>
    </row>
    <row r="2184" spans="1:7" x14ac:dyDescent="0.25">
      <c r="A2184" s="101"/>
      <c r="B2184" s="36"/>
      <c r="C2184" s="98"/>
      <c r="D2184" s="98"/>
      <c r="E2184" s="98"/>
      <c r="F2184" s="102"/>
      <c r="G2184" s="103"/>
    </row>
    <row r="2185" spans="1:7" x14ac:dyDescent="0.25">
      <c r="A2185" s="101"/>
      <c r="B2185" s="36"/>
      <c r="C2185" s="98"/>
      <c r="D2185" s="98"/>
      <c r="E2185" s="98"/>
      <c r="F2185" s="102"/>
      <c r="G2185" s="103"/>
    </row>
    <row r="2186" spans="1:7" x14ac:dyDescent="0.25">
      <c r="A2186" s="101"/>
      <c r="B2186" s="36"/>
      <c r="C2186" s="98"/>
      <c r="D2186" s="98"/>
      <c r="E2186" s="98"/>
      <c r="F2186" s="102"/>
      <c r="G2186" s="103"/>
    </row>
    <row r="2187" spans="1:7" x14ac:dyDescent="0.25">
      <c r="A2187" s="101"/>
      <c r="B2187" s="36"/>
      <c r="C2187" s="98"/>
      <c r="D2187" s="98"/>
      <c r="E2187" s="98"/>
      <c r="F2187" s="102"/>
      <c r="G2187" s="103"/>
    </row>
    <row r="2188" spans="1:7" x14ac:dyDescent="0.25">
      <c r="A2188" s="101"/>
      <c r="B2188" s="36"/>
      <c r="C2188" s="98"/>
      <c r="D2188" s="98"/>
      <c r="E2188" s="98"/>
      <c r="F2188" s="102"/>
      <c r="G2188" s="103"/>
    </row>
    <row r="2189" spans="1:7" x14ac:dyDescent="0.25">
      <c r="A2189" s="101"/>
      <c r="B2189" s="36"/>
      <c r="C2189" s="98"/>
      <c r="D2189" s="98"/>
      <c r="E2189" s="98"/>
      <c r="F2189" s="102"/>
      <c r="G2189" s="103"/>
    </row>
    <row r="2190" spans="1:7" x14ac:dyDescent="0.25">
      <c r="A2190" s="101"/>
      <c r="B2190" s="36"/>
      <c r="C2190" s="98"/>
      <c r="D2190" s="98"/>
      <c r="E2190" s="98"/>
      <c r="F2190" s="102"/>
      <c r="G2190" s="103"/>
    </row>
    <row r="2191" spans="1:7" x14ac:dyDescent="0.25">
      <c r="A2191" s="101"/>
      <c r="B2191" s="36"/>
      <c r="C2191" s="98"/>
      <c r="D2191" s="98"/>
      <c r="E2191" s="98"/>
      <c r="F2191" s="102"/>
      <c r="G2191" s="103"/>
    </row>
    <row r="2192" spans="1:7" x14ac:dyDescent="0.25">
      <c r="A2192" s="101"/>
      <c r="B2192" s="36"/>
      <c r="C2192" s="98"/>
      <c r="D2192" s="98"/>
      <c r="E2192" s="98"/>
      <c r="F2192" s="102"/>
      <c r="G2192" s="103"/>
    </row>
    <row r="2193" spans="1:7" x14ac:dyDescent="0.25">
      <c r="A2193" s="101"/>
      <c r="B2193" s="36"/>
      <c r="C2193" s="98"/>
      <c r="D2193" s="98"/>
      <c r="E2193" s="98"/>
      <c r="F2193" s="102"/>
      <c r="G2193" s="103"/>
    </row>
    <row r="2194" spans="1:7" x14ac:dyDescent="0.25">
      <c r="A2194" s="101"/>
      <c r="B2194" s="36"/>
      <c r="C2194" s="98"/>
      <c r="D2194" s="98"/>
      <c r="E2194" s="98"/>
      <c r="F2194" s="102"/>
      <c r="G2194" s="103"/>
    </row>
    <row r="2195" spans="1:7" x14ac:dyDescent="0.25">
      <c r="A2195" s="101"/>
      <c r="B2195" s="36"/>
      <c r="C2195" s="98"/>
      <c r="D2195" s="98"/>
      <c r="E2195" s="98"/>
      <c r="F2195" s="102"/>
      <c r="G2195" s="103"/>
    </row>
    <row r="2196" spans="1:7" x14ac:dyDescent="0.25">
      <c r="A2196" s="101"/>
      <c r="B2196" s="36"/>
      <c r="C2196" s="98"/>
      <c r="D2196" s="98"/>
      <c r="E2196" s="98"/>
      <c r="F2196" s="102"/>
      <c r="G2196" s="103"/>
    </row>
    <row r="2197" spans="1:7" x14ac:dyDescent="0.25">
      <c r="A2197" s="101"/>
      <c r="B2197" s="36"/>
      <c r="C2197" s="98"/>
      <c r="D2197" s="98"/>
      <c r="E2197" s="98"/>
      <c r="F2197" s="102"/>
      <c r="G2197" s="103"/>
    </row>
    <row r="2198" spans="1:7" x14ac:dyDescent="0.25">
      <c r="A2198" s="101"/>
      <c r="B2198" s="36"/>
      <c r="C2198" s="98"/>
      <c r="D2198" s="98"/>
      <c r="E2198" s="98"/>
      <c r="F2198" s="102"/>
      <c r="G2198" s="103"/>
    </row>
    <row r="2199" spans="1:7" x14ac:dyDescent="0.25">
      <c r="A2199" s="101"/>
      <c r="B2199" s="36"/>
      <c r="C2199" s="98"/>
      <c r="D2199" s="98"/>
      <c r="E2199" s="98"/>
      <c r="F2199" s="102"/>
      <c r="G2199" s="103"/>
    </row>
    <row r="2200" spans="1:7" x14ac:dyDescent="0.25">
      <c r="A2200" s="101"/>
      <c r="B2200" s="36"/>
      <c r="C2200" s="98"/>
      <c r="D2200" s="98"/>
      <c r="E2200" s="98"/>
      <c r="F2200" s="102"/>
      <c r="G2200" s="103"/>
    </row>
    <row r="2201" spans="1:7" x14ac:dyDescent="0.25">
      <c r="A2201" s="101"/>
      <c r="B2201" s="36"/>
      <c r="C2201" s="98"/>
      <c r="D2201" s="98"/>
      <c r="E2201" s="98"/>
      <c r="F2201" s="102"/>
      <c r="G2201" s="103"/>
    </row>
    <row r="2202" spans="1:7" x14ac:dyDescent="0.25">
      <c r="A2202" s="101"/>
      <c r="B2202" s="36"/>
      <c r="C2202" s="98"/>
      <c r="D2202" s="98"/>
      <c r="E2202" s="98"/>
      <c r="F2202" s="102"/>
      <c r="G2202" s="103"/>
    </row>
    <row r="2203" spans="1:7" x14ac:dyDescent="0.25">
      <c r="A2203" s="101"/>
      <c r="B2203" s="36"/>
      <c r="C2203" s="98"/>
      <c r="D2203" s="98"/>
      <c r="E2203" s="98"/>
      <c r="F2203" s="102"/>
      <c r="G2203" s="103"/>
    </row>
    <row r="2204" spans="1:7" x14ac:dyDescent="0.25">
      <c r="A2204" s="101"/>
      <c r="B2204" s="36"/>
      <c r="C2204" s="98"/>
      <c r="D2204" s="98"/>
      <c r="E2204" s="98"/>
      <c r="F2204" s="102"/>
      <c r="G2204" s="103"/>
    </row>
    <row r="2205" spans="1:7" x14ac:dyDescent="0.25">
      <c r="A2205" s="101"/>
      <c r="B2205" s="36"/>
      <c r="C2205" s="98"/>
      <c r="D2205" s="98"/>
      <c r="E2205" s="98"/>
      <c r="F2205" s="102"/>
      <c r="G2205" s="103"/>
    </row>
    <row r="2206" spans="1:7" x14ac:dyDescent="0.25">
      <c r="A2206" s="101"/>
      <c r="B2206" s="36"/>
      <c r="C2206" s="98"/>
      <c r="D2206" s="98"/>
      <c r="E2206" s="98"/>
      <c r="F2206" s="102"/>
      <c r="G2206" s="103"/>
    </row>
    <row r="2207" spans="1:7" x14ac:dyDescent="0.25">
      <c r="A2207" s="101"/>
      <c r="B2207" s="36"/>
      <c r="C2207" s="98"/>
      <c r="D2207" s="98"/>
      <c r="E2207" s="98"/>
      <c r="F2207" s="102"/>
      <c r="G2207" s="103"/>
    </row>
    <row r="2208" spans="1:7" x14ac:dyDescent="0.25">
      <c r="A2208" s="101"/>
      <c r="B2208" s="36"/>
      <c r="C2208" s="98"/>
      <c r="D2208" s="98"/>
      <c r="E2208" s="98"/>
      <c r="F2208" s="102"/>
      <c r="G2208" s="103"/>
    </row>
    <row r="2209" spans="1:7" x14ac:dyDescent="0.25">
      <c r="A2209" s="101"/>
      <c r="B2209" s="36"/>
      <c r="C2209" s="98"/>
      <c r="D2209" s="98"/>
      <c r="E2209" s="98"/>
      <c r="F2209" s="102"/>
      <c r="G2209" s="103"/>
    </row>
    <row r="2210" spans="1:7" x14ac:dyDescent="0.25">
      <c r="A2210" s="101"/>
      <c r="B2210" s="36"/>
      <c r="C2210" s="98"/>
      <c r="D2210" s="98"/>
      <c r="E2210" s="98"/>
      <c r="F2210" s="102"/>
      <c r="G2210" s="103"/>
    </row>
    <row r="2211" spans="1:7" x14ac:dyDescent="0.25">
      <c r="A2211" s="101"/>
      <c r="B2211" s="36"/>
      <c r="C2211" s="98"/>
      <c r="D2211" s="98"/>
      <c r="E2211" s="98"/>
      <c r="F2211" s="102"/>
      <c r="G2211" s="103"/>
    </row>
    <row r="2212" spans="1:7" x14ac:dyDescent="0.25">
      <c r="A2212" s="101"/>
      <c r="B2212" s="36"/>
      <c r="C2212" s="98"/>
      <c r="D2212" s="98"/>
      <c r="E2212" s="98"/>
      <c r="F2212" s="102"/>
      <c r="G2212" s="103"/>
    </row>
    <row r="2213" spans="1:7" x14ac:dyDescent="0.25">
      <c r="A2213" s="101"/>
      <c r="B2213" s="36"/>
      <c r="C2213" s="98"/>
      <c r="D2213" s="98"/>
      <c r="E2213" s="98"/>
      <c r="F2213" s="102"/>
      <c r="G2213" s="103"/>
    </row>
    <row r="2214" spans="1:7" x14ac:dyDescent="0.25">
      <c r="A2214" s="101"/>
      <c r="B2214" s="36"/>
      <c r="C2214" s="98"/>
      <c r="D2214" s="98"/>
      <c r="E2214" s="98"/>
      <c r="F2214" s="102"/>
      <c r="G2214" s="103"/>
    </row>
    <row r="2215" spans="1:7" x14ac:dyDescent="0.25">
      <c r="A2215" s="101"/>
      <c r="B2215" s="36"/>
      <c r="C2215" s="98"/>
      <c r="D2215" s="98"/>
      <c r="E2215" s="98"/>
      <c r="F2215" s="102"/>
      <c r="G2215" s="103"/>
    </row>
    <row r="2216" spans="1:7" x14ac:dyDescent="0.25">
      <c r="A2216" s="101"/>
      <c r="B2216" s="36"/>
      <c r="C2216" s="98"/>
      <c r="D2216" s="98"/>
      <c r="E2216" s="98"/>
      <c r="F2216" s="102"/>
      <c r="G2216" s="103"/>
    </row>
    <row r="2217" spans="1:7" x14ac:dyDescent="0.25">
      <c r="A2217" s="101"/>
      <c r="B2217" s="36"/>
      <c r="C2217" s="98"/>
      <c r="D2217" s="98"/>
      <c r="E2217" s="98"/>
      <c r="F2217" s="102"/>
      <c r="G2217" s="103"/>
    </row>
    <row r="2218" spans="1:7" x14ac:dyDescent="0.25">
      <c r="A2218" s="101"/>
      <c r="B2218" s="36"/>
      <c r="C2218" s="98"/>
      <c r="D2218" s="98"/>
      <c r="E2218" s="98"/>
      <c r="F2218" s="102"/>
      <c r="G2218" s="103"/>
    </row>
    <row r="2219" spans="1:7" x14ac:dyDescent="0.25">
      <c r="A2219" s="101"/>
      <c r="B2219" s="36"/>
      <c r="C2219" s="98"/>
      <c r="D2219" s="98"/>
      <c r="E2219" s="98"/>
      <c r="F2219" s="102"/>
      <c r="G2219" s="103"/>
    </row>
    <row r="2220" spans="1:7" x14ac:dyDescent="0.25">
      <c r="A2220" s="101"/>
      <c r="B2220" s="36"/>
      <c r="C2220" s="98"/>
      <c r="D2220" s="98"/>
      <c r="E2220" s="98"/>
      <c r="F2220" s="102"/>
      <c r="G2220" s="103"/>
    </row>
    <row r="2221" spans="1:7" x14ac:dyDescent="0.25">
      <c r="A2221" s="101"/>
      <c r="B2221" s="36"/>
      <c r="C2221" s="98"/>
      <c r="D2221" s="98"/>
      <c r="E2221" s="98"/>
      <c r="F2221" s="102"/>
      <c r="G2221" s="103"/>
    </row>
    <row r="2222" spans="1:7" x14ac:dyDescent="0.25">
      <c r="A2222" s="101"/>
      <c r="B2222" s="36"/>
      <c r="C2222" s="98"/>
      <c r="D2222" s="98"/>
      <c r="E2222" s="98"/>
      <c r="F2222" s="102"/>
      <c r="G2222" s="103"/>
    </row>
    <row r="2223" spans="1:7" x14ac:dyDescent="0.25">
      <c r="A2223" s="101"/>
      <c r="B2223" s="36"/>
      <c r="C2223" s="98"/>
      <c r="D2223" s="98"/>
      <c r="E2223" s="98"/>
      <c r="F2223" s="102"/>
      <c r="G2223" s="103"/>
    </row>
    <row r="2224" spans="1:7" x14ac:dyDescent="0.25">
      <c r="A2224" s="101"/>
      <c r="B2224" s="36"/>
      <c r="C2224" s="98"/>
      <c r="D2224" s="98"/>
      <c r="E2224" s="98"/>
      <c r="F2224" s="102"/>
      <c r="G2224" s="103"/>
    </row>
    <row r="2225" spans="1:7" x14ac:dyDescent="0.25">
      <c r="A2225" s="101"/>
      <c r="B2225" s="36"/>
      <c r="C2225" s="98"/>
      <c r="D2225" s="98"/>
      <c r="E2225" s="98"/>
      <c r="F2225" s="102"/>
      <c r="G2225" s="103"/>
    </row>
    <row r="2226" spans="1:7" x14ac:dyDescent="0.25">
      <c r="A2226" s="101"/>
      <c r="B2226" s="36"/>
      <c r="C2226" s="98"/>
      <c r="D2226" s="98"/>
      <c r="E2226" s="98"/>
      <c r="F2226" s="102"/>
      <c r="G2226" s="103"/>
    </row>
    <row r="2227" spans="1:7" x14ac:dyDescent="0.25">
      <c r="A2227" s="101"/>
      <c r="B2227" s="36"/>
      <c r="C2227" s="98"/>
      <c r="D2227" s="98"/>
      <c r="E2227" s="98"/>
      <c r="F2227" s="102"/>
      <c r="G2227" s="103"/>
    </row>
    <row r="2228" spans="1:7" x14ac:dyDescent="0.25">
      <c r="A2228" s="101"/>
      <c r="B2228" s="36"/>
      <c r="C2228" s="98"/>
      <c r="D2228" s="98"/>
      <c r="E2228" s="98"/>
      <c r="F2228" s="102"/>
      <c r="G2228" s="103"/>
    </row>
    <row r="2229" spans="1:7" x14ac:dyDescent="0.25">
      <c r="A2229" s="101"/>
      <c r="B2229" s="36"/>
      <c r="C2229" s="98"/>
      <c r="D2229" s="98"/>
      <c r="E2229" s="98"/>
      <c r="F2229" s="102"/>
      <c r="G2229" s="103"/>
    </row>
    <row r="2230" spans="1:7" x14ac:dyDescent="0.25">
      <c r="A2230" s="101"/>
      <c r="B2230" s="36"/>
      <c r="C2230" s="98"/>
      <c r="D2230" s="98"/>
      <c r="E2230" s="98"/>
      <c r="F2230" s="102"/>
      <c r="G2230" s="103"/>
    </row>
    <row r="2231" spans="1:7" x14ac:dyDescent="0.25">
      <c r="A2231" s="101"/>
      <c r="B2231" s="36"/>
      <c r="C2231" s="98"/>
      <c r="D2231" s="98"/>
      <c r="E2231" s="98"/>
      <c r="F2231" s="102"/>
      <c r="G2231" s="103"/>
    </row>
    <row r="2232" spans="1:7" x14ac:dyDescent="0.25">
      <c r="A2232" s="101"/>
      <c r="B2232" s="36"/>
      <c r="C2232" s="98"/>
      <c r="D2232" s="98"/>
      <c r="E2232" s="98"/>
      <c r="F2232" s="102"/>
      <c r="G2232" s="103"/>
    </row>
    <row r="2233" spans="1:7" x14ac:dyDescent="0.25">
      <c r="A2233" s="101"/>
      <c r="B2233" s="36"/>
      <c r="C2233" s="98"/>
      <c r="D2233" s="98"/>
      <c r="E2233" s="98"/>
      <c r="F2233" s="102"/>
      <c r="G2233" s="103"/>
    </row>
    <row r="2234" spans="1:7" x14ac:dyDescent="0.25">
      <c r="A2234" s="101"/>
      <c r="B2234" s="36"/>
      <c r="C2234" s="98"/>
      <c r="D2234" s="98"/>
      <c r="E2234" s="98"/>
      <c r="F2234" s="102"/>
      <c r="G2234" s="103"/>
    </row>
    <row r="2235" spans="1:7" x14ac:dyDescent="0.25">
      <c r="A2235" s="101"/>
      <c r="B2235" s="36"/>
      <c r="C2235" s="98"/>
      <c r="D2235" s="98"/>
      <c r="E2235" s="98"/>
      <c r="F2235" s="102"/>
      <c r="G2235" s="103"/>
    </row>
    <row r="2236" spans="1:7" x14ac:dyDescent="0.25">
      <c r="A2236" s="101"/>
      <c r="B2236" s="36"/>
      <c r="C2236" s="98"/>
      <c r="D2236" s="98"/>
      <c r="E2236" s="98"/>
      <c r="F2236" s="102"/>
      <c r="G2236" s="103"/>
    </row>
    <row r="2237" spans="1:7" x14ac:dyDescent="0.25">
      <c r="A2237" s="101"/>
      <c r="B2237" s="36"/>
      <c r="C2237" s="98"/>
      <c r="D2237" s="98"/>
      <c r="E2237" s="98"/>
      <c r="F2237" s="102"/>
      <c r="G2237" s="103"/>
    </row>
    <row r="2238" spans="1:7" x14ac:dyDescent="0.25">
      <c r="A2238" s="101"/>
      <c r="B2238" s="36"/>
      <c r="C2238" s="98"/>
      <c r="D2238" s="98"/>
      <c r="E2238" s="98"/>
      <c r="F2238" s="102"/>
      <c r="G2238" s="103"/>
    </row>
    <row r="2239" spans="1:7" x14ac:dyDescent="0.25">
      <c r="A2239" s="101"/>
      <c r="B2239" s="36"/>
      <c r="C2239" s="98"/>
      <c r="D2239" s="98"/>
      <c r="E2239" s="98"/>
      <c r="F2239" s="102"/>
      <c r="G2239" s="103"/>
    </row>
    <row r="2240" spans="1:7" x14ac:dyDescent="0.25">
      <c r="A2240" s="101"/>
      <c r="B2240" s="36"/>
      <c r="C2240" s="98"/>
      <c r="D2240" s="98"/>
      <c r="E2240" s="98"/>
      <c r="F2240" s="102"/>
      <c r="G2240" s="103"/>
    </row>
    <row r="2241" spans="1:7" x14ac:dyDescent="0.25">
      <c r="A2241" s="101"/>
      <c r="B2241" s="36"/>
      <c r="C2241" s="98"/>
      <c r="D2241" s="98"/>
      <c r="E2241" s="98"/>
      <c r="F2241" s="102"/>
      <c r="G2241" s="103"/>
    </row>
    <row r="2242" spans="1:7" x14ac:dyDescent="0.25">
      <c r="A2242" s="101"/>
      <c r="B2242" s="36"/>
      <c r="C2242" s="98"/>
      <c r="D2242" s="98"/>
      <c r="E2242" s="98"/>
      <c r="F2242" s="102"/>
      <c r="G2242" s="103"/>
    </row>
    <row r="2243" spans="1:7" x14ac:dyDescent="0.25">
      <c r="A2243" s="101"/>
      <c r="B2243" s="36"/>
      <c r="C2243" s="98"/>
      <c r="D2243" s="98"/>
      <c r="E2243" s="98"/>
      <c r="F2243" s="102"/>
      <c r="G2243" s="103"/>
    </row>
    <row r="2244" spans="1:7" x14ac:dyDescent="0.25">
      <c r="A2244" s="101"/>
      <c r="B2244" s="36"/>
      <c r="C2244" s="98"/>
      <c r="D2244" s="98"/>
      <c r="E2244" s="98"/>
      <c r="F2244" s="102"/>
      <c r="G2244" s="103"/>
    </row>
    <row r="2245" spans="1:7" x14ac:dyDescent="0.25">
      <c r="A2245" s="101"/>
      <c r="B2245" s="36"/>
      <c r="C2245" s="98"/>
      <c r="D2245" s="98"/>
      <c r="E2245" s="98"/>
      <c r="F2245" s="102"/>
      <c r="G2245" s="103"/>
    </row>
    <row r="2246" spans="1:7" x14ac:dyDescent="0.25">
      <c r="A2246" s="101"/>
      <c r="B2246" s="36"/>
      <c r="C2246" s="98"/>
      <c r="D2246" s="98"/>
      <c r="E2246" s="98"/>
      <c r="F2246" s="102"/>
      <c r="G2246" s="103"/>
    </row>
    <row r="2247" spans="1:7" x14ac:dyDescent="0.25">
      <c r="A2247" s="101"/>
      <c r="B2247" s="36"/>
      <c r="C2247" s="98"/>
      <c r="D2247" s="98"/>
      <c r="E2247" s="98"/>
      <c r="F2247" s="102"/>
      <c r="G2247" s="103"/>
    </row>
    <row r="2248" spans="1:7" x14ac:dyDescent="0.25">
      <c r="A2248" s="101"/>
      <c r="B2248" s="36"/>
      <c r="C2248" s="98"/>
      <c r="D2248" s="98"/>
      <c r="E2248" s="98"/>
      <c r="F2248" s="102"/>
      <c r="G2248" s="103"/>
    </row>
    <row r="2249" spans="1:7" x14ac:dyDescent="0.25">
      <c r="A2249" s="101"/>
      <c r="B2249" s="36"/>
      <c r="C2249" s="98"/>
      <c r="D2249" s="98"/>
      <c r="E2249" s="98"/>
      <c r="F2249" s="102"/>
      <c r="G2249" s="103"/>
    </row>
    <row r="2250" spans="1:7" x14ac:dyDescent="0.25">
      <c r="A2250" s="101"/>
      <c r="B2250" s="36"/>
      <c r="C2250" s="98"/>
      <c r="D2250" s="98"/>
      <c r="E2250" s="98"/>
      <c r="F2250" s="102"/>
      <c r="G2250" s="103"/>
    </row>
    <row r="2251" spans="1:7" x14ac:dyDescent="0.25">
      <c r="A2251" s="101"/>
      <c r="B2251" s="36"/>
      <c r="C2251" s="98"/>
      <c r="D2251" s="98"/>
      <c r="E2251" s="98"/>
      <c r="F2251" s="102"/>
      <c r="G2251" s="103"/>
    </row>
    <row r="2252" spans="1:7" x14ac:dyDescent="0.25">
      <c r="A2252" s="101"/>
      <c r="B2252" s="36"/>
      <c r="C2252" s="98"/>
      <c r="D2252" s="98"/>
      <c r="E2252" s="98"/>
      <c r="F2252" s="102"/>
      <c r="G2252" s="103"/>
    </row>
    <row r="2253" spans="1:7" x14ac:dyDescent="0.25">
      <c r="A2253" s="101"/>
      <c r="B2253" s="36"/>
      <c r="C2253" s="98"/>
      <c r="D2253" s="98"/>
      <c r="E2253" s="98"/>
      <c r="F2253" s="102"/>
      <c r="G2253" s="103"/>
    </row>
    <row r="2254" spans="1:7" x14ac:dyDescent="0.25">
      <c r="A2254" s="101"/>
      <c r="B2254" s="66"/>
      <c r="C2254" s="98"/>
      <c r="D2254" s="98"/>
      <c r="E2254" s="98"/>
      <c r="F2254" s="102"/>
      <c r="G2254" s="103"/>
    </row>
    <row r="2255" spans="1:7" x14ac:dyDescent="0.25">
      <c r="A2255" s="101"/>
      <c r="B2255" s="36"/>
      <c r="C2255" s="98"/>
      <c r="D2255" s="98"/>
      <c r="E2255" s="98"/>
      <c r="F2255" s="102"/>
      <c r="G2255" s="103"/>
    </row>
    <row r="2256" spans="1:7" x14ac:dyDescent="0.25">
      <c r="A2256" s="101"/>
      <c r="B2256" s="36"/>
      <c r="C2256" s="98"/>
      <c r="D2256" s="98"/>
      <c r="E2256" s="98"/>
      <c r="F2256" s="102"/>
      <c r="G2256" s="103"/>
    </row>
    <row r="2257" spans="1:7" x14ac:dyDescent="0.25">
      <c r="A2257" s="101"/>
      <c r="B2257" s="36"/>
      <c r="C2257" s="98"/>
      <c r="D2257" s="98"/>
      <c r="E2257" s="98"/>
      <c r="F2257" s="102"/>
      <c r="G2257" s="103"/>
    </row>
    <row r="2258" spans="1:7" x14ac:dyDescent="0.25">
      <c r="A2258" s="101"/>
      <c r="B2258" s="36"/>
      <c r="C2258" s="98"/>
      <c r="D2258" s="98"/>
      <c r="E2258" s="98"/>
      <c r="F2258" s="102"/>
      <c r="G2258" s="103"/>
    </row>
    <row r="2259" spans="1:7" x14ac:dyDescent="0.25">
      <c r="A2259" s="101"/>
      <c r="B2259" s="36"/>
      <c r="C2259" s="98"/>
      <c r="D2259" s="98"/>
      <c r="E2259" s="98"/>
      <c r="F2259" s="102"/>
      <c r="G2259" s="103"/>
    </row>
    <row r="2260" spans="1:7" x14ac:dyDescent="0.25">
      <c r="A2260" s="101"/>
      <c r="B2260" s="36"/>
      <c r="C2260" s="98"/>
      <c r="D2260" s="98"/>
      <c r="E2260" s="98"/>
      <c r="F2260" s="102"/>
      <c r="G2260" s="103"/>
    </row>
    <row r="2261" spans="1:7" x14ac:dyDescent="0.25">
      <c r="A2261" s="101"/>
      <c r="B2261" s="36"/>
      <c r="C2261" s="98"/>
      <c r="D2261" s="98"/>
      <c r="E2261" s="98"/>
      <c r="F2261" s="102"/>
      <c r="G2261" s="103"/>
    </row>
    <row r="2262" spans="1:7" x14ac:dyDescent="0.25">
      <c r="A2262" s="101"/>
      <c r="B2262" s="36"/>
      <c r="C2262" s="98"/>
      <c r="D2262" s="98"/>
      <c r="E2262" s="98"/>
      <c r="F2262" s="102"/>
      <c r="G2262" s="103"/>
    </row>
    <row r="2263" spans="1:7" x14ac:dyDescent="0.25">
      <c r="A2263" s="101"/>
      <c r="B2263" s="36"/>
      <c r="C2263" s="98"/>
      <c r="D2263" s="98"/>
      <c r="E2263" s="98"/>
      <c r="F2263" s="102"/>
      <c r="G2263" s="103"/>
    </row>
    <row r="2264" spans="1:7" x14ac:dyDescent="0.25">
      <c r="A2264" s="101"/>
      <c r="B2264" s="36"/>
      <c r="C2264" s="98"/>
      <c r="D2264" s="98"/>
      <c r="E2264" s="98"/>
      <c r="F2264" s="102"/>
      <c r="G2264" s="103"/>
    </row>
    <row r="2265" spans="1:7" x14ac:dyDescent="0.25">
      <c r="A2265" s="101"/>
      <c r="B2265" s="36"/>
      <c r="C2265" s="98"/>
      <c r="D2265" s="98"/>
      <c r="E2265" s="98"/>
      <c r="F2265" s="102"/>
      <c r="G2265" s="103"/>
    </row>
    <row r="2266" spans="1:7" x14ac:dyDescent="0.25">
      <c r="A2266" s="101"/>
      <c r="B2266" s="36"/>
      <c r="C2266" s="98"/>
      <c r="D2266" s="98"/>
      <c r="E2266" s="98"/>
      <c r="F2266" s="102"/>
      <c r="G2266" s="103"/>
    </row>
    <row r="2267" spans="1:7" x14ac:dyDescent="0.25">
      <c r="A2267" s="101"/>
      <c r="B2267" s="36"/>
      <c r="C2267" s="98"/>
      <c r="D2267" s="98"/>
      <c r="E2267" s="98"/>
      <c r="F2267" s="102"/>
      <c r="G2267" s="103"/>
    </row>
    <row r="2268" spans="1:7" x14ac:dyDescent="0.25">
      <c r="A2268" s="101"/>
      <c r="B2268" s="36"/>
      <c r="C2268" s="98"/>
      <c r="D2268" s="98"/>
      <c r="E2268" s="98"/>
      <c r="F2268" s="102"/>
      <c r="G2268" s="103"/>
    </row>
    <row r="2269" spans="1:7" x14ac:dyDescent="0.25">
      <c r="A2269" s="101"/>
      <c r="B2269" s="36"/>
      <c r="C2269" s="98"/>
      <c r="D2269" s="98"/>
      <c r="E2269" s="98"/>
      <c r="F2269" s="102"/>
      <c r="G2269" s="103"/>
    </row>
    <row r="2270" spans="1:7" x14ac:dyDescent="0.25">
      <c r="A2270" s="101"/>
      <c r="B2270" s="36"/>
      <c r="C2270" s="98"/>
      <c r="D2270" s="98"/>
      <c r="E2270" s="98"/>
      <c r="F2270" s="102"/>
      <c r="G2270" s="103"/>
    </row>
    <row r="2271" spans="1:7" x14ac:dyDescent="0.25">
      <c r="A2271" s="101"/>
      <c r="B2271" s="36"/>
      <c r="C2271" s="98"/>
      <c r="D2271" s="98"/>
      <c r="E2271" s="98"/>
      <c r="F2271" s="102"/>
      <c r="G2271" s="103"/>
    </row>
    <row r="2272" spans="1:7" x14ac:dyDescent="0.25">
      <c r="A2272" s="101"/>
      <c r="B2272" s="36"/>
      <c r="C2272" s="98"/>
      <c r="D2272" s="98"/>
      <c r="E2272" s="98"/>
      <c r="F2272" s="102"/>
      <c r="G2272" s="103"/>
    </row>
    <row r="2273" spans="1:7" x14ac:dyDescent="0.25">
      <c r="A2273" s="101"/>
      <c r="B2273" s="36"/>
      <c r="C2273" s="98"/>
      <c r="D2273" s="98"/>
      <c r="E2273" s="98"/>
      <c r="F2273" s="102"/>
      <c r="G2273" s="103"/>
    </row>
    <row r="2274" spans="1:7" x14ac:dyDescent="0.25">
      <c r="A2274" s="101"/>
      <c r="B2274" s="36"/>
      <c r="C2274" s="98"/>
      <c r="D2274" s="98"/>
      <c r="E2274" s="98"/>
      <c r="F2274" s="102"/>
      <c r="G2274" s="103"/>
    </row>
    <row r="2275" spans="1:7" x14ac:dyDescent="0.25">
      <c r="A2275" s="101"/>
      <c r="B2275" s="36"/>
      <c r="C2275" s="98"/>
      <c r="D2275" s="98"/>
      <c r="E2275" s="98"/>
      <c r="F2275" s="102"/>
      <c r="G2275" s="103"/>
    </row>
    <row r="2276" spans="1:7" x14ac:dyDescent="0.25">
      <c r="A2276" s="101"/>
      <c r="B2276" s="36"/>
      <c r="C2276" s="98"/>
      <c r="D2276" s="98"/>
      <c r="E2276" s="98"/>
      <c r="F2276" s="102"/>
      <c r="G2276" s="103"/>
    </row>
    <row r="2277" spans="1:7" x14ac:dyDescent="0.25">
      <c r="A2277" s="101"/>
      <c r="B2277" s="36"/>
      <c r="C2277" s="98"/>
      <c r="D2277" s="98"/>
      <c r="E2277" s="98"/>
      <c r="F2277" s="102"/>
      <c r="G2277" s="103"/>
    </row>
    <row r="2278" spans="1:7" x14ac:dyDescent="0.25">
      <c r="A2278" s="101"/>
      <c r="B2278" s="36"/>
      <c r="C2278" s="98"/>
      <c r="D2278" s="98"/>
      <c r="E2278" s="98"/>
      <c r="F2278" s="102"/>
      <c r="G2278" s="103"/>
    </row>
    <row r="2279" spans="1:7" x14ac:dyDescent="0.25">
      <c r="A2279" s="101"/>
      <c r="B2279" s="36"/>
      <c r="C2279" s="98"/>
      <c r="D2279" s="98"/>
      <c r="E2279" s="98"/>
      <c r="F2279" s="102"/>
      <c r="G2279" s="103"/>
    </row>
    <row r="2280" spans="1:7" x14ac:dyDescent="0.25">
      <c r="A2280" s="101"/>
      <c r="B2280" s="36"/>
      <c r="C2280" s="98"/>
      <c r="D2280" s="98"/>
      <c r="E2280" s="98"/>
      <c r="F2280" s="102"/>
      <c r="G2280" s="103"/>
    </row>
    <row r="2281" spans="1:7" x14ac:dyDescent="0.25">
      <c r="A2281" s="101"/>
      <c r="B2281" s="36"/>
      <c r="C2281" s="98"/>
      <c r="D2281" s="98"/>
      <c r="E2281" s="98"/>
      <c r="F2281" s="102"/>
      <c r="G2281" s="103"/>
    </row>
    <row r="2282" spans="1:7" x14ac:dyDescent="0.25">
      <c r="A2282" s="101"/>
      <c r="B2282" s="36"/>
      <c r="C2282" s="98"/>
      <c r="D2282" s="98"/>
      <c r="E2282" s="98"/>
      <c r="F2282" s="102"/>
      <c r="G2282" s="103"/>
    </row>
    <row r="2283" spans="1:7" x14ac:dyDescent="0.25">
      <c r="A2283" s="101"/>
      <c r="B2283" s="36"/>
      <c r="C2283" s="98"/>
      <c r="D2283" s="98"/>
      <c r="E2283" s="98"/>
      <c r="F2283" s="102"/>
      <c r="G2283" s="103"/>
    </row>
    <row r="2284" spans="1:7" x14ac:dyDescent="0.25">
      <c r="A2284" s="101"/>
      <c r="B2284" s="36"/>
      <c r="C2284" s="98"/>
      <c r="D2284" s="98"/>
      <c r="E2284" s="98"/>
      <c r="F2284" s="102"/>
      <c r="G2284" s="103"/>
    </row>
    <row r="2285" spans="1:7" x14ac:dyDescent="0.25">
      <c r="A2285" s="101"/>
      <c r="B2285" s="36"/>
      <c r="C2285" s="98"/>
      <c r="D2285" s="98"/>
      <c r="E2285" s="98"/>
      <c r="F2285" s="102"/>
      <c r="G2285" s="103"/>
    </row>
    <row r="2286" spans="1:7" x14ac:dyDescent="0.25">
      <c r="A2286" s="101"/>
      <c r="B2286" s="36"/>
      <c r="C2286" s="98"/>
      <c r="D2286" s="98"/>
      <c r="E2286" s="98"/>
      <c r="F2286" s="102"/>
      <c r="G2286" s="103"/>
    </row>
    <row r="2287" spans="1:7" x14ac:dyDescent="0.25">
      <c r="A2287" s="101"/>
      <c r="B2287" s="36"/>
      <c r="C2287" s="98"/>
      <c r="D2287" s="98"/>
      <c r="E2287" s="98"/>
      <c r="F2287" s="102"/>
      <c r="G2287" s="103"/>
    </row>
    <row r="2288" spans="1:7" x14ac:dyDescent="0.25">
      <c r="A2288" s="101"/>
      <c r="B2288" s="36"/>
      <c r="C2288" s="98"/>
      <c r="D2288" s="98"/>
      <c r="E2288" s="98"/>
      <c r="F2288" s="102"/>
      <c r="G2288" s="103"/>
    </row>
    <row r="2289" spans="1:7" x14ac:dyDescent="0.25">
      <c r="A2289" s="101"/>
      <c r="B2289" s="36"/>
      <c r="C2289" s="98"/>
      <c r="D2289" s="98"/>
      <c r="E2289" s="98"/>
      <c r="F2289" s="102"/>
      <c r="G2289" s="103"/>
    </row>
    <row r="2290" spans="1:7" x14ac:dyDescent="0.25">
      <c r="A2290" s="101"/>
      <c r="B2290" s="36"/>
      <c r="C2290" s="98"/>
      <c r="D2290" s="98"/>
      <c r="E2290" s="98"/>
      <c r="F2290" s="102"/>
      <c r="G2290" s="103"/>
    </row>
    <row r="2291" spans="1:7" x14ac:dyDescent="0.25">
      <c r="A2291" s="101"/>
      <c r="B2291" s="36"/>
      <c r="C2291" s="98"/>
      <c r="D2291" s="98"/>
      <c r="E2291" s="98"/>
      <c r="F2291" s="102"/>
      <c r="G2291" s="103"/>
    </row>
    <row r="2292" spans="1:7" x14ac:dyDescent="0.25">
      <c r="A2292" s="101"/>
      <c r="B2292" s="36"/>
      <c r="C2292" s="98"/>
      <c r="D2292" s="98"/>
      <c r="E2292" s="98"/>
      <c r="F2292" s="102"/>
      <c r="G2292" s="103"/>
    </row>
    <row r="2293" spans="1:7" x14ac:dyDescent="0.25">
      <c r="A2293" s="101"/>
      <c r="B2293" s="36"/>
      <c r="C2293" s="98"/>
      <c r="D2293" s="98"/>
      <c r="E2293" s="98"/>
      <c r="F2293" s="102"/>
      <c r="G2293" s="103"/>
    </row>
    <row r="2294" spans="1:7" x14ac:dyDescent="0.25">
      <c r="A2294" s="101"/>
      <c r="B2294" s="36"/>
      <c r="C2294" s="98"/>
      <c r="D2294" s="98"/>
      <c r="E2294" s="98"/>
      <c r="F2294" s="102"/>
      <c r="G2294" s="103"/>
    </row>
    <row r="2295" spans="1:7" x14ac:dyDescent="0.25">
      <c r="A2295" s="101"/>
      <c r="B2295" s="36"/>
      <c r="C2295" s="98"/>
      <c r="D2295" s="98"/>
      <c r="E2295" s="98"/>
      <c r="F2295" s="102"/>
      <c r="G2295" s="103"/>
    </row>
    <row r="2296" spans="1:7" x14ac:dyDescent="0.25">
      <c r="A2296" s="101"/>
      <c r="B2296" s="36"/>
      <c r="C2296" s="98"/>
      <c r="D2296" s="98"/>
      <c r="E2296" s="98"/>
      <c r="F2296" s="102"/>
      <c r="G2296" s="103"/>
    </row>
    <row r="2297" spans="1:7" x14ac:dyDescent="0.25">
      <c r="A2297" s="101"/>
      <c r="B2297" s="36"/>
      <c r="C2297" s="98"/>
      <c r="D2297" s="98"/>
      <c r="E2297" s="98"/>
      <c r="F2297" s="102"/>
      <c r="G2297" s="103"/>
    </row>
    <row r="2298" spans="1:7" x14ac:dyDescent="0.25">
      <c r="A2298" s="101"/>
      <c r="B2298" s="36"/>
      <c r="C2298" s="98"/>
      <c r="D2298" s="98"/>
      <c r="E2298" s="98"/>
      <c r="F2298" s="102"/>
      <c r="G2298" s="103"/>
    </row>
    <row r="2299" spans="1:7" x14ac:dyDescent="0.25">
      <c r="A2299" s="101"/>
      <c r="B2299" s="36"/>
      <c r="C2299" s="98"/>
      <c r="D2299" s="98"/>
      <c r="E2299" s="98"/>
      <c r="F2299" s="102"/>
      <c r="G2299" s="103"/>
    </row>
    <row r="2300" spans="1:7" x14ac:dyDescent="0.25">
      <c r="A2300" s="101"/>
      <c r="B2300" s="36"/>
      <c r="C2300" s="98"/>
      <c r="D2300" s="98"/>
      <c r="E2300" s="98"/>
      <c r="F2300" s="102"/>
      <c r="G2300" s="103"/>
    </row>
    <row r="2301" spans="1:7" x14ac:dyDescent="0.25">
      <c r="A2301" s="101"/>
      <c r="B2301" s="36"/>
      <c r="C2301" s="98"/>
      <c r="D2301" s="98"/>
      <c r="E2301" s="98"/>
      <c r="F2301" s="102"/>
      <c r="G2301" s="103"/>
    </row>
    <row r="2302" spans="1:7" x14ac:dyDescent="0.25">
      <c r="A2302" s="101"/>
      <c r="B2302" s="36"/>
      <c r="C2302" s="98"/>
      <c r="D2302" s="98"/>
      <c r="E2302" s="98"/>
      <c r="F2302" s="102"/>
      <c r="G2302" s="103"/>
    </row>
    <row r="2303" spans="1:7" x14ac:dyDescent="0.25">
      <c r="A2303" s="101"/>
      <c r="B2303" s="36"/>
      <c r="C2303" s="98"/>
      <c r="D2303" s="98"/>
      <c r="E2303" s="98"/>
      <c r="F2303" s="102"/>
      <c r="G2303" s="103"/>
    </row>
    <row r="2304" spans="1:7" x14ac:dyDescent="0.25">
      <c r="A2304" s="101"/>
      <c r="B2304" s="36"/>
      <c r="C2304" s="98"/>
      <c r="D2304" s="98"/>
      <c r="E2304" s="98"/>
      <c r="F2304" s="102"/>
      <c r="G2304" s="103"/>
    </row>
    <row r="2305" spans="1:7" x14ac:dyDescent="0.25">
      <c r="A2305" s="101"/>
      <c r="B2305" s="36"/>
      <c r="C2305" s="98"/>
      <c r="D2305" s="98"/>
      <c r="E2305" s="98"/>
      <c r="F2305" s="102"/>
      <c r="G2305" s="103"/>
    </row>
    <row r="2306" spans="1:7" x14ac:dyDescent="0.25">
      <c r="A2306" s="101"/>
      <c r="B2306" s="36"/>
      <c r="C2306" s="98"/>
      <c r="D2306" s="98"/>
      <c r="E2306" s="98"/>
      <c r="F2306" s="102"/>
      <c r="G2306" s="103"/>
    </row>
    <row r="2307" spans="1:7" x14ac:dyDescent="0.25">
      <c r="A2307" s="101"/>
      <c r="B2307" s="36"/>
      <c r="C2307" s="98"/>
      <c r="D2307" s="98"/>
      <c r="E2307" s="98"/>
      <c r="F2307" s="102"/>
      <c r="G2307" s="103"/>
    </row>
    <row r="2308" spans="1:7" x14ac:dyDescent="0.25">
      <c r="A2308" s="101"/>
      <c r="B2308" s="36"/>
      <c r="C2308" s="98"/>
      <c r="D2308" s="98"/>
      <c r="E2308" s="98"/>
      <c r="F2308" s="102"/>
      <c r="G2308" s="103"/>
    </row>
    <row r="2309" spans="1:7" x14ac:dyDescent="0.25">
      <c r="A2309" s="101"/>
      <c r="B2309" s="36"/>
      <c r="C2309" s="98"/>
      <c r="D2309" s="98"/>
      <c r="E2309" s="98"/>
      <c r="F2309" s="102"/>
      <c r="G2309" s="103"/>
    </row>
    <row r="2310" spans="1:7" x14ac:dyDescent="0.25">
      <c r="A2310" s="101"/>
      <c r="B2310" s="36"/>
      <c r="C2310" s="98"/>
      <c r="D2310" s="98"/>
      <c r="E2310" s="98"/>
      <c r="F2310" s="102"/>
      <c r="G2310" s="103"/>
    </row>
    <row r="2311" spans="1:7" x14ac:dyDescent="0.25">
      <c r="A2311" s="101"/>
      <c r="B2311" s="36"/>
      <c r="C2311" s="98"/>
      <c r="D2311" s="98"/>
      <c r="E2311" s="98"/>
      <c r="F2311" s="102"/>
      <c r="G2311" s="103"/>
    </row>
    <row r="2312" spans="1:7" x14ac:dyDescent="0.25">
      <c r="A2312" s="101"/>
      <c r="B2312" s="36"/>
      <c r="C2312" s="98"/>
      <c r="D2312" s="98"/>
      <c r="E2312" s="98"/>
      <c r="F2312" s="102"/>
      <c r="G2312" s="103"/>
    </row>
    <row r="2313" spans="1:7" x14ac:dyDescent="0.25">
      <c r="A2313" s="101"/>
      <c r="B2313" s="36"/>
      <c r="C2313" s="98"/>
      <c r="D2313" s="98"/>
      <c r="E2313" s="98"/>
      <c r="F2313" s="102"/>
      <c r="G2313" s="103"/>
    </row>
    <row r="2314" spans="1:7" x14ac:dyDescent="0.25">
      <c r="A2314" s="101"/>
      <c r="B2314" s="36"/>
      <c r="C2314" s="98"/>
      <c r="D2314" s="98"/>
      <c r="E2314" s="98"/>
      <c r="F2314" s="102"/>
      <c r="G2314" s="103"/>
    </row>
    <row r="2315" spans="1:7" x14ac:dyDescent="0.25">
      <c r="A2315" s="101"/>
      <c r="B2315" s="36"/>
      <c r="C2315" s="98"/>
      <c r="D2315" s="98"/>
      <c r="E2315" s="98"/>
      <c r="F2315" s="102"/>
      <c r="G2315" s="103"/>
    </row>
    <row r="2316" spans="1:7" x14ac:dyDescent="0.25">
      <c r="A2316" s="101"/>
      <c r="B2316" s="36"/>
      <c r="C2316" s="98"/>
      <c r="D2316" s="98"/>
      <c r="E2316" s="98"/>
      <c r="F2316" s="102"/>
      <c r="G2316" s="103"/>
    </row>
    <row r="2317" spans="1:7" x14ac:dyDescent="0.25">
      <c r="A2317" s="101"/>
      <c r="B2317" s="36"/>
      <c r="C2317" s="98"/>
      <c r="D2317" s="98"/>
      <c r="E2317" s="98"/>
      <c r="F2317" s="102"/>
      <c r="G2317" s="103"/>
    </row>
    <row r="2318" spans="1:7" x14ac:dyDescent="0.25">
      <c r="A2318" s="101"/>
      <c r="B2318" s="36"/>
      <c r="C2318" s="98"/>
      <c r="D2318" s="98"/>
      <c r="E2318" s="98"/>
      <c r="F2318" s="102"/>
      <c r="G2318" s="103"/>
    </row>
    <row r="2319" spans="1:7" x14ac:dyDescent="0.25">
      <c r="A2319" s="101"/>
      <c r="B2319" s="36"/>
      <c r="C2319" s="98"/>
      <c r="D2319" s="98"/>
      <c r="E2319" s="98"/>
      <c r="F2319" s="102"/>
      <c r="G2319" s="103"/>
    </row>
    <row r="2320" spans="1:7" x14ac:dyDescent="0.25">
      <c r="A2320" s="101"/>
      <c r="B2320" s="36"/>
      <c r="C2320" s="98"/>
      <c r="D2320" s="98"/>
      <c r="E2320" s="98"/>
      <c r="F2320" s="102"/>
      <c r="G2320" s="103"/>
    </row>
    <row r="2321" spans="1:7" x14ac:dyDescent="0.25">
      <c r="A2321" s="101"/>
      <c r="B2321" s="36"/>
      <c r="C2321" s="98"/>
      <c r="D2321" s="98"/>
      <c r="E2321" s="98"/>
      <c r="F2321" s="102"/>
      <c r="G2321" s="103"/>
    </row>
    <row r="2322" spans="1:7" x14ac:dyDescent="0.25">
      <c r="A2322" s="101"/>
      <c r="B2322" s="36"/>
      <c r="C2322" s="98"/>
      <c r="D2322" s="98"/>
      <c r="E2322" s="98"/>
      <c r="F2322" s="102"/>
      <c r="G2322" s="103"/>
    </row>
    <row r="2323" spans="1:7" x14ac:dyDescent="0.25">
      <c r="A2323" s="101"/>
      <c r="B2323" s="36"/>
      <c r="C2323" s="98"/>
      <c r="D2323" s="98"/>
      <c r="E2323" s="98"/>
      <c r="F2323" s="102"/>
      <c r="G2323" s="103"/>
    </row>
    <row r="2324" spans="1:7" x14ac:dyDescent="0.25">
      <c r="A2324" s="101"/>
      <c r="B2324" s="36"/>
      <c r="C2324" s="98"/>
      <c r="D2324" s="98"/>
      <c r="E2324" s="98"/>
      <c r="F2324" s="102"/>
      <c r="G2324" s="103"/>
    </row>
    <row r="2325" spans="1:7" x14ac:dyDescent="0.25">
      <c r="A2325" s="101"/>
      <c r="B2325" s="36"/>
      <c r="C2325" s="98"/>
      <c r="D2325" s="98"/>
      <c r="E2325" s="98"/>
      <c r="F2325" s="102"/>
      <c r="G2325" s="103"/>
    </row>
    <row r="2326" spans="1:7" x14ac:dyDescent="0.25">
      <c r="A2326" s="101"/>
      <c r="B2326" s="36"/>
      <c r="C2326" s="98"/>
      <c r="D2326" s="98"/>
      <c r="E2326" s="98"/>
      <c r="F2326" s="102"/>
      <c r="G2326" s="103"/>
    </row>
    <row r="2327" spans="1:7" x14ac:dyDescent="0.25">
      <c r="A2327" s="101"/>
      <c r="B2327" s="36"/>
      <c r="C2327" s="98"/>
      <c r="D2327" s="98"/>
      <c r="E2327" s="98"/>
      <c r="F2327" s="102"/>
      <c r="G2327" s="103"/>
    </row>
    <row r="2328" spans="1:7" x14ac:dyDescent="0.25">
      <c r="A2328" s="101"/>
      <c r="B2328" s="36"/>
      <c r="C2328" s="98"/>
      <c r="D2328" s="98"/>
      <c r="E2328" s="98"/>
      <c r="F2328" s="102"/>
      <c r="G2328" s="103"/>
    </row>
    <row r="2329" spans="1:7" x14ac:dyDescent="0.25">
      <c r="A2329" s="101"/>
      <c r="B2329" s="36"/>
      <c r="C2329" s="98"/>
      <c r="D2329" s="98"/>
      <c r="E2329" s="98"/>
      <c r="F2329" s="102"/>
      <c r="G2329" s="103"/>
    </row>
    <row r="2330" spans="1:7" x14ac:dyDescent="0.25">
      <c r="A2330" s="101"/>
      <c r="B2330" s="36"/>
      <c r="C2330" s="98"/>
      <c r="D2330" s="98"/>
      <c r="E2330" s="98"/>
      <c r="F2330" s="102"/>
      <c r="G2330" s="103"/>
    </row>
    <row r="2331" spans="1:7" x14ac:dyDescent="0.25">
      <c r="A2331" s="101"/>
      <c r="B2331" s="36"/>
      <c r="C2331" s="98"/>
      <c r="D2331" s="98"/>
      <c r="E2331" s="98"/>
      <c r="F2331" s="102"/>
      <c r="G2331" s="103"/>
    </row>
    <row r="2332" spans="1:7" x14ac:dyDescent="0.25">
      <c r="A2332" s="101"/>
      <c r="B2332" s="36"/>
      <c r="C2332" s="98"/>
      <c r="D2332" s="98"/>
      <c r="E2332" s="98"/>
      <c r="F2332" s="102"/>
      <c r="G2332" s="103"/>
    </row>
    <row r="2333" spans="1:7" x14ac:dyDescent="0.25">
      <c r="A2333" s="101"/>
      <c r="B2333" s="36"/>
      <c r="C2333" s="98"/>
      <c r="D2333" s="98"/>
      <c r="E2333" s="98"/>
      <c r="F2333" s="102"/>
      <c r="G2333" s="103"/>
    </row>
    <row r="2334" spans="1:7" x14ac:dyDescent="0.25">
      <c r="A2334" s="101"/>
      <c r="B2334" s="36"/>
      <c r="C2334" s="98"/>
      <c r="D2334" s="98"/>
      <c r="E2334" s="98"/>
      <c r="F2334" s="102"/>
      <c r="G2334" s="103"/>
    </row>
    <row r="2335" spans="1:7" x14ac:dyDescent="0.25">
      <c r="A2335" s="101"/>
      <c r="B2335" s="36"/>
      <c r="C2335" s="98"/>
      <c r="D2335" s="98"/>
      <c r="E2335" s="98"/>
      <c r="F2335" s="102"/>
      <c r="G2335" s="103"/>
    </row>
    <row r="2336" spans="1:7" x14ac:dyDescent="0.25">
      <c r="A2336" s="101"/>
      <c r="B2336" s="36"/>
      <c r="C2336" s="98"/>
      <c r="D2336" s="98"/>
      <c r="E2336" s="98"/>
      <c r="F2336" s="102"/>
      <c r="G2336" s="103"/>
    </row>
    <row r="2337" spans="1:7" x14ac:dyDescent="0.25">
      <c r="A2337" s="101"/>
      <c r="B2337" s="36"/>
      <c r="C2337" s="98"/>
      <c r="D2337" s="98"/>
      <c r="E2337" s="98"/>
      <c r="F2337" s="102"/>
      <c r="G2337" s="103"/>
    </row>
    <row r="2338" spans="1:7" x14ac:dyDescent="0.25">
      <c r="A2338" s="101"/>
      <c r="B2338" s="36"/>
      <c r="C2338" s="98"/>
      <c r="D2338" s="98"/>
      <c r="E2338" s="98"/>
      <c r="F2338" s="102"/>
      <c r="G2338" s="103"/>
    </row>
    <row r="2339" spans="1:7" x14ac:dyDescent="0.25">
      <c r="A2339" s="101"/>
      <c r="B2339" s="36"/>
      <c r="C2339" s="98"/>
      <c r="D2339" s="98"/>
      <c r="E2339" s="98"/>
      <c r="F2339" s="102"/>
      <c r="G2339" s="103"/>
    </row>
    <row r="2340" spans="1:7" x14ac:dyDescent="0.25">
      <c r="A2340" s="101"/>
      <c r="B2340" s="36"/>
      <c r="C2340" s="98"/>
      <c r="D2340" s="98"/>
      <c r="E2340" s="98"/>
      <c r="F2340" s="102"/>
      <c r="G2340" s="103"/>
    </row>
    <row r="2341" spans="1:7" x14ac:dyDescent="0.25">
      <c r="A2341" s="101"/>
      <c r="B2341" s="36"/>
      <c r="C2341" s="98"/>
      <c r="D2341" s="98"/>
      <c r="E2341" s="98"/>
      <c r="F2341" s="102"/>
      <c r="G2341" s="103"/>
    </row>
    <row r="2342" spans="1:7" x14ac:dyDescent="0.25">
      <c r="A2342" s="101"/>
      <c r="B2342" s="36"/>
      <c r="C2342" s="98"/>
      <c r="D2342" s="98"/>
      <c r="E2342" s="98"/>
      <c r="F2342" s="102"/>
      <c r="G2342" s="103"/>
    </row>
    <row r="2343" spans="1:7" x14ac:dyDescent="0.25">
      <c r="A2343" s="101"/>
      <c r="B2343" s="36"/>
      <c r="C2343" s="98"/>
      <c r="D2343" s="98"/>
      <c r="E2343" s="98"/>
      <c r="F2343" s="102"/>
      <c r="G2343" s="103"/>
    </row>
    <row r="2344" spans="1:7" x14ac:dyDescent="0.25">
      <c r="A2344" s="101"/>
      <c r="B2344" s="36"/>
      <c r="C2344" s="98"/>
      <c r="D2344" s="98"/>
      <c r="E2344" s="98"/>
      <c r="F2344" s="102"/>
      <c r="G2344" s="103"/>
    </row>
    <row r="2345" spans="1:7" x14ac:dyDescent="0.25">
      <c r="A2345" s="101"/>
      <c r="B2345" s="36"/>
      <c r="C2345" s="98"/>
      <c r="D2345" s="98"/>
      <c r="E2345" s="98"/>
      <c r="F2345" s="102"/>
      <c r="G2345" s="103"/>
    </row>
    <row r="2346" spans="1:7" x14ac:dyDescent="0.25">
      <c r="A2346" s="101"/>
      <c r="B2346" s="36"/>
      <c r="C2346" s="98"/>
      <c r="D2346" s="98"/>
      <c r="E2346" s="98"/>
      <c r="F2346" s="102"/>
      <c r="G2346" s="103"/>
    </row>
    <row r="2347" spans="1:7" x14ac:dyDescent="0.25">
      <c r="A2347" s="101"/>
      <c r="B2347" s="36"/>
      <c r="C2347" s="98"/>
      <c r="D2347" s="98"/>
      <c r="E2347" s="98"/>
      <c r="F2347" s="102"/>
      <c r="G2347" s="103"/>
    </row>
    <row r="2348" spans="1:7" x14ac:dyDescent="0.25">
      <c r="A2348" s="101"/>
      <c r="B2348" s="36"/>
      <c r="C2348" s="98"/>
      <c r="D2348" s="98"/>
      <c r="E2348" s="98"/>
      <c r="F2348" s="102"/>
      <c r="G2348" s="103"/>
    </row>
    <row r="2349" spans="1:7" x14ac:dyDescent="0.25">
      <c r="A2349" s="101"/>
      <c r="B2349" s="36"/>
      <c r="C2349" s="98"/>
      <c r="D2349" s="98"/>
      <c r="E2349" s="98"/>
      <c r="F2349" s="102"/>
      <c r="G2349" s="103"/>
    </row>
    <row r="2350" spans="1:7" x14ac:dyDescent="0.25">
      <c r="A2350" s="101"/>
      <c r="B2350" s="36"/>
      <c r="C2350" s="98"/>
      <c r="D2350" s="98"/>
      <c r="E2350" s="98"/>
      <c r="F2350" s="102"/>
      <c r="G2350" s="103"/>
    </row>
    <row r="2351" spans="1:7" x14ac:dyDescent="0.25">
      <c r="A2351" s="101"/>
      <c r="B2351" s="36"/>
      <c r="C2351" s="98"/>
      <c r="D2351" s="98"/>
      <c r="E2351" s="98"/>
      <c r="F2351" s="102"/>
      <c r="G2351" s="103"/>
    </row>
    <row r="2352" spans="1:7" x14ac:dyDescent="0.25">
      <c r="A2352" s="101"/>
      <c r="B2352" s="36"/>
      <c r="C2352" s="98"/>
      <c r="D2352" s="98"/>
      <c r="E2352" s="98"/>
      <c r="F2352" s="102"/>
      <c r="G2352" s="103"/>
    </row>
    <row r="2353" spans="1:7" x14ac:dyDescent="0.25">
      <c r="A2353" s="101"/>
      <c r="B2353" s="36"/>
      <c r="C2353" s="98"/>
      <c r="D2353" s="98"/>
      <c r="E2353" s="98"/>
      <c r="F2353" s="102"/>
      <c r="G2353" s="103"/>
    </row>
    <row r="2354" spans="1:7" x14ac:dyDescent="0.25">
      <c r="A2354" s="101"/>
      <c r="B2354" s="36"/>
      <c r="C2354" s="98"/>
      <c r="D2354" s="98"/>
      <c r="E2354" s="98"/>
      <c r="F2354" s="102"/>
      <c r="G2354" s="103"/>
    </row>
    <row r="2355" spans="1:7" x14ac:dyDescent="0.25">
      <c r="A2355" s="101"/>
      <c r="B2355" s="36"/>
      <c r="C2355" s="98"/>
      <c r="D2355" s="98"/>
      <c r="E2355" s="98"/>
      <c r="F2355" s="102"/>
      <c r="G2355" s="103"/>
    </row>
    <row r="2356" spans="1:7" x14ac:dyDescent="0.25">
      <c r="A2356" s="101"/>
      <c r="B2356" s="36"/>
      <c r="C2356" s="98"/>
      <c r="D2356" s="98"/>
      <c r="E2356" s="98"/>
      <c r="F2356" s="102"/>
      <c r="G2356" s="103"/>
    </row>
    <row r="2357" spans="1:7" x14ac:dyDescent="0.25">
      <c r="A2357" s="101"/>
      <c r="B2357" s="36"/>
      <c r="C2357" s="98"/>
      <c r="D2357" s="98"/>
      <c r="E2357" s="98"/>
      <c r="F2357" s="102"/>
      <c r="G2357" s="103"/>
    </row>
    <row r="2358" spans="1:7" x14ac:dyDescent="0.25">
      <c r="A2358" s="101"/>
      <c r="B2358" s="36"/>
      <c r="C2358" s="98"/>
      <c r="D2358" s="98"/>
      <c r="E2358" s="98"/>
      <c r="F2358" s="102"/>
      <c r="G2358" s="103"/>
    </row>
    <row r="2359" spans="1:7" x14ac:dyDescent="0.25">
      <c r="A2359" s="101"/>
      <c r="B2359" s="36"/>
      <c r="C2359" s="98"/>
      <c r="D2359" s="98"/>
      <c r="E2359" s="98"/>
      <c r="F2359" s="102"/>
      <c r="G2359" s="103"/>
    </row>
    <row r="2360" spans="1:7" x14ac:dyDescent="0.25">
      <c r="A2360" s="101"/>
      <c r="B2360" s="36"/>
      <c r="C2360" s="98"/>
      <c r="D2360" s="98"/>
      <c r="E2360" s="98"/>
      <c r="F2360" s="102"/>
      <c r="G2360" s="103"/>
    </row>
    <row r="2361" spans="1:7" x14ac:dyDescent="0.25">
      <c r="A2361" s="101"/>
      <c r="B2361" s="36"/>
      <c r="C2361" s="98"/>
      <c r="D2361" s="98"/>
      <c r="E2361" s="98"/>
      <c r="F2361" s="102"/>
      <c r="G2361" s="103"/>
    </row>
    <row r="2362" spans="1:7" x14ac:dyDescent="0.25">
      <c r="A2362" s="101"/>
      <c r="B2362" s="36"/>
      <c r="C2362" s="98"/>
      <c r="D2362" s="98"/>
      <c r="E2362" s="98"/>
      <c r="F2362" s="102"/>
      <c r="G2362" s="103"/>
    </row>
    <row r="2363" spans="1:7" x14ac:dyDescent="0.25">
      <c r="A2363" s="101"/>
      <c r="B2363" s="36"/>
      <c r="C2363" s="98"/>
      <c r="D2363" s="98"/>
      <c r="E2363" s="98"/>
      <c r="F2363" s="102"/>
      <c r="G2363" s="103"/>
    </row>
    <row r="2364" spans="1:7" x14ac:dyDescent="0.25">
      <c r="A2364" s="101"/>
      <c r="B2364" s="36"/>
      <c r="C2364" s="98"/>
      <c r="D2364" s="98"/>
      <c r="E2364" s="98"/>
      <c r="F2364" s="102"/>
      <c r="G2364" s="103"/>
    </row>
    <row r="2365" spans="1:7" x14ac:dyDescent="0.25">
      <c r="A2365" s="101"/>
      <c r="B2365" s="36"/>
      <c r="C2365" s="98"/>
      <c r="D2365" s="98"/>
      <c r="E2365" s="98"/>
      <c r="F2365" s="102"/>
      <c r="G2365" s="103"/>
    </row>
    <row r="2366" spans="1:7" x14ac:dyDescent="0.25">
      <c r="A2366" s="101"/>
      <c r="B2366" s="36"/>
      <c r="C2366" s="98"/>
      <c r="D2366" s="98"/>
      <c r="E2366" s="98"/>
      <c r="F2366" s="102"/>
      <c r="G2366" s="103"/>
    </row>
    <row r="2367" spans="1:7" x14ac:dyDescent="0.25">
      <c r="A2367" s="101"/>
      <c r="B2367" s="36"/>
      <c r="C2367" s="98"/>
      <c r="D2367" s="98"/>
      <c r="E2367" s="98"/>
      <c r="F2367" s="102"/>
      <c r="G2367" s="103"/>
    </row>
    <row r="2368" spans="1:7" x14ac:dyDescent="0.25">
      <c r="A2368" s="101"/>
      <c r="B2368" s="36"/>
      <c r="C2368" s="98"/>
      <c r="D2368" s="98"/>
      <c r="E2368" s="98"/>
      <c r="F2368" s="102"/>
      <c r="G2368" s="103"/>
    </row>
    <row r="2369" spans="1:7" x14ac:dyDescent="0.25">
      <c r="A2369" s="101"/>
      <c r="B2369" s="36"/>
      <c r="C2369" s="98"/>
      <c r="D2369" s="98"/>
      <c r="E2369" s="98"/>
      <c r="F2369" s="102"/>
      <c r="G2369" s="103"/>
    </row>
    <row r="2370" spans="1:7" x14ac:dyDescent="0.25">
      <c r="A2370" s="101"/>
      <c r="B2370" s="36"/>
      <c r="C2370" s="98"/>
      <c r="D2370" s="98"/>
      <c r="E2370" s="98"/>
      <c r="F2370" s="102"/>
      <c r="G2370" s="103"/>
    </row>
    <row r="2371" spans="1:7" x14ac:dyDescent="0.25">
      <c r="A2371" s="101"/>
      <c r="B2371" s="36"/>
      <c r="C2371" s="98"/>
      <c r="D2371" s="98"/>
      <c r="E2371" s="98"/>
      <c r="F2371" s="102"/>
      <c r="G2371" s="103"/>
    </row>
    <row r="2372" spans="1:7" x14ac:dyDescent="0.25">
      <c r="A2372" s="101"/>
      <c r="B2372" s="36"/>
      <c r="C2372" s="98"/>
      <c r="D2372" s="98"/>
      <c r="E2372" s="98"/>
      <c r="F2372" s="102"/>
      <c r="G2372" s="103"/>
    </row>
    <row r="2373" spans="1:7" x14ac:dyDescent="0.25">
      <c r="A2373" s="101"/>
      <c r="B2373" s="36"/>
      <c r="C2373" s="98"/>
      <c r="D2373" s="98"/>
      <c r="E2373" s="98"/>
      <c r="F2373" s="102"/>
      <c r="G2373" s="103"/>
    </row>
    <row r="2374" spans="1:7" x14ac:dyDescent="0.25">
      <c r="A2374" s="101"/>
      <c r="B2374" s="36"/>
      <c r="C2374" s="98"/>
      <c r="D2374" s="98"/>
      <c r="E2374" s="98"/>
      <c r="F2374" s="102"/>
      <c r="G2374" s="103"/>
    </row>
    <row r="2375" spans="1:7" x14ac:dyDescent="0.25">
      <c r="A2375" s="101"/>
      <c r="B2375" s="36"/>
      <c r="C2375" s="98"/>
      <c r="D2375" s="98"/>
      <c r="E2375" s="98"/>
      <c r="F2375" s="102"/>
      <c r="G2375" s="103"/>
    </row>
    <row r="2376" spans="1:7" x14ac:dyDescent="0.25">
      <c r="A2376" s="101"/>
      <c r="B2376" s="36"/>
      <c r="C2376" s="98"/>
      <c r="D2376" s="98"/>
      <c r="E2376" s="98"/>
      <c r="F2376" s="102"/>
      <c r="G2376" s="103"/>
    </row>
    <row r="2377" spans="1:7" x14ac:dyDescent="0.25">
      <c r="A2377" s="101"/>
      <c r="B2377" s="36"/>
      <c r="C2377" s="98"/>
      <c r="D2377" s="98"/>
      <c r="E2377" s="98"/>
      <c r="F2377" s="102"/>
      <c r="G2377" s="103"/>
    </row>
    <row r="2378" spans="1:7" x14ac:dyDescent="0.25">
      <c r="A2378" s="101"/>
      <c r="B2378" s="36"/>
      <c r="C2378" s="98"/>
      <c r="D2378" s="98"/>
      <c r="E2378" s="98"/>
      <c r="F2378" s="102"/>
      <c r="G2378" s="103"/>
    </row>
    <row r="2379" spans="1:7" x14ac:dyDescent="0.25">
      <c r="A2379" s="101"/>
      <c r="B2379" s="36"/>
      <c r="C2379" s="98"/>
      <c r="D2379" s="98"/>
      <c r="E2379" s="98"/>
      <c r="F2379" s="102"/>
      <c r="G2379" s="103"/>
    </row>
    <row r="2380" spans="1:7" x14ac:dyDescent="0.25">
      <c r="A2380" s="101"/>
      <c r="B2380" s="36"/>
      <c r="C2380" s="98"/>
      <c r="D2380" s="98"/>
      <c r="E2380" s="98"/>
      <c r="F2380" s="102"/>
      <c r="G2380" s="103"/>
    </row>
    <row r="2381" spans="1:7" x14ac:dyDescent="0.25">
      <c r="A2381" s="101"/>
      <c r="B2381" s="36"/>
      <c r="C2381" s="98"/>
      <c r="D2381" s="98"/>
      <c r="E2381" s="98"/>
      <c r="F2381" s="102"/>
      <c r="G2381" s="103"/>
    </row>
    <row r="2382" spans="1:7" x14ac:dyDescent="0.25">
      <c r="A2382" s="101"/>
      <c r="B2382" s="36"/>
      <c r="C2382" s="98"/>
      <c r="D2382" s="98"/>
      <c r="E2382" s="98"/>
      <c r="F2382" s="102"/>
      <c r="G2382" s="103"/>
    </row>
    <row r="2383" spans="1:7" x14ac:dyDescent="0.25">
      <c r="A2383" s="101"/>
      <c r="B2383" s="36"/>
      <c r="C2383" s="98"/>
      <c r="D2383" s="98"/>
      <c r="E2383" s="98"/>
      <c r="F2383" s="102"/>
      <c r="G2383" s="103"/>
    </row>
    <row r="2384" spans="1:7" x14ac:dyDescent="0.25">
      <c r="A2384" s="101"/>
      <c r="B2384" s="36"/>
      <c r="C2384" s="98"/>
      <c r="D2384" s="98"/>
      <c r="E2384" s="98"/>
      <c r="F2384" s="102"/>
      <c r="G2384" s="103"/>
    </row>
    <row r="2385" spans="1:7" x14ac:dyDescent="0.25">
      <c r="A2385" s="101"/>
      <c r="B2385" s="36"/>
      <c r="C2385" s="98"/>
      <c r="D2385" s="98"/>
      <c r="E2385" s="98"/>
      <c r="F2385" s="102"/>
      <c r="G2385" s="103"/>
    </row>
    <row r="2386" spans="1:7" x14ac:dyDescent="0.25">
      <c r="A2386" s="101"/>
      <c r="B2386" s="36"/>
      <c r="C2386" s="98"/>
      <c r="D2386" s="98"/>
      <c r="E2386" s="98"/>
      <c r="F2386" s="102"/>
      <c r="G2386" s="103"/>
    </row>
    <row r="2387" spans="1:7" x14ac:dyDescent="0.25">
      <c r="A2387" s="101"/>
      <c r="B2387" s="36"/>
      <c r="C2387" s="98"/>
      <c r="D2387" s="98"/>
      <c r="E2387" s="98"/>
      <c r="F2387" s="102"/>
      <c r="G2387" s="103"/>
    </row>
    <row r="2388" spans="1:7" x14ac:dyDescent="0.25">
      <c r="A2388" s="101"/>
      <c r="B2388" s="36"/>
      <c r="C2388" s="98"/>
      <c r="D2388" s="98"/>
      <c r="E2388" s="98"/>
      <c r="F2388" s="102"/>
      <c r="G2388" s="103"/>
    </row>
    <row r="2389" spans="1:7" x14ac:dyDescent="0.25">
      <c r="A2389" s="101"/>
      <c r="B2389" s="36"/>
      <c r="C2389" s="98"/>
      <c r="D2389" s="98"/>
      <c r="E2389" s="98"/>
      <c r="F2389" s="102"/>
      <c r="G2389" s="103"/>
    </row>
    <row r="2390" spans="1:7" x14ac:dyDescent="0.25">
      <c r="A2390" s="101"/>
      <c r="B2390" s="36"/>
      <c r="C2390" s="98"/>
      <c r="D2390" s="98"/>
      <c r="E2390" s="98"/>
      <c r="F2390" s="102"/>
      <c r="G2390" s="103"/>
    </row>
    <row r="2391" spans="1:7" x14ac:dyDescent="0.25">
      <c r="A2391" s="101"/>
      <c r="B2391" s="36"/>
      <c r="C2391" s="98"/>
      <c r="D2391" s="98"/>
      <c r="E2391" s="98"/>
      <c r="F2391" s="102"/>
      <c r="G2391" s="103"/>
    </row>
    <row r="2392" spans="1:7" x14ac:dyDescent="0.25">
      <c r="A2392" s="101"/>
      <c r="B2392" s="36"/>
      <c r="C2392" s="98"/>
      <c r="D2392" s="98"/>
      <c r="E2392" s="98"/>
      <c r="F2392" s="102"/>
      <c r="G2392" s="103"/>
    </row>
    <row r="2393" spans="1:7" x14ac:dyDescent="0.25">
      <c r="A2393" s="101"/>
      <c r="B2393" s="36"/>
      <c r="C2393" s="98"/>
      <c r="D2393" s="98"/>
      <c r="E2393" s="98"/>
      <c r="F2393" s="102"/>
      <c r="G2393" s="103"/>
    </row>
    <row r="2394" spans="1:7" x14ac:dyDescent="0.25">
      <c r="A2394" s="101"/>
      <c r="B2394" s="36"/>
      <c r="C2394" s="98"/>
      <c r="D2394" s="98"/>
      <c r="E2394" s="98"/>
      <c r="F2394" s="102"/>
      <c r="G2394" s="103"/>
    </row>
    <row r="2395" spans="1:7" x14ac:dyDescent="0.25">
      <c r="A2395" s="101"/>
      <c r="B2395" s="36"/>
      <c r="C2395" s="98"/>
      <c r="D2395" s="98"/>
      <c r="E2395" s="98"/>
      <c r="F2395" s="102"/>
      <c r="G2395" s="103"/>
    </row>
    <row r="2396" spans="1:7" x14ac:dyDescent="0.25">
      <c r="A2396" s="101"/>
      <c r="B2396" s="36"/>
      <c r="C2396" s="98"/>
      <c r="D2396" s="98"/>
      <c r="E2396" s="98"/>
      <c r="F2396" s="102"/>
      <c r="G2396" s="103"/>
    </row>
    <row r="2397" spans="1:7" x14ac:dyDescent="0.25">
      <c r="A2397" s="101"/>
      <c r="B2397" s="36"/>
      <c r="C2397" s="98"/>
      <c r="D2397" s="98"/>
      <c r="E2397" s="98"/>
      <c r="F2397" s="102"/>
      <c r="G2397" s="103"/>
    </row>
    <row r="2398" spans="1:7" x14ac:dyDescent="0.25">
      <c r="A2398" s="101"/>
      <c r="B2398" s="36"/>
      <c r="C2398" s="98"/>
      <c r="D2398" s="98"/>
      <c r="E2398" s="98"/>
      <c r="F2398" s="102"/>
      <c r="G2398" s="103"/>
    </row>
    <row r="2399" spans="1:7" x14ac:dyDescent="0.25">
      <c r="A2399" s="101"/>
      <c r="B2399" s="36"/>
      <c r="C2399" s="98"/>
      <c r="D2399" s="98"/>
      <c r="E2399" s="98"/>
      <c r="F2399" s="102"/>
      <c r="G2399" s="103"/>
    </row>
    <row r="2400" spans="1:7" x14ac:dyDescent="0.25">
      <c r="A2400" s="101"/>
      <c r="B2400" s="36"/>
      <c r="C2400" s="98"/>
      <c r="D2400" s="98"/>
      <c r="E2400" s="98"/>
      <c r="F2400" s="102"/>
      <c r="G2400" s="103"/>
    </row>
    <row r="2401" spans="1:7" x14ac:dyDescent="0.25">
      <c r="A2401" s="101"/>
      <c r="B2401" s="36"/>
      <c r="C2401" s="98"/>
      <c r="D2401" s="98"/>
      <c r="E2401" s="98"/>
      <c r="F2401" s="102"/>
      <c r="G2401" s="103"/>
    </row>
    <row r="2402" spans="1:7" x14ac:dyDescent="0.25">
      <c r="A2402" s="101"/>
      <c r="B2402" s="36"/>
      <c r="C2402" s="98"/>
      <c r="D2402" s="98"/>
      <c r="E2402" s="98"/>
      <c r="F2402" s="102"/>
      <c r="G2402" s="103"/>
    </row>
    <row r="2403" spans="1:7" x14ac:dyDescent="0.25">
      <c r="A2403" s="101"/>
      <c r="B2403" s="36"/>
      <c r="C2403" s="98"/>
      <c r="D2403" s="98"/>
      <c r="E2403" s="98"/>
      <c r="F2403" s="102"/>
      <c r="G2403" s="103"/>
    </row>
    <row r="2404" spans="1:7" x14ac:dyDescent="0.25">
      <c r="A2404" s="101"/>
      <c r="B2404" s="36"/>
      <c r="C2404" s="98"/>
      <c r="D2404" s="98"/>
      <c r="E2404" s="98"/>
      <c r="F2404" s="102"/>
      <c r="G2404" s="103"/>
    </row>
    <row r="2405" spans="1:7" x14ac:dyDescent="0.25">
      <c r="A2405" s="101"/>
      <c r="B2405" s="36"/>
      <c r="C2405" s="98"/>
      <c r="D2405" s="98"/>
      <c r="E2405" s="98"/>
      <c r="F2405" s="102"/>
      <c r="G2405" s="103"/>
    </row>
    <row r="2406" spans="1:7" x14ac:dyDescent="0.25">
      <c r="A2406" s="101"/>
      <c r="B2406" s="36"/>
      <c r="C2406" s="98"/>
      <c r="D2406" s="98"/>
      <c r="E2406" s="98"/>
      <c r="F2406" s="102"/>
      <c r="G2406" s="103"/>
    </row>
    <row r="2407" spans="1:7" x14ac:dyDescent="0.25">
      <c r="A2407" s="101"/>
      <c r="B2407" s="36"/>
      <c r="C2407" s="98"/>
      <c r="D2407" s="98"/>
      <c r="E2407" s="98"/>
      <c r="F2407" s="102"/>
      <c r="G2407" s="103"/>
    </row>
    <row r="2408" spans="1:7" x14ac:dyDescent="0.25">
      <c r="A2408" s="101"/>
      <c r="B2408" s="36"/>
      <c r="C2408" s="98"/>
      <c r="D2408" s="98"/>
      <c r="E2408" s="98"/>
      <c r="F2408" s="102"/>
      <c r="G2408" s="103"/>
    </row>
    <row r="2409" spans="1:7" x14ac:dyDescent="0.25">
      <c r="A2409" s="101"/>
      <c r="B2409" s="36"/>
      <c r="C2409" s="98"/>
      <c r="D2409" s="98"/>
      <c r="E2409" s="98"/>
      <c r="F2409" s="102"/>
      <c r="G2409" s="103"/>
    </row>
    <row r="2410" spans="1:7" x14ac:dyDescent="0.25">
      <c r="A2410" s="101"/>
      <c r="B2410" s="36"/>
      <c r="C2410" s="98"/>
      <c r="D2410" s="98"/>
      <c r="E2410" s="98"/>
      <c r="F2410" s="102"/>
      <c r="G2410" s="103"/>
    </row>
    <row r="2411" spans="1:7" x14ac:dyDescent="0.25">
      <c r="A2411" s="101"/>
      <c r="B2411" s="36"/>
      <c r="C2411" s="98"/>
      <c r="D2411" s="98"/>
      <c r="E2411" s="98"/>
      <c r="F2411" s="102"/>
      <c r="G2411" s="103"/>
    </row>
    <row r="2412" spans="1:7" x14ac:dyDescent="0.25">
      <c r="A2412" s="101"/>
      <c r="B2412" s="36"/>
      <c r="C2412" s="98"/>
      <c r="D2412" s="98"/>
      <c r="E2412" s="98"/>
      <c r="F2412" s="102"/>
      <c r="G2412" s="103"/>
    </row>
    <row r="2413" spans="1:7" x14ac:dyDescent="0.25">
      <c r="A2413" s="101"/>
      <c r="B2413" s="36"/>
      <c r="C2413" s="98"/>
      <c r="D2413" s="98"/>
      <c r="E2413" s="98"/>
      <c r="F2413" s="102"/>
      <c r="G2413" s="103"/>
    </row>
    <row r="2414" spans="1:7" x14ac:dyDescent="0.25">
      <c r="A2414" s="101"/>
      <c r="B2414" s="36"/>
      <c r="C2414" s="98"/>
      <c r="D2414" s="98"/>
      <c r="E2414" s="98"/>
      <c r="F2414" s="102"/>
      <c r="G2414" s="103"/>
    </row>
    <row r="2415" spans="1:7" x14ac:dyDescent="0.25">
      <c r="A2415" s="101"/>
      <c r="B2415" s="36"/>
      <c r="C2415" s="98"/>
      <c r="D2415" s="98"/>
      <c r="E2415" s="98"/>
      <c r="F2415" s="102"/>
      <c r="G2415" s="103"/>
    </row>
    <row r="2416" spans="1:7" x14ac:dyDescent="0.25">
      <c r="A2416" s="101"/>
      <c r="B2416" s="36"/>
      <c r="C2416" s="98"/>
      <c r="D2416" s="98"/>
      <c r="E2416" s="98"/>
      <c r="F2416" s="102"/>
      <c r="G2416" s="103"/>
    </row>
    <row r="2417" spans="1:7" x14ac:dyDescent="0.25">
      <c r="A2417" s="101"/>
      <c r="B2417" s="36"/>
      <c r="C2417" s="98"/>
      <c r="D2417" s="98"/>
      <c r="E2417" s="98"/>
      <c r="F2417" s="102"/>
      <c r="G2417" s="103"/>
    </row>
    <row r="2418" spans="1:7" x14ac:dyDescent="0.25">
      <c r="A2418" s="101"/>
      <c r="B2418" s="36"/>
      <c r="C2418" s="98"/>
      <c r="D2418" s="98"/>
      <c r="E2418" s="98"/>
      <c r="F2418" s="102"/>
      <c r="G2418" s="103"/>
    </row>
    <row r="2419" spans="1:7" x14ac:dyDescent="0.25">
      <c r="A2419" s="101"/>
      <c r="B2419" s="36"/>
      <c r="C2419" s="98"/>
      <c r="D2419" s="98"/>
      <c r="E2419" s="98"/>
      <c r="F2419" s="102"/>
      <c r="G2419" s="103"/>
    </row>
    <row r="2420" spans="1:7" x14ac:dyDescent="0.25">
      <c r="A2420" s="101"/>
      <c r="B2420" s="36"/>
      <c r="C2420" s="98"/>
      <c r="D2420" s="98"/>
      <c r="E2420" s="98"/>
      <c r="F2420" s="102"/>
      <c r="G2420" s="103"/>
    </row>
    <row r="2421" spans="1:7" x14ac:dyDescent="0.25">
      <c r="A2421" s="101"/>
      <c r="B2421" s="36"/>
      <c r="C2421" s="98"/>
      <c r="D2421" s="98"/>
      <c r="E2421" s="98"/>
      <c r="F2421" s="102"/>
      <c r="G2421" s="103"/>
    </row>
    <row r="2422" spans="1:7" x14ac:dyDescent="0.25">
      <c r="A2422" s="101"/>
      <c r="B2422" s="36"/>
      <c r="C2422" s="98"/>
      <c r="D2422" s="98"/>
      <c r="E2422" s="98"/>
      <c r="F2422" s="102"/>
      <c r="G2422" s="103"/>
    </row>
    <row r="2423" spans="1:7" x14ac:dyDescent="0.25">
      <c r="A2423" s="101"/>
      <c r="B2423" s="36"/>
      <c r="C2423" s="98"/>
      <c r="D2423" s="98"/>
      <c r="E2423" s="98"/>
      <c r="F2423" s="102"/>
      <c r="G2423" s="103"/>
    </row>
    <row r="2424" spans="1:7" x14ac:dyDescent="0.25">
      <c r="A2424" s="101"/>
      <c r="B2424" s="36"/>
      <c r="C2424" s="98"/>
      <c r="D2424" s="98"/>
      <c r="E2424" s="98"/>
      <c r="F2424" s="102"/>
      <c r="G2424" s="103"/>
    </row>
    <row r="2425" spans="1:7" x14ac:dyDescent="0.25">
      <c r="A2425" s="101"/>
      <c r="B2425" s="36"/>
      <c r="C2425" s="98"/>
      <c r="D2425" s="98"/>
      <c r="E2425" s="98"/>
      <c r="F2425" s="102"/>
      <c r="G2425" s="103"/>
    </row>
    <row r="2426" spans="1:7" x14ac:dyDescent="0.25">
      <c r="A2426" s="101"/>
      <c r="B2426" s="36"/>
      <c r="C2426" s="98"/>
      <c r="D2426" s="98"/>
      <c r="E2426" s="98"/>
      <c r="F2426" s="102"/>
      <c r="G2426" s="103"/>
    </row>
    <row r="2427" spans="1:7" x14ac:dyDescent="0.25">
      <c r="A2427" s="101"/>
      <c r="B2427" s="36"/>
      <c r="C2427" s="98"/>
      <c r="D2427" s="98"/>
      <c r="E2427" s="98"/>
      <c r="F2427" s="102"/>
      <c r="G2427" s="103"/>
    </row>
    <row r="2428" spans="1:7" x14ac:dyDescent="0.25">
      <c r="A2428" s="101"/>
      <c r="B2428" s="36"/>
      <c r="C2428" s="98"/>
      <c r="D2428" s="98"/>
      <c r="E2428" s="98"/>
      <c r="F2428" s="102"/>
      <c r="G2428" s="103"/>
    </row>
    <row r="2429" spans="1:7" x14ac:dyDescent="0.25">
      <c r="A2429" s="101"/>
      <c r="B2429" s="36"/>
      <c r="C2429" s="98"/>
      <c r="D2429" s="98"/>
      <c r="E2429" s="98"/>
      <c r="F2429" s="102"/>
      <c r="G2429" s="103"/>
    </row>
    <row r="2430" spans="1:7" x14ac:dyDescent="0.25">
      <c r="A2430" s="101"/>
      <c r="B2430" s="36"/>
      <c r="C2430" s="98"/>
      <c r="D2430" s="98"/>
      <c r="E2430" s="98"/>
      <c r="F2430" s="102"/>
      <c r="G2430" s="103"/>
    </row>
    <row r="2431" spans="1:7" x14ac:dyDescent="0.25">
      <c r="A2431" s="101"/>
      <c r="B2431" s="36"/>
      <c r="C2431" s="98"/>
      <c r="D2431" s="98"/>
      <c r="E2431" s="98"/>
      <c r="F2431" s="102"/>
      <c r="G2431" s="103"/>
    </row>
    <row r="2432" spans="1:7" x14ac:dyDescent="0.25">
      <c r="A2432" s="101"/>
      <c r="B2432" s="36"/>
      <c r="C2432" s="98"/>
      <c r="D2432" s="98"/>
      <c r="E2432" s="98"/>
      <c r="F2432" s="102"/>
      <c r="G2432" s="103"/>
    </row>
    <row r="2433" spans="1:7" x14ac:dyDescent="0.25">
      <c r="A2433" s="101"/>
      <c r="B2433" s="36"/>
      <c r="C2433" s="98"/>
      <c r="D2433" s="98"/>
      <c r="E2433" s="98"/>
      <c r="F2433" s="102"/>
      <c r="G2433" s="103"/>
    </row>
    <row r="2434" spans="1:7" x14ac:dyDescent="0.25">
      <c r="A2434" s="101"/>
      <c r="B2434" s="36"/>
      <c r="C2434" s="98"/>
      <c r="D2434" s="98"/>
      <c r="E2434" s="98"/>
      <c r="F2434" s="102"/>
      <c r="G2434" s="103"/>
    </row>
    <row r="2435" spans="1:7" x14ac:dyDescent="0.25">
      <c r="A2435" s="101"/>
      <c r="B2435" s="36"/>
      <c r="C2435" s="98"/>
      <c r="D2435" s="98"/>
      <c r="E2435" s="98"/>
      <c r="F2435" s="102"/>
      <c r="G2435" s="103"/>
    </row>
    <row r="2436" spans="1:7" x14ac:dyDescent="0.25">
      <c r="A2436" s="101"/>
      <c r="B2436" s="36"/>
      <c r="C2436" s="98"/>
      <c r="D2436" s="98"/>
      <c r="E2436" s="98"/>
      <c r="F2436" s="102"/>
      <c r="G2436" s="103"/>
    </row>
    <row r="2437" spans="1:7" x14ac:dyDescent="0.25">
      <c r="A2437" s="101"/>
      <c r="B2437" s="36"/>
      <c r="C2437" s="98"/>
      <c r="D2437" s="98"/>
      <c r="E2437" s="98"/>
      <c r="F2437" s="102"/>
      <c r="G2437" s="103"/>
    </row>
    <row r="2438" spans="1:7" x14ac:dyDescent="0.25">
      <c r="A2438" s="101"/>
      <c r="B2438" s="36"/>
      <c r="C2438" s="98"/>
      <c r="D2438" s="98"/>
      <c r="E2438" s="98"/>
      <c r="F2438" s="102"/>
      <c r="G2438" s="103"/>
    </row>
    <row r="2439" spans="1:7" x14ac:dyDescent="0.25">
      <c r="A2439" s="101"/>
      <c r="B2439" s="36"/>
      <c r="C2439" s="98"/>
      <c r="D2439" s="98"/>
      <c r="E2439" s="98"/>
      <c r="F2439" s="102"/>
      <c r="G2439" s="103"/>
    </row>
    <row r="2440" spans="1:7" x14ac:dyDescent="0.25">
      <c r="A2440" s="101"/>
      <c r="B2440" s="36"/>
      <c r="C2440" s="98"/>
      <c r="D2440" s="98"/>
      <c r="E2440" s="98"/>
      <c r="F2440" s="102"/>
      <c r="G2440" s="103"/>
    </row>
    <row r="2441" spans="1:7" x14ac:dyDescent="0.25">
      <c r="A2441" s="101"/>
      <c r="B2441" s="36"/>
      <c r="C2441" s="98"/>
      <c r="D2441" s="98"/>
      <c r="E2441" s="98"/>
      <c r="F2441" s="102"/>
      <c r="G2441" s="103"/>
    </row>
    <row r="2442" spans="1:7" x14ac:dyDescent="0.25">
      <c r="A2442" s="101"/>
      <c r="B2442" s="36"/>
      <c r="C2442" s="98"/>
      <c r="D2442" s="98"/>
      <c r="E2442" s="98"/>
      <c r="F2442" s="102"/>
      <c r="G2442" s="103"/>
    </row>
    <row r="2443" spans="1:7" x14ac:dyDescent="0.25">
      <c r="A2443" s="101"/>
      <c r="B2443" s="36"/>
      <c r="C2443" s="98"/>
      <c r="D2443" s="98"/>
      <c r="E2443" s="98"/>
      <c r="F2443" s="102"/>
      <c r="G2443" s="103"/>
    </row>
    <row r="2444" spans="1:7" x14ac:dyDescent="0.25">
      <c r="A2444" s="101"/>
      <c r="B2444" s="36"/>
      <c r="C2444" s="98"/>
      <c r="D2444" s="98"/>
      <c r="E2444" s="98"/>
      <c r="F2444" s="102"/>
      <c r="G2444" s="103"/>
    </row>
    <row r="2445" spans="1:7" x14ac:dyDescent="0.25">
      <c r="A2445" s="101"/>
      <c r="B2445" s="36"/>
      <c r="C2445" s="98"/>
      <c r="D2445" s="98"/>
      <c r="E2445" s="98"/>
      <c r="F2445" s="102"/>
      <c r="G2445" s="103"/>
    </row>
    <row r="2446" spans="1:7" x14ac:dyDescent="0.25">
      <c r="A2446" s="101"/>
      <c r="B2446" s="36"/>
      <c r="C2446" s="98"/>
      <c r="D2446" s="98"/>
      <c r="E2446" s="98"/>
      <c r="F2446" s="102"/>
      <c r="G2446" s="103"/>
    </row>
    <row r="2447" spans="1:7" x14ac:dyDescent="0.25">
      <c r="A2447" s="101"/>
      <c r="B2447" s="36"/>
      <c r="C2447" s="98"/>
      <c r="D2447" s="98"/>
      <c r="E2447" s="98"/>
      <c r="F2447" s="102"/>
      <c r="G2447" s="103"/>
    </row>
    <row r="2448" spans="1:7" x14ac:dyDescent="0.25">
      <c r="A2448" s="101"/>
      <c r="B2448" s="36"/>
      <c r="C2448" s="98"/>
      <c r="D2448" s="98"/>
      <c r="E2448" s="98"/>
      <c r="F2448" s="102"/>
      <c r="G2448" s="103"/>
    </row>
    <row r="2449" spans="1:7" x14ac:dyDescent="0.25">
      <c r="A2449" s="101"/>
      <c r="B2449" s="36"/>
      <c r="C2449" s="98"/>
      <c r="D2449" s="98"/>
      <c r="E2449" s="98"/>
      <c r="F2449" s="102"/>
      <c r="G2449" s="103"/>
    </row>
    <row r="2450" spans="1:7" x14ac:dyDescent="0.25">
      <c r="A2450" s="101"/>
      <c r="B2450" s="36"/>
      <c r="C2450" s="98"/>
      <c r="D2450" s="98"/>
      <c r="E2450" s="98"/>
      <c r="F2450" s="102"/>
      <c r="G2450" s="103"/>
    </row>
    <row r="2451" spans="1:7" x14ac:dyDescent="0.25">
      <c r="A2451" s="101"/>
      <c r="B2451" s="36"/>
      <c r="C2451" s="98"/>
      <c r="D2451" s="98"/>
      <c r="E2451" s="98"/>
      <c r="F2451" s="102"/>
      <c r="G2451" s="103"/>
    </row>
    <row r="2452" spans="1:7" x14ac:dyDescent="0.25">
      <c r="A2452" s="101"/>
      <c r="B2452" s="36"/>
      <c r="C2452" s="98"/>
      <c r="D2452" s="98"/>
      <c r="E2452" s="98"/>
      <c r="F2452" s="102"/>
      <c r="G2452" s="103"/>
    </row>
    <row r="2453" spans="1:7" x14ac:dyDescent="0.25">
      <c r="A2453" s="101"/>
      <c r="B2453" s="36"/>
      <c r="C2453" s="98"/>
      <c r="D2453" s="98"/>
      <c r="E2453" s="98"/>
      <c r="F2453" s="102"/>
      <c r="G2453" s="103"/>
    </row>
    <row r="2454" spans="1:7" x14ac:dyDescent="0.25">
      <c r="A2454" s="101"/>
      <c r="B2454" s="36"/>
      <c r="C2454" s="98"/>
      <c r="D2454" s="98"/>
      <c r="E2454" s="98"/>
      <c r="F2454" s="102"/>
      <c r="G2454" s="103"/>
    </row>
    <row r="2455" spans="1:7" x14ac:dyDescent="0.25">
      <c r="A2455" s="101"/>
      <c r="B2455" s="36"/>
      <c r="C2455" s="98"/>
      <c r="D2455" s="98"/>
      <c r="E2455" s="98"/>
      <c r="F2455" s="102"/>
      <c r="G2455" s="103"/>
    </row>
    <row r="2456" spans="1:7" x14ac:dyDescent="0.25">
      <c r="A2456" s="101"/>
      <c r="B2456" s="36"/>
      <c r="C2456" s="98"/>
      <c r="D2456" s="98"/>
      <c r="E2456" s="98"/>
      <c r="F2456" s="102"/>
      <c r="G2456" s="103"/>
    </row>
    <row r="2457" spans="1:7" x14ac:dyDescent="0.25">
      <c r="A2457" s="101"/>
      <c r="B2457" s="36"/>
      <c r="C2457" s="98"/>
      <c r="D2457" s="98"/>
      <c r="E2457" s="98"/>
      <c r="F2457" s="102"/>
      <c r="G2457" s="103"/>
    </row>
    <row r="2458" spans="1:7" x14ac:dyDescent="0.25">
      <c r="A2458" s="101"/>
      <c r="B2458" s="36"/>
      <c r="C2458" s="98"/>
      <c r="D2458" s="98"/>
      <c r="E2458" s="98"/>
      <c r="F2458" s="102"/>
      <c r="G2458" s="103"/>
    </row>
    <row r="2459" spans="1:7" x14ac:dyDescent="0.25">
      <c r="A2459" s="101"/>
      <c r="B2459" s="36"/>
      <c r="C2459" s="98"/>
      <c r="D2459" s="98"/>
      <c r="E2459" s="98"/>
      <c r="F2459" s="102"/>
      <c r="G2459" s="103"/>
    </row>
    <row r="2460" spans="1:7" x14ac:dyDescent="0.25">
      <c r="A2460" s="101"/>
      <c r="B2460" s="36"/>
      <c r="C2460" s="98"/>
      <c r="D2460" s="98"/>
      <c r="E2460" s="98"/>
      <c r="F2460" s="102"/>
      <c r="G2460" s="103"/>
    </row>
    <row r="2461" spans="1:7" x14ac:dyDescent="0.25">
      <c r="A2461" s="101"/>
      <c r="B2461" s="36"/>
      <c r="C2461" s="98"/>
      <c r="D2461" s="98"/>
      <c r="E2461" s="98"/>
      <c r="F2461" s="102"/>
      <c r="G2461" s="103"/>
    </row>
    <row r="2462" spans="1:7" x14ac:dyDescent="0.25">
      <c r="A2462" s="101"/>
      <c r="B2462" s="36"/>
      <c r="C2462" s="98"/>
      <c r="D2462" s="98"/>
      <c r="E2462" s="98"/>
      <c r="F2462" s="102"/>
      <c r="G2462" s="103"/>
    </row>
    <row r="2463" spans="1:7" x14ac:dyDescent="0.25">
      <c r="A2463" s="101"/>
      <c r="B2463" s="36"/>
      <c r="C2463" s="98"/>
      <c r="D2463" s="98"/>
      <c r="E2463" s="98"/>
      <c r="F2463" s="102"/>
      <c r="G2463" s="103"/>
    </row>
    <row r="2464" spans="1:7" x14ac:dyDescent="0.25">
      <c r="A2464" s="101"/>
      <c r="B2464" s="36"/>
      <c r="C2464" s="98"/>
      <c r="D2464" s="98"/>
      <c r="E2464" s="98"/>
      <c r="F2464" s="102"/>
      <c r="G2464" s="103"/>
    </row>
    <row r="2465" spans="1:7" x14ac:dyDescent="0.25">
      <c r="A2465" s="101"/>
      <c r="B2465" s="36"/>
      <c r="C2465" s="98"/>
      <c r="D2465" s="98"/>
      <c r="E2465" s="98"/>
      <c r="F2465" s="102"/>
      <c r="G2465" s="103"/>
    </row>
    <row r="2466" spans="1:7" x14ac:dyDescent="0.25">
      <c r="A2466" s="101"/>
      <c r="B2466" s="36"/>
      <c r="C2466" s="98"/>
      <c r="D2466" s="98"/>
      <c r="E2466" s="98"/>
      <c r="F2466" s="102"/>
      <c r="G2466" s="103"/>
    </row>
    <row r="2467" spans="1:7" x14ac:dyDescent="0.25">
      <c r="A2467" s="101"/>
      <c r="B2467" s="36"/>
      <c r="C2467" s="98"/>
      <c r="D2467" s="98"/>
      <c r="E2467" s="98"/>
      <c r="F2467" s="102"/>
      <c r="G2467" s="103"/>
    </row>
    <row r="2468" spans="1:7" x14ac:dyDescent="0.25">
      <c r="A2468" s="101"/>
      <c r="B2468" s="36"/>
      <c r="C2468" s="98"/>
      <c r="D2468" s="98"/>
      <c r="E2468" s="98"/>
      <c r="F2468" s="102"/>
      <c r="G2468" s="103"/>
    </row>
    <row r="2469" spans="1:7" x14ac:dyDescent="0.25">
      <c r="A2469" s="101"/>
      <c r="B2469" s="36"/>
      <c r="C2469" s="98"/>
      <c r="D2469" s="98"/>
      <c r="E2469" s="98"/>
      <c r="F2469" s="102"/>
      <c r="G2469" s="103"/>
    </row>
    <row r="2470" spans="1:7" x14ac:dyDescent="0.25">
      <c r="A2470" s="101"/>
      <c r="B2470" s="36"/>
      <c r="C2470" s="98"/>
      <c r="D2470" s="98"/>
      <c r="E2470" s="98"/>
      <c r="F2470" s="102"/>
      <c r="G2470" s="103"/>
    </row>
    <row r="2471" spans="1:7" x14ac:dyDescent="0.25">
      <c r="A2471" s="101"/>
      <c r="B2471" s="36"/>
      <c r="C2471" s="98"/>
      <c r="D2471" s="98"/>
      <c r="E2471" s="98"/>
      <c r="F2471" s="102"/>
      <c r="G2471" s="103"/>
    </row>
    <row r="2472" spans="1:7" x14ac:dyDescent="0.25">
      <c r="A2472" s="101"/>
      <c r="B2472" s="36"/>
      <c r="C2472" s="98"/>
      <c r="D2472" s="98"/>
      <c r="E2472" s="98"/>
      <c r="F2472" s="102"/>
      <c r="G2472" s="103"/>
    </row>
    <row r="2473" spans="1:7" x14ac:dyDescent="0.25">
      <c r="A2473" s="101"/>
      <c r="B2473" s="36"/>
      <c r="C2473" s="98"/>
      <c r="D2473" s="98"/>
      <c r="E2473" s="98"/>
      <c r="F2473" s="102"/>
      <c r="G2473" s="103"/>
    </row>
    <row r="2474" spans="1:7" x14ac:dyDescent="0.25">
      <c r="A2474" s="101"/>
      <c r="B2474" s="36"/>
      <c r="C2474" s="98"/>
      <c r="D2474" s="98"/>
      <c r="E2474" s="98"/>
      <c r="F2474" s="102"/>
      <c r="G2474" s="103"/>
    </row>
    <row r="2475" spans="1:7" x14ac:dyDescent="0.25">
      <c r="A2475" s="101"/>
      <c r="B2475" s="36"/>
      <c r="C2475" s="98"/>
      <c r="D2475" s="98"/>
      <c r="E2475" s="98"/>
      <c r="F2475" s="102"/>
      <c r="G2475" s="103"/>
    </row>
    <row r="2476" spans="1:7" x14ac:dyDescent="0.25">
      <c r="A2476" s="101"/>
      <c r="B2476" s="36"/>
      <c r="C2476" s="98"/>
      <c r="D2476" s="98"/>
      <c r="E2476" s="98"/>
      <c r="F2476" s="102"/>
      <c r="G2476" s="103"/>
    </row>
    <row r="2477" spans="1:7" x14ac:dyDescent="0.25">
      <c r="A2477" s="101"/>
      <c r="B2477" s="36"/>
      <c r="C2477" s="98"/>
      <c r="D2477" s="98"/>
      <c r="E2477" s="98"/>
      <c r="F2477" s="102"/>
      <c r="G2477" s="103"/>
    </row>
    <row r="2478" spans="1:7" x14ac:dyDescent="0.25">
      <c r="A2478" s="101"/>
      <c r="B2478" s="36"/>
      <c r="C2478" s="98"/>
      <c r="D2478" s="98"/>
      <c r="E2478" s="98"/>
      <c r="F2478" s="102"/>
      <c r="G2478" s="103"/>
    </row>
    <row r="2479" spans="1:7" x14ac:dyDescent="0.25">
      <c r="A2479" s="101"/>
      <c r="B2479" s="36"/>
      <c r="C2479" s="98"/>
      <c r="D2479" s="98"/>
      <c r="E2479" s="98"/>
      <c r="F2479" s="102"/>
      <c r="G2479" s="103"/>
    </row>
    <row r="2480" spans="1:7" x14ac:dyDescent="0.25">
      <c r="A2480" s="101"/>
      <c r="B2480" s="36"/>
      <c r="C2480" s="98"/>
      <c r="D2480" s="98"/>
      <c r="E2480" s="98"/>
      <c r="F2480" s="102"/>
      <c r="G2480" s="103"/>
    </row>
    <row r="2481" spans="1:7" x14ac:dyDescent="0.25">
      <c r="A2481" s="101"/>
      <c r="B2481" s="36"/>
      <c r="C2481" s="98"/>
      <c r="D2481" s="98"/>
      <c r="E2481" s="98"/>
      <c r="F2481" s="102"/>
      <c r="G2481" s="103"/>
    </row>
    <row r="2482" spans="1:7" x14ac:dyDescent="0.25">
      <c r="A2482" s="101"/>
      <c r="B2482" s="36"/>
      <c r="C2482" s="98"/>
      <c r="D2482" s="98"/>
      <c r="E2482" s="98"/>
      <c r="F2482" s="102"/>
      <c r="G2482" s="103"/>
    </row>
    <row r="2483" spans="1:7" x14ac:dyDescent="0.25">
      <c r="A2483" s="101"/>
      <c r="B2483" s="36"/>
      <c r="C2483" s="98"/>
      <c r="D2483" s="98"/>
      <c r="E2483" s="98"/>
      <c r="F2483" s="102"/>
      <c r="G2483" s="103"/>
    </row>
    <row r="2484" spans="1:7" x14ac:dyDescent="0.25">
      <c r="A2484" s="101"/>
      <c r="B2484" s="36"/>
      <c r="C2484" s="98"/>
      <c r="D2484" s="98"/>
      <c r="E2484" s="98"/>
      <c r="F2484" s="102"/>
      <c r="G2484" s="103"/>
    </row>
    <row r="2485" spans="1:7" x14ac:dyDescent="0.25">
      <c r="A2485" s="101"/>
      <c r="B2485" s="66"/>
      <c r="C2485" s="98"/>
      <c r="D2485" s="98"/>
      <c r="E2485" s="98"/>
      <c r="F2485" s="102"/>
      <c r="G2485" s="103"/>
    </row>
    <row r="2486" spans="1:7" x14ac:dyDescent="0.25">
      <c r="A2486" s="101"/>
      <c r="B2486" s="36"/>
      <c r="C2486" s="98"/>
      <c r="D2486" s="98"/>
      <c r="E2486" s="98"/>
      <c r="F2486" s="102"/>
      <c r="G2486" s="103"/>
    </row>
    <row r="2487" spans="1:7" x14ac:dyDescent="0.25">
      <c r="A2487" s="101"/>
      <c r="B2487" s="36"/>
      <c r="C2487" s="98"/>
      <c r="D2487" s="98"/>
      <c r="E2487" s="98"/>
      <c r="F2487" s="102"/>
      <c r="G2487" s="103"/>
    </row>
    <row r="2488" spans="1:7" x14ac:dyDescent="0.25">
      <c r="A2488" s="101"/>
      <c r="B2488" s="36"/>
      <c r="C2488" s="98"/>
      <c r="D2488" s="98"/>
      <c r="E2488" s="98"/>
      <c r="F2488" s="102"/>
      <c r="G2488" s="103"/>
    </row>
    <row r="2489" spans="1:7" x14ac:dyDescent="0.25">
      <c r="A2489" s="101"/>
      <c r="B2489" s="36"/>
      <c r="C2489" s="98"/>
      <c r="D2489" s="98"/>
      <c r="E2489" s="98"/>
      <c r="F2489" s="102"/>
      <c r="G2489" s="103"/>
    </row>
    <row r="2490" spans="1:7" x14ac:dyDescent="0.25">
      <c r="A2490" s="101"/>
      <c r="B2490" s="36"/>
      <c r="C2490" s="98"/>
      <c r="D2490" s="98"/>
      <c r="E2490" s="98"/>
      <c r="F2490" s="102"/>
      <c r="G2490" s="103"/>
    </row>
    <row r="2491" spans="1:7" x14ac:dyDescent="0.25">
      <c r="A2491" s="101"/>
      <c r="B2491" s="36"/>
      <c r="C2491" s="98"/>
      <c r="D2491" s="98"/>
      <c r="E2491" s="98"/>
      <c r="F2491" s="102"/>
      <c r="G2491" s="103"/>
    </row>
    <row r="2492" spans="1:7" x14ac:dyDescent="0.25">
      <c r="A2492" s="101"/>
      <c r="B2492" s="36"/>
      <c r="C2492" s="98"/>
      <c r="D2492" s="98"/>
      <c r="E2492" s="98"/>
      <c r="F2492" s="102"/>
      <c r="G2492" s="103"/>
    </row>
    <row r="2493" spans="1:7" x14ac:dyDescent="0.25">
      <c r="A2493" s="101"/>
      <c r="B2493" s="36"/>
      <c r="C2493" s="98"/>
      <c r="D2493" s="98"/>
      <c r="E2493" s="98"/>
      <c r="F2493" s="102"/>
      <c r="G2493" s="103"/>
    </row>
    <row r="2494" spans="1:7" x14ac:dyDescent="0.25">
      <c r="A2494" s="101"/>
      <c r="B2494" s="36"/>
      <c r="C2494" s="98"/>
      <c r="D2494" s="98"/>
      <c r="E2494" s="98"/>
      <c r="F2494" s="102"/>
      <c r="G2494" s="103"/>
    </row>
    <row r="2495" spans="1:7" x14ac:dyDescent="0.25">
      <c r="A2495" s="101"/>
      <c r="B2495" s="36"/>
      <c r="C2495" s="98"/>
      <c r="D2495" s="98"/>
      <c r="E2495" s="98"/>
      <c r="F2495" s="102"/>
      <c r="G2495" s="103"/>
    </row>
    <row r="2496" spans="1:7" x14ac:dyDescent="0.25">
      <c r="A2496" s="101"/>
      <c r="B2496" s="36"/>
      <c r="C2496" s="98"/>
      <c r="D2496" s="98"/>
      <c r="E2496" s="98"/>
      <c r="F2496" s="102"/>
      <c r="G2496" s="103"/>
    </row>
    <row r="2497" spans="1:7" x14ac:dyDescent="0.25">
      <c r="A2497" s="101"/>
      <c r="B2497" s="36"/>
      <c r="C2497" s="98"/>
      <c r="D2497" s="98"/>
      <c r="E2497" s="98"/>
      <c r="F2497" s="102"/>
      <c r="G2497" s="103"/>
    </row>
    <row r="2498" spans="1:7" x14ac:dyDescent="0.25">
      <c r="A2498" s="101"/>
      <c r="B2498" s="36"/>
      <c r="C2498" s="98"/>
      <c r="D2498" s="98"/>
      <c r="E2498" s="98"/>
      <c r="F2498" s="102"/>
      <c r="G2498" s="103"/>
    </row>
    <row r="2499" spans="1:7" x14ac:dyDescent="0.25">
      <c r="A2499" s="101"/>
      <c r="B2499" s="36"/>
      <c r="C2499" s="98"/>
      <c r="D2499" s="98"/>
      <c r="E2499" s="98"/>
      <c r="F2499" s="102"/>
      <c r="G2499" s="103"/>
    </row>
    <row r="2500" spans="1:7" x14ac:dyDescent="0.25">
      <c r="A2500" s="101"/>
      <c r="B2500" s="36"/>
      <c r="C2500" s="98"/>
      <c r="D2500" s="98"/>
      <c r="E2500" s="98"/>
      <c r="F2500" s="102"/>
      <c r="G2500" s="103"/>
    </row>
    <row r="2501" spans="1:7" x14ac:dyDescent="0.25">
      <c r="A2501" s="101"/>
      <c r="B2501" s="36"/>
      <c r="C2501" s="98"/>
      <c r="D2501" s="98"/>
      <c r="E2501" s="98"/>
      <c r="F2501" s="102"/>
      <c r="G2501" s="103"/>
    </row>
    <row r="2502" spans="1:7" x14ac:dyDescent="0.25">
      <c r="A2502" s="101"/>
      <c r="B2502" s="36"/>
      <c r="C2502" s="98"/>
      <c r="D2502" s="98"/>
      <c r="E2502" s="98"/>
      <c r="F2502" s="102"/>
      <c r="G2502" s="103"/>
    </row>
    <row r="2503" spans="1:7" x14ac:dyDescent="0.25">
      <c r="A2503" s="101"/>
      <c r="B2503" s="36"/>
      <c r="C2503" s="98"/>
      <c r="D2503" s="98"/>
      <c r="E2503" s="98"/>
      <c r="F2503" s="102"/>
      <c r="G2503" s="103"/>
    </row>
    <row r="2504" spans="1:7" x14ac:dyDescent="0.25">
      <c r="A2504" s="101"/>
      <c r="B2504" s="36"/>
      <c r="C2504" s="98"/>
      <c r="D2504" s="98"/>
      <c r="E2504" s="98"/>
      <c r="F2504" s="102"/>
      <c r="G2504" s="103"/>
    </row>
    <row r="2505" spans="1:7" x14ac:dyDescent="0.25">
      <c r="A2505" s="101"/>
      <c r="B2505" s="36"/>
      <c r="C2505" s="98"/>
      <c r="D2505" s="98"/>
      <c r="E2505" s="98"/>
      <c r="F2505" s="102"/>
      <c r="G2505" s="103"/>
    </row>
    <row r="2506" spans="1:7" x14ac:dyDescent="0.25">
      <c r="A2506" s="101"/>
      <c r="B2506" s="36"/>
      <c r="C2506" s="98"/>
      <c r="D2506" s="98"/>
      <c r="E2506" s="98"/>
      <c r="F2506" s="102"/>
      <c r="G2506" s="103"/>
    </row>
    <row r="2507" spans="1:7" x14ac:dyDescent="0.25">
      <c r="A2507" s="101"/>
      <c r="B2507" s="36"/>
      <c r="C2507" s="98"/>
      <c r="D2507" s="98"/>
      <c r="E2507" s="98"/>
      <c r="F2507" s="102"/>
      <c r="G2507" s="103"/>
    </row>
    <row r="2508" spans="1:7" x14ac:dyDescent="0.25">
      <c r="A2508" s="101"/>
      <c r="B2508" s="36"/>
      <c r="C2508" s="98"/>
      <c r="D2508" s="98"/>
      <c r="E2508" s="98"/>
      <c r="F2508" s="102"/>
      <c r="G2508" s="103"/>
    </row>
    <row r="2509" spans="1:7" x14ac:dyDescent="0.25">
      <c r="A2509" s="101"/>
      <c r="B2509" s="36"/>
      <c r="C2509" s="98"/>
      <c r="D2509" s="98"/>
      <c r="E2509" s="98"/>
      <c r="F2509" s="102"/>
      <c r="G2509" s="103"/>
    </row>
    <row r="2510" spans="1:7" x14ac:dyDescent="0.25">
      <c r="A2510" s="101"/>
      <c r="B2510" s="36"/>
      <c r="C2510" s="98"/>
      <c r="D2510" s="98"/>
      <c r="E2510" s="98"/>
      <c r="F2510" s="102"/>
      <c r="G2510" s="103"/>
    </row>
    <row r="2511" spans="1:7" x14ac:dyDescent="0.25">
      <c r="A2511" s="101"/>
      <c r="B2511" s="36"/>
      <c r="C2511" s="98"/>
      <c r="D2511" s="98"/>
      <c r="E2511" s="98"/>
      <c r="F2511" s="102"/>
      <c r="G2511" s="103"/>
    </row>
    <row r="2512" spans="1:7" x14ac:dyDescent="0.25">
      <c r="A2512" s="101"/>
      <c r="B2512" s="36"/>
      <c r="C2512" s="98"/>
      <c r="D2512" s="98"/>
      <c r="E2512" s="98"/>
      <c r="F2512" s="102"/>
      <c r="G2512" s="103"/>
    </row>
    <row r="2513" spans="1:7" x14ac:dyDescent="0.25">
      <c r="A2513" s="101"/>
      <c r="B2513" s="36"/>
      <c r="C2513" s="98"/>
      <c r="D2513" s="98"/>
      <c r="E2513" s="98"/>
      <c r="F2513" s="102"/>
      <c r="G2513" s="103"/>
    </row>
    <row r="2514" spans="1:7" x14ac:dyDescent="0.25">
      <c r="A2514" s="101"/>
      <c r="B2514" s="36"/>
      <c r="C2514" s="98"/>
      <c r="D2514" s="98"/>
      <c r="E2514" s="98"/>
      <c r="F2514" s="102"/>
      <c r="G2514" s="103"/>
    </row>
    <row r="2515" spans="1:7" x14ac:dyDescent="0.25">
      <c r="A2515" s="101"/>
      <c r="B2515" s="36"/>
      <c r="C2515" s="98"/>
      <c r="D2515" s="98"/>
      <c r="E2515" s="98"/>
      <c r="F2515" s="102"/>
      <c r="G2515" s="103"/>
    </row>
    <row r="2516" spans="1:7" x14ac:dyDescent="0.25">
      <c r="A2516" s="101"/>
      <c r="B2516" s="36"/>
      <c r="C2516" s="98"/>
      <c r="D2516" s="98"/>
      <c r="E2516" s="98"/>
      <c r="F2516" s="102"/>
      <c r="G2516" s="103"/>
    </row>
    <row r="2517" spans="1:7" x14ac:dyDescent="0.25">
      <c r="A2517" s="101"/>
      <c r="B2517" s="36"/>
      <c r="C2517" s="98"/>
      <c r="D2517" s="98"/>
      <c r="E2517" s="98"/>
      <c r="F2517" s="102"/>
      <c r="G2517" s="103"/>
    </row>
    <row r="2518" spans="1:7" x14ac:dyDescent="0.25">
      <c r="A2518" s="101"/>
      <c r="B2518" s="36"/>
      <c r="C2518" s="98"/>
      <c r="D2518" s="98"/>
      <c r="E2518" s="98"/>
      <c r="F2518" s="102"/>
      <c r="G2518" s="103"/>
    </row>
    <row r="2519" spans="1:7" x14ac:dyDescent="0.25">
      <c r="A2519" s="101"/>
      <c r="B2519" s="36"/>
      <c r="C2519" s="98"/>
      <c r="D2519" s="98"/>
      <c r="E2519" s="98"/>
      <c r="F2519" s="102"/>
      <c r="G2519" s="103"/>
    </row>
    <row r="2520" spans="1:7" x14ac:dyDescent="0.25">
      <c r="A2520" s="101"/>
      <c r="B2520" s="36"/>
      <c r="C2520" s="98"/>
      <c r="D2520" s="98"/>
      <c r="E2520" s="98"/>
      <c r="F2520" s="102"/>
      <c r="G2520" s="103"/>
    </row>
    <row r="2521" spans="1:7" x14ac:dyDescent="0.25">
      <c r="A2521" s="101"/>
      <c r="B2521" s="36"/>
      <c r="C2521" s="98"/>
      <c r="D2521" s="98"/>
      <c r="E2521" s="98"/>
      <c r="F2521" s="102"/>
      <c r="G2521" s="103"/>
    </row>
    <row r="2522" spans="1:7" x14ac:dyDescent="0.25">
      <c r="A2522" s="101"/>
      <c r="B2522" s="36"/>
      <c r="C2522" s="98"/>
      <c r="D2522" s="98"/>
      <c r="E2522" s="98"/>
      <c r="F2522" s="102"/>
      <c r="G2522" s="103"/>
    </row>
    <row r="2523" spans="1:7" x14ac:dyDescent="0.25">
      <c r="A2523" s="101"/>
      <c r="B2523" s="36"/>
      <c r="C2523" s="98"/>
      <c r="D2523" s="98"/>
      <c r="E2523" s="98"/>
      <c r="F2523" s="102"/>
      <c r="G2523" s="103"/>
    </row>
    <row r="2524" spans="1:7" x14ac:dyDescent="0.25">
      <c r="A2524" s="101"/>
      <c r="B2524" s="36"/>
      <c r="C2524" s="98"/>
      <c r="D2524" s="98"/>
      <c r="E2524" s="98"/>
      <c r="F2524" s="102"/>
      <c r="G2524" s="103"/>
    </row>
    <row r="2525" spans="1:7" x14ac:dyDescent="0.25">
      <c r="A2525" s="101"/>
      <c r="B2525" s="36"/>
      <c r="C2525" s="98"/>
      <c r="D2525" s="98"/>
      <c r="E2525" s="98"/>
      <c r="F2525" s="102"/>
      <c r="G2525" s="103"/>
    </row>
    <row r="2526" spans="1:7" x14ac:dyDescent="0.25">
      <c r="A2526" s="101"/>
      <c r="B2526" s="36"/>
      <c r="C2526" s="98"/>
      <c r="D2526" s="98"/>
      <c r="E2526" s="98"/>
      <c r="F2526" s="102"/>
      <c r="G2526" s="103"/>
    </row>
    <row r="2527" spans="1:7" x14ac:dyDescent="0.25">
      <c r="A2527" s="101"/>
      <c r="B2527" s="36"/>
      <c r="C2527" s="98"/>
      <c r="D2527" s="98"/>
      <c r="E2527" s="98"/>
      <c r="F2527" s="102"/>
      <c r="G2527" s="103"/>
    </row>
    <row r="2528" spans="1:7" x14ac:dyDescent="0.25">
      <c r="A2528" s="101"/>
      <c r="B2528" s="36"/>
      <c r="C2528" s="98"/>
      <c r="D2528" s="98"/>
      <c r="E2528" s="98"/>
      <c r="F2528" s="102"/>
      <c r="G2528" s="103"/>
    </row>
    <row r="2529" spans="1:7" x14ac:dyDescent="0.25">
      <c r="A2529" s="101"/>
      <c r="B2529" s="36"/>
      <c r="C2529" s="98"/>
      <c r="D2529" s="98"/>
      <c r="E2529" s="98"/>
      <c r="F2529" s="102"/>
      <c r="G2529" s="103"/>
    </row>
    <row r="2530" spans="1:7" x14ac:dyDescent="0.25">
      <c r="A2530" s="101"/>
      <c r="B2530" s="36"/>
      <c r="C2530" s="98"/>
      <c r="D2530" s="98"/>
      <c r="E2530" s="98"/>
      <c r="F2530" s="102"/>
      <c r="G2530" s="103"/>
    </row>
    <row r="2531" spans="1:7" x14ac:dyDescent="0.25">
      <c r="A2531" s="101"/>
      <c r="B2531" s="36"/>
      <c r="C2531" s="98"/>
      <c r="D2531" s="98"/>
      <c r="E2531" s="98"/>
      <c r="F2531" s="102"/>
      <c r="G2531" s="103"/>
    </row>
    <row r="2532" spans="1:7" x14ac:dyDescent="0.25">
      <c r="A2532" s="101"/>
      <c r="B2532" s="36"/>
      <c r="C2532" s="98"/>
      <c r="D2532" s="98"/>
      <c r="E2532" s="98"/>
      <c r="F2532" s="102"/>
      <c r="G2532" s="103"/>
    </row>
    <row r="2533" spans="1:7" x14ac:dyDescent="0.25">
      <c r="A2533" s="101"/>
      <c r="B2533" s="36"/>
      <c r="C2533" s="98"/>
      <c r="D2533" s="98"/>
      <c r="E2533" s="98"/>
      <c r="F2533" s="102"/>
      <c r="G2533" s="103"/>
    </row>
    <row r="2534" spans="1:7" x14ac:dyDescent="0.25">
      <c r="A2534" s="101"/>
      <c r="B2534" s="36"/>
      <c r="C2534" s="98"/>
      <c r="D2534" s="98"/>
      <c r="E2534" s="98"/>
      <c r="F2534" s="102"/>
      <c r="G2534" s="103"/>
    </row>
    <row r="2535" spans="1:7" x14ac:dyDescent="0.25">
      <c r="A2535" s="101"/>
      <c r="B2535" s="36"/>
      <c r="C2535" s="98"/>
      <c r="D2535" s="98"/>
      <c r="E2535" s="98"/>
      <c r="F2535" s="102"/>
      <c r="G2535" s="103"/>
    </row>
    <row r="2536" spans="1:7" x14ac:dyDescent="0.25">
      <c r="A2536" s="101"/>
      <c r="B2536" s="36"/>
      <c r="C2536" s="98"/>
      <c r="D2536" s="98"/>
      <c r="E2536" s="98"/>
      <c r="F2536" s="102"/>
      <c r="G2536" s="103"/>
    </row>
    <row r="2537" spans="1:7" x14ac:dyDescent="0.25">
      <c r="A2537" s="101"/>
      <c r="B2537" s="36"/>
      <c r="C2537" s="98"/>
      <c r="D2537" s="98"/>
      <c r="E2537" s="98"/>
      <c r="F2537" s="102"/>
      <c r="G2537" s="103"/>
    </row>
    <row r="2538" spans="1:7" x14ac:dyDescent="0.25">
      <c r="A2538" s="101"/>
      <c r="B2538" s="36"/>
      <c r="C2538" s="98"/>
      <c r="D2538" s="98"/>
      <c r="E2538" s="98"/>
      <c r="F2538" s="102"/>
      <c r="G2538" s="103"/>
    </row>
    <row r="2539" spans="1:7" x14ac:dyDescent="0.25">
      <c r="A2539" s="101"/>
      <c r="B2539" s="36"/>
      <c r="C2539" s="98"/>
      <c r="D2539" s="98"/>
      <c r="E2539" s="98"/>
      <c r="F2539" s="102"/>
      <c r="G2539" s="103"/>
    </row>
    <row r="2540" spans="1:7" x14ac:dyDescent="0.25">
      <c r="A2540" s="101"/>
      <c r="B2540" s="36"/>
      <c r="C2540" s="98"/>
      <c r="D2540" s="98"/>
      <c r="E2540" s="98"/>
      <c r="F2540" s="102"/>
      <c r="G2540" s="103"/>
    </row>
    <row r="2541" spans="1:7" x14ac:dyDescent="0.25">
      <c r="A2541" s="101"/>
      <c r="B2541" s="36"/>
      <c r="C2541" s="98"/>
      <c r="D2541" s="98"/>
      <c r="E2541" s="98"/>
      <c r="F2541" s="102"/>
      <c r="G2541" s="103"/>
    </row>
    <row r="2542" spans="1:7" x14ac:dyDescent="0.25">
      <c r="A2542" s="101"/>
      <c r="B2542" s="36"/>
      <c r="C2542" s="98"/>
      <c r="D2542" s="98"/>
      <c r="E2542" s="98"/>
      <c r="F2542" s="102"/>
      <c r="G2542" s="103"/>
    </row>
    <row r="2543" spans="1:7" x14ac:dyDescent="0.25">
      <c r="A2543" s="101"/>
      <c r="B2543" s="36"/>
      <c r="C2543" s="98"/>
      <c r="D2543" s="98"/>
      <c r="E2543" s="98"/>
      <c r="F2543" s="102"/>
      <c r="G2543" s="103"/>
    </row>
    <row r="2544" spans="1:7" x14ac:dyDescent="0.25">
      <c r="A2544" s="101"/>
      <c r="B2544" s="36"/>
      <c r="C2544" s="98"/>
      <c r="D2544" s="98"/>
      <c r="E2544" s="98"/>
      <c r="F2544" s="102"/>
      <c r="G2544" s="103"/>
    </row>
    <row r="2545" spans="1:7" x14ac:dyDescent="0.25">
      <c r="A2545" s="101"/>
      <c r="B2545" s="36"/>
      <c r="C2545" s="98"/>
      <c r="D2545" s="98"/>
      <c r="E2545" s="98"/>
      <c r="F2545" s="102"/>
      <c r="G2545" s="103"/>
    </row>
    <row r="2546" spans="1:7" x14ac:dyDescent="0.25">
      <c r="A2546" s="101"/>
      <c r="B2546" s="36"/>
      <c r="C2546" s="98"/>
      <c r="D2546" s="98"/>
      <c r="E2546" s="98"/>
      <c r="F2546" s="102"/>
      <c r="G2546" s="103"/>
    </row>
    <row r="2547" spans="1:7" x14ac:dyDescent="0.25">
      <c r="A2547" s="101"/>
      <c r="B2547" s="36"/>
      <c r="C2547" s="98"/>
      <c r="D2547" s="98"/>
      <c r="E2547" s="98"/>
      <c r="F2547" s="102"/>
      <c r="G2547" s="103"/>
    </row>
    <row r="2548" spans="1:7" x14ac:dyDescent="0.25">
      <c r="A2548" s="101"/>
      <c r="B2548" s="36"/>
      <c r="C2548" s="98"/>
      <c r="D2548" s="98"/>
      <c r="E2548" s="98"/>
      <c r="F2548" s="102"/>
      <c r="G2548" s="103"/>
    </row>
    <row r="2549" spans="1:7" x14ac:dyDescent="0.25">
      <c r="A2549" s="101"/>
      <c r="B2549" s="36"/>
      <c r="C2549" s="98"/>
      <c r="D2549" s="98"/>
      <c r="E2549" s="98"/>
      <c r="F2549" s="102"/>
      <c r="G2549" s="103"/>
    </row>
    <row r="2550" spans="1:7" x14ac:dyDescent="0.25">
      <c r="A2550" s="101"/>
      <c r="B2550" s="36"/>
      <c r="C2550" s="98"/>
      <c r="D2550" s="98"/>
      <c r="E2550" s="98"/>
      <c r="F2550" s="102"/>
      <c r="G2550" s="103"/>
    </row>
    <row r="2551" spans="1:7" x14ac:dyDescent="0.25">
      <c r="A2551" s="101"/>
      <c r="B2551" s="36"/>
      <c r="C2551" s="98"/>
      <c r="D2551" s="98"/>
      <c r="E2551" s="98"/>
      <c r="F2551" s="102"/>
      <c r="G2551" s="103"/>
    </row>
    <row r="2552" spans="1:7" x14ac:dyDescent="0.25">
      <c r="A2552" s="101"/>
      <c r="B2552" s="36"/>
      <c r="C2552" s="98"/>
      <c r="D2552" s="98"/>
      <c r="E2552" s="98"/>
      <c r="F2552" s="102"/>
      <c r="G2552" s="103"/>
    </row>
    <row r="2553" spans="1:7" x14ac:dyDescent="0.25">
      <c r="A2553" s="101"/>
      <c r="B2553" s="36"/>
      <c r="C2553" s="98"/>
      <c r="D2553" s="98"/>
      <c r="E2553" s="98"/>
      <c r="F2553" s="102"/>
      <c r="G2553" s="103"/>
    </row>
    <row r="2554" spans="1:7" x14ac:dyDescent="0.25">
      <c r="A2554" s="101"/>
      <c r="B2554" s="36"/>
      <c r="C2554" s="98"/>
      <c r="D2554" s="98"/>
      <c r="E2554" s="98"/>
      <c r="F2554" s="102"/>
      <c r="G2554" s="103"/>
    </row>
    <row r="2555" spans="1:7" x14ac:dyDescent="0.25">
      <c r="A2555" s="101"/>
      <c r="B2555" s="36"/>
      <c r="C2555" s="98"/>
      <c r="D2555" s="98"/>
      <c r="E2555" s="98"/>
      <c r="F2555" s="102"/>
      <c r="G2555" s="103"/>
    </row>
    <row r="2556" spans="1:7" x14ac:dyDescent="0.25">
      <c r="A2556" s="101"/>
      <c r="B2556" s="36"/>
      <c r="C2556" s="98"/>
      <c r="D2556" s="98"/>
      <c r="E2556" s="98"/>
      <c r="F2556" s="102"/>
      <c r="G2556" s="103"/>
    </row>
    <row r="2557" spans="1:7" x14ac:dyDescent="0.25">
      <c r="A2557" s="101"/>
      <c r="B2557" s="36"/>
      <c r="C2557" s="98"/>
      <c r="D2557" s="98"/>
      <c r="E2557" s="98"/>
      <c r="F2557" s="102"/>
      <c r="G2557" s="103"/>
    </row>
    <row r="2558" spans="1:7" x14ac:dyDescent="0.25">
      <c r="A2558" s="101"/>
      <c r="B2558" s="36"/>
      <c r="C2558" s="98"/>
      <c r="D2558" s="98"/>
      <c r="E2558" s="98"/>
      <c r="F2558" s="102"/>
      <c r="G2558" s="103"/>
    </row>
    <row r="2559" spans="1:7" x14ac:dyDescent="0.25">
      <c r="A2559" s="101"/>
      <c r="B2559" s="36"/>
      <c r="C2559" s="98"/>
      <c r="D2559" s="98"/>
      <c r="E2559" s="98"/>
      <c r="F2559" s="102"/>
      <c r="G2559" s="103"/>
    </row>
    <row r="2560" spans="1:7" x14ac:dyDescent="0.25">
      <c r="A2560" s="101"/>
      <c r="B2560" s="36"/>
      <c r="C2560" s="98"/>
      <c r="D2560" s="98"/>
      <c r="E2560" s="98"/>
      <c r="F2560" s="102"/>
      <c r="G2560" s="103"/>
    </row>
    <row r="2561" spans="1:7" x14ac:dyDescent="0.25">
      <c r="A2561" s="101"/>
      <c r="B2561" s="36"/>
      <c r="C2561" s="98"/>
      <c r="D2561" s="98"/>
      <c r="E2561" s="98"/>
      <c r="F2561" s="102"/>
      <c r="G2561" s="103"/>
    </row>
    <row r="2562" spans="1:7" x14ac:dyDescent="0.25">
      <c r="A2562" s="101"/>
      <c r="B2562" s="36"/>
      <c r="C2562" s="98"/>
      <c r="D2562" s="98"/>
      <c r="E2562" s="98"/>
      <c r="F2562" s="102"/>
      <c r="G2562" s="103"/>
    </row>
    <row r="2563" spans="1:7" x14ac:dyDescent="0.25">
      <c r="A2563" s="101"/>
      <c r="B2563" s="36"/>
      <c r="C2563" s="98"/>
      <c r="D2563" s="98"/>
      <c r="E2563" s="98"/>
      <c r="F2563" s="102"/>
      <c r="G2563" s="103"/>
    </row>
    <row r="2564" spans="1:7" x14ac:dyDescent="0.25">
      <c r="A2564" s="101"/>
      <c r="B2564" s="36"/>
      <c r="C2564" s="98"/>
      <c r="D2564" s="98"/>
      <c r="E2564" s="98"/>
      <c r="F2564" s="102"/>
      <c r="G2564" s="103"/>
    </row>
    <row r="2565" spans="1:7" x14ac:dyDescent="0.25">
      <c r="A2565" s="101"/>
      <c r="B2565" s="36"/>
      <c r="C2565" s="98"/>
      <c r="D2565" s="98"/>
      <c r="E2565" s="98"/>
      <c r="F2565" s="102"/>
      <c r="G2565" s="103"/>
    </row>
    <row r="2566" spans="1:7" x14ac:dyDescent="0.25">
      <c r="A2566" s="101"/>
      <c r="B2566" s="36"/>
      <c r="C2566" s="98"/>
      <c r="D2566" s="98"/>
      <c r="E2566" s="98"/>
      <c r="F2566" s="102"/>
      <c r="G2566" s="103"/>
    </row>
    <row r="2567" spans="1:7" x14ac:dyDescent="0.25">
      <c r="A2567" s="101"/>
      <c r="B2567" s="36"/>
      <c r="C2567" s="98"/>
      <c r="D2567" s="98"/>
      <c r="E2567" s="98"/>
      <c r="F2567" s="102"/>
      <c r="G2567" s="103"/>
    </row>
    <row r="2568" spans="1:7" x14ac:dyDescent="0.25">
      <c r="A2568" s="101"/>
      <c r="B2568" s="36"/>
      <c r="C2568" s="98"/>
      <c r="D2568" s="98"/>
      <c r="E2568" s="98"/>
      <c r="F2568" s="102"/>
      <c r="G2568" s="103"/>
    </row>
    <row r="2569" spans="1:7" x14ac:dyDescent="0.25">
      <c r="A2569" s="101"/>
      <c r="B2569" s="36"/>
      <c r="C2569" s="98"/>
      <c r="D2569" s="98"/>
      <c r="E2569" s="98"/>
      <c r="F2569" s="102"/>
      <c r="G2569" s="103"/>
    </row>
    <row r="2570" spans="1:7" x14ac:dyDescent="0.25">
      <c r="A2570" s="101"/>
      <c r="B2570" s="36"/>
      <c r="C2570" s="98"/>
      <c r="D2570" s="98"/>
      <c r="E2570" s="98"/>
      <c r="F2570" s="102"/>
      <c r="G2570" s="103"/>
    </row>
    <row r="2571" spans="1:7" x14ac:dyDescent="0.25">
      <c r="A2571" s="101"/>
      <c r="B2571" s="36"/>
      <c r="C2571" s="98"/>
      <c r="D2571" s="98"/>
      <c r="E2571" s="98"/>
      <c r="F2571" s="102"/>
      <c r="G2571" s="103"/>
    </row>
    <row r="2572" spans="1:7" x14ac:dyDescent="0.25">
      <c r="A2572" s="101"/>
      <c r="B2572" s="36"/>
      <c r="C2572" s="98"/>
      <c r="D2572" s="98"/>
      <c r="E2572" s="98"/>
      <c r="F2572" s="102"/>
      <c r="G2572" s="103"/>
    </row>
    <row r="2573" spans="1:7" x14ac:dyDescent="0.25">
      <c r="A2573" s="101"/>
      <c r="B2573" s="36"/>
      <c r="C2573" s="98"/>
      <c r="D2573" s="98"/>
      <c r="E2573" s="98"/>
      <c r="F2573" s="102"/>
      <c r="G2573" s="103"/>
    </row>
    <row r="2574" spans="1:7" x14ac:dyDescent="0.25">
      <c r="A2574" s="101"/>
      <c r="B2574" s="36"/>
      <c r="C2574" s="98"/>
      <c r="D2574" s="98"/>
      <c r="E2574" s="98"/>
      <c r="F2574" s="102"/>
      <c r="G2574" s="103"/>
    </row>
    <row r="2575" spans="1:7" x14ac:dyDescent="0.25">
      <c r="A2575" s="101"/>
      <c r="B2575" s="36"/>
      <c r="C2575" s="98"/>
      <c r="D2575" s="98"/>
      <c r="E2575" s="98"/>
      <c r="F2575" s="102"/>
      <c r="G2575" s="103"/>
    </row>
    <row r="2576" spans="1:7" x14ac:dyDescent="0.25">
      <c r="A2576" s="101"/>
      <c r="B2576" s="36"/>
      <c r="C2576" s="98"/>
      <c r="D2576" s="98"/>
      <c r="E2576" s="98"/>
      <c r="F2576" s="102"/>
      <c r="G2576" s="103"/>
    </row>
    <row r="2577" spans="1:7" x14ac:dyDescent="0.25">
      <c r="A2577" s="101"/>
      <c r="B2577" s="36"/>
      <c r="C2577" s="98"/>
      <c r="D2577" s="98"/>
      <c r="E2577" s="98"/>
      <c r="F2577" s="102"/>
      <c r="G2577" s="103"/>
    </row>
    <row r="2578" spans="1:7" x14ac:dyDescent="0.25">
      <c r="A2578" s="101"/>
      <c r="B2578" s="36"/>
      <c r="C2578" s="98"/>
      <c r="D2578" s="98"/>
      <c r="E2578" s="98"/>
      <c r="F2578" s="102"/>
      <c r="G2578" s="103"/>
    </row>
    <row r="2579" spans="1:7" x14ac:dyDescent="0.25">
      <c r="A2579" s="101"/>
      <c r="B2579" s="36"/>
      <c r="C2579" s="98"/>
      <c r="D2579" s="98"/>
      <c r="E2579" s="98"/>
      <c r="F2579" s="102"/>
      <c r="G2579" s="103"/>
    </row>
    <row r="2580" spans="1:7" x14ac:dyDescent="0.25">
      <c r="A2580" s="101"/>
      <c r="B2580" s="36"/>
      <c r="C2580" s="98"/>
      <c r="D2580" s="98"/>
      <c r="E2580" s="98"/>
      <c r="F2580" s="102"/>
      <c r="G2580" s="103"/>
    </row>
    <row r="2581" spans="1:7" x14ac:dyDescent="0.25">
      <c r="A2581" s="101"/>
      <c r="B2581" s="36"/>
      <c r="C2581" s="98"/>
      <c r="D2581" s="98"/>
      <c r="E2581" s="98"/>
      <c r="F2581" s="102"/>
      <c r="G2581" s="103"/>
    </row>
    <row r="2582" spans="1:7" x14ac:dyDescent="0.25">
      <c r="A2582" s="101"/>
      <c r="B2582" s="36"/>
      <c r="C2582" s="98"/>
      <c r="D2582" s="98"/>
      <c r="E2582" s="98"/>
      <c r="F2582" s="102"/>
      <c r="G2582" s="103"/>
    </row>
    <row r="2583" spans="1:7" x14ac:dyDescent="0.25">
      <c r="A2583" s="101"/>
      <c r="B2583" s="36"/>
      <c r="C2583" s="98"/>
      <c r="D2583" s="98"/>
      <c r="E2583" s="98"/>
      <c r="F2583" s="102"/>
      <c r="G2583" s="103"/>
    </row>
    <row r="2584" spans="1:7" x14ac:dyDescent="0.25">
      <c r="A2584" s="101"/>
      <c r="B2584" s="36"/>
      <c r="C2584" s="98"/>
      <c r="D2584" s="98"/>
      <c r="E2584" s="98"/>
      <c r="F2584" s="102"/>
      <c r="G2584" s="103"/>
    </row>
    <row r="2585" spans="1:7" x14ac:dyDescent="0.25">
      <c r="A2585" s="101"/>
      <c r="B2585" s="36"/>
      <c r="C2585" s="98"/>
      <c r="D2585" s="98"/>
      <c r="E2585" s="98"/>
      <c r="F2585" s="102"/>
      <c r="G2585" s="103"/>
    </row>
    <row r="2586" spans="1:7" x14ac:dyDescent="0.25">
      <c r="A2586" s="101"/>
      <c r="B2586" s="36"/>
      <c r="C2586" s="98"/>
      <c r="D2586" s="98"/>
      <c r="E2586" s="98"/>
      <c r="F2586" s="102"/>
      <c r="G2586" s="103"/>
    </row>
    <row r="2587" spans="1:7" x14ac:dyDescent="0.25">
      <c r="A2587" s="101"/>
      <c r="B2587" s="36"/>
      <c r="C2587" s="98"/>
      <c r="D2587" s="98"/>
      <c r="E2587" s="98"/>
      <c r="F2587" s="102"/>
      <c r="G2587" s="103"/>
    </row>
    <row r="2588" spans="1:7" x14ac:dyDescent="0.25">
      <c r="A2588" s="101"/>
      <c r="B2588" s="36"/>
      <c r="C2588" s="98"/>
      <c r="D2588" s="98"/>
      <c r="E2588" s="98"/>
      <c r="F2588" s="102"/>
      <c r="G2588" s="103"/>
    </row>
    <row r="2589" spans="1:7" x14ac:dyDescent="0.25">
      <c r="A2589" s="101"/>
      <c r="B2589" s="66"/>
      <c r="C2589" s="98"/>
      <c r="D2589" s="98"/>
      <c r="E2589" s="98"/>
      <c r="F2589" s="102"/>
      <c r="G2589" s="103"/>
    </row>
    <row r="2590" spans="1:7" x14ac:dyDescent="0.25">
      <c r="A2590" s="101"/>
      <c r="B2590" s="36"/>
      <c r="C2590" s="98"/>
      <c r="D2590" s="98"/>
      <c r="E2590" s="98"/>
      <c r="F2590" s="102"/>
      <c r="G2590" s="103"/>
    </row>
    <row r="2591" spans="1:7" x14ac:dyDescent="0.25">
      <c r="A2591" s="101"/>
      <c r="B2591" s="36"/>
      <c r="C2591" s="98"/>
      <c r="D2591" s="98"/>
      <c r="E2591" s="98"/>
      <c r="F2591" s="102"/>
      <c r="G2591" s="103"/>
    </row>
    <row r="2592" spans="1:7" x14ac:dyDescent="0.25">
      <c r="A2592" s="101"/>
      <c r="B2592" s="36"/>
      <c r="C2592" s="98"/>
      <c r="D2592" s="98"/>
      <c r="E2592" s="98"/>
      <c r="F2592" s="102"/>
      <c r="G2592" s="103"/>
    </row>
    <row r="2593" spans="1:7" x14ac:dyDescent="0.25">
      <c r="A2593" s="101"/>
      <c r="B2593" s="36"/>
      <c r="C2593" s="98"/>
      <c r="D2593" s="98"/>
      <c r="E2593" s="98"/>
      <c r="F2593" s="102"/>
      <c r="G2593" s="103"/>
    </row>
    <row r="2594" spans="1:7" x14ac:dyDescent="0.25">
      <c r="A2594" s="101"/>
      <c r="B2594" s="36"/>
      <c r="C2594" s="98"/>
      <c r="D2594" s="98"/>
      <c r="E2594" s="98"/>
      <c r="F2594" s="102"/>
      <c r="G2594" s="103"/>
    </row>
    <row r="2595" spans="1:7" x14ac:dyDescent="0.25">
      <c r="A2595" s="101"/>
      <c r="B2595" s="36"/>
      <c r="C2595" s="98"/>
      <c r="D2595" s="98"/>
      <c r="E2595" s="98"/>
      <c r="F2595" s="102"/>
      <c r="G2595" s="103"/>
    </row>
    <row r="2596" spans="1:7" x14ac:dyDescent="0.25">
      <c r="A2596" s="101"/>
      <c r="B2596" s="36"/>
      <c r="C2596" s="98"/>
      <c r="D2596" s="98"/>
      <c r="E2596" s="98"/>
      <c r="F2596" s="102"/>
      <c r="G2596" s="103"/>
    </row>
    <row r="2597" spans="1:7" x14ac:dyDescent="0.25">
      <c r="A2597" s="101"/>
      <c r="B2597" s="36"/>
      <c r="C2597" s="98"/>
      <c r="D2597" s="98"/>
      <c r="E2597" s="98"/>
      <c r="F2597" s="102"/>
      <c r="G2597" s="103"/>
    </row>
    <row r="2598" spans="1:7" x14ac:dyDescent="0.25">
      <c r="A2598" s="101"/>
      <c r="B2598" s="36"/>
      <c r="C2598" s="98"/>
      <c r="D2598" s="98"/>
      <c r="E2598" s="98"/>
      <c r="F2598" s="102"/>
      <c r="G2598" s="103"/>
    </row>
    <row r="2599" spans="1:7" x14ac:dyDescent="0.25">
      <c r="A2599" s="101"/>
      <c r="B2599" s="36"/>
      <c r="C2599" s="98"/>
      <c r="D2599" s="98"/>
      <c r="E2599" s="98"/>
      <c r="F2599" s="102"/>
      <c r="G2599" s="103"/>
    </row>
    <row r="2600" spans="1:7" x14ac:dyDescent="0.25">
      <c r="A2600" s="101"/>
      <c r="B2600" s="36"/>
      <c r="C2600" s="98"/>
      <c r="D2600" s="98"/>
      <c r="E2600" s="98"/>
      <c r="F2600" s="102"/>
      <c r="G2600" s="103"/>
    </row>
    <row r="2601" spans="1:7" x14ac:dyDescent="0.25">
      <c r="A2601" s="101"/>
      <c r="B2601" s="36"/>
      <c r="C2601" s="98"/>
      <c r="D2601" s="98"/>
      <c r="E2601" s="98"/>
      <c r="F2601" s="102"/>
      <c r="G2601" s="103"/>
    </row>
    <row r="2602" spans="1:7" x14ac:dyDescent="0.25">
      <c r="A2602" s="101"/>
      <c r="B2602" s="36"/>
      <c r="C2602" s="98"/>
      <c r="D2602" s="98"/>
      <c r="E2602" s="98"/>
      <c r="F2602" s="102"/>
      <c r="G2602" s="103"/>
    </row>
    <row r="2603" spans="1:7" x14ac:dyDescent="0.25">
      <c r="A2603" s="101"/>
      <c r="B2603" s="36"/>
      <c r="C2603" s="98"/>
      <c r="D2603" s="98"/>
      <c r="E2603" s="98"/>
      <c r="F2603" s="102"/>
      <c r="G2603" s="103"/>
    </row>
    <row r="2604" spans="1:7" x14ac:dyDescent="0.25">
      <c r="A2604" s="101"/>
      <c r="B2604" s="36"/>
      <c r="C2604" s="98"/>
      <c r="D2604" s="98"/>
      <c r="E2604" s="98"/>
      <c r="F2604" s="102"/>
      <c r="G2604" s="103"/>
    </row>
    <row r="2605" spans="1:7" x14ac:dyDescent="0.25">
      <c r="A2605" s="101"/>
      <c r="B2605" s="36"/>
      <c r="C2605" s="98"/>
      <c r="D2605" s="98"/>
      <c r="E2605" s="98"/>
      <c r="F2605" s="102"/>
      <c r="G2605" s="103"/>
    </row>
    <row r="2606" spans="1:7" x14ac:dyDescent="0.25">
      <c r="A2606" s="101"/>
      <c r="B2606" s="36"/>
      <c r="C2606" s="98"/>
      <c r="D2606" s="98"/>
      <c r="E2606" s="98"/>
      <c r="F2606" s="102"/>
      <c r="G2606" s="103"/>
    </row>
    <row r="2607" spans="1:7" x14ac:dyDescent="0.25">
      <c r="A2607" s="101"/>
      <c r="B2607" s="36"/>
      <c r="C2607" s="98"/>
      <c r="D2607" s="98"/>
      <c r="E2607" s="98"/>
      <c r="F2607" s="102"/>
      <c r="G2607" s="103"/>
    </row>
    <row r="2608" spans="1:7" x14ac:dyDescent="0.25">
      <c r="A2608" s="101"/>
      <c r="B2608" s="36"/>
      <c r="C2608" s="98"/>
      <c r="D2608" s="98"/>
      <c r="E2608" s="98"/>
      <c r="F2608" s="102"/>
      <c r="G2608" s="103"/>
    </row>
    <row r="2609" spans="1:7" x14ac:dyDescent="0.25">
      <c r="A2609" s="101"/>
      <c r="B2609" s="36"/>
      <c r="C2609" s="98"/>
      <c r="D2609" s="98"/>
      <c r="E2609" s="98"/>
      <c r="F2609" s="102"/>
      <c r="G2609" s="103"/>
    </row>
    <row r="2610" spans="1:7" x14ac:dyDescent="0.25">
      <c r="A2610" s="101"/>
      <c r="B2610" s="36"/>
      <c r="C2610" s="98"/>
      <c r="D2610" s="98"/>
      <c r="E2610" s="98"/>
      <c r="F2610" s="102"/>
      <c r="G2610" s="103"/>
    </row>
    <row r="2611" spans="1:7" x14ac:dyDescent="0.25">
      <c r="A2611" s="101"/>
      <c r="B2611" s="36"/>
      <c r="C2611" s="98"/>
      <c r="D2611" s="98"/>
      <c r="E2611" s="98"/>
      <c r="F2611" s="102"/>
      <c r="G2611" s="103"/>
    </row>
    <row r="2612" spans="1:7" x14ac:dyDescent="0.25">
      <c r="A2612" s="101"/>
      <c r="B2612" s="36"/>
      <c r="C2612" s="98"/>
      <c r="D2612" s="98"/>
      <c r="E2612" s="98"/>
      <c r="F2612" s="102"/>
      <c r="G2612" s="103"/>
    </row>
    <row r="2613" spans="1:7" x14ac:dyDescent="0.25">
      <c r="A2613" s="101"/>
      <c r="B2613" s="36"/>
      <c r="C2613" s="98"/>
      <c r="D2613" s="98"/>
      <c r="E2613" s="98"/>
      <c r="F2613" s="102"/>
      <c r="G2613" s="103"/>
    </row>
    <row r="2614" spans="1:7" x14ac:dyDescent="0.25">
      <c r="A2614" s="101"/>
      <c r="B2614" s="36"/>
      <c r="C2614" s="98"/>
      <c r="D2614" s="98"/>
      <c r="E2614" s="98"/>
      <c r="F2614" s="102"/>
      <c r="G2614" s="103"/>
    </row>
    <row r="2615" spans="1:7" x14ac:dyDescent="0.25">
      <c r="A2615" s="101"/>
      <c r="B2615" s="36"/>
      <c r="C2615" s="98"/>
      <c r="D2615" s="98"/>
      <c r="E2615" s="98"/>
      <c r="F2615" s="102"/>
      <c r="G2615" s="103"/>
    </row>
    <row r="2616" spans="1:7" x14ac:dyDescent="0.25">
      <c r="A2616" s="101"/>
      <c r="B2616" s="36"/>
      <c r="C2616" s="98"/>
      <c r="D2616" s="98"/>
      <c r="E2616" s="98"/>
      <c r="F2616" s="102"/>
      <c r="G2616" s="103"/>
    </row>
    <row r="2617" spans="1:7" x14ac:dyDescent="0.25">
      <c r="A2617" s="101"/>
      <c r="B2617" s="36"/>
      <c r="C2617" s="98"/>
      <c r="D2617" s="98"/>
      <c r="E2617" s="98"/>
      <c r="F2617" s="102"/>
      <c r="G2617" s="103"/>
    </row>
    <row r="2618" spans="1:7" x14ac:dyDescent="0.25">
      <c r="A2618" s="101"/>
      <c r="B2618" s="36"/>
      <c r="C2618" s="98"/>
      <c r="D2618" s="98"/>
      <c r="E2618" s="98"/>
      <c r="F2618" s="102"/>
      <c r="G2618" s="103"/>
    </row>
    <row r="2619" spans="1:7" x14ac:dyDescent="0.25">
      <c r="A2619" s="101"/>
      <c r="B2619" s="36"/>
      <c r="C2619" s="98"/>
      <c r="D2619" s="98"/>
      <c r="E2619" s="98"/>
      <c r="F2619" s="102"/>
      <c r="G2619" s="103"/>
    </row>
    <row r="2620" spans="1:7" x14ac:dyDescent="0.25">
      <c r="A2620" s="101"/>
      <c r="B2620" s="36"/>
      <c r="C2620" s="98"/>
      <c r="D2620" s="98"/>
      <c r="E2620" s="98"/>
      <c r="F2620" s="102"/>
      <c r="G2620" s="103"/>
    </row>
    <row r="2621" spans="1:7" x14ac:dyDescent="0.25">
      <c r="A2621" s="101"/>
      <c r="B2621" s="36"/>
      <c r="C2621" s="98"/>
      <c r="D2621" s="98"/>
      <c r="E2621" s="98"/>
      <c r="F2621" s="102"/>
      <c r="G2621" s="103"/>
    </row>
    <row r="2622" spans="1:7" x14ac:dyDescent="0.25">
      <c r="A2622" s="101"/>
      <c r="B2622" s="36"/>
      <c r="C2622" s="98"/>
      <c r="D2622" s="98"/>
      <c r="E2622" s="98"/>
      <c r="F2622" s="102"/>
      <c r="G2622" s="103"/>
    </row>
    <row r="2623" spans="1:7" x14ac:dyDescent="0.25">
      <c r="A2623" s="101"/>
      <c r="B2623" s="36"/>
      <c r="C2623" s="98"/>
      <c r="D2623" s="98"/>
      <c r="E2623" s="98"/>
      <c r="F2623" s="102"/>
      <c r="G2623" s="103"/>
    </row>
    <row r="2624" spans="1:7" x14ac:dyDescent="0.25">
      <c r="A2624" s="101"/>
      <c r="B2624" s="38"/>
      <c r="C2624" s="98"/>
      <c r="D2624" s="98"/>
      <c r="E2624" s="98"/>
      <c r="F2624" s="102"/>
      <c r="G2624" s="103"/>
    </row>
    <row r="2625" spans="1:7" x14ac:dyDescent="0.25">
      <c r="A2625" s="101"/>
      <c r="B2625" s="38"/>
      <c r="C2625" s="98"/>
      <c r="D2625" s="98"/>
      <c r="E2625" s="98"/>
      <c r="F2625" s="102"/>
      <c r="G2625" s="103"/>
    </row>
    <row r="2626" spans="1:7" x14ac:dyDescent="0.25">
      <c r="A2626" s="101"/>
      <c r="B2626" s="38"/>
      <c r="C2626" s="98"/>
      <c r="D2626" s="98"/>
      <c r="E2626" s="98"/>
      <c r="F2626" s="102"/>
      <c r="G2626" s="103"/>
    </row>
    <row r="2627" spans="1:7" x14ac:dyDescent="0.25">
      <c r="A2627" s="101"/>
      <c r="B2627" s="36"/>
      <c r="C2627" s="98"/>
      <c r="D2627" s="98"/>
      <c r="E2627" s="98"/>
      <c r="F2627" s="102"/>
      <c r="G2627" s="103"/>
    </row>
    <row r="2628" spans="1:7" x14ac:dyDescent="0.25">
      <c r="A2628" s="101"/>
      <c r="B2628" s="36"/>
      <c r="C2628" s="98"/>
      <c r="D2628" s="98"/>
      <c r="E2628" s="98"/>
      <c r="F2628" s="102"/>
      <c r="G2628" s="103"/>
    </row>
    <row r="2629" spans="1:7" x14ac:dyDescent="0.25">
      <c r="A2629" s="101"/>
      <c r="B2629" s="36"/>
      <c r="C2629" s="98"/>
      <c r="D2629" s="98"/>
      <c r="E2629" s="98"/>
      <c r="F2629" s="102"/>
      <c r="G2629" s="103"/>
    </row>
    <row r="2630" spans="1:7" x14ac:dyDescent="0.25">
      <c r="A2630" s="101"/>
      <c r="B2630" s="36"/>
      <c r="C2630" s="98"/>
      <c r="D2630" s="98"/>
      <c r="E2630" s="98"/>
      <c r="F2630" s="102"/>
      <c r="G2630" s="103"/>
    </row>
    <row r="2631" spans="1:7" x14ac:dyDescent="0.25">
      <c r="A2631" s="101"/>
      <c r="B2631" s="36"/>
      <c r="C2631" s="98"/>
      <c r="D2631" s="98"/>
      <c r="E2631" s="98"/>
      <c r="F2631" s="102"/>
      <c r="G2631" s="103"/>
    </row>
    <row r="2632" spans="1:7" x14ac:dyDescent="0.25">
      <c r="A2632" s="101"/>
      <c r="B2632" s="36"/>
      <c r="C2632" s="98"/>
      <c r="D2632" s="98"/>
      <c r="E2632" s="98"/>
      <c r="F2632" s="102"/>
      <c r="G2632" s="103"/>
    </row>
    <row r="2633" spans="1:7" x14ac:dyDescent="0.25">
      <c r="A2633" s="101"/>
      <c r="B2633" s="36"/>
      <c r="C2633" s="98"/>
      <c r="D2633" s="98"/>
      <c r="E2633" s="98"/>
      <c r="F2633" s="102"/>
      <c r="G2633" s="103"/>
    </row>
    <row r="2634" spans="1:7" x14ac:dyDescent="0.25">
      <c r="A2634" s="101"/>
      <c r="B2634" s="36"/>
      <c r="C2634" s="98"/>
      <c r="D2634" s="98"/>
      <c r="E2634" s="98"/>
      <c r="F2634" s="102"/>
      <c r="G2634" s="103"/>
    </row>
    <row r="2635" spans="1:7" x14ac:dyDescent="0.25">
      <c r="A2635" s="101"/>
      <c r="B2635" s="36"/>
      <c r="C2635" s="98"/>
      <c r="D2635" s="98"/>
      <c r="E2635" s="98"/>
      <c r="F2635" s="102"/>
      <c r="G2635" s="103"/>
    </row>
    <row r="2636" spans="1:7" x14ac:dyDescent="0.25">
      <c r="A2636" s="101"/>
      <c r="B2636" s="36"/>
      <c r="C2636" s="98"/>
      <c r="D2636" s="98"/>
      <c r="E2636" s="98"/>
      <c r="F2636" s="102"/>
      <c r="G2636" s="103"/>
    </row>
    <row r="2637" spans="1:7" x14ac:dyDescent="0.25">
      <c r="A2637" s="101"/>
      <c r="B2637" s="36"/>
      <c r="C2637" s="98"/>
      <c r="D2637" s="98"/>
      <c r="E2637" s="98"/>
      <c r="F2637" s="102"/>
      <c r="G2637" s="103"/>
    </row>
    <row r="2638" spans="1:7" x14ac:dyDescent="0.25">
      <c r="A2638" s="101"/>
      <c r="B2638" s="36"/>
      <c r="C2638" s="98"/>
      <c r="D2638" s="98"/>
      <c r="E2638" s="98"/>
      <c r="F2638" s="102"/>
      <c r="G2638" s="103"/>
    </row>
    <row r="2639" spans="1:7" x14ac:dyDescent="0.25">
      <c r="A2639" s="101"/>
      <c r="B2639" s="36"/>
      <c r="C2639" s="98"/>
      <c r="D2639" s="98"/>
      <c r="E2639" s="98"/>
      <c r="F2639" s="102"/>
      <c r="G2639" s="103"/>
    </row>
    <row r="2640" spans="1:7" x14ac:dyDescent="0.25">
      <c r="A2640" s="101"/>
      <c r="B2640" s="36"/>
      <c r="C2640" s="98"/>
      <c r="D2640" s="98"/>
      <c r="E2640" s="98"/>
      <c r="F2640" s="102"/>
      <c r="G2640" s="103"/>
    </row>
    <row r="2641" spans="1:7" x14ac:dyDescent="0.25">
      <c r="A2641" s="101"/>
      <c r="B2641" s="36"/>
      <c r="C2641" s="98"/>
      <c r="D2641" s="98"/>
      <c r="E2641" s="98"/>
      <c r="F2641" s="102"/>
      <c r="G2641" s="103"/>
    </row>
    <row r="2642" spans="1:7" x14ac:dyDescent="0.25">
      <c r="A2642" s="101"/>
      <c r="B2642" s="36"/>
      <c r="C2642" s="98"/>
      <c r="D2642" s="98"/>
      <c r="E2642" s="98"/>
      <c r="F2642" s="102"/>
      <c r="G2642" s="103"/>
    </row>
    <row r="2643" spans="1:7" x14ac:dyDescent="0.25">
      <c r="A2643" s="101"/>
      <c r="B2643" s="36"/>
      <c r="C2643" s="98"/>
      <c r="D2643" s="98"/>
      <c r="E2643" s="98"/>
      <c r="F2643" s="102"/>
      <c r="G2643" s="103"/>
    </row>
    <row r="2644" spans="1:7" x14ac:dyDescent="0.25">
      <c r="A2644" s="101"/>
      <c r="B2644" s="36"/>
      <c r="C2644" s="98"/>
      <c r="D2644" s="98"/>
      <c r="E2644" s="98"/>
      <c r="F2644" s="102"/>
      <c r="G2644" s="103"/>
    </row>
    <row r="2645" spans="1:7" x14ac:dyDescent="0.25">
      <c r="A2645" s="101"/>
      <c r="B2645" s="36"/>
      <c r="C2645" s="98"/>
      <c r="D2645" s="98"/>
      <c r="E2645" s="98"/>
      <c r="F2645" s="102"/>
      <c r="G2645" s="103"/>
    </row>
    <row r="2646" spans="1:7" x14ac:dyDescent="0.25">
      <c r="A2646" s="101"/>
      <c r="B2646" s="36"/>
      <c r="C2646" s="98"/>
      <c r="D2646" s="98"/>
      <c r="E2646" s="98"/>
      <c r="F2646" s="102"/>
      <c r="G2646" s="103"/>
    </row>
    <row r="2647" spans="1:7" x14ac:dyDescent="0.25">
      <c r="A2647" s="101"/>
      <c r="B2647" s="36"/>
      <c r="C2647" s="98"/>
      <c r="D2647" s="98"/>
      <c r="E2647" s="98"/>
      <c r="F2647" s="102"/>
      <c r="G2647" s="103"/>
    </row>
    <row r="2648" spans="1:7" x14ac:dyDescent="0.25">
      <c r="A2648" s="101"/>
      <c r="B2648" s="36"/>
      <c r="C2648" s="98"/>
      <c r="D2648" s="98"/>
      <c r="E2648" s="98"/>
      <c r="F2648" s="102"/>
      <c r="G2648" s="103"/>
    </row>
    <row r="2649" spans="1:7" x14ac:dyDescent="0.25">
      <c r="A2649" s="101"/>
      <c r="B2649" s="36"/>
      <c r="C2649" s="98"/>
      <c r="D2649" s="98"/>
      <c r="E2649" s="98"/>
      <c r="F2649" s="102"/>
      <c r="G2649" s="103"/>
    </row>
    <row r="2650" spans="1:7" x14ac:dyDescent="0.25">
      <c r="A2650" s="101"/>
      <c r="B2650" s="36"/>
      <c r="C2650" s="98"/>
      <c r="D2650" s="98"/>
      <c r="E2650" s="98"/>
      <c r="F2650" s="102"/>
      <c r="G2650" s="103"/>
    </row>
    <row r="2651" spans="1:7" x14ac:dyDescent="0.25">
      <c r="A2651" s="101"/>
      <c r="B2651" s="36"/>
      <c r="C2651" s="98"/>
      <c r="D2651" s="98"/>
      <c r="E2651" s="98"/>
      <c r="F2651" s="102"/>
      <c r="G2651" s="103"/>
    </row>
    <row r="2652" spans="1:7" x14ac:dyDescent="0.25">
      <c r="A2652" s="101"/>
      <c r="B2652" s="36"/>
      <c r="C2652" s="98"/>
      <c r="D2652" s="98"/>
      <c r="E2652" s="98"/>
      <c r="F2652" s="102"/>
      <c r="G2652" s="103"/>
    </row>
    <row r="2653" spans="1:7" x14ac:dyDescent="0.25">
      <c r="A2653" s="101"/>
      <c r="B2653" s="36"/>
      <c r="C2653" s="98"/>
      <c r="D2653" s="98"/>
      <c r="E2653" s="98"/>
      <c r="F2653" s="102"/>
      <c r="G2653" s="103"/>
    </row>
    <row r="2654" spans="1:7" x14ac:dyDescent="0.25">
      <c r="A2654" s="101"/>
      <c r="B2654" s="36"/>
      <c r="C2654" s="98"/>
      <c r="D2654" s="98"/>
      <c r="E2654" s="98"/>
      <c r="F2654" s="102"/>
      <c r="G2654" s="103"/>
    </row>
    <row r="2655" spans="1:7" x14ac:dyDescent="0.25">
      <c r="A2655" s="101"/>
      <c r="B2655" s="36"/>
      <c r="C2655" s="98"/>
      <c r="D2655" s="98"/>
      <c r="E2655" s="98"/>
      <c r="F2655" s="102"/>
      <c r="G2655" s="103"/>
    </row>
    <row r="2656" spans="1:7" x14ac:dyDescent="0.25">
      <c r="A2656" s="101"/>
      <c r="B2656" s="36"/>
      <c r="C2656" s="98"/>
      <c r="D2656" s="98"/>
      <c r="E2656" s="98"/>
      <c r="F2656" s="102"/>
      <c r="G2656" s="103"/>
    </row>
    <row r="2657" spans="1:7" x14ac:dyDescent="0.25">
      <c r="A2657" s="101"/>
      <c r="B2657" s="36"/>
      <c r="C2657" s="98"/>
      <c r="D2657" s="98"/>
      <c r="E2657" s="98"/>
      <c r="F2657" s="102"/>
      <c r="G2657" s="103"/>
    </row>
    <row r="2658" spans="1:7" x14ac:dyDescent="0.25">
      <c r="A2658" s="101"/>
      <c r="B2658" s="36"/>
      <c r="C2658" s="98"/>
      <c r="D2658" s="98"/>
      <c r="E2658" s="98"/>
      <c r="F2658" s="102"/>
      <c r="G2658" s="103"/>
    </row>
    <row r="2659" spans="1:7" x14ac:dyDescent="0.25">
      <c r="A2659" s="101"/>
      <c r="B2659" s="36"/>
      <c r="C2659" s="98"/>
      <c r="D2659" s="98"/>
      <c r="E2659" s="98"/>
      <c r="F2659" s="102"/>
      <c r="G2659" s="103"/>
    </row>
    <row r="2660" spans="1:7" x14ac:dyDescent="0.25">
      <c r="A2660" s="101"/>
      <c r="B2660" s="66"/>
      <c r="C2660" s="98"/>
      <c r="D2660" s="98"/>
      <c r="E2660" s="98"/>
      <c r="F2660" s="102"/>
      <c r="G2660" s="103"/>
    </row>
    <row r="2661" spans="1:7" x14ac:dyDescent="0.25">
      <c r="A2661" s="101"/>
      <c r="B2661" s="36"/>
      <c r="C2661" s="98"/>
      <c r="D2661" s="98"/>
      <c r="E2661" s="98"/>
      <c r="F2661" s="102"/>
      <c r="G2661" s="103"/>
    </row>
    <row r="2662" spans="1:7" x14ac:dyDescent="0.25">
      <c r="A2662" s="101"/>
      <c r="B2662" s="36"/>
      <c r="C2662" s="98"/>
      <c r="D2662" s="98"/>
      <c r="E2662" s="98"/>
      <c r="F2662" s="102"/>
      <c r="G2662" s="103"/>
    </row>
    <row r="2663" spans="1:7" x14ac:dyDescent="0.25">
      <c r="A2663" s="101"/>
      <c r="B2663" s="36"/>
      <c r="C2663" s="98"/>
      <c r="D2663" s="98"/>
      <c r="E2663" s="98"/>
      <c r="F2663" s="102"/>
      <c r="G2663" s="103"/>
    </row>
    <row r="2664" spans="1:7" x14ac:dyDescent="0.25">
      <c r="A2664" s="101"/>
      <c r="B2664" s="36"/>
      <c r="C2664" s="98"/>
      <c r="D2664" s="98"/>
      <c r="E2664" s="98"/>
      <c r="F2664" s="102"/>
      <c r="G2664" s="103"/>
    </row>
    <row r="2665" spans="1:7" x14ac:dyDescent="0.25">
      <c r="A2665" s="101"/>
      <c r="B2665" s="36"/>
      <c r="C2665" s="98"/>
      <c r="D2665" s="98"/>
      <c r="E2665" s="98"/>
      <c r="F2665" s="102"/>
      <c r="G2665" s="103"/>
    </row>
    <row r="2666" spans="1:7" x14ac:dyDescent="0.25">
      <c r="A2666" s="101"/>
      <c r="B2666" s="36"/>
      <c r="C2666" s="98"/>
      <c r="D2666" s="98"/>
      <c r="E2666" s="98"/>
      <c r="F2666" s="102"/>
      <c r="G2666" s="103"/>
    </row>
    <row r="2667" spans="1:7" x14ac:dyDescent="0.25">
      <c r="A2667" s="101"/>
      <c r="B2667" s="36"/>
      <c r="C2667" s="98"/>
      <c r="D2667" s="98"/>
      <c r="E2667" s="98"/>
      <c r="F2667" s="102"/>
      <c r="G2667" s="103"/>
    </row>
    <row r="2668" spans="1:7" x14ac:dyDescent="0.25">
      <c r="A2668" s="101"/>
      <c r="B2668" s="36"/>
      <c r="C2668" s="98"/>
      <c r="D2668" s="98"/>
      <c r="E2668" s="98"/>
      <c r="F2668" s="102"/>
      <c r="G2668" s="103"/>
    </row>
    <row r="2669" spans="1:7" x14ac:dyDescent="0.25">
      <c r="A2669" s="101"/>
      <c r="B2669" s="36"/>
      <c r="C2669" s="98"/>
      <c r="D2669" s="98"/>
      <c r="E2669" s="98"/>
      <c r="F2669" s="102"/>
      <c r="G2669" s="103"/>
    </row>
    <row r="2670" spans="1:7" x14ac:dyDescent="0.25">
      <c r="A2670" s="101"/>
      <c r="B2670" s="36"/>
      <c r="C2670" s="98"/>
      <c r="D2670" s="98"/>
      <c r="E2670" s="98"/>
      <c r="F2670" s="102"/>
      <c r="G2670" s="103"/>
    </row>
    <row r="2671" spans="1:7" x14ac:dyDescent="0.25">
      <c r="A2671" s="101"/>
      <c r="B2671" s="36"/>
      <c r="C2671" s="98"/>
      <c r="D2671" s="98"/>
      <c r="E2671" s="98"/>
      <c r="F2671" s="102"/>
      <c r="G2671" s="103"/>
    </row>
    <row r="2672" spans="1:7" x14ac:dyDescent="0.25">
      <c r="A2672" s="101"/>
      <c r="B2672" s="36"/>
      <c r="C2672" s="98"/>
      <c r="D2672" s="98"/>
      <c r="E2672" s="98"/>
      <c r="F2672" s="102"/>
      <c r="G2672" s="103"/>
    </row>
    <row r="2673" spans="1:7" x14ac:dyDescent="0.25">
      <c r="A2673" s="101"/>
      <c r="B2673" s="36"/>
      <c r="C2673" s="98"/>
      <c r="D2673" s="98"/>
      <c r="E2673" s="98"/>
      <c r="F2673" s="102"/>
      <c r="G2673" s="103"/>
    </row>
    <row r="2674" spans="1:7" x14ac:dyDescent="0.25">
      <c r="A2674" s="101"/>
      <c r="B2674" s="36"/>
      <c r="C2674" s="98"/>
      <c r="D2674" s="98"/>
      <c r="E2674" s="98"/>
      <c r="F2674" s="102"/>
      <c r="G2674" s="103"/>
    </row>
    <row r="2675" spans="1:7" x14ac:dyDescent="0.25">
      <c r="A2675" s="101"/>
      <c r="B2675" s="36"/>
      <c r="C2675" s="98"/>
      <c r="D2675" s="98"/>
      <c r="E2675" s="98"/>
      <c r="F2675" s="102"/>
      <c r="G2675" s="103"/>
    </row>
    <row r="2676" spans="1:7" x14ac:dyDescent="0.25">
      <c r="A2676" s="101"/>
      <c r="B2676" s="36"/>
      <c r="C2676" s="98"/>
      <c r="D2676" s="98"/>
      <c r="E2676" s="98"/>
      <c r="F2676" s="102"/>
      <c r="G2676" s="103"/>
    </row>
    <row r="2677" spans="1:7" x14ac:dyDescent="0.25">
      <c r="A2677" s="101"/>
      <c r="B2677" s="36"/>
      <c r="C2677" s="98"/>
      <c r="D2677" s="98"/>
      <c r="E2677" s="98"/>
      <c r="F2677" s="102"/>
      <c r="G2677" s="103"/>
    </row>
    <row r="2678" spans="1:7" x14ac:dyDescent="0.25">
      <c r="A2678" s="101"/>
      <c r="B2678" s="66"/>
      <c r="C2678" s="98"/>
      <c r="D2678" s="98"/>
      <c r="E2678" s="98"/>
      <c r="F2678" s="102"/>
      <c r="G2678" s="103"/>
    </row>
    <row r="2679" spans="1:7" x14ac:dyDescent="0.25">
      <c r="A2679" s="101"/>
      <c r="B2679" s="36"/>
      <c r="C2679" s="98"/>
      <c r="D2679" s="98"/>
      <c r="E2679" s="98"/>
      <c r="F2679" s="102"/>
      <c r="G2679" s="103"/>
    </row>
    <row r="2680" spans="1:7" x14ac:dyDescent="0.25">
      <c r="A2680" s="101"/>
      <c r="B2680" s="36"/>
      <c r="C2680" s="98"/>
      <c r="D2680" s="98"/>
      <c r="E2680" s="98"/>
      <c r="F2680" s="102"/>
      <c r="G2680" s="103"/>
    </row>
    <row r="2681" spans="1:7" x14ac:dyDescent="0.25">
      <c r="A2681" s="101"/>
      <c r="B2681" s="36"/>
      <c r="C2681" s="98"/>
      <c r="D2681" s="98"/>
      <c r="E2681" s="98"/>
      <c r="F2681" s="102"/>
      <c r="G2681" s="103"/>
    </row>
    <row r="2682" spans="1:7" x14ac:dyDescent="0.25">
      <c r="A2682" s="101"/>
      <c r="B2682" s="36"/>
      <c r="C2682" s="98"/>
      <c r="D2682" s="98"/>
      <c r="E2682" s="98"/>
      <c r="F2682" s="102"/>
      <c r="G2682" s="103"/>
    </row>
    <row r="2683" spans="1:7" x14ac:dyDescent="0.25">
      <c r="A2683" s="101"/>
      <c r="B2683" s="36"/>
      <c r="C2683" s="98"/>
      <c r="D2683" s="98"/>
      <c r="E2683" s="98"/>
      <c r="F2683" s="102"/>
      <c r="G2683" s="103"/>
    </row>
    <row r="2684" spans="1:7" x14ac:dyDescent="0.25">
      <c r="A2684" s="101"/>
      <c r="B2684" s="36"/>
      <c r="C2684" s="98"/>
      <c r="D2684" s="98"/>
      <c r="E2684" s="98"/>
      <c r="F2684" s="102"/>
      <c r="G2684" s="103"/>
    </row>
    <row r="2685" spans="1:7" x14ac:dyDescent="0.25">
      <c r="A2685" s="101"/>
      <c r="B2685" s="36"/>
      <c r="C2685" s="98"/>
      <c r="D2685" s="98"/>
      <c r="E2685" s="98"/>
      <c r="F2685" s="102"/>
      <c r="G2685" s="103"/>
    </row>
    <row r="2686" spans="1:7" x14ac:dyDescent="0.25">
      <c r="A2686" s="101"/>
      <c r="B2686" s="36"/>
      <c r="C2686" s="98"/>
      <c r="D2686" s="98"/>
      <c r="E2686" s="98"/>
      <c r="F2686" s="102"/>
      <c r="G2686" s="103"/>
    </row>
    <row r="2687" spans="1:7" x14ac:dyDescent="0.25">
      <c r="A2687" s="101"/>
      <c r="B2687" s="36"/>
      <c r="C2687" s="98"/>
      <c r="D2687" s="98"/>
      <c r="E2687" s="98"/>
      <c r="F2687" s="102"/>
      <c r="G2687" s="103"/>
    </row>
    <row r="2688" spans="1:7" x14ac:dyDescent="0.25">
      <c r="A2688" s="101"/>
      <c r="B2688" s="36"/>
      <c r="C2688" s="98"/>
      <c r="D2688" s="98"/>
      <c r="E2688" s="98"/>
      <c r="F2688" s="102"/>
      <c r="G2688" s="103"/>
    </row>
    <row r="2689" spans="1:7" x14ac:dyDescent="0.25">
      <c r="A2689" s="101"/>
      <c r="B2689" s="36"/>
      <c r="C2689" s="98"/>
      <c r="D2689" s="98"/>
      <c r="E2689" s="98"/>
      <c r="F2689" s="102"/>
      <c r="G2689" s="103"/>
    </row>
    <row r="2690" spans="1:7" x14ac:dyDescent="0.25">
      <c r="A2690" s="101"/>
      <c r="B2690" s="36"/>
      <c r="C2690" s="98"/>
      <c r="D2690" s="98"/>
      <c r="E2690" s="98"/>
      <c r="F2690" s="102"/>
      <c r="G2690" s="103"/>
    </row>
    <row r="2691" spans="1:7" x14ac:dyDescent="0.25">
      <c r="A2691" s="101"/>
      <c r="B2691" s="36"/>
      <c r="C2691" s="98"/>
      <c r="D2691" s="98"/>
      <c r="E2691" s="98"/>
      <c r="F2691" s="102"/>
      <c r="G2691" s="103"/>
    </row>
    <row r="2692" spans="1:7" x14ac:dyDescent="0.25">
      <c r="A2692" s="101"/>
      <c r="B2692" s="36"/>
      <c r="C2692" s="98"/>
      <c r="D2692" s="98"/>
      <c r="E2692" s="98"/>
      <c r="F2692" s="102"/>
      <c r="G2692" s="103"/>
    </row>
    <row r="2693" spans="1:7" x14ac:dyDescent="0.25">
      <c r="A2693" s="101"/>
      <c r="B2693" s="36"/>
      <c r="C2693" s="98"/>
      <c r="D2693" s="98"/>
      <c r="E2693" s="98"/>
      <c r="F2693" s="102"/>
      <c r="G2693" s="103"/>
    </row>
    <row r="2694" spans="1:7" x14ac:dyDescent="0.25">
      <c r="A2694" s="101"/>
      <c r="B2694" s="36"/>
      <c r="C2694" s="98"/>
      <c r="D2694" s="98"/>
      <c r="E2694" s="98"/>
      <c r="F2694" s="102"/>
      <c r="G2694" s="103"/>
    </row>
    <row r="2695" spans="1:7" x14ac:dyDescent="0.25">
      <c r="A2695" s="101"/>
      <c r="B2695" s="36"/>
      <c r="C2695" s="98"/>
      <c r="D2695" s="98"/>
      <c r="E2695" s="98"/>
      <c r="F2695" s="102"/>
      <c r="G2695" s="103"/>
    </row>
    <row r="2696" spans="1:7" x14ac:dyDescent="0.25">
      <c r="A2696" s="101"/>
      <c r="B2696" s="36"/>
      <c r="C2696" s="98"/>
      <c r="D2696" s="98"/>
      <c r="E2696" s="98"/>
      <c r="F2696" s="102"/>
      <c r="G2696" s="103"/>
    </row>
    <row r="2697" spans="1:7" x14ac:dyDescent="0.25">
      <c r="A2697" s="101"/>
      <c r="B2697" s="36"/>
      <c r="C2697" s="98"/>
      <c r="D2697" s="98"/>
      <c r="E2697" s="98"/>
      <c r="F2697" s="102"/>
      <c r="G2697" s="103"/>
    </row>
    <row r="2698" spans="1:7" x14ac:dyDescent="0.25">
      <c r="A2698" s="101"/>
      <c r="B2698" s="36"/>
      <c r="C2698" s="98"/>
      <c r="D2698" s="98"/>
      <c r="E2698" s="98"/>
      <c r="F2698" s="102"/>
      <c r="G2698" s="103"/>
    </row>
    <row r="2699" spans="1:7" x14ac:dyDescent="0.25">
      <c r="A2699" s="101"/>
      <c r="B2699" s="36"/>
      <c r="C2699" s="98"/>
      <c r="D2699" s="98"/>
      <c r="E2699" s="98"/>
      <c r="F2699" s="102"/>
      <c r="G2699" s="103"/>
    </row>
    <row r="2700" spans="1:7" x14ac:dyDescent="0.25">
      <c r="A2700" s="101"/>
      <c r="B2700" s="36"/>
      <c r="C2700" s="98"/>
      <c r="D2700" s="98"/>
      <c r="E2700" s="98"/>
      <c r="F2700" s="102"/>
      <c r="G2700" s="103"/>
    </row>
    <row r="2701" spans="1:7" x14ac:dyDescent="0.25">
      <c r="A2701" s="101"/>
      <c r="B2701" s="36"/>
      <c r="C2701" s="98"/>
      <c r="D2701" s="98"/>
      <c r="E2701" s="98"/>
      <c r="F2701" s="102"/>
      <c r="G2701" s="103"/>
    </row>
    <row r="2702" spans="1:7" x14ac:dyDescent="0.25">
      <c r="A2702" s="101"/>
      <c r="B2702" s="36"/>
      <c r="C2702" s="98"/>
      <c r="D2702" s="98"/>
      <c r="E2702" s="98"/>
      <c r="F2702" s="102"/>
      <c r="G2702" s="103"/>
    </row>
    <row r="2703" spans="1:7" x14ac:dyDescent="0.25">
      <c r="A2703" s="101"/>
      <c r="B2703" s="36"/>
      <c r="C2703" s="98"/>
      <c r="D2703" s="98"/>
      <c r="E2703" s="98"/>
      <c r="F2703" s="102"/>
      <c r="G2703" s="103"/>
    </row>
    <row r="2704" spans="1:7" x14ac:dyDescent="0.25">
      <c r="A2704" s="101"/>
      <c r="B2704" s="104"/>
      <c r="C2704" s="98"/>
      <c r="D2704" s="98"/>
      <c r="E2704" s="98"/>
      <c r="F2704" s="102"/>
      <c r="G2704" s="103"/>
    </row>
    <row r="2705" spans="1:7" x14ac:dyDescent="0.25">
      <c r="A2705" s="101"/>
      <c r="B2705" s="36"/>
      <c r="C2705" s="98"/>
      <c r="D2705" s="98"/>
      <c r="E2705" s="98"/>
      <c r="F2705" s="102"/>
      <c r="G2705" s="103"/>
    </row>
    <row r="2706" spans="1:7" x14ac:dyDescent="0.25">
      <c r="A2706" s="101"/>
      <c r="B2706" s="36"/>
      <c r="C2706" s="98"/>
      <c r="D2706" s="98"/>
      <c r="E2706" s="98"/>
      <c r="F2706" s="102"/>
      <c r="G2706" s="103"/>
    </row>
    <row r="2707" spans="1:7" x14ac:dyDescent="0.25">
      <c r="A2707" s="101"/>
      <c r="B2707" s="36"/>
      <c r="C2707" s="98"/>
      <c r="D2707" s="98"/>
      <c r="E2707" s="98"/>
      <c r="F2707" s="102"/>
      <c r="G2707" s="103"/>
    </row>
    <row r="2708" spans="1:7" x14ac:dyDescent="0.25">
      <c r="A2708" s="101"/>
      <c r="B2708" s="36"/>
      <c r="C2708" s="98"/>
      <c r="D2708" s="98"/>
      <c r="E2708" s="98"/>
      <c r="F2708" s="102"/>
      <c r="G2708" s="103"/>
    </row>
    <row r="2709" spans="1:7" x14ac:dyDescent="0.25">
      <c r="A2709" s="101"/>
      <c r="B2709" s="36"/>
      <c r="C2709" s="98"/>
      <c r="D2709" s="98"/>
      <c r="E2709" s="98"/>
      <c r="F2709" s="102"/>
      <c r="G2709" s="103"/>
    </row>
    <row r="2710" spans="1:7" x14ac:dyDescent="0.25">
      <c r="A2710" s="101"/>
      <c r="B2710" s="36"/>
      <c r="C2710" s="98"/>
      <c r="D2710" s="98"/>
      <c r="E2710" s="98"/>
      <c r="F2710" s="102"/>
      <c r="G2710" s="103"/>
    </row>
    <row r="2711" spans="1:7" x14ac:dyDescent="0.25">
      <c r="A2711" s="101"/>
      <c r="B2711" s="36"/>
      <c r="C2711" s="98"/>
      <c r="D2711" s="98"/>
      <c r="E2711" s="98"/>
      <c r="F2711" s="102"/>
      <c r="G2711" s="103"/>
    </row>
    <row r="2712" spans="1:7" x14ac:dyDescent="0.25">
      <c r="A2712" s="101"/>
      <c r="B2712" s="36"/>
      <c r="C2712" s="98"/>
      <c r="D2712" s="98"/>
      <c r="E2712" s="98"/>
      <c r="F2712" s="102"/>
      <c r="G2712" s="103"/>
    </row>
    <row r="2713" spans="1:7" x14ac:dyDescent="0.25">
      <c r="A2713" s="101"/>
      <c r="B2713" s="36"/>
      <c r="C2713" s="98"/>
      <c r="D2713" s="98"/>
      <c r="E2713" s="98"/>
      <c r="F2713" s="102"/>
      <c r="G2713" s="103"/>
    </row>
    <row r="2714" spans="1:7" x14ac:dyDescent="0.25">
      <c r="A2714" s="101"/>
      <c r="B2714" s="36"/>
      <c r="C2714" s="98"/>
      <c r="D2714" s="98"/>
      <c r="E2714" s="98"/>
      <c r="F2714" s="102"/>
      <c r="G2714" s="103"/>
    </row>
    <row r="2715" spans="1:7" x14ac:dyDescent="0.25">
      <c r="A2715" s="101"/>
      <c r="B2715" s="36"/>
      <c r="C2715" s="98"/>
      <c r="D2715" s="98"/>
      <c r="E2715" s="98"/>
      <c r="F2715" s="102"/>
      <c r="G2715" s="103"/>
    </row>
    <row r="2716" spans="1:7" x14ac:dyDescent="0.25">
      <c r="A2716" s="101"/>
      <c r="B2716" s="36"/>
      <c r="C2716" s="98"/>
      <c r="D2716" s="98"/>
      <c r="E2716" s="98"/>
      <c r="F2716" s="102"/>
      <c r="G2716" s="103"/>
    </row>
    <row r="2717" spans="1:7" x14ac:dyDescent="0.25">
      <c r="A2717" s="101"/>
      <c r="B2717" s="36"/>
      <c r="C2717" s="98"/>
      <c r="D2717" s="98"/>
      <c r="E2717" s="98"/>
      <c r="F2717" s="102"/>
      <c r="G2717" s="103"/>
    </row>
    <row r="2718" spans="1:7" x14ac:dyDescent="0.25">
      <c r="A2718" s="101"/>
      <c r="B2718" s="36"/>
      <c r="C2718" s="98"/>
      <c r="D2718" s="98"/>
      <c r="E2718" s="98"/>
      <c r="F2718" s="102"/>
      <c r="G2718" s="103"/>
    </row>
    <row r="2719" spans="1:7" x14ac:dyDescent="0.25">
      <c r="A2719" s="101"/>
      <c r="B2719" s="36"/>
      <c r="C2719" s="98"/>
      <c r="D2719" s="98"/>
      <c r="E2719" s="98"/>
      <c r="F2719" s="102"/>
      <c r="G2719" s="103"/>
    </row>
    <row r="2720" spans="1:7" x14ac:dyDescent="0.25">
      <c r="A2720" s="101"/>
      <c r="B2720" s="104"/>
      <c r="C2720" s="98"/>
      <c r="D2720" s="98"/>
      <c r="E2720" s="98"/>
      <c r="F2720" s="102"/>
      <c r="G2720" s="103"/>
    </row>
    <row r="2721" spans="1:7" x14ac:dyDescent="0.25">
      <c r="A2721" s="101"/>
      <c r="B2721" s="36"/>
      <c r="C2721" s="98"/>
      <c r="D2721" s="98"/>
      <c r="E2721" s="98"/>
      <c r="F2721" s="102"/>
      <c r="G2721" s="103"/>
    </row>
    <row r="2722" spans="1:7" x14ac:dyDescent="0.25">
      <c r="A2722" s="101"/>
      <c r="B2722" s="36"/>
      <c r="C2722" s="98"/>
      <c r="D2722" s="98"/>
      <c r="E2722" s="98"/>
      <c r="F2722" s="102"/>
      <c r="G2722" s="103"/>
    </row>
    <row r="2723" spans="1:7" x14ac:dyDescent="0.25">
      <c r="A2723" s="101"/>
      <c r="B2723" s="36"/>
      <c r="C2723" s="98"/>
      <c r="D2723" s="98"/>
      <c r="E2723" s="98"/>
      <c r="F2723" s="102"/>
      <c r="G2723" s="103"/>
    </row>
    <row r="2724" spans="1:7" x14ac:dyDescent="0.25">
      <c r="A2724" s="101"/>
      <c r="B2724" s="36"/>
      <c r="C2724" s="98"/>
      <c r="D2724" s="98"/>
      <c r="E2724" s="98"/>
      <c r="F2724" s="102"/>
      <c r="G2724" s="103"/>
    </row>
    <row r="2725" spans="1:7" x14ac:dyDescent="0.25">
      <c r="A2725" s="101"/>
      <c r="B2725" s="36"/>
      <c r="C2725" s="98"/>
      <c r="D2725" s="98"/>
      <c r="E2725" s="98"/>
      <c r="F2725" s="102"/>
      <c r="G2725" s="103"/>
    </row>
    <row r="2726" spans="1:7" x14ac:dyDescent="0.25">
      <c r="A2726" s="101"/>
      <c r="B2726" s="36"/>
      <c r="C2726" s="98"/>
      <c r="D2726" s="98"/>
      <c r="E2726" s="98"/>
      <c r="F2726" s="102"/>
      <c r="G2726" s="103"/>
    </row>
    <row r="2727" spans="1:7" x14ac:dyDescent="0.25">
      <c r="A2727" s="101"/>
      <c r="B2727" s="36"/>
      <c r="C2727" s="98"/>
      <c r="D2727" s="98"/>
      <c r="E2727" s="98"/>
      <c r="F2727" s="102"/>
      <c r="G2727" s="103"/>
    </row>
    <row r="2728" spans="1:7" x14ac:dyDescent="0.25">
      <c r="A2728" s="101"/>
      <c r="B2728" s="36"/>
      <c r="C2728" s="98"/>
      <c r="D2728" s="98"/>
      <c r="E2728" s="98"/>
      <c r="F2728" s="102"/>
      <c r="G2728" s="103"/>
    </row>
    <row r="2729" spans="1:7" x14ac:dyDescent="0.25">
      <c r="A2729" s="101"/>
      <c r="B2729" s="66"/>
      <c r="C2729" s="98"/>
      <c r="D2729" s="98"/>
      <c r="E2729" s="98"/>
      <c r="F2729" s="102"/>
      <c r="G2729" s="103"/>
    </row>
    <row r="2730" spans="1:7" x14ac:dyDescent="0.25">
      <c r="A2730" s="101"/>
      <c r="B2730" s="36"/>
      <c r="C2730" s="98"/>
      <c r="D2730" s="98"/>
      <c r="E2730" s="98"/>
      <c r="F2730" s="102"/>
      <c r="G2730" s="103"/>
    </row>
    <row r="2731" spans="1:7" x14ac:dyDescent="0.25">
      <c r="A2731" s="101"/>
      <c r="B2731" s="36"/>
      <c r="C2731" s="98"/>
      <c r="D2731" s="98"/>
      <c r="E2731" s="98"/>
      <c r="F2731" s="102"/>
      <c r="G2731" s="103"/>
    </row>
    <row r="2732" spans="1:7" x14ac:dyDescent="0.25">
      <c r="A2732" s="101"/>
      <c r="B2732" s="36"/>
      <c r="C2732" s="98"/>
      <c r="D2732" s="98"/>
      <c r="E2732" s="98"/>
      <c r="F2732" s="102"/>
      <c r="G2732" s="103"/>
    </row>
    <row r="2733" spans="1:7" x14ac:dyDescent="0.25">
      <c r="A2733" s="101"/>
      <c r="B2733" s="36"/>
      <c r="C2733" s="98"/>
      <c r="D2733" s="98"/>
      <c r="E2733" s="98"/>
      <c r="F2733" s="102"/>
      <c r="G2733" s="103"/>
    </row>
    <row r="2734" spans="1:7" x14ac:dyDescent="0.25">
      <c r="A2734" s="101"/>
      <c r="B2734" s="36"/>
      <c r="C2734" s="98"/>
      <c r="D2734" s="98"/>
      <c r="E2734" s="98"/>
      <c r="F2734" s="102"/>
      <c r="G2734" s="103"/>
    </row>
    <row r="2735" spans="1:7" x14ac:dyDescent="0.25">
      <c r="A2735" s="101"/>
      <c r="B2735" s="36"/>
      <c r="C2735" s="98"/>
      <c r="D2735" s="98"/>
      <c r="E2735" s="98"/>
      <c r="F2735" s="102"/>
      <c r="G2735" s="103"/>
    </row>
    <row r="2736" spans="1:7" x14ac:dyDescent="0.25">
      <c r="A2736" s="101"/>
      <c r="B2736" s="36"/>
      <c r="C2736" s="98"/>
      <c r="D2736" s="98"/>
      <c r="E2736" s="98"/>
      <c r="F2736" s="102"/>
      <c r="G2736" s="103"/>
    </row>
    <row r="2737" spans="1:7" x14ac:dyDescent="0.25">
      <c r="A2737" s="101"/>
      <c r="B2737" s="36"/>
      <c r="C2737" s="98"/>
      <c r="D2737" s="98"/>
      <c r="E2737" s="98"/>
      <c r="F2737" s="102"/>
      <c r="G2737" s="103"/>
    </row>
    <row r="2738" spans="1:7" x14ac:dyDescent="0.25">
      <c r="A2738" s="101"/>
      <c r="B2738" s="36"/>
      <c r="C2738" s="98"/>
      <c r="D2738" s="98"/>
      <c r="E2738" s="98"/>
      <c r="F2738" s="102"/>
      <c r="G2738" s="103"/>
    </row>
    <row r="2739" spans="1:7" x14ac:dyDescent="0.25">
      <c r="A2739" s="101"/>
      <c r="B2739" s="36"/>
      <c r="C2739" s="98"/>
      <c r="D2739" s="98"/>
      <c r="E2739" s="98"/>
      <c r="F2739" s="102"/>
      <c r="G2739" s="103"/>
    </row>
    <row r="2740" spans="1:7" x14ac:dyDescent="0.25">
      <c r="A2740" s="101"/>
      <c r="B2740" s="36"/>
      <c r="C2740" s="98"/>
      <c r="D2740" s="98"/>
      <c r="E2740" s="98"/>
      <c r="F2740" s="102"/>
      <c r="G2740" s="103"/>
    </row>
    <row r="2741" spans="1:7" x14ac:dyDescent="0.25">
      <c r="A2741" s="101"/>
      <c r="B2741" s="36"/>
      <c r="C2741" s="98"/>
      <c r="D2741" s="98"/>
      <c r="E2741" s="98"/>
      <c r="F2741" s="102"/>
      <c r="G2741" s="103"/>
    </row>
    <row r="2742" spans="1:7" x14ac:dyDescent="0.25">
      <c r="A2742" s="101"/>
      <c r="B2742" s="36"/>
      <c r="C2742" s="98"/>
      <c r="D2742" s="98"/>
      <c r="E2742" s="98"/>
      <c r="F2742" s="102"/>
      <c r="G2742" s="103"/>
    </row>
    <row r="2743" spans="1:7" x14ac:dyDescent="0.25">
      <c r="A2743" s="101"/>
      <c r="B2743" s="36"/>
      <c r="C2743" s="98"/>
      <c r="D2743" s="98"/>
      <c r="E2743" s="98"/>
      <c r="F2743" s="102"/>
      <c r="G2743" s="103"/>
    </row>
    <row r="2744" spans="1:7" x14ac:dyDescent="0.25">
      <c r="A2744" s="101"/>
      <c r="B2744" s="104"/>
      <c r="C2744" s="98"/>
      <c r="D2744" s="98"/>
      <c r="E2744" s="98"/>
      <c r="F2744" s="102"/>
      <c r="G2744" s="103"/>
    </row>
    <row r="2745" spans="1:7" x14ac:dyDescent="0.25">
      <c r="A2745" s="101"/>
      <c r="B2745" s="104"/>
      <c r="C2745" s="98"/>
      <c r="D2745" s="98"/>
      <c r="E2745" s="98"/>
      <c r="F2745" s="102"/>
      <c r="G2745" s="103"/>
    </row>
    <row r="2746" spans="1:7" x14ac:dyDescent="0.25">
      <c r="A2746" s="101"/>
      <c r="B2746" s="36"/>
      <c r="C2746" s="98"/>
      <c r="D2746" s="98"/>
      <c r="E2746" s="98"/>
      <c r="F2746" s="102"/>
      <c r="G2746" s="103"/>
    </row>
    <row r="2747" spans="1:7" x14ac:dyDescent="0.25">
      <c r="A2747" s="101"/>
      <c r="B2747" s="36"/>
      <c r="C2747" s="98"/>
      <c r="D2747" s="98"/>
      <c r="E2747" s="98"/>
      <c r="F2747" s="102"/>
      <c r="G2747" s="103"/>
    </row>
    <row r="2748" spans="1:7" x14ac:dyDescent="0.25">
      <c r="A2748" s="101"/>
      <c r="B2748" s="36"/>
      <c r="C2748" s="98"/>
      <c r="D2748" s="98"/>
      <c r="E2748" s="98"/>
      <c r="F2748" s="102"/>
      <c r="G2748" s="103"/>
    </row>
    <row r="2749" spans="1:7" x14ac:dyDescent="0.25">
      <c r="A2749" s="101"/>
      <c r="B2749" s="36"/>
      <c r="C2749" s="98"/>
      <c r="D2749" s="98"/>
      <c r="E2749" s="98"/>
      <c r="F2749" s="102"/>
      <c r="G2749" s="103"/>
    </row>
    <row r="2750" spans="1:7" x14ac:dyDescent="0.25">
      <c r="A2750" s="101"/>
      <c r="B2750" s="36"/>
      <c r="C2750" s="98"/>
      <c r="D2750" s="98"/>
      <c r="E2750" s="98"/>
      <c r="F2750" s="102"/>
      <c r="G2750" s="103"/>
    </row>
    <row r="2751" spans="1:7" x14ac:dyDescent="0.25">
      <c r="A2751" s="101"/>
      <c r="B2751" s="36"/>
      <c r="C2751" s="98"/>
      <c r="D2751" s="98"/>
      <c r="E2751" s="98"/>
      <c r="F2751" s="102"/>
      <c r="G2751" s="103"/>
    </row>
    <row r="2752" spans="1:7" x14ac:dyDescent="0.25">
      <c r="A2752" s="101"/>
      <c r="B2752" s="36"/>
      <c r="C2752" s="98"/>
      <c r="D2752" s="98"/>
      <c r="E2752" s="98"/>
      <c r="F2752" s="102"/>
      <c r="G2752" s="103"/>
    </row>
    <row r="2753" spans="1:7" x14ac:dyDescent="0.25">
      <c r="A2753" s="101"/>
      <c r="B2753" s="36"/>
      <c r="C2753" s="98"/>
      <c r="D2753" s="98"/>
      <c r="E2753" s="98"/>
      <c r="F2753" s="102"/>
      <c r="G2753" s="103"/>
    </row>
    <row r="2754" spans="1:7" x14ac:dyDescent="0.25">
      <c r="A2754" s="101"/>
      <c r="B2754" s="36"/>
      <c r="C2754" s="98"/>
      <c r="D2754" s="98"/>
      <c r="E2754" s="98"/>
      <c r="F2754" s="102"/>
      <c r="G2754" s="103"/>
    </row>
    <row r="2755" spans="1:7" x14ac:dyDescent="0.25">
      <c r="A2755" s="101"/>
      <c r="B2755" s="36"/>
      <c r="C2755" s="98"/>
      <c r="D2755" s="98"/>
      <c r="E2755" s="98"/>
      <c r="F2755" s="102"/>
      <c r="G2755" s="103"/>
    </row>
    <row r="2756" spans="1:7" x14ac:dyDescent="0.25">
      <c r="A2756" s="101"/>
      <c r="B2756" s="36"/>
      <c r="C2756" s="98"/>
      <c r="D2756" s="98"/>
      <c r="E2756" s="98"/>
      <c r="F2756" s="102"/>
      <c r="G2756" s="103"/>
    </row>
    <row r="2757" spans="1:7" x14ac:dyDescent="0.25">
      <c r="A2757" s="101"/>
      <c r="B2757" s="36"/>
      <c r="C2757" s="98"/>
      <c r="D2757" s="98"/>
      <c r="E2757" s="98"/>
      <c r="F2757" s="102"/>
      <c r="G2757" s="103"/>
    </row>
    <row r="2758" spans="1:7" x14ac:dyDescent="0.25">
      <c r="A2758" s="101"/>
      <c r="B2758" s="36"/>
      <c r="C2758" s="98"/>
      <c r="D2758" s="98"/>
      <c r="E2758" s="98"/>
      <c r="F2758" s="102"/>
      <c r="G2758" s="103"/>
    </row>
    <row r="2759" spans="1:7" x14ac:dyDescent="0.25">
      <c r="A2759" s="101"/>
      <c r="B2759" s="36"/>
      <c r="C2759" s="98"/>
      <c r="D2759" s="98"/>
      <c r="E2759" s="98"/>
      <c r="F2759" s="102"/>
      <c r="G2759" s="103"/>
    </row>
    <row r="2760" spans="1:7" x14ac:dyDescent="0.25">
      <c r="A2760" s="101"/>
      <c r="B2760" s="36"/>
      <c r="C2760" s="98"/>
      <c r="D2760" s="98"/>
      <c r="E2760" s="98"/>
      <c r="F2760" s="102"/>
      <c r="G2760" s="103"/>
    </row>
    <row r="2761" spans="1:7" x14ac:dyDescent="0.25">
      <c r="A2761" s="101"/>
      <c r="B2761" s="36"/>
      <c r="C2761" s="98"/>
      <c r="D2761" s="98"/>
      <c r="E2761" s="98"/>
      <c r="F2761" s="102"/>
      <c r="G2761" s="103"/>
    </row>
    <row r="2762" spans="1:7" x14ac:dyDescent="0.25">
      <c r="A2762" s="101"/>
      <c r="B2762" s="36"/>
      <c r="C2762" s="98"/>
      <c r="D2762" s="98"/>
      <c r="E2762" s="98"/>
      <c r="F2762" s="102"/>
      <c r="G2762" s="103"/>
    </row>
    <row r="2763" spans="1:7" x14ac:dyDescent="0.25">
      <c r="A2763" s="101"/>
      <c r="B2763" s="38"/>
      <c r="C2763" s="98"/>
      <c r="D2763" s="98"/>
      <c r="E2763" s="98"/>
      <c r="F2763" s="102"/>
      <c r="G2763" s="103"/>
    </row>
    <row r="2764" spans="1:7" x14ac:dyDescent="0.25">
      <c r="A2764" s="101"/>
      <c r="B2764" s="38"/>
      <c r="C2764" s="98"/>
      <c r="D2764" s="98"/>
      <c r="E2764" s="98"/>
      <c r="F2764" s="102"/>
      <c r="G2764" s="103"/>
    </row>
    <row r="2765" spans="1:7" x14ac:dyDescent="0.25">
      <c r="A2765" s="101"/>
      <c r="B2765" s="10"/>
      <c r="C2765" s="98"/>
      <c r="D2765" s="98"/>
      <c r="E2765" s="98"/>
      <c r="F2765" s="102"/>
      <c r="G2765" s="103"/>
    </row>
    <row r="2766" spans="1:7" x14ac:dyDescent="0.25">
      <c r="A2766" s="101"/>
      <c r="B2766" s="38"/>
      <c r="C2766" s="98"/>
      <c r="D2766" s="98"/>
      <c r="E2766" s="98"/>
      <c r="F2766" s="102"/>
      <c r="G2766" s="103"/>
    </row>
    <row r="2767" spans="1:7" x14ac:dyDescent="0.25">
      <c r="A2767" s="101"/>
      <c r="B2767" s="38"/>
      <c r="C2767" s="98"/>
      <c r="D2767" s="98"/>
      <c r="E2767" s="98"/>
      <c r="F2767" s="102"/>
      <c r="G2767" s="103"/>
    </row>
    <row r="2768" spans="1:7" x14ac:dyDescent="0.25">
      <c r="A2768" s="101"/>
      <c r="B2768" s="38"/>
      <c r="C2768" s="98"/>
      <c r="D2768" s="98"/>
      <c r="E2768" s="98"/>
      <c r="F2768" s="102"/>
      <c r="G2768" s="103"/>
    </row>
    <row r="2769" spans="1:7" x14ac:dyDescent="0.25">
      <c r="A2769" s="101"/>
      <c r="B2769" s="38"/>
      <c r="C2769" s="98"/>
      <c r="D2769" s="98"/>
      <c r="E2769" s="98"/>
      <c r="F2769" s="102"/>
      <c r="G2769" s="103"/>
    </row>
    <row r="2770" spans="1:7" x14ac:dyDescent="0.25">
      <c r="A2770" s="101"/>
      <c r="B2770" s="38"/>
      <c r="C2770" s="98"/>
      <c r="D2770" s="98"/>
      <c r="E2770" s="98"/>
      <c r="F2770" s="102"/>
      <c r="G2770" s="103"/>
    </row>
    <row r="2771" spans="1:7" x14ac:dyDescent="0.25">
      <c r="A2771" s="101"/>
      <c r="B2771" s="38"/>
      <c r="C2771" s="98"/>
      <c r="D2771" s="98"/>
      <c r="E2771" s="98"/>
      <c r="F2771" s="102"/>
      <c r="G2771" s="103"/>
    </row>
    <row r="2772" spans="1:7" x14ac:dyDescent="0.25">
      <c r="A2772" s="101"/>
      <c r="B2772" s="38"/>
      <c r="C2772" s="98"/>
      <c r="D2772" s="98"/>
      <c r="E2772" s="98"/>
      <c r="F2772" s="102"/>
      <c r="G2772" s="103"/>
    </row>
    <row r="2773" spans="1:7" x14ac:dyDescent="0.25">
      <c r="A2773" s="101"/>
      <c r="B2773" s="38"/>
      <c r="C2773" s="98"/>
      <c r="D2773" s="98"/>
      <c r="E2773" s="98"/>
      <c r="F2773" s="102"/>
      <c r="G2773" s="103"/>
    </row>
    <row r="2774" spans="1:7" x14ac:dyDescent="0.25">
      <c r="A2774" s="101"/>
      <c r="B2774" s="38"/>
      <c r="C2774" s="98"/>
      <c r="D2774" s="98"/>
      <c r="E2774" s="98"/>
      <c r="F2774" s="102"/>
      <c r="G2774" s="103"/>
    </row>
    <row r="2775" spans="1:7" x14ac:dyDescent="0.25">
      <c r="A2775" s="101"/>
      <c r="B2775" s="38"/>
      <c r="C2775" s="98"/>
      <c r="D2775" s="98"/>
      <c r="E2775" s="98"/>
      <c r="F2775" s="102"/>
      <c r="G2775" s="103"/>
    </row>
    <row r="2776" spans="1:7" x14ac:dyDescent="0.25">
      <c r="A2776" s="101"/>
      <c r="B2776" s="38"/>
      <c r="C2776" s="98"/>
      <c r="D2776" s="98"/>
      <c r="E2776" s="98"/>
      <c r="F2776" s="102"/>
      <c r="G2776" s="103"/>
    </row>
    <row r="2777" spans="1:7" x14ac:dyDescent="0.25">
      <c r="A2777" s="101"/>
      <c r="B2777" s="12"/>
      <c r="C2777" s="98"/>
      <c r="D2777" s="98"/>
      <c r="E2777" s="98"/>
      <c r="F2777" s="102"/>
      <c r="G2777" s="103"/>
    </row>
    <row r="2778" spans="1:7" x14ac:dyDescent="0.25">
      <c r="A2778" s="101"/>
      <c r="B2778" s="38"/>
      <c r="C2778" s="98"/>
      <c r="D2778" s="98"/>
      <c r="E2778" s="98"/>
      <c r="F2778" s="102"/>
      <c r="G2778" s="103"/>
    </row>
    <row r="2779" spans="1:7" x14ac:dyDescent="0.25">
      <c r="A2779" s="101"/>
      <c r="B2779" s="38"/>
      <c r="C2779" s="98"/>
      <c r="D2779" s="98"/>
      <c r="E2779" s="98"/>
      <c r="F2779" s="102"/>
      <c r="G2779" s="103"/>
    </row>
    <row r="2780" spans="1:7" x14ac:dyDescent="0.25">
      <c r="A2780" s="101"/>
      <c r="B2780" s="38"/>
      <c r="C2780" s="98"/>
      <c r="D2780" s="98"/>
      <c r="E2780" s="98"/>
      <c r="F2780" s="102"/>
      <c r="G2780" s="103"/>
    </row>
    <row r="2781" spans="1:7" x14ac:dyDescent="0.25">
      <c r="A2781" s="101"/>
      <c r="B2781" s="38"/>
      <c r="C2781" s="98"/>
      <c r="D2781" s="98"/>
      <c r="E2781" s="98"/>
      <c r="F2781" s="102"/>
      <c r="G2781" s="103"/>
    </row>
    <row r="2782" spans="1:7" x14ac:dyDescent="0.25">
      <c r="A2782" s="101"/>
      <c r="B2782" s="38"/>
      <c r="C2782" s="98"/>
      <c r="D2782" s="98"/>
      <c r="E2782" s="98"/>
      <c r="F2782" s="102"/>
      <c r="G2782" s="103"/>
    </row>
    <row r="2783" spans="1:7" x14ac:dyDescent="0.25">
      <c r="A2783" s="101"/>
      <c r="B2783" s="38"/>
      <c r="C2783" s="98"/>
      <c r="D2783" s="98"/>
      <c r="E2783" s="98"/>
      <c r="F2783" s="102"/>
      <c r="G2783" s="103"/>
    </row>
    <row r="2784" spans="1:7" x14ac:dyDescent="0.25">
      <c r="A2784" s="101"/>
      <c r="B2784" s="38"/>
      <c r="C2784" s="98"/>
      <c r="D2784" s="98"/>
      <c r="E2784" s="98"/>
      <c r="F2784" s="102"/>
      <c r="G2784" s="103"/>
    </row>
    <row r="2785" spans="1:7" x14ac:dyDescent="0.25">
      <c r="A2785" s="101"/>
      <c r="B2785" s="38"/>
      <c r="C2785" s="98"/>
      <c r="D2785" s="98"/>
      <c r="E2785" s="98"/>
      <c r="F2785" s="102"/>
      <c r="G2785" s="103"/>
    </row>
    <row r="2786" spans="1:7" x14ac:dyDescent="0.25">
      <c r="A2786" s="101"/>
      <c r="B2786" s="38"/>
      <c r="C2786" s="98"/>
      <c r="D2786" s="98"/>
      <c r="E2786" s="98"/>
      <c r="F2786" s="102"/>
      <c r="G2786" s="103"/>
    </row>
    <row r="2787" spans="1:7" x14ac:dyDescent="0.25">
      <c r="A2787" s="101"/>
      <c r="B2787" s="38"/>
      <c r="C2787" s="98"/>
      <c r="D2787" s="98"/>
      <c r="E2787" s="98"/>
      <c r="F2787" s="102"/>
      <c r="G2787" s="103"/>
    </row>
    <row r="2788" spans="1:7" x14ac:dyDescent="0.25">
      <c r="A2788" s="101"/>
      <c r="B2788" s="38"/>
      <c r="C2788" s="98"/>
      <c r="D2788" s="98"/>
      <c r="E2788" s="98"/>
      <c r="F2788" s="102"/>
      <c r="G2788" s="103"/>
    </row>
    <row r="2789" spans="1:7" x14ac:dyDescent="0.25">
      <c r="A2789" s="101"/>
      <c r="B2789" s="38"/>
      <c r="C2789" s="98"/>
      <c r="D2789" s="98"/>
      <c r="E2789" s="98"/>
      <c r="F2789" s="102"/>
      <c r="G2789" s="103"/>
    </row>
    <row r="2790" spans="1:7" x14ac:dyDescent="0.25">
      <c r="A2790" s="101"/>
      <c r="B2790" s="38"/>
      <c r="C2790" s="98"/>
      <c r="D2790" s="98"/>
      <c r="E2790" s="98"/>
      <c r="F2790" s="102"/>
      <c r="G2790" s="103"/>
    </row>
    <row r="2791" spans="1:7" x14ac:dyDescent="0.25">
      <c r="A2791" s="101"/>
      <c r="B2791" s="38"/>
      <c r="C2791" s="98"/>
      <c r="D2791" s="98"/>
      <c r="E2791" s="98"/>
      <c r="F2791" s="102"/>
      <c r="G2791" s="103"/>
    </row>
    <row r="2792" spans="1:7" x14ac:dyDescent="0.25">
      <c r="A2792" s="101"/>
      <c r="B2792" s="38"/>
      <c r="C2792" s="98"/>
      <c r="D2792" s="98"/>
      <c r="E2792" s="98"/>
      <c r="F2792" s="102"/>
      <c r="G2792" s="103"/>
    </row>
    <row r="2793" spans="1:7" x14ac:dyDescent="0.25">
      <c r="A2793" s="101"/>
      <c r="B2793" s="38"/>
      <c r="C2793" s="98"/>
      <c r="D2793" s="98"/>
      <c r="E2793" s="98"/>
      <c r="F2793" s="102"/>
      <c r="G2793" s="103"/>
    </row>
    <row r="2794" spans="1:7" x14ac:dyDescent="0.25">
      <c r="A2794" s="101"/>
      <c r="B2794" s="38"/>
      <c r="C2794" s="98"/>
      <c r="D2794" s="98"/>
      <c r="E2794" s="98"/>
      <c r="F2794" s="102"/>
      <c r="G2794" s="103"/>
    </row>
    <row r="2795" spans="1:7" x14ac:dyDescent="0.25">
      <c r="A2795" s="101"/>
      <c r="B2795" s="38"/>
      <c r="C2795" s="98"/>
      <c r="D2795" s="98"/>
      <c r="E2795" s="98"/>
      <c r="F2795" s="102"/>
      <c r="G2795" s="103"/>
    </row>
    <row r="2796" spans="1:7" x14ac:dyDescent="0.25">
      <c r="A2796" s="101"/>
      <c r="B2796" s="38"/>
      <c r="C2796" s="98"/>
      <c r="D2796" s="98"/>
      <c r="E2796" s="98"/>
      <c r="F2796" s="102"/>
      <c r="G2796" s="103"/>
    </row>
    <row r="2797" spans="1:7" x14ac:dyDescent="0.25">
      <c r="A2797" s="101"/>
      <c r="B2797" s="38"/>
      <c r="C2797" s="98"/>
      <c r="D2797" s="98"/>
      <c r="E2797" s="98"/>
      <c r="F2797" s="102"/>
      <c r="G2797" s="103"/>
    </row>
    <row r="2798" spans="1:7" x14ac:dyDescent="0.25">
      <c r="A2798" s="101"/>
      <c r="B2798" s="10"/>
      <c r="C2798" s="98"/>
      <c r="D2798" s="98"/>
      <c r="E2798" s="98"/>
      <c r="F2798" s="102"/>
      <c r="G2798" s="103"/>
    </row>
    <row r="2799" spans="1:7" x14ac:dyDescent="0.25">
      <c r="A2799" s="101"/>
      <c r="B2799" s="38"/>
      <c r="C2799" s="98"/>
      <c r="D2799" s="98"/>
      <c r="E2799" s="98"/>
      <c r="F2799" s="102"/>
      <c r="G2799" s="103"/>
    </row>
    <row r="2800" spans="1:7" x14ac:dyDescent="0.25">
      <c r="A2800" s="101"/>
      <c r="B2800" s="38"/>
      <c r="C2800" s="98"/>
      <c r="D2800" s="98"/>
      <c r="E2800" s="98"/>
      <c r="F2800" s="102"/>
      <c r="G2800" s="103"/>
    </row>
    <row r="2801" spans="1:7" x14ac:dyDescent="0.25">
      <c r="A2801" s="101"/>
      <c r="B2801" s="38"/>
      <c r="C2801" s="98"/>
      <c r="D2801" s="98"/>
      <c r="E2801" s="98"/>
      <c r="F2801" s="102"/>
      <c r="G2801" s="103"/>
    </row>
    <row r="2802" spans="1:7" x14ac:dyDescent="0.25">
      <c r="A2802" s="101"/>
      <c r="B2802" s="38"/>
      <c r="C2802" s="98"/>
      <c r="D2802" s="98"/>
      <c r="E2802" s="98"/>
      <c r="F2802" s="102"/>
      <c r="G2802" s="103"/>
    </row>
    <row r="2803" spans="1:7" x14ac:dyDescent="0.25">
      <c r="A2803" s="101"/>
      <c r="B2803" s="38"/>
      <c r="C2803" s="98"/>
      <c r="D2803" s="98"/>
      <c r="E2803" s="98"/>
      <c r="F2803" s="102"/>
      <c r="G2803" s="103"/>
    </row>
    <row r="2804" spans="1:7" x14ac:dyDescent="0.25">
      <c r="A2804" s="101"/>
      <c r="B2804" s="38"/>
      <c r="C2804" s="98"/>
      <c r="D2804" s="98"/>
      <c r="E2804" s="98"/>
      <c r="F2804" s="102"/>
      <c r="G2804" s="103"/>
    </row>
    <row r="2805" spans="1:7" x14ac:dyDescent="0.25">
      <c r="A2805" s="101"/>
      <c r="B2805" s="38"/>
      <c r="C2805" s="98"/>
      <c r="D2805" s="98"/>
      <c r="E2805" s="98"/>
      <c r="F2805" s="102"/>
      <c r="G2805" s="103"/>
    </row>
    <row r="2806" spans="1:7" x14ac:dyDescent="0.25">
      <c r="A2806" s="101"/>
      <c r="B2806" s="38"/>
      <c r="C2806" s="98"/>
      <c r="D2806" s="98"/>
      <c r="E2806" s="98"/>
      <c r="F2806" s="102"/>
      <c r="G2806" s="103"/>
    </row>
    <row r="2807" spans="1:7" x14ac:dyDescent="0.25">
      <c r="A2807" s="101"/>
      <c r="B2807" s="38"/>
      <c r="C2807" s="98"/>
      <c r="D2807" s="98"/>
      <c r="E2807" s="98"/>
      <c r="F2807" s="102"/>
      <c r="G2807" s="103"/>
    </row>
    <row r="2808" spans="1:7" x14ac:dyDescent="0.25">
      <c r="A2808" s="101"/>
      <c r="B2808" s="38"/>
      <c r="C2808" s="98"/>
      <c r="D2808" s="98"/>
      <c r="E2808" s="98"/>
      <c r="F2808" s="102"/>
      <c r="G2808" s="103"/>
    </row>
    <row r="2809" spans="1:7" x14ac:dyDescent="0.25">
      <c r="A2809" s="101"/>
      <c r="B2809" s="38"/>
      <c r="C2809" s="98"/>
      <c r="D2809" s="98"/>
      <c r="E2809" s="98"/>
      <c r="F2809" s="102"/>
      <c r="G2809" s="103"/>
    </row>
    <row r="2810" spans="1:7" x14ac:dyDescent="0.25">
      <c r="A2810" s="101"/>
      <c r="B2810" s="38"/>
      <c r="C2810" s="98"/>
      <c r="D2810" s="98"/>
      <c r="E2810" s="98"/>
      <c r="F2810" s="102"/>
      <c r="G2810" s="103"/>
    </row>
    <row r="2811" spans="1:7" x14ac:dyDescent="0.25">
      <c r="A2811" s="101"/>
      <c r="B2811" s="38"/>
      <c r="C2811" s="98"/>
      <c r="D2811" s="98"/>
      <c r="E2811" s="98"/>
      <c r="F2811" s="102"/>
      <c r="G2811" s="103"/>
    </row>
    <row r="2812" spans="1:7" x14ac:dyDescent="0.25">
      <c r="A2812" s="101"/>
      <c r="B2812" s="38"/>
      <c r="C2812" s="98"/>
      <c r="D2812" s="98"/>
      <c r="E2812" s="98"/>
      <c r="F2812" s="102"/>
      <c r="G2812" s="103"/>
    </row>
    <row r="2813" spans="1:7" x14ac:dyDescent="0.25">
      <c r="A2813" s="101"/>
      <c r="B2813" s="38"/>
      <c r="C2813" s="98"/>
      <c r="D2813" s="98"/>
      <c r="E2813" s="98"/>
      <c r="F2813" s="102"/>
      <c r="G2813" s="103"/>
    </row>
    <row r="2814" spans="1:7" x14ac:dyDescent="0.25">
      <c r="A2814" s="101"/>
      <c r="B2814" s="10"/>
      <c r="C2814" s="98"/>
      <c r="D2814" s="98"/>
      <c r="E2814" s="98"/>
      <c r="F2814" s="102"/>
      <c r="G2814" s="103"/>
    </row>
    <row r="2815" spans="1:7" x14ac:dyDescent="0.25">
      <c r="A2815" s="101"/>
      <c r="B2815" s="38"/>
      <c r="C2815" s="98"/>
      <c r="D2815" s="98"/>
      <c r="E2815" s="98"/>
      <c r="F2815" s="102"/>
      <c r="G2815" s="103"/>
    </row>
    <row r="2816" spans="1:7" x14ac:dyDescent="0.25">
      <c r="A2816" s="101"/>
      <c r="B2816" s="38"/>
      <c r="C2816" s="98"/>
      <c r="D2816" s="98"/>
      <c r="E2816" s="98"/>
      <c r="F2816" s="102"/>
      <c r="G2816" s="103"/>
    </row>
    <row r="2817" spans="1:7" x14ac:dyDescent="0.25">
      <c r="A2817" s="101"/>
      <c r="B2817" s="38"/>
      <c r="C2817" s="98"/>
      <c r="D2817" s="98"/>
      <c r="E2817" s="98"/>
      <c r="F2817" s="102"/>
      <c r="G2817" s="103"/>
    </row>
    <row r="2818" spans="1:7" x14ac:dyDescent="0.25">
      <c r="A2818" s="101"/>
      <c r="B2818" s="38"/>
      <c r="C2818" s="98"/>
      <c r="D2818" s="98"/>
      <c r="E2818" s="98"/>
      <c r="F2818" s="102"/>
      <c r="G2818" s="103"/>
    </row>
    <row r="2819" spans="1:7" x14ac:dyDescent="0.25">
      <c r="A2819" s="101"/>
      <c r="B2819" s="38"/>
      <c r="C2819" s="98"/>
      <c r="D2819" s="98"/>
      <c r="E2819" s="98"/>
      <c r="F2819" s="102"/>
      <c r="G2819" s="103"/>
    </row>
    <row r="2820" spans="1:7" x14ac:dyDescent="0.25">
      <c r="A2820" s="101"/>
      <c r="B2820" s="38"/>
      <c r="C2820" s="98"/>
      <c r="D2820" s="98"/>
      <c r="E2820" s="98"/>
      <c r="F2820" s="102"/>
      <c r="G2820" s="103"/>
    </row>
    <row r="2821" spans="1:7" x14ac:dyDescent="0.25">
      <c r="A2821" s="101"/>
      <c r="B2821" s="38"/>
      <c r="C2821" s="98"/>
      <c r="D2821" s="98"/>
      <c r="E2821" s="98"/>
      <c r="F2821" s="102"/>
      <c r="G2821" s="103"/>
    </row>
    <row r="2822" spans="1:7" x14ac:dyDescent="0.25">
      <c r="A2822" s="101"/>
      <c r="B2822" s="38"/>
      <c r="C2822" s="98"/>
      <c r="D2822" s="98"/>
      <c r="E2822" s="98"/>
      <c r="F2822" s="102"/>
      <c r="G2822" s="103"/>
    </row>
    <row r="2823" spans="1:7" x14ac:dyDescent="0.25">
      <c r="A2823" s="101"/>
      <c r="B2823" s="38"/>
      <c r="C2823" s="98"/>
      <c r="D2823" s="98"/>
      <c r="E2823" s="98"/>
      <c r="F2823" s="102"/>
      <c r="G2823" s="103"/>
    </row>
    <row r="2824" spans="1:7" x14ac:dyDescent="0.25">
      <c r="A2824" s="101"/>
      <c r="B2824" s="38"/>
      <c r="C2824" s="98"/>
      <c r="D2824" s="98"/>
      <c r="E2824" s="98"/>
      <c r="F2824" s="102"/>
      <c r="G2824" s="103"/>
    </row>
    <row r="2825" spans="1:7" x14ac:dyDescent="0.25">
      <c r="A2825" s="101"/>
      <c r="B2825" s="38"/>
      <c r="C2825" s="98"/>
      <c r="D2825" s="98"/>
      <c r="E2825" s="98"/>
      <c r="F2825" s="102"/>
      <c r="G2825" s="103"/>
    </row>
    <row r="2826" spans="1:7" x14ac:dyDescent="0.25">
      <c r="A2826" s="101"/>
      <c r="B2826" s="38"/>
      <c r="C2826" s="98"/>
      <c r="D2826" s="98"/>
      <c r="E2826" s="98"/>
      <c r="F2826" s="102"/>
      <c r="G2826" s="103"/>
    </row>
    <row r="2827" spans="1:7" x14ac:dyDescent="0.25">
      <c r="A2827" s="101"/>
      <c r="B2827" s="38"/>
      <c r="C2827" s="98"/>
      <c r="D2827" s="98"/>
      <c r="E2827" s="98"/>
      <c r="F2827" s="102"/>
      <c r="G2827" s="103"/>
    </row>
    <row r="2828" spans="1:7" x14ac:dyDescent="0.25">
      <c r="A2828" s="101"/>
      <c r="B2828" s="38"/>
      <c r="C2828" s="98"/>
      <c r="D2828" s="98"/>
      <c r="E2828" s="98"/>
      <c r="F2828" s="102"/>
      <c r="G2828" s="103"/>
    </row>
    <row r="2829" spans="1:7" x14ac:dyDescent="0.25">
      <c r="A2829" s="101"/>
      <c r="B2829" s="38"/>
      <c r="C2829" s="98"/>
      <c r="D2829" s="98"/>
      <c r="E2829" s="98"/>
      <c r="F2829" s="102"/>
      <c r="G2829" s="103"/>
    </row>
    <row r="2830" spans="1:7" x14ac:dyDescent="0.25">
      <c r="A2830" s="101"/>
      <c r="B2830" s="38"/>
      <c r="C2830" s="98"/>
      <c r="D2830" s="98"/>
      <c r="E2830" s="98"/>
      <c r="F2830" s="102"/>
      <c r="G2830" s="103"/>
    </row>
    <row r="2831" spans="1:7" x14ac:dyDescent="0.25">
      <c r="A2831" s="101"/>
      <c r="B2831" s="38"/>
      <c r="C2831" s="98"/>
      <c r="D2831" s="98"/>
      <c r="E2831" s="98"/>
      <c r="F2831" s="102"/>
      <c r="G2831" s="103"/>
    </row>
    <row r="2832" spans="1:7" x14ac:dyDescent="0.25">
      <c r="A2832" s="101"/>
      <c r="B2832" s="38"/>
      <c r="C2832" s="98"/>
      <c r="D2832" s="98"/>
      <c r="E2832" s="98"/>
      <c r="F2832" s="102"/>
      <c r="G2832" s="103"/>
    </row>
    <row r="2833" spans="1:7" x14ac:dyDescent="0.25">
      <c r="A2833" s="101"/>
      <c r="B2833" s="38"/>
      <c r="C2833" s="98"/>
      <c r="D2833" s="98"/>
      <c r="E2833" s="98"/>
      <c r="F2833" s="102"/>
      <c r="G2833" s="103"/>
    </row>
    <row r="2834" spans="1:7" x14ac:dyDescent="0.25">
      <c r="A2834" s="101"/>
      <c r="B2834" s="38"/>
      <c r="C2834" s="98"/>
      <c r="D2834" s="98"/>
      <c r="E2834" s="98"/>
      <c r="F2834" s="102"/>
      <c r="G2834" s="103"/>
    </row>
    <row r="2835" spans="1:7" x14ac:dyDescent="0.25">
      <c r="A2835" s="101"/>
      <c r="B2835" s="38"/>
      <c r="C2835" s="98"/>
      <c r="D2835" s="98"/>
      <c r="E2835" s="98"/>
      <c r="F2835" s="102"/>
      <c r="G2835" s="103"/>
    </row>
    <row r="2836" spans="1:7" x14ac:dyDescent="0.25">
      <c r="A2836" s="101"/>
      <c r="B2836" s="10"/>
      <c r="C2836" s="98"/>
      <c r="D2836" s="98"/>
      <c r="E2836" s="98"/>
      <c r="F2836" s="102"/>
      <c r="G2836" s="103"/>
    </row>
    <row r="2837" spans="1:7" x14ac:dyDescent="0.25">
      <c r="A2837" s="101"/>
      <c r="B2837" s="38"/>
      <c r="C2837" s="98"/>
      <c r="D2837" s="98"/>
      <c r="E2837" s="98"/>
      <c r="F2837" s="102"/>
      <c r="G2837" s="103"/>
    </row>
    <row r="2838" spans="1:7" x14ac:dyDescent="0.25">
      <c r="A2838" s="101"/>
      <c r="B2838" s="36"/>
      <c r="C2838" s="98"/>
      <c r="D2838" s="98"/>
      <c r="E2838" s="98"/>
      <c r="F2838" s="102"/>
      <c r="G2838" s="103"/>
    </row>
    <row r="2839" spans="1:7" x14ac:dyDescent="0.25">
      <c r="A2839" s="101"/>
      <c r="B2839" s="36"/>
      <c r="C2839" s="98"/>
      <c r="D2839" s="98"/>
      <c r="E2839" s="98"/>
      <c r="F2839" s="102"/>
      <c r="G2839" s="103"/>
    </row>
    <row r="2840" spans="1:7" x14ac:dyDescent="0.25">
      <c r="A2840" s="101"/>
      <c r="B2840" s="36"/>
      <c r="C2840" s="98"/>
      <c r="D2840" s="98"/>
      <c r="E2840" s="98"/>
      <c r="F2840" s="102"/>
      <c r="G2840" s="103"/>
    </row>
    <row r="2841" spans="1:7" x14ac:dyDescent="0.25">
      <c r="A2841" s="101"/>
      <c r="B2841" s="36"/>
      <c r="C2841" s="98"/>
      <c r="D2841" s="98"/>
      <c r="E2841" s="98"/>
      <c r="F2841" s="102"/>
      <c r="G2841" s="103"/>
    </row>
    <row r="2842" spans="1:7" x14ac:dyDescent="0.25">
      <c r="A2842" s="101"/>
      <c r="B2842" s="36"/>
      <c r="C2842" s="98"/>
      <c r="D2842" s="98"/>
      <c r="E2842" s="98"/>
      <c r="F2842" s="102"/>
      <c r="G2842" s="103"/>
    </row>
    <row r="2843" spans="1:7" x14ac:dyDescent="0.25">
      <c r="A2843" s="101"/>
      <c r="B2843" s="36"/>
      <c r="C2843" s="98"/>
      <c r="D2843" s="98"/>
      <c r="E2843" s="98"/>
      <c r="F2843" s="102"/>
      <c r="G2843" s="103"/>
    </row>
    <row r="2844" spans="1:7" x14ac:dyDescent="0.25">
      <c r="A2844" s="101"/>
      <c r="B2844" s="36"/>
      <c r="C2844" s="98"/>
      <c r="D2844" s="98"/>
      <c r="E2844" s="98"/>
      <c r="F2844" s="102"/>
      <c r="G2844" s="103"/>
    </row>
    <row r="2845" spans="1:7" x14ac:dyDescent="0.25">
      <c r="A2845" s="101"/>
      <c r="B2845" s="36"/>
      <c r="C2845" s="98"/>
      <c r="D2845" s="98"/>
      <c r="E2845" s="98"/>
      <c r="F2845" s="102"/>
      <c r="G2845" s="103"/>
    </row>
    <row r="2846" spans="1:7" x14ac:dyDescent="0.25">
      <c r="A2846" s="101"/>
      <c r="B2846" s="36"/>
      <c r="C2846" s="98"/>
      <c r="D2846" s="98"/>
      <c r="E2846" s="98"/>
      <c r="F2846" s="102"/>
      <c r="G2846" s="103"/>
    </row>
    <row r="2847" spans="1:7" x14ac:dyDescent="0.25">
      <c r="A2847" s="101"/>
      <c r="B2847" s="36"/>
      <c r="C2847" s="98"/>
      <c r="D2847" s="98"/>
      <c r="E2847" s="98"/>
      <c r="F2847" s="102"/>
      <c r="G2847" s="103"/>
    </row>
    <row r="2848" spans="1:7" x14ac:dyDescent="0.25">
      <c r="A2848" s="101"/>
      <c r="B2848" s="104"/>
      <c r="C2848" s="98"/>
      <c r="D2848" s="98"/>
      <c r="E2848" s="98"/>
      <c r="F2848" s="102"/>
      <c r="G2848" s="103"/>
    </row>
    <row r="2849" spans="1:7" x14ac:dyDescent="0.25">
      <c r="A2849" s="101"/>
      <c r="B2849" s="36"/>
      <c r="C2849" s="98"/>
      <c r="D2849" s="98"/>
      <c r="E2849" s="98"/>
      <c r="F2849" s="102"/>
      <c r="G2849" s="103"/>
    </row>
    <row r="2850" spans="1:7" x14ac:dyDescent="0.25">
      <c r="A2850" s="101"/>
      <c r="B2850" s="36"/>
      <c r="C2850" s="98"/>
      <c r="D2850" s="98"/>
      <c r="E2850" s="98"/>
      <c r="F2850" s="102"/>
      <c r="G2850" s="103"/>
    </row>
    <row r="2851" spans="1:7" x14ac:dyDescent="0.25">
      <c r="A2851" s="101"/>
      <c r="B2851" s="36"/>
      <c r="C2851" s="98"/>
      <c r="D2851" s="98"/>
      <c r="E2851" s="98"/>
      <c r="F2851" s="102"/>
      <c r="G2851" s="103"/>
    </row>
    <row r="2852" spans="1:7" x14ac:dyDescent="0.25">
      <c r="A2852" s="101"/>
      <c r="B2852" s="36"/>
      <c r="C2852" s="98"/>
      <c r="D2852" s="98"/>
      <c r="E2852" s="98"/>
      <c r="F2852" s="102"/>
      <c r="G2852" s="103"/>
    </row>
    <row r="2853" spans="1:7" x14ac:dyDescent="0.25">
      <c r="A2853" s="101"/>
      <c r="B2853" s="36"/>
      <c r="C2853" s="98"/>
      <c r="D2853" s="98"/>
      <c r="E2853" s="98"/>
      <c r="F2853" s="102"/>
      <c r="G2853" s="103"/>
    </row>
    <row r="2854" spans="1:7" x14ac:dyDescent="0.25">
      <c r="A2854" s="101"/>
      <c r="B2854" s="36"/>
      <c r="C2854" s="98"/>
      <c r="D2854" s="98"/>
      <c r="E2854" s="98"/>
      <c r="F2854" s="102"/>
      <c r="G2854" s="103"/>
    </row>
    <row r="2855" spans="1:7" x14ac:dyDescent="0.25">
      <c r="A2855" s="101"/>
      <c r="B2855" s="36"/>
      <c r="C2855" s="98"/>
      <c r="D2855" s="98"/>
      <c r="E2855" s="98"/>
      <c r="F2855" s="102"/>
      <c r="G2855" s="103"/>
    </row>
    <row r="2856" spans="1:7" x14ac:dyDescent="0.25">
      <c r="A2856" s="101"/>
      <c r="B2856" s="36"/>
      <c r="C2856" s="98"/>
      <c r="D2856" s="98"/>
      <c r="E2856" s="98"/>
      <c r="F2856" s="102"/>
      <c r="G2856" s="103"/>
    </row>
    <row r="2857" spans="1:7" x14ac:dyDescent="0.25">
      <c r="A2857" s="101"/>
      <c r="B2857" s="36"/>
      <c r="C2857" s="98"/>
      <c r="D2857" s="98"/>
      <c r="E2857" s="98"/>
      <c r="F2857" s="102"/>
      <c r="G2857" s="103"/>
    </row>
    <row r="2858" spans="1:7" x14ac:dyDescent="0.25">
      <c r="A2858" s="101"/>
      <c r="B2858" s="104"/>
      <c r="C2858" s="98"/>
      <c r="D2858" s="98"/>
      <c r="E2858" s="98"/>
      <c r="F2858" s="102"/>
      <c r="G2858" s="103"/>
    </row>
    <row r="2859" spans="1:7" x14ac:dyDescent="0.25">
      <c r="A2859" s="101"/>
      <c r="B2859" s="104"/>
      <c r="C2859" s="98"/>
      <c r="D2859" s="98"/>
      <c r="E2859" s="98"/>
      <c r="F2859" s="102"/>
      <c r="G2859" s="103"/>
    </row>
    <row r="2860" spans="1:7" x14ac:dyDescent="0.25">
      <c r="A2860" s="101"/>
      <c r="B2860" s="36"/>
      <c r="C2860" s="98"/>
      <c r="D2860" s="98"/>
      <c r="E2860" s="98"/>
      <c r="F2860" s="102"/>
      <c r="G2860" s="103"/>
    </row>
    <row r="2861" spans="1:7" x14ac:dyDescent="0.25">
      <c r="A2861" s="101"/>
      <c r="B2861" s="36"/>
      <c r="C2861" s="98"/>
      <c r="D2861" s="98"/>
      <c r="E2861" s="98"/>
      <c r="F2861" s="102"/>
      <c r="G2861" s="103"/>
    </row>
    <row r="2862" spans="1:7" x14ac:dyDescent="0.25">
      <c r="A2862" s="101"/>
      <c r="B2862" s="36"/>
      <c r="C2862" s="98"/>
      <c r="D2862" s="98"/>
      <c r="E2862" s="98"/>
      <c r="F2862" s="102"/>
      <c r="G2862" s="103"/>
    </row>
    <row r="2863" spans="1:7" x14ac:dyDescent="0.25">
      <c r="A2863" s="101"/>
      <c r="B2863" s="36"/>
      <c r="C2863" s="98"/>
      <c r="D2863" s="98"/>
      <c r="E2863" s="98"/>
      <c r="F2863" s="102"/>
      <c r="G2863" s="103"/>
    </row>
    <row r="2864" spans="1:7" x14ac:dyDescent="0.25">
      <c r="A2864" s="101"/>
      <c r="B2864" s="36"/>
      <c r="C2864" s="98"/>
      <c r="D2864" s="98"/>
      <c r="E2864" s="98"/>
      <c r="F2864" s="102"/>
      <c r="G2864" s="103"/>
    </row>
    <row r="2865" spans="1:7" x14ac:dyDescent="0.25">
      <c r="A2865" s="101"/>
      <c r="B2865" s="36"/>
      <c r="C2865" s="98"/>
      <c r="D2865" s="98"/>
      <c r="E2865" s="98"/>
      <c r="F2865" s="102"/>
      <c r="G2865" s="103"/>
    </row>
    <row r="2866" spans="1:7" x14ac:dyDescent="0.25">
      <c r="A2866" s="101"/>
      <c r="B2866" s="36"/>
      <c r="C2866" s="98"/>
      <c r="D2866" s="98"/>
      <c r="E2866" s="98"/>
      <c r="F2866" s="102"/>
      <c r="G2866" s="103"/>
    </row>
    <row r="2867" spans="1:7" x14ac:dyDescent="0.25">
      <c r="A2867" s="101"/>
      <c r="B2867" s="36"/>
      <c r="C2867" s="98"/>
      <c r="D2867" s="98"/>
      <c r="E2867" s="98"/>
      <c r="F2867" s="102"/>
      <c r="G2867" s="103"/>
    </row>
    <row r="2868" spans="1:7" x14ac:dyDescent="0.25">
      <c r="A2868" s="101"/>
      <c r="B2868" s="36"/>
      <c r="C2868" s="98"/>
      <c r="D2868" s="98"/>
      <c r="E2868" s="98"/>
      <c r="F2868" s="102"/>
      <c r="G2868" s="103"/>
    </row>
    <row r="2869" spans="1:7" x14ac:dyDescent="0.25">
      <c r="A2869" s="101"/>
      <c r="B2869" s="36"/>
      <c r="C2869" s="98"/>
      <c r="D2869" s="98"/>
      <c r="E2869" s="98"/>
      <c r="F2869" s="102"/>
      <c r="G2869" s="103"/>
    </row>
    <row r="2870" spans="1:7" x14ac:dyDescent="0.25">
      <c r="A2870" s="101"/>
      <c r="B2870" s="36"/>
      <c r="C2870" s="98"/>
      <c r="D2870" s="98"/>
      <c r="E2870" s="98"/>
      <c r="F2870" s="102"/>
      <c r="G2870" s="103"/>
    </row>
    <row r="2871" spans="1:7" x14ac:dyDescent="0.25">
      <c r="A2871" s="101"/>
      <c r="B2871" s="36"/>
      <c r="C2871" s="98"/>
      <c r="D2871" s="98"/>
      <c r="E2871" s="98"/>
      <c r="F2871" s="102"/>
      <c r="G2871" s="103"/>
    </row>
    <row r="2872" spans="1:7" x14ac:dyDescent="0.25">
      <c r="A2872" s="101"/>
      <c r="B2872" s="36"/>
      <c r="C2872" s="98"/>
      <c r="D2872" s="98"/>
      <c r="E2872" s="98"/>
      <c r="F2872" s="102"/>
      <c r="G2872" s="103"/>
    </row>
    <row r="2873" spans="1:7" x14ac:dyDescent="0.25">
      <c r="A2873" s="101"/>
      <c r="B2873" s="36"/>
      <c r="C2873" s="98"/>
      <c r="D2873" s="98"/>
      <c r="E2873" s="98"/>
      <c r="F2873" s="102"/>
      <c r="G2873" s="103"/>
    </row>
    <row r="2874" spans="1:7" x14ac:dyDescent="0.25">
      <c r="A2874" s="101"/>
      <c r="B2874" s="36"/>
      <c r="C2874" s="98"/>
      <c r="D2874" s="98"/>
      <c r="E2874" s="98"/>
      <c r="F2874" s="102"/>
      <c r="G2874" s="103"/>
    </row>
    <row r="2875" spans="1:7" x14ac:dyDescent="0.25">
      <c r="A2875" s="101"/>
      <c r="B2875" s="36"/>
      <c r="C2875" s="98"/>
      <c r="D2875" s="98"/>
      <c r="E2875" s="98"/>
      <c r="F2875" s="102"/>
      <c r="G2875" s="103"/>
    </row>
    <row r="2876" spans="1:7" x14ac:dyDescent="0.25">
      <c r="A2876" s="101"/>
      <c r="B2876" s="104"/>
      <c r="C2876" s="98"/>
      <c r="D2876" s="98"/>
      <c r="E2876" s="98"/>
      <c r="F2876" s="102"/>
      <c r="G2876" s="103"/>
    </row>
    <row r="2877" spans="1:7" x14ac:dyDescent="0.25">
      <c r="A2877" s="101"/>
      <c r="B2877" s="36"/>
      <c r="C2877" s="98"/>
      <c r="D2877" s="98"/>
      <c r="E2877" s="98"/>
      <c r="F2877" s="102"/>
      <c r="G2877" s="103"/>
    </row>
    <row r="2878" spans="1:7" x14ac:dyDescent="0.25">
      <c r="A2878" s="101"/>
      <c r="B2878" s="36"/>
      <c r="C2878" s="98"/>
      <c r="D2878" s="98"/>
      <c r="E2878" s="98"/>
      <c r="F2878" s="102"/>
      <c r="G2878" s="103"/>
    </row>
    <row r="2879" spans="1:7" x14ac:dyDescent="0.25">
      <c r="A2879" s="101"/>
      <c r="B2879" s="36"/>
      <c r="C2879" s="98"/>
      <c r="D2879" s="98"/>
      <c r="E2879" s="98"/>
      <c r="F2879" s="102"/>
      <c r="G2879" s="103"/>
    </row>
    <row r="2880" spans="1:7" x14ac:dyDescent="0.25">
      <c r="A2880" s="101"/>
      <c r="B2880" s="36"/>
      <c r="C2880" s="98"/>
      <c r="D2880" s="98"/>
      <c r="E2880" s="98"/>
      <c r="F2880" s="102"/>
      <c r="G2880" s="103"/>
    </row>
    <row r="2881" spans="1:7" x14ac:dyDescent="0.25">
      <c r="A2881" s="101"/>
      <c r="B2881" s="36"/>
      <c r="C2881" s="98"/>
      <c r="D2881" s="98"/>
      <c r="E2881" s="98"/>
      <c r="F2881" s="102"/>
      <c r="G2881" s="103"/>
    </row>
    <row r="2882" spans="1:7" x14ac:dyDescent="0.25">
      <c r="A2882" s="101"/>
      <c r="B2882" s="36"/>
      <c r="C2882" s="98"/>
      <c r="D2882" s="98"/>
      <c r="E2882" s="98"/>
      <c r="F2882" s="102"/>
      <c r="G2882" s="103"/>
    </row>
    <row r="2883" spans="1:7" x14ac:dyDescent="0.25">
      <c r="A2883" s="101"/>
      <c r="B2883" s="67"/>
      <c r="C2883" s="98"/>
      <c r="D2883" s="98"/>
      <c r="E2883" s="98"/>
      <c r="F2883" s="102"/>
      <c r="G2883" s="103"/>
    </row>
    <row r="2884" spans="1:7" x14ac:dyDescent="0.25">
      <c r="A2884" s="101"/>
      <c r="B2884" s="67"/>
      <c r="C2884" s="98"/>
      <c r="D2884" s="98"/>
      <c r="E2884" s="98"/>
      <c r="F2884" s="102"/>
      <c r="G2884" s="103"/>
    </row>
    <row r="2885" spans="1:7" x14ac:dyDescent="0.25">
      <c r="A2885" s="101"/>
      <c r="B2885" s="36"/>
      <c r="C2885" s="98"/>
      <c r="D2885" s="98"/>
      <c r="E2885" s="98"/>
      <c r="F2885" s="102"/>
      <c r="G2885" s="103"/>
    </row>
    <row r="2886" spans="1:7" x14ac:dyDescent="0.25">
      <c r="A2886" s="101"/>
      <c r="B2886" s="36"/>
      <c r="C2886" s="98"/>
      <c r="D2886" s="98"/>
      <c r="E2886" s="98"/>
      <c r="F2886" s="102"/>
      <c r="G2886" s="103"/>
    </row>
    <row r="2887" spans="1:7" x14ac:dyDescent="0.25">
      <c r="A2887" s="101"/>
      <c r="B2887" s="36"/>
      <c r="C2887" s="98"/>
      <c r="D2887" s="98"/>
      <c r="E2887" s="98"/>
      <c r="F2887" s="102"/>
      <c r="G2887" s="103"/>
    </row>
    <row r="2888" spans="1:7" x14ac:dyDescent="0.25">
      <c r="A2888" s="101"/>
      <c r="B2888" s="36"/>
      <c r="C2888" s="98"/>
      <c r="D2888" s="98"/>
      <c r="E2888" s="98"/>
      <c r="F2888" s="102"/>
      <c r="G2888" s="103"/>
    </row>
    <row r="2889" spans="1:7" x14ac:dyDescent="0.25">
      <c r="A2889" s="101"/>
      <c r="B2889" s="36"/>
      <c r="C2889" s="98"/>
      <c r="D2889" s="98"/>
      <c r="E2889" s="98"/>
      <c r="F2889" s="102"/>
      <c r="G2889" s="103"/>
    </row>
    <row r="2890" spans="1:7" x14ac:dyDescent="0.25">
      <c r="A2890" s="101"/>
      <c r="B2890" s="36"/>
      <c r="C2890" s="98"/>
      <c r="D2890" s="98"/>
      <c r="E2890" s="98"/>
      <c r="F2890" s="102"/>
      <c r="G2890" s="103"/>
    </row>
    <row r="2891" spans="1:7" x14ac:dyDescent="0.25">
      <c r="A2891" s="101"/>
      <c r="B2891" s="36"/>
      <c r="C2891" s="98"/>
      <c r="D2891" s="98"/>
      <c r="E2891" s="98"/>
      <c r="F2891" s="102"/>
      <c r="G2891" s="103"/>
    </row>
    <row r="2892" spans="1:7" x14ac:dyDescent="0.25">
      <c r="A2892" s="101"/>
      <c r="B2892" s="36"/>
      <c r="C2892" s="98"/>
      <c r="D2892" s="98"/>
      <c r="E2892" s="98"/>
      <c r="F2892" s="102"/>
      <c r="G2892" s="103"/>
    </row>
    <row r="2893" spans="1:7" x14ac:dyDescent="0.25">
      <c r="A2893" s="101"/>
      <c r="B2893" s="36"/>
      <c r="C2893" s="98"/>
      <c r="D2893" s="98"/>
      <c r="E2893" s="98"/>
      <c r="F2893" s="102"/>
      <c r="G2893" s="103"/>
    </row>
    <row r="2894" spans="1:7" x14ac:dyDescent="0.25">
      <c r="A2894" s="101"/>
      <c r="B2894" s="36"/>
      <c r="C2894" s="98"/>
      <c r="D2894" s="98"/>
      <c r="E2894" s="98"/>
      <c r="F2894" s="102"/>
      <c r="G2894" s="103"/>
    </row>
    <row r="2895" spans="1:7" x14ac:dyDescent="0.25">
      <c r="A2895" s="101"/>
      <c r="B2895" s="36"/>
      <c r="C2895" s="98"/>
      <c r="D2895" s="98"/>
      <c r="E2895" s="98"/>
      <c r="F2895" s="102"/>
      <c r="G2895" s="103"/>
    </row>
    <row r="2896" spans="1:7" x14ac:dyDescent="0.25">
      <c r="A2896" s="101"/>
      <c r="B2896" s="36"/>
      <c r="C2896" s="98"/>
      <c r="D2896" s="98"/>
      <c r="E2896" s="98"/>
      <c r="F2896" s="102"/>
      <c r="G2896" s="103"/>
    </row>
    <row r="2897" spans="1:7" x14ac:dyDescent="0.25">
      <c r="A2897" s="101"/>
      <c r="B2897" s="36"/>
      <c r="C2897" s="98"/>
      <c r="D2897" s="98"/>
      <c r="E2897" s="98"/>
      <c r="F2897" s="102"/>
      <c r="G2897" s="103"/>
    </row>
    <row r="2898" spans="1:7" x14ac:dyDescent="0.25">
      <c r="A2898" s="101"/>
      <c r="B2898" s="36"/>
      <c r="C2898" s="98"/>
      <c r="D2898" s="98"/>
      <c r="E2898" s="98"/>
      <c r="F2898" s="102"/>
      <c r="G2898" s="103"/>
    </row>
    <row r="2899" spans="1:7" x14ac:dyDescent="0.25">
      <c r="A2899" s="101"/>
      <c r="B2899" s="36"/>
      <c r="C2899" s="98"/>
      <c r="D2899" s="98"/>
      <c r="E2899" s="98"/>
      <c r="F2899" s="102"/>
      <c r="G2899" s="103"/>
    </row>
    <row r="2900" spans="1:7" x14ac:dyDescent="0.25">
      <c r="A2900" s="101"/>
      <c r="B2900" s="36"/>
      <c r="C2900" s="98"/>
      <c r="D2900" s="98"/>
      <c r="E2900" s="98"/>
      <c r="F2900" s="102"/>
      <c r="G2900" s="103"/>
    </row>
    <row r="2901" spans="1:7" x14ac:dyDescent="0.25">
      <c r="A2901" s="101"/>
      <c r="B2901" s="36"/>
      <c r="C2901" s="98"/>
      <c r="D2901" s="98"/>
      <c r="E2901" s="98"/>
      <c r="F2901" s="102"/>
      <c r="G2901" s="103"/>
    </row>
    <row r="2902" spans="1:7" x14ac:dyDescent="0.25">
      <c r="A2902" s="101"/>
      <c r="B2902" s="36"/>
      <c r="C2902" s="98"/>
      <c r="D2902" s="98"/>
      <c r="E2902" s="98"/>
      <c r="F2902" s="102"/>
      <c r="G2902" s="103"/>
    </row>
    <row r="2903" spans="1:7" x14ac:dyDescent="0.25">
      <c r="A2903" s="101"/>
      <c r="B2903" s="36"/>
      <c r="C2903" s="98"/>
      <c r="D2903" s="98"/>
      <c r="E2903" s="98"/>
      <c r="F2903" s="102"/>
      <c r="G2903" s="103"/>
    </row>
    <row r="2904" spans="1:7" x14ac:dyDescent="0.25">
      <c r="A2904" s="101"/>
      <c r="B2904" s="36"/>
      <c r="C2904" s="98"/>
      <c r="D2904" s="98"/>
      <c r="E2904" s="98"/>
      <c r="F2904" s="102"/>
      <c r="G2904" s="103"/>
    </row>
    <row r="2905" spans="1:7" x14ac:dyDescent="0.25">
      <c r="A2905" s="101"/>
      <c r="B2905" s="66"/>
      <c r="C2905" s="98"/>
      <c r="D2905" s="98"/>
      <c r="E2905" s="98"/>
      <c r="F2905" s="102"/>
      <c r="G2905" s="103"/>
    </row>
    <row r="2906" spans="1:7" x14ac:dyDescent="0.25">
      <c r="A2906" s="101"/>
      <c r="B2906" s="36"/>
      <c r="C2906" s="98"/>
      <c r="D2906" s="98"/>
      <c r="E2906" s="98"/>
      <c r="F2906" s="102"/>
      <c r="G2906" s="103"/>
    </row>
    <row r="2907" spans="1:7" x14ac:dyDescent="0.25">
      <c r="A2907" s="101"/>
      <c r="B2907" s="66"/>
      <c r="C2907" s="98"/>
      <c r="D2907" s="98"/>
      <c r="E2907" s="98"/>
      <c r="F2907" s="102"/>
      <c r="G2907" s="103"/>
    </row>
    <row r="2908" spans="1:7" x14ac:dyDescent="0.25">
      <c r="A2908" s="101"/>
      <c r="B2908" s="36"/>
      <c r="C2908" s="98"/>
      <c r="D2908" s="98"/>
      <c r="E2908" s="98"/>
      <c r="F2908" s="102"/>
      <c r="G2908" s="103"/>
    </row>
    <row r="2909" spans="1:7" x14ac:dyDescent="0.25">
      <c r="A2909" s="101"/>
      <c r="B2909" s="67"/>
      <c r="C2909" s="98"/>
      <c r="D2909" s="98"/>
      <c r="E2909" s="98"/>
      <c r="F2909" s="102"/>
      <c r="G2909" s="103"/>
    </row>
    <row r="2910" spans="1:7" x14ac:dyDescent="0.25">
      <c r="A2910" s="101"/>
      <c r="B2910" s="36"/>
      <c r="C2910" s="98"/>
      <c r="D2910" s="98"/>
      <c r="E2910" s="98"/>
      <c r="F2910" s="102"/>
      <c r="G2910" s="103"/>
    </row>
    <row r="2911" spans="1:7" x14ac:dyDescent="0.25">
      <c r="A2911" s="101"/>
      <c r="B2911" s="36"/>
      <c r="C2911" s="98"/>
      <c r="D2911" s="98"/>
      <c r="E2911" s="98"/>
      <c r="F2911" s="102"/>
      <c r="G2911" s="103"/>
    </row>
    <row r="2912" spans="1:7" x14ac:dyDescent="0.25">
      <c r="A2912" s="101"/>
      <c r="B2912" s="36"/>
      <c r="C2912" s="98"/>
      <c r="D2912" s="98"/>
      <c r="E2912" s="98"/>
      <c r="F2912" s="102"/>
      <c r="G2912" s="103"/>
    </row>
    <row r="2913" spans="1:7" x14ac:dyDescent="0.25">
      <c r="A2913" s="101"/>
      <c r="B2913" s="36"/>
      <c r="C2913" s="98"/>
      <c r="D2913" s="98"/>
      <c r="E2913" s="98"/>
      <c r="F2913" s="102"/>
      <c r="G2913" s="103"/>
    </row>
    <row r="2914" spans="1:7" x14ac:dyDescent="0.25">
      <c r="A2914" s="101"/>
      <c r="B2914" s="36"/>
      <c r="C2914" s="98"/>
      <c r="D2914" s="98"/>
      <c r="E2914" s="98"/>
      <c r="F2914" s="102"/>
      <c r="G2914" s="103"/>
    </row>
    <row r="2915" spans="1:7" x14ac:dyDescent="0.25">
      <c r="A2915" s="101"/>
      <c r="B2915" s="36"/>
      <c r="C2915" s="98"/>
      <c r="D2915" s="98"/>
      <c r="E2915" s="98"/>
      <c r="F2915" s="102"/>
      <c r="G2915" s="103"/>
    </row>
    <row r="2916" spans="1:7" x14ac:dyDescent="0.25">
      <c r="A2916" s="101"/>
      <c r="B2916" s="36"/>
      <c r="C2916" s="98"/>
      <c r="D2916" s="98"/>
      <c r="E2916" s="98"/>
      <c r="F2916" s="102"/>
      <c r="G2916" s="103"/>
    </row>
    <row r="2917" spans="1:7" x14ac:dyDescent="0.25">
      <c r="A2917" s="101"/>
      <c r="B2917" s="36"/>
      <c r="C2917" s="98"/>
      <c r="D2917" s="98"/>
      <c r="E2917" s="98"/>
      <c r="F2917" s="102"/>
      <c r="G2917" s="103"/>
    </row>
    <row r="2918" spans="1:7" x14ac:dyDescent="0.25">
      <c r="A2918" s="101"/>
      <c r="B2918" s="36"/>
      <c r="C2918" s="98"/>
      <c r="D2918" s="98"/>
      <c r="E2918" s="98"/>
      <c r="F2918" s="102"/>
      <c r="G2918" s="103"/>
    </row>
    <row r="2919" spans="1:7" x14ac:dyDescent="0.25">
      <c r="A2919" s="101"/>
      <c r="B2919" s="36"/>
      <c r="C2919" s="98"/>
      <c r="D2919" s="98"/>
      <c r="E2919" s="98"/>
      <c r="F2919" s="102"/>
      <c r="G2919" s="103"/>
    </row>
    <row r="2920" spans="1:7" x14ac:dyDescent="0.25">
      <c r="A2920" s="101"/>
      <c r="B2920" s="36"/>
      <c r="C2920" s="98"/>
      <c r="D2920" s="98"/>
      <c r="E2920" s="98"/>
      <c r="F2920" s="102"/>
      <c r="G2920" s="103"/>
    </row>
    <row r="2921" spans="1:7" x14ac:dyDescent="0.25">
      <c r="A2921" s="101"/>
      <c r="B2921" s="36"/>
      <c r="C2921" s="98"/>
      <c r="D2921" s="98"/>
      <c r="E2921" s="98"/>
      <c r="F2921" s="102"/>
      <c r="G2921" s="103"/>
    </row>
    <row r="2922" spans="1:7" x14ac:dyDescent="0.25">
      <c r="A2922" s="101"/>
      <c r="B2922" s="36"/>
      <c r="C2922" s="98"/>
      <c r="D2922" s="98"/>
      <c r="E2922" s="98"/>
      <c r="F2922" s="102"/>
      <c r="G2922" s="103"/>
    </row>
    <row r="2923" spans="1:7" x14ac:dyDescent="0.25">
      <c r="A2923" s="101"/>
      <c r="B2923" s="36"/>
      <c r="C2923" s="98"/>
      <c r="D2923" s="98"/>
      <c r="E2923" s="98"/>
      <c r="F2923" s="102"/>
      <c r="G2923" s="103"/>
    </row>
    <row r="2924" spans="1:7" x14ac:dyDescent="0.25">
      <c r="A2924" s="101"/>
      <c r="B2924" s="104"/>
      <c r="C2924" s="98"/>
      <c r="D2924" s="98"/>
      <c r="E2924" s="98"/>
      <c r="F2924" s="102"/>
      <c r="G2924" s="103"/>
    </row>
    <row r="2925" spans="1:7" x14ac:dyDescent="0.25">
      <c r="A2925" s="101"/>
      <c r="B2925" s="36"/>
      <c r="C2925" s="98"/>
      <c r="D2925" s="98"/>
      <c r="E2925" s="98"/>
      <c r="F2925" s="102"/>
      <c r="G2925" s="103"/>
    </row>
    <row r="2926" spans="1:7" x14ac:dyDescent="0.25">
      <c r="A2926" s="101"/>
      <c r="B2926" s="36"/>
      <c r="C2926" s="98"/>
      <c r="D2926" s="98"/>
      <c r="E2926" s="98"/>
      <c r="F2926" s="102"/>
      <c r="G2926" s="103"/>
    </row>
    <row r="2927" spans="1:7" x14ac:dyDescent="0.25">
      <c r="A2927" s="101"/>
      <c r="B2927" s="36"/>
      <c r="C2927" s="98"/>
      <c r="D2927" s="98"/>
      <c r="E2927" s="98"/>
      <c r="F2927" s="102"/>
      <c r="G2927" s="103"/>
    </row>
    <row r="2928" spans="1:7" x14ac:dyDescent="0.25">
      <c r="A2928" s="101"/>
      <c r="B2928" s="36"/>
      <c r="C2928" s="98"/>
      <c r="D2928" s="98"/>
      <c r="E2928" s="98"/>
      <c r="F2928" s="102"/>
      <c r="G2928" s="103"/>
    </row>
    <row r="2929" spans="1:7" x14ac:dyDescent="0.25">
      <c r="A2929" s="101"/>
      <c r="B2929" s="36"/>
      <c r="C2929" s="98"/>
      <c r="D2929" s="98"/>
      <c r="E2929" s="98"/>
      <c r="F2929" s="102"/>
      <c r="G2929" s="103"/>
    </row>
    <row r="2930" spans="1:7" x14ac:dyDescent="0.25">
      <c r="A2930" s="101"/>
      <c r="B2930" s="66"/>
      <c r="C2930" s="98"/>
      <c r="D2930" s="98"/>
      <c r="E2930" s="98"/>
      <c r="F2930" s="102"/>
      <c r="G2930" s="103"/>
    </row>
    <row r="2931" spans="1:7" x14ac:dyDescent="0.25">
      <c r="A2931" s="101"/>
      <c r="B2931" s="36"/>
      <c r="C2931" s="98"/>
      <c r="D2931" s="98"/>
      <c r="E2931" s="98"/>
      <c r="F2931" s="102"/>
      <c r="G2931" s="103"/>
    </row>
    <row r="2932" spans="1:7" x14ac:dyDescent="0.25">
      <c r="A2932" s="101"/>
      <c r="B2932" s="36"/>
      <c r="C2932" s="98"/>
      <c r="D2932" s="98"/>
      <c r="E2932" s="98"/>
      <c r="F2932" s="102"/>
      <c r="G2932" s="103"/>
    </row>
    <row r="2933" spans="1:7" x14ac:dyDescent="0.25">
      <c r="A2933" s="101"/>
      <c r="B2933" s="36"/>
      <c r="C2933" s="98"/>
      <c r="D2933" s="98"/>
      <c r="E2933" s="98"/>
      <c r="F2933" s="102"/>
      <c r="G2933" s="103"/>
    </row>
    <row r="2934" spans="1:7" x14ac:dyDescent="0.25">
      <c r="A2934" s="101"/>
      <c r="B2934" s="36"/>
      <c r="C2934" s="98"/>
      <c r="D2934" s="98"/>
      <c r="E2934" s="98"/>
      <c r="F2934" s="102"/>
      <c r="G2934" s="103"/>
    </row>
    <row r="2935" spans="1:7" x14ac:dyDescent="0.25">
      <c r="A2935" s="101"/>
      <c r="B2935" s="36"/>
      <c r="C2935" s="98"/>
      <c r="D2935" s="98"/>
      <c r="E2935" s="98"/>
      <c r="F2935" s="102"/>
      <c r="G2935" s="103"/>
    </row>
    <row r="2936" spans="1:7" x14ac:dyDescent="0.25">
      <c r="A2936" s="101"/>
      <c r="B2936" s="36"/>
      <c r="C2936" s="98"/>
      <c r="D2936" s="98"/>
      <c r="E2936" s="98"/>
      <c r="F2936" s="102"/>
      <c r="G2936" s="103"/>
    </row>
    <row r="2937" spans="1:7" x14ac:dyDescent="0.25">
      <c r="A2937" s="101"/>
      <c r="B2937" s="36"/>
      <c r="C2937" s="98"/>
      <c r="D2937" s="98"/>
      <c r="E2937" s="98"/>
      <c r="F2937" s="102"/>
      <c r="G2937" s="103"/>
    </row>
    <row r="2938" spans="1:7" x14ac:dyDescent="0.25">
      <c r="A2938" s="101"/>
      <c r="B2938" s="36"/>
      <c r="C2938" s="98"/>
      <c r="D2938" s="98"/>
      <c r="E2938" s="98"/>
      <c r="F2938" s="102"/>
      <c r="G2938" s="103"/>
    </row>
    <row r="2939" spans="1:7" x14ac:dyDescent="0.25">
      <c r="A2939" s="101"/>
      <c r="B2939" s="36"/>
      <c r="C2939" s="98"/>
      <c r="D2939" s="98"/>
      <c r="E2939" s="98"/>
      <c r="F2939" s="102"/>
      <c r="G2939" s="103"/>
    </row>
    <row r="2940" spans="1:7" x14ac:dyDescent="0.25">
      <c r="A2940" s="101"/>
      <c r="B2940" s="36"/>
      <c r="C2940" s="98"/>
      <c r="D2940" s="98"/>
      <c r="E2940" s="98"/>
      <c r="F2940" s="102"/>
      <c r="G2940" s="103"/>
    </row>
    <row r="2941" spans="1:7" x14ac:dyDescent="0.25">
      <c r="A2941" s="101"/>
      <c r="B2941" s="36"/>
      <c r="C2941" s="98"/>
      <c r="D2941" s="98"/>
      <c r="E2941" s="98"/>
      <c r="F2941" s="102"/>
      <c r="G2941" s="103"/>
    </row>
    <row r="2942" spans="1:7" x14ac:dyDescent="0.25">
      <c r="A2942" s="101"/>
      <c r="B2942" s="36"/>
      <c r="C2942" s="98"/>
      <c r="D2942" s="98"/>
      <c r="E2942" s="98"/>
      <c r="F2942" s="102"/>
      <c r="G2942" s="103"/>
    </row>
    <row r="2943" spans="1:7" x14ac:dyDescent="0.25">
      <c r="A2943" s="101"/>
      <c r="B2943" s="36"/>
      <c r="C2943" s="98"/>
      <c r="D2943" s="98"/>
      <c r="E2943" s="98"/>
      <c r="F2943" s="102"/>
      <c r="G2943" s="103"/>
    </row>
    <row r="2944" spans="1:7" x14ac:dyDescent="0.25">
      <c r="A2944" s="101"/>
      <c r="B2944" s="36"/>
      <c r="C2944" s="98"/>
      <c r="D2944" s="98"/>
      <c r="E2944" s="98"/>
      <c r="F2944" s="102"/>
      <c r="G2944" s="103"/>
    </row>
    <row r="2945" spans="1:7" x14ac:dyDescent="0.25">
      <c r="A2945" s="101"/>
      <c r="B2945" s="36"/>
      <c r="C2945" s="98"/>
      <c r="D2945" s="98"/>
      <c r="E2945" s="98"/>
      <c r="F2945" s="102"/>
      <c r="G2945" s="103"/>
    </row>
    <row r="2946" spans="1:7" x14ac:dyDescent="0.25">
      <c r="A2946" s="101"/>
      <c r="B2946" s="36"/>
      <c r="C2946" s="98"/>
      <c r="D2946" s="98"/>
      <c r="E2946" s="98"/>
      <c r="F2946" s="102"/>
      <c r="G2946" s="103"/>
    </row>
    <row r="2947" spans="1:7" x14ac:dyDescent="0.25">
      <c r="A2947" s="101"/>
      <c r="B2947" s="36"/>
      <c r="C2947" s="98"/>
      <c r="D2947" s="98"/>
      <c r="E2947" s="98"/>
      <c r="F2947" s="102"/>
      <c r="G2947" s="103"/>
    </row>
    <row r="2948" spans="1:7" x14ac:dyDescent="0.25">
      <c r="A2948" s="101"/>
      <c r="B2948" s="36"/>
      <c r="C2948" s="98"/>
      <c r="D2948" s="98"/>
      <c r="E2948" s="98"/>
      <c r="F2948" s="102"/>
      <c r="G2948" s="103"/>
    </row>
    <row r="2949" spans="1:7" x14ac:dyDescent="0.25">
      <c r="A2949" s="101"/>
      <c r="B2949" s="36"/>
      <c r="C2949" s="98"/>
      <c r="D2949" s="98"/>
      <c r="E2949" s="98"/>
      <c r="F2949" s="102"/>
      <c r="G2949" s="103"/>
    </row>
    <row r="2950" spans="1:7" x14ac:dyDescent="0.25">
      <c r="A2950" s="101"/>
      <c r="B2950" s="36"/>
      <c r="C2950" s="98"/>
      <c r="D2950" s="98"/>
      <c r="E2950" s="98"/>
      <c r="F2950" s="102"/>
      <c r="G2950" s="103"/>
    </row>
    <row r="2951" spans="1:7" x14ac:dyDescent="0.25">
      <c r="A2951" s="101"/>
      <c r="B2951" s="36"/>
      <c r="C2951" s="98"/>
      <c r="D2951" s="98"/>
      <c r="E2951" s="98"/>
      <c r="F2951" s="102"/>
      <c r="G2951" s="103"/>
    </row>
    <row r="2952" spans="1:7" x14ac:dyDescent="0.25">
      <c r="A2952" s="101"/>
      <c r="B2952" s="104"/>
      <c r="C2952" s="98"/>
      <c r="D2952" s="98"/>
      <c r="E2952" s="98"/>
      <c r="F2952" s="102"/>
      <c r="G2952" s="103"/>
    </row>
    <row r="2953" spans="1:7" x14ac:dyDescent="0.25">
      <c r="A2953" s="101"/>
      <c r="B2953" s="36"/>
      <c r="C2953" s="98"/>
      <c r="D2953" s="98"/>
      <c r="E2953" s="98"/>
      <c r="F2953" s="102"/>
      <c r="G2953" s="103"/>
    </row>
    <row r="2954" spans="1:7" x14ac:dyDescent="0.25">
      <c r="A2954" s="101"/>
      <c r="B2954" s="36"/>
      <c r="C2954" s="98"/>
      <c r="D2954" s="98"/>
      <c r="E2954" s="98"/>
      <c r="F2954" s="102"/>
      <c r="G2954" s="103"/>
    </row>
    <row r="2955" spans="1:7" x14ac:dyDescent="0.25">
      <c r="A2955" s="101"/>
      <c r="B2955" s="36"/>
      <c r="C2955" s="98"/>
      <c r="D2955" s="98"/>
      <c r="E2955" s="98"/>
      <c r="F2955" s="102"/>
      <c r="G2955" s="103"/>
    </row>
    <row r="2956" spans="1:7" x14ac:dyDescent="0.25">
      <c r="A2956" s="101"/>
      <c r="B2956" s="36"/>
      <c r="C2956" s="98"/>
      <c r="D2956" s="98"/>
      <c r="E2956" s="98"/>
      <c r="F2956" s="102"/>
      <c r="G2956" s="103"/>
    </row>
    <row r="2957" spans="1:7" x14ac:dyDescent="0.25">
      <c r="A2957" s="101"/>
      <c r="B2957" s="36"/>
      <c r="C2957" s="98"/>
      <c r="D2957" s="98"/>
      <c r="E2957" s="98"/>
      <c r="F2957" s="102"/>
      <c r="G2957" s="103"/>
    </row>
    <row r="2958" spans="1:7" x14ac:dyDescent="0.25">
      <c r="A2958" s="101"/>
      <c r="B2958" s="67"/>
      <c r="C2958" s="98"/>
      <c r="D2958" s="98"/>
      <c r="E2958" s="98"/>
      <c r="F2958" s="102"/>
      <c r="G2958" s="103"/>
    </row>
    <row r="2959" spans="1:7" x14ac:dyDescent="0.25">
      <c r="A2959" s="101"/>
      <c r="B2959" s="36"/>
      <c r="C2959" s="98"/>
      <c r="D2959" s="98"/>
      <c r="E2959" s="98"/>
      <c r="F2959" s="102"/>
      <c r="G2959" s="103"/>
    </row>
    <row r="2960" spans="1:7" x14ac:dyDescent="0.25">
      <c r="A2960" s="101"/>
      <c r="B2960" s="36"/>
      <c r="C2960" s="98"/>
      <c r="D2960" s="98"/>
      <c r="E2960" s="98"/>
      <c r="F2960" s="102"/>
      <c r="G2960" s="103"/>
    </row>
    <row r="2961" spans="1:7" x14ac:dyDescent="0.25">
      <c r="A2961" s="101"/>
      <c r="B2961" s="36"/>
      <c r="C2961" s="98"/>
      <c r="D2961" s="98"/>
      <c r="E2961" s="98"/>
      <c r="F2961" s="102"/>
      <c r="G2961" s="103"/>
    </row>
    <row r="2962" spans="1:7" x14ac:dyDescent="0.25">
      <c r="A2962" s="101"/>
      <c r="B2962" s="36"/>
      <c r="C2962" s="98"/>
      <c r="D2962" s="98"/>
      <c r="E2962" s="98"/>
      <c r="F2962" s="102"/>
      <c r="G2962" s="103"/>
    </row>
    <row r="2963" spans="1:7" x14ac:dyDescent="0.25">
      <c r="A2963" s="101"/>
      <c r="B2963" s="36"/>
      <c r="C2963" s="98"/>
      <c r="D2963" s="98"/>
      <c r="E2963" s="98"/>
      <c r="F2963" s="102"/>
      <c r="G2963" s="103"/>
    </row>
    <row r="2964" spans="1:7" x14ac:dyDescent="0.25">
      <c r="A2964" s="101"/>
      <c r="B2964" s="36"/>
      <c r="C2964" s="98"/>
      <c r="D2964" s="98"/>
      <c r="E2964" s="98"/>
      <c r="F2964" s="102"/>
      <c r="G2964" s="103"/>
    </row>
    <row r="2965" spans="1:7" x14ac:dyDescent="0.25">
      <c r="A2965" s="101"/>
      <c r="B2965" s="36"/>
      <c r="C2965" s="98"/>
      <c r="D2965" s="98"/>
      <c r="E2965" s="98"/>
      <c r="F2965" s="102"/>
      <c r="G2965" s="103"/>
    </row>
    <row r="2966" spans="1:7" x14ac:dyDescent="0.25">
      <c r="A2966" s="101"/>
      <c r="B2966" s="36"/>
      <c r="C2966" s="98"/>
      <c r="D2966" s="98"/>
      <c r="E2966" s="98"/>
      <c r="F2966" s="102"/>
      <c r="G2966" s="103"/>
    </row>
    <row r="2967" spans="1:7" x14ac:dyDescent="0.25">
      <c r="A2967" s="101"/>
      <c r="B2967" s="104"/>
      <c r="C2967" s="98"/>
      <c r="D2967" s="98"/>
      <c r="E2967" s="98"/>
      <c r="F2967" s="102"/>
      <c r="G2967" s="103"/>
    </row>
    <row r="2968" spans="1:7" x14ac:dyDescent="0.25">
      <c r="A2968" s="101"/>
      <c r="B2968" s="36"/>
      <c r="C2968" s="98"/>
      <c r="D2968" s="98"/>
      <c r="E2968" s="98"/>
      <c r="F2968" s="102"/>
      <c r="G2968" s="103"/>
    </row>
    <row r="2969" spans="1:7" x14ac:dyDescent="0.25">
      <c r="A2969" s="101"/>
      <c r="B2969" s="36"/>
      <c r="C2969" s="98"/>
      <c r="D2969" s="98"/>
      <c r="E2969" s="98"/>
      <c r="F2969" s="102"/>
      <c r="G2969" s="103"/>
    </row>
    <row r="2970" spans="1:7" x14ac:dyDescent="0.25">
      <c r="A2970" s="101"/>
      <c r="B2970" s="36"/>
      <c r="C2970" s="98"/>
      <c r="D2970" s="98"/>
      <c r="E2970" s="98"/>
      <c r="F2970" s="102"/>
      <c r="G2970" s="103"/>
    </row>
    <row r="2971" spans="1:7" x14ac:dyDescent="0.25">
      <c r="A2971" s="101"/>
      <c r="B2971" s="36"/>
      <c r="C2971" s="98"/>
      <c r="D2971" s="98"/>
      <c r="E2971" s="98"/>
      <c r="F2971" s="102"/>
      <c r="G2971" s="103"/>
    </row>
    <row r="2972" spans="1:7" x14ac:dyDescent="0.25">
      <c r="A2972" s="101"/>
      <c r="B2972" s="36"/>
      <c r="C2972" s="98"/>
      <c r="D2972" s="98"/>
      <c r="E2972" s="98"/>
      <c r="F2972" s="102"/>
      <c r="G2972" s="103"/>
    </row>
    <row r="2973" spans="1:7" x14ac:dyDescent="0.25">
      <c r="A2973" s="101"/>
      <c r="B2973" s="36"/>
      <c r="C2973" s="98"/>
      <c r="D2973" s="98"/>
      <c r="E2973" s="98"/>
      <c r="F2973" s="102"/>
      <c r="G2973" s="103"/>
    </row>
    <row r="2974" spans="1:7" x14ac:dyDescent="0.25">
      <c r="A2974" s="101"/>
      <c r="B2974" s="36"/>
      <c r="C2974" s="98"/>
      <c r="D2974" s="98"/>
      <c r="E2974" s="98"/>
      <c r="F2974" s="102"/>
      <c r="G2974" s="103"/>
    </row>
    <row r="2975" spans="1:7" x14ac:dyDescent="0.25">
      <c r="A2975" s="101"/>
      <c r="B2975" s="67"/>
      <c r="C2975" s="98"/>
      <c r="D2975" s="98"/>
      <c r="E2975" s="98"/>
      <c r="F2975" s="102"/>
      <c r="G2975" s="103"/>
    </row>
    <row r="2976" spans="1:7" x14ac:dyDescent="0.25">
      <c r="A2976" s="101"/>
      <c r="B2976" s="36"/>
      <c r="C2976" s="98"/>
      <c r="D2976" s="98"/>
      <c r="E2976" s="98"/>
      <c r="F2976" s="102"/>
      <c r="G2976" s="103"/>
    </row>
    <row r="2977" spans="1:7" x14ac:dyDescent="0.25">
      <c r="A2977" s="101"/>
      <c r="B2977" s="36"/>
      <c r="C2977" s="98"/>
      <c r="D2977" s="98"/>
      <c r="E2977" s="98"/>
      <c r="F2977" s="102"/>
      <c r="G2977" s="103"/>
    </row>
    <row r="2978" spans="1:7" x14ac:dyDescent="0.25">
      <c r="A2978" s="101"/>
      <c r="B2978" s="36"/>
      <c r="C2978" s="98"/>
      <c r="D2978" s="98"/>
      <c r="E2978" s="98"/>
      <c r="F2978" s="102"/>
      <c r="G2978" s="103"/>
    </row>
    <row r="2979" spans="1:7" x14ac:dyDescent="0.25">
      <c r="A2979" s="101"/>
      <c r="B2979" s="36"/>
      <c r="C2979" s="98"/>
      <c r="D2979" s="98"/>
      <c r="E2979" s="98"/>
      <c r="F2979" s="102"/>
      <c r="G2979" s="103"/>
    </row>
    <row r="2980" spans="1:7" x14ac:dyDescent="0.25">
      <c r="A2980" s="101"/>
      <c r="B2980" s="36"/>
      <c r="C2980" s="98"/>
      <c r="D2980" s="98"/>
      <c r="E2980" s="98"/>
      <c r="F2980" s="102"/>
      <c r="G2980" s="103"/>
    </row>
    <row r="2981" spans="1:7" x14ac:dyDescent="0.25">
      <c r="A2981" s="101"/>
      <c r="B2981" s="36"/>
      <c r="C2981" s="98"/>
      <c r="D2981" s="98"/>
      <c r="E2981" s="98"/>
      <c r="F2981" s="102"/>
      <c r="G2981" s="103"/>
    </row>
    <row r="2982" spans="1:7" x14ac:dyDescent="0.25">
      <c r="A2982" s="101"/>
      <c r="B2982" s="36"/>
      <c r="C2982" s="98"/>
      <c r="D2982" s="98"/>
      <c r="E2982" s="98"/>
      <c r="F2982" s="102"/>
      <c r="G2982" s="103"/>
    </row>
    <row r="2983" spans="1:7" x14ac:dyDescent="0.25">
      <c r="A2983" s="101"/>
      <c r="B2983" s="36"/>
      <c r="C2983" s="98"/>
      <c r="D2983" s="98"/>
      <c r="E2983" s="98"/>
      <c r="F2983" s="102"/>
      <c r="G2983" s="103"/>
    </row>
    <row r="2984" spans="1:7" x14ac:dyDescent="0.25">
      <c r="A2984" s="101"/>
      <c r="B2984" s="36"/>
      <c r="C2984" s="98"/>
      <c r="D2984" s="98"/>
      <c r="E2984" s="98"/>
      <c r="F2984" s="102"/>
      <c r="G2984" s="103"/>
    </row>
    <row r="2985" spans="1:7" x14ac:dyDescent="0.25">
      <c r="A2985" s="101"/>
      <c r="B2985" s="36"/>
      <c r="C2985" s="98"/>
      <c r="D2985" s="98"/>
      <c r="E2985" s="98"/>
      <c r="F2985" s="102"/>
      <c r="G2985" s="103"/>
    </row>
    <row r="2986" spans="1:7" x14ac:dyDescent="0.25">
      <c r="A2986" s="101"/>
      <c r="B2986" s="36"/>
      <c r="C2986" s="98"/>
      <c r="D2986" s="98"/>
      <c r="E2986" s="98"/>
      <c r="F2986" s="102"/>
      <c r="G2986" s="103"/>
    </row>
    <row r="2987" spans="1:7" x14ac:dyDescent="0.25">
      <c r="A2987" s="101"/>
      <c r="B2987" s="36"/>
      <c r="C2987" s="98"/>
      <c r="D2987" s="98"/>
      <c r="E2987" s="98"/>
      <c r="F2987" s="102"/>
      <c r="G2987" s="103"/>
    </row>
    <row r="2988" spans="1:7" x14ac:dyDescent="0.25">
      <c r="A2988" s="101"/>
      <c r="B2988" s="36"/>
      <c r="C2988" s="98"/>
      <c r="D2988" s="98"/>
      <c r="E2988" s="98"/>
      <c r="F2988" s="102"/>
      <c r="G2988" s="103"/>
    </row>
    <row r="2989" spans="1:7" x14ac:dyDescent="0.25">
      <c r="A2989" s="101"/>
      <c r="B2989" s="104"/>
      <c r="C2989" s="98"/>
      <c r="D2989" s="98"/>
      <c r="E2989" s="98"/>
      <c r="F2989" s="102"/>
      <c r="G2989" s="103"/>
    </row>
    <row r="2990" spans="1:7" x14ac:dyDescent="0.25">
      <c r="A2990" s="101"/>
      <c r="B2990" s="104"/>
      <c r="C2990" s="98"/>
      <c r="D2990" s="98"/>
      <c r="E2990" s="98"/>
      <c r="F2990" s="102"/>
      <c r="G2990" s="103"/>
    </row>
    <row r="2991" spans="1:7" x14ac:dyDescent="0.25">
      <c r="A2991" s="101"/>
      <c r="B2991" s="36"/>
      <c r="C2991" s="98"/>
      <c r="D2991" s="98"/>
      <c r="E2991" s="98"/>
      <c r="F2991" s="102"/>
      <c r="G2991" s="103"/>
    </row>
    <row r="2992" spans="1:7" x14ac:dyDescent="0.25">
      <c r="A2992" s="101"/>
      <c r="B2992" s="36"/>
      <c r="C2992" s="98"/>
      <c r="D2992" s="98"/>
      <c r="E2992" s="98"/>
      <c r="F2992" s="102"/>
      <c r="G2992" s="103"/>
    </row>
    <row r="2993" spans="1:7" x14ac:dyDescent="0.25">
      <c r="A2993" s="101"/>
      <c r="B2993" s="36"/>
      <c r="C2993" s="98"/>
      <c r="D2993" s="98"/>
      <c r="E2993" s="98"/>
      <c r="F2993" s="102"/>
      <c r="G2993" s="103"/>
    </row>
    <row r="2994" spans="1:7" x14ac:dyDescent="0.25">
      <c r="A2994" s="101"/>
      <c r="B2994" s="36"/>
      <c r="C2994" s="98"/>
      <c r="D2994" s="98"/>
      <c r="E2994" s="98"/>
      <c r="F2994" s="102"/>
      <c r="G2994" s="103"/>
    </row>
    <row r="2995" spans="1:7" x14ac:dyDescent="0.25">
      <c r="A2995" s="101"/>
      <c r="B2995" s="36"/>
      <c r="C2995" s="98"/>
      <c r="D2995" s="98"/>
      <c r="E2995" s="98"/>
      <c r="F2995" s="102"/>
      <c r="G2995" s="103"/>
    </row>
    <row r="2996" spans="1:7" x14ac:dyDescent="0.25">
      <c r="A2996" s="101"/>
      <c r="B2996" s="36"/>
      <c r="C2996" s="98"/>
      <c r="D2996" s="98"/>
      <c r="E2996" s="98"/>
      <c r="F2996" s="102"/>
      <c r="G2996" s="103"/>
    </row>
    <row r="2997" spans="1:7" x14ac:dyDescent="0.25">
      <c r="A2997" s="101"/>
      <c r="B2997" s="36"/>
      <c r="C2997" s="98"/>
      <c r="D2997" s="98"/>
      <c r="E2997" s="98"/>
      <c r="F2997" s="102"/>
      <c r="G2997" s="103"/>
    </row>
    <row r="2998" spans="1:7" x14ac:dyDescent="0.25">
      <c r="A2998" s="101"/>
      <c r="B2998" s="67"/>
      <c r="C2998" s="98"/>
      <c r="D2998" s="98"/>
      <c r="E2998" s="98"/>
      <c r="F2998" s="102"/>
      <c r="G2998" s="103"/>
    </row>
    <row r="2999" spans="1:7" x14ac:dyDescent="0.25">
      <c r="A2999" s="101"/>
      <c r="B2999" s="36"/>
      <c r="C2999" s="98"/>
      <c r="D2999" s="98"/>
      <c r="E2999" s="98"/>
      <c r="F2999" s="102"/>
      <c r="G2999" s="103"/>
    </row>
    <row r="3000" spans="1:7" x14ac:dyDescent="0.25">
      <c r="A3000" s="101"/>
      <c r="B3000" s="36"/>
      <c r="C3000" s="98"/>
      <c r="D3000" s="98"/>
      <c r="E3000" s="98"/>
      <c r="F3000" s="102"/>
      <c r="G3000" s="103"/>
    </row>
    <row r="3001" spans="1:7" x14ac:dyDescent="0.25">
      <c r="A3001" s="101"/>
      <c r="B3001" s="66"/>
      <c r="C3001" s="98"/>
      <c r="D3001" s="98"/>
      <c r="E3001" s="98"/>
      <c r="F3001" s="102"/>
      <c r="G3001" s="103"/>
    </row>
    <row r="3002" spans="1:7" x14ac:dyDescent="0.25">
      <c r="A3002" s="101"/>
      <c r="B3002" s="36"/>
      <c r="C3002" s="98"/>
      <c r="D3002" s="98"/>
      <c r="E3002" s="98"/>
      <c r="F3002" s="102"/>
      <c r="G3002" s="103"/>
    </row>
    <row r="3003" spans="1:7" x14ac:dyDescent="0.25">
      <c r="A3003" s="101"/>
      <c r="B3003" s="36"/>
      <c r="C3003" s="98"/>
      <c r="D3003" s="98"/>
      <c r="E3003" s="98"/>
      <c r="F3003" s="102"/>
      <c r="G3003" s="103"/>
    </row>
    <row r="3004" spans="1:7" x14ac:dyDescent="0.25">
      <c r="A3004" s="101"/>
      <c r="B3004" s="36"/>
      <c r="C3004" s="98"/>
      <c r="D3004" s="98"/>
      <c r="E3004" s="98"/>
      <c r="F3004" s="102"/>
      <c r="G3004" s="103"/>
    </row>
    <row r="3005" spans="1:7" x14ac:dyDescent="0.25">
      <c r="A3005" s="101"/>
      <c r="B3005" s="36"/>
      <c r="C3005" s="98"/>
      <c r="D3005" s="98"/>
      <c r="E3005" s="98"/>
      <c r="F3005" s="102"/>
      <c r="G3005" s="103"/>
    </row>
    <row r="3006" spans="1:7" x14ac:dyDescent="0.25">
      <c r="A3006" s="101"/>
      <c r="B3006" s="36"/>
      <c r="C3006" s="98"/>
      <c r="D3006" s="98"/>
      <c r="E3006" s="98"/>
      <c r="F3006" s="102"/>
      <c r="G3006" s="103"/>
    </row>
    <row r="3007" spans="1:7" x14ac:dyDescent="0.25">
      <c r="A3007" s="101"/>
      <c r="B3007" s="36"/>
      <c r="C3007" s="98"/>
      <c r="D3007" s="98"/>
      <c r="E3007" s="98"/>
      <c r="F3007" s="102"/>
      <c r="G3007" s="103"/>
    </row>
    <row r="3008" spans="1:7" x14ac:dyDescent="0.25">
      <c r="A3008" s="101"/>
      <c r="B3008" s="36"/>
      <c r="C3008" s="98"/>
      <c r="D3008" s="98"/>
      <c r="E3008" s="98"/>
      <c r="F3008" s="102"/>
      <c r="G3008" s="103"/>
    </row>
    <row r="3009" spans="1:7" x14ac:dyDescent="0.25">
      <c r="A3009" s="101"/>
      <c r="B3009" s="36"/>
      <c r="C3009" s="98"/>
      <c r="D3009" s="98"/>
      <c r="E3009" s="98"/>
      <c r="F3009" s="102"/>
      <c r="G3009" s="103"/>
    </row>
    <row r="3010" spans="1:7" x14ac:dyDescent="0.25">
      <c r="A3010" s="101"/>
      <c r="B3010" s="36"/>
      <c r="C3010" s="98"/>
      <c r="D3010" s="98"/>
      <c r="E3010" s="98"/>
      <c r="F3010" s="102"/>
      <c r="G3010" s="103"/>
    </row>
    <row r="3011" spans="1:7" x14ac:dyDescent="0.25">
      <c r="A3011" s="101"/>
      <c r="B3011" s="36"/>
      <c r="C3011" s="98"/>
      <c r="D3011" s="98"/>
      <c r="E3011" s="98"/>
      <c r="F3011" s="102"/>
      <c r="G3011" s="103"/>
    </row>
    <row r="3012" spans="1:7" x14ac:dyDescent="0.25">
      <c r="A3012" s="101"/>
      <c r="B3012" s="36"/>
      <c r="C3012" s="98"/>
      <c r="D3012" s="98"/>
      <c r="E3012" s="98"/>
      <c r="F3012" s="102"/>
      <c r="G3012" s="103"/>
    </row>
    <row r="3013" spans="1:7" x14ac:dyDescent="0.25">
      <c r="A3013" s="101"/>
      <c r="B3013" s="104"/>
      <c r="C3013" s="98"/>
      <c r="D3013" s="98"/>
      <c r="E3013" s="98"/>
      <c r="F3013" s="102"/>
      <c r="G3013" s="103"/>
    </row>
    <row r="3014" spans="1:7" x14ac:dyDescent="0.25">
      <c r="A3014" s="101"/>
      <c r="B3014" s="104"/>
      <c r="C3014" s="98"/>
      <c r="D3014" s="98"/>
      <c r="E3014" s="98"/>
      <c r="F3014" s="102"/>
      <c r="G3014" s="103"/>
    </row>
    <row r="3015" spans="1:7" x14ac:dyDescent="0.25">
      <c r="A3015" s="101"/>
      <c r="B3015" s="36"/>
      <c r="C3015" s="98"/>
      <c r="D3015" s="98"/>
      <c r="E3015" s="98"/>
      <c r="F3015" s="102"/>
      <c r="G3015" s="103"/>
    </row>
    <row r="3016" spans="1:7" x14ac:dyDescent="0.25">
      <c r="A3016" s="101"/>
      <c r="B3016" s="36"/>
      <c r="C3016" s="98"/>
      <c r="D3016" s="98"/>
      <c r="E3016" s="98"/>
      <c r="F3016" s="102"/>
      <c r="G3016" s="103"/>
    </row>
    <row r="3017" spans="1:7" x14ac:dyDescent="0.25">
      <c r="A3017" s="101"/>
      <c r="B3017" s="36"/>
      <c r="C3017" s="98"/>
      <c r="D3017" s="98"/>
      <c r="E3017" s="98"/>
      <c r="F3017" s="102"/>
      <c r="G3017" s="103"/>
    </row>
    <row r="3018" spans="1:7" x14ac:dyDescent="0.25">
      <c r="A3018" s="101"/>
      <c r="B3018" s="36"/>
      <c r="C3018" s="98"/>
      <c r="D3018" s="98"/>
      <c r="E3018" s="98"/>
      <c r="F3018" s="102"/>
      <c r="G3018" s="103"/>
    </row>
    <row r="3019" spans="1:7" x14ac:dyDescent="0.25">
      <c r="A3019" s="101"/>
      <c r="B3019" s="36"/>
      <c r="C3019" s="98"/>
      <c r="D3019" s="98"/>
      <c r="E3019" s="98"/>
      <c r="F3019" s="102"/>
      <c r="G3019" s="103"/>
    </row>
    <row r="3020" spans="1:7" x14ac:dyDescent="0.25">
      <c r="A3020" s="101"/>
      <c r="B3020" s="36"/>
      <c r="C3020" s="98"/>
      <c r="D3020" s="98"/>
      <c r="E3020" s="98"/>
      <c r="F3020" s="102"/>
      <c r="G3020" s="103"/>
    </row>
    <row r="3021" spans="1:7" x14ac:dyDescent="0.25">
      <c r="A3021" s="101"/>
      <c r="B3021" s="36"/>
      <c r="C3021" s="98"/>
      <c r="D3021" s="98"/>
      <c r="E3021" s="98"/>
      <c r="F3021" s="102"/>
      <c r="G3021" s="103"/>
    </row>
    <row r="3022" spans="1:7" x14ac:dyDescent="0.25">
      <c r="A3022" s="101"/>
      <c r="B3022" s="36"/>
      <c r="C3022" s="98"/>
      <c r="D3022" s="98"/>
      <c r="E3022" s="98"/>
      <c r="F3022" s="102"/>
      <c r="G3022" s="103"/>
    </row>
    <row r="3023" spans="1:7" x14ac:dyDescent="0.25">
      <c r="A3023" s="101"/>
      <c r="B3023" s="36"/>
      <c r="C3023" s="98"/>
      <c r="D3023" s="98"/>
      <c r="E3023" s="98"/>
      <c r="F3023" s="102"/>
      <c r="G3023" s="103"/>
    </row>
    <row r="3024" spans="1:7" x14ac:dyDescent="0.25">
      <c r="A3024" s="101"/>
      <c r="B3024" s="36"/>
      <c r="C3024" s="98"/>
      <c r="D3024" s="98"/>
      <c r="E3024" s="98"/>
      <c r="F3024" s="102"/>
      <c r="G3024" s="103"/>
    </row>
    <row r="3025" spans="1:7" x14ac:dyDescent="0.25">
      <c r="A3025" s="101"/>
      <c r="B3025" s="36"/>
      <c r="C3025" s="98"/>
      <c r="D3025" s="98"/>
      <c r="E3025" s="98"/>
      <c r="F3025" s="102"/>
      <c r="G3025" s="103"/>
    </row>
    <row r="3026" spans="1:7" x14ac:dyDescent="0.25">
      <c r="A3026" s="101"/>
      <c r="B3026" s="36"/>
      <c r="C3026" s="98"/>
      <c r="D3026" s="98"/>
      <c r="E3026" s="98"/>
      <c r="F3026" s="102"/>
      <c r="G3026" s="103"/>
    </row>
    <row r="3027" spans="1:7" x14ac:dyDescent="0.25">
      <c r="A3027" s="101"/>
      <c r="B3027" s="36"/>
      <c r="C3027" s="98"/>
      <c r="D3027" s="98"/>
      <c r="E3027" s="98"/>
      <c r="F3027" s="102"/>
      <c r="G3027" s="103"/>
    </row>
    <row r="3028" spans="1:7" x14ac:dyDescent="0.25">
      <c r="A3028" s="101"/>
      <c r="B3028" s="36"/>
      <c r="C3028" s="98"/>
      <c r="D3028" s="98"/>
      <c r="E3028" s="98"/>
      <c r="F3028" s="102"/>
      <c r="G3028" s="103"/>
    </row>
    <row r="3029" spans="1:7" x14ac:dyDescent="0.25">
      <c r="A3029" s="101"/>
      <c r="B3029" s="36"/>
      <c r="C3029" s="98"/>
      <c r="D3029" s="98"/>
      <c r="E3029" s="98"/>
      <c r="F3029" s="102"/>
      <c r="G3029" s="103"/>
    </row>
    <row r="3030" spans="1:7" x14ac:dyDescent="0.25">
      <c r="A3030" s="101"/>
      <c r="B3030" s="36"/>
      <c r="C3030" s="98"/>
      <c r="D3030" s="98"/>
      <c r="E3030" s="98"/>
      <c r="F3030" s="102"/>
      <c r="G3030" s="103"/>
    </row>
    <row r="3031" spans="1:7" x14ac:dyDescent="0.25">
      <c r="A3031" s="101"/>
      <c r="B3031" s="36"/>
      <c r="C3031" s="98"/>
      <c r="D3031" s="98"/>
      <c r="E3031" s="98"/>
      <c r="F3031" s="102"/>
      <c r="G3031" s="103"/>
    </row>
    <row r="3032" spans="1:7" x14ac:dyDescent="0.25">
      <c r="A3032" s="101"/>
      <c r="B3032" s="36"/>
      <c r="C3032" s="98"/>
      <c r="D3032" s="98"/>
      <c r="E3032" s="98"/>
      <c r="F3032" s="102"/>
      <c r="G3032" s="103"/>
    </row>
    <row r="3033" spans="1:7" x14ac:dyDescent="0.25">
      <c r="A3033" s="101"/>
      <c r="B3033" s="104"/>
      <c r="C3033" s="98"/>
      <c r="D3033" s="98"/>
      <c r="E3033" s="98"/>
      <c r="F3033" s="102"/>
      <c r="G3033" s="103"/>
    </row>
    <row r="3034" spans="1:7" x14ac:dyDescent="0.25">
      <c r="A3034" s="101"/>
      <c r="B3034" s="104"/>
      <c r="C3034" s="98"/>
      <c r="D3034" s="98"/>
      <c r="E3034" s="98"/>
      <c r="F3034" s="102"/>
      <c r="G3034" s="103"/>
    </row>
    <row r="3035" spans="1:7" x14ac:dyDescent="0.25">
      <c r="A3035" s="101"/>
      <c r="B3035" s="36"/>
      <c r="C3035" s="98"/>
      <c r="D3035" s="98"/>
      <c r="E3035" s="98"/>
      <c r="F3035" s="102"/>
      <c r="G3035" s="103"/>
    </row>
    <row r="3036" spans="1:7" x14ac:dyDescent="0.25">
      <c r="A3036" s="101"/>
      <c r="B3036" s="36"/>
      <c r="C3036" s="98"/>
      <c r="D3036" s="98"/>
      <c r="E3036" s="98"/>
      <c r="F3036" s="102"/>
      <c r="G3036" s="103"/>
    </row>
    <row r="3037" spans="1:7" x14ac:dyDescent="0.25">
      <c r="A3037" s="101"/>
      <c r="B3037" s="36"/>
      <c r="C3037" s="98"/>
      <c r="D3037" s="98"/>
      <c r="E3037" s="98"/>
      <c r="F3037" s="102"/>
      <c r="G3037" s="103"/>
    </row>
    <row r="3038" spans="1:7" x14ac:dyDescent="0.25">
      <c r="A3038" s="101"/>
      <c r="B3038" s="36"/>
      <c r="C3038" s="98"/>
      <c r="D3038" s="98"/>
      <c r="E3038" s="98"/>
      <c r="F3038" s="102"/>
      <c r="G3038" s="103"/>
    </row>
    <row r="3039" spans="1:7" x14ac:dyDescent="0.25">
      <c r="A3039" s="101"/>
      <c r="B3039" s="36"/>
      <c r="C3039" s="98"/>
      <c r="D3039" s="98"/>
      <c r="E3039" s="98"/>
      <c r="F3039" s="102"/>
      <c r="G3039" s="103"/>
    </row>
    <row r="3040" spans="1:7" x14ac:dyDescent="0.25">
      <c r="A3040" s="101"/>
      <c r="B3040" s="36"/>
      <c r="C3040" s="98"/>
      <c r="D3040" s="98"/>
      <c r="E3040" s="98"/>
      <c r="F3040" s="102"/>
      <c r="G3040" s="103"/>
    </row>
    <row r="3041" spans="1:7" x14ac:dyDescent="0.25">
      <c r="A3041" s="101"/>
      <c r="B3041" s="36"/>
      <c r="C3041" s="98"/>
      <c r="D3041" s="98"/>
      <c r="E3041" s="98"/>
      <c r="F3041" s="102"/>
      <c r="G3041" s="103"/>
    </row>
    <row r="3042" spans="1:7" x14ac:dyDescent="0.25">
      <c r="A3042" s="101"/>
      <c r="B3042" s="36"/>
      <c r="C3042" s="98"/>
      <c r="D3042" s="98"/>
      <c r="E3042" s="98"/>
      <c r="F3042" s="102"/>
      <c r="G3042" s="103"/>
    </row>
    <row r="3043" spans="1:7" x14ac:dyDescent="0.25">
      <c r="A3043" s="101"/>
      <c r="B3043" s="36"/>
      <c r="C3043" s="98"/>
      <c r="D3043" s="98"/>
      <c r="E3043" s="98"/>
      <c r="F3043" s="102"/>
      <c r="G3043" s="103"/>
    </row>
    <row r="3044" spans="1:7" x14ac:dyDescent="0.25">
      <c r="A3044" s="101"/>
      <c r="B3044" s="36"/>
      <c r="C3044" s="98"/>
      <c r="D3044" s="98"/>
      <c r="E3044" s="98"/>
      <c r="F3044" s="102"/>
      <c r="G3044" s="103"/>
    </row>
    <row r="3045" spans="1:7" x14ac:dyDescent="0.25">
      <c r="A3045" s="101"/>
      <c r="B3045" s="36"/>
      <c r="C3045" s="98"/>
      <c r="D3045" s="98"/>
      <c r="E3045" s="98"/>
      <c r="F3045" s="102"/>
      <c r="G3045" s="103"/>
    </row>
    <row r="3046" spans="1:7" x14ac:dyDescent="0.25">
      <c r="A3046" s="101"/>
      <c r="B3046" s="36"/>
      <c r="C3046" s="98"/>
      <c r="D3046" s="98"/>
      <c r="E3046" s="98"/>
      <c r="F3046" s="102"/>
      <c r="G3046" s="103"/>
    </row>
    <row r="3047" spans="1:7" x14ac:dyDescent="0.25">
      <c r="A3047" s="101"/>
      <c r="B3047" s="104"/>
      <c r="C3047" s="98"/>
      <c r="D3047" s="98"/>
      <c r="E3047" s="98"/>
      <c r="F3047" s="102"/>
      <c r="G3047" s="103"/>
    </row>
    <row r="3048" spans="1:7" x14ac:dyDescent="0.25">
      <c r="A3048" s="101"/>
      <c r="B3048" s="36"/>
      <c r="C3048" s="98"/>
      <c r="D3048" s="98"/>
      <c r="E3048" s="98"/>
      <c r="F3048" s="102"/>
      <c r="G3048" s="103"/>
    </row>
    <row r="3049" spans="1:7" x14ac:dyDescent="0.25">
      <c r="A3049" s="101"/>
      <c r="B3049" s="36"/>
      <c r="C3049" s="98"/>
      <c r="D3049" s="98"/>
      <c r="E3049" s="98"/>
      <c r="F3049" s="102"/>
      <c r="G3049" s="103"/>
    </row>
    <row r="3050" spans="1:7" x14ac:dyDescent="0.25">
      <c r="A3050" s="101"/>
      <c r="B3050" s="36"/>
      <c r="C3050" s="98"/>
      <c r="D3050" s="98"/>
      <c r="E3050" s="98"/>
      <c r="F3050" s="102"/>
      <c r="G3050" s="103"/>
    </row>
    <row r="3051" spans="1:7" x14ac:dyDescent="0.25">
      <c r="A3051" s="101"/>
      <c r="B3051" s="36"/>
      <c r="C3051" s="98"/>
      <c r="D3051" s="98"/>
      <c r="E3051" s="98"/>
      <c r="F3051" s="102"/>
      <c r="G3051" s="103"/>
    </row>
    <row r="3052" spans="1:7" x14ac:dyDescent="0.25">
      <c r="A3052" s="101"/>
      <c r="B3052" s="36"/>
      <c r="C3052" s="98"/>
      <c r="D3052" s="98"/>
      <c r="E3052" s="98"/>
      <c r="F3052" s="102"/>
      <c r="G3052" s="103"/>
    </row>
    <row r="3053" spans="1:7" x14ac:dyDescent="0.25">
      <c r="A3053" s="101"/>
      <c r="B3053" s="67"/>
      <c r="C3053" s="98"/>
      <c r="D3053" s="98"/>
      <c r="E3053" s="98"/>
      <c r="F3053" s="102"/>
      <c r="G3053" s="103"/>
    </row>
    <row r="3054" spans="1:7" x14ac:dyDescent="0.25">
      <c r="A3054" s="101"/>
      <c r="B3054" s="36"/>
      <c r="C3054" s="98"/>
      <c r="D3054" s="98"/>
      <c r="E3054" s="98"/>
      <c r="F3054" s="102"/>
      <c r="G3054" s="103"/>
    </row>
    <row r="3055" spans="1:7" x14ac:dyDescent="0.25">
      <c r="A3055" s="101"/>
      <c r="B3055" s="36"/>
      <c r="C3055" s="98"/>
      <c r="D3055" s="98"/>
      <c r="E3055" s="98"/>
      <c r="F3055" s="102"/>
      <c r="G3055" s="103"/>
    </row>
    <row r="3056" spans="1:7" x14ac:dyDescent="0.25">
      <c r="A3056" s="101"/>
      <c r="B3056" s="36"/>
      <c r="C3056" s="98"/>
      <c r="D3056" s="98"/>
      <c r="E3056" s="98"/>
      <c r="F3056" s="102"/>
      <c r="G3056" s="103"/>
    </row>
    <row r="3057" spans="1:7" x14ac:dyDescent="0.25">
      <c r="A3057" s="101"/>
      <c r="B3057" s="36"/>
      <c r="C3057" s="98"/>
      <c r="D3057" s="98"/>
      <c r="E3057" s="98"/>
      <c r="F3057" s="102"/>
      <c r="G3057" s="103"/>
    </row>
    <row r="3058" spans="1:7" x14ac:dyDescent="0.25">
      <c r="A3058" s="101"/>
      <c r="B3058" s="36"/>
      <c r="C3058" s="98"/>
      <c r="D3058" s="98"/>
      <c r="E3058" s="98"/>
      <c r="F3058" s="102"/>
      <c r="G3058" s="103"/>
    </row>
    <row r="3059" spans="1:7" x14ac:dyDescent="0.25">
      <c r="A3059" s="101"/>
      <c r="B3059" s="36"/>
      <c r="C3059" s="98"/>
      <c r="D3059" s="98"/>
      <c r="E3059" s="98"/>
      <c r="F3059" s="102"/>
      <c r="G3059" s="103"/>
    </row>
    <row r="3060" spans="1:7" x14ac:dyDescent="0.25">
      <c r="A3060" s="101"/>
      <c r="B3060" s="36"/>
      <c r="C3060" s="98"/>
      <c r="D3060" s="98"/>
      <c r="E3060" s="98"/>
      <c r="F3060" s="102"/>
      <c r="G3060" s="103"/>
    </row>
    <row r="3061" spans="1:7" x14ac:dyDescent="0.25">
      <c r="A3061" s="101"/>
      <c r="B3061" s="36"/>
      <c r="C3061" s="98"/>
      <c r="D3061" s="98"/>
      <c r="E3061" s="98"/>
      <c r="F3061" s="102"/>
      <c r="G3061" s="103"/>
    </row>
    <row r="3062" spans="1:7" x14ac:dyDescent="0.25">
      <c r="A3062" s="101"/>
      <c r="B3062" s="36"/>
      <c r="C3062" s="98"/>
      <c r="D3062" s="98"/>
      <c r="E3062" s="98"/>
      <c r="F3062" s="102"/>
      <c r="G3062" s="103"/>
    </row>
    <row r="3063" spans="1:7" x14ac:dyDescent="0.25">
      <c r="A3063" s="101"/>
      <c r="B3063" s="36"/>
      <c r="C3063" s="98"/>
      <c r="D3063" s="98"/>
      <c r="E3063" s="98"/>
      <c r="F3063" s="102"/>
      <c r="G3063" s="103"/>
    </row>
    <row r="3064" spans="1:7" x14ac:dyDescent="0.25">
      <c r="A3064" s="101"/>
      <c r="B3064" s="36"/>
      <c r="C3064" s="98"/>
      <c r="D3064" s="98"/>
      <c r="E3064" s="98"/>
      <c r="F3064" s="102"/>
      <c r="G3064" s="103"/>
    </row>
    <row r="3065" spans="1:7" x14ac:dyDescent="0.25">
      <c r="A3065" s="101"/>
      <c r="B3065" s="36"/>
      <c r="C3065" s="98"/>
      <c r="D3065" s="98"/>
      <c r="E3065" s="98"/>
      <c r="F3065" s="102"/>
      <c r="G3065" s="103"/>
    </row>
    <row r="3066" spans="1:7" x14ac:dyDescent="0.25">
      <c r="A3066" s="101"/>
      <c r="B3066" s="36"/>
      <c r="C3066" s="98"/>
      <c r="D3066" s="98"/>
      <c r="E3066" s="98"/>
      <c r="F3066" s="102"/>
      <c r="G3066" s="103"/>
    </row>
    <row r="3067" spans="1:7" x14ac:dyDescent="0.25">
      <c r="A3067" s="101"/>
      <c r="B3067" s="36"/>
      <c r="C3067" s="98"/>
      <c r="D3067" s="98"/>
      <c r="E3067" s="98"/>
      <c r="F3067" s="102"/>
      <c r="G3067" s="103"/>
    </row>
    <row r="3068" spans="1:7" x14ac:dyDescent="0.25">
      <c r="A3068" s="101"/>
      <c r="B3068" s="66"/>
      <c r="C3068" s="98"/>
      <c r="D3068" s="98"/>
      <c r="E3068" s="98"/>
      <c r="F3068" s="102"/>
      <c r="G3068" s="103"/>
    </row>
    <row r="3069" spans="1:7" x14ac:dyDescent="0.25">
      <c r="A3069" s="101"/>
      <c r="B3069" s="36"/>
      <c r="C3069" s="98"/>
      <c r="D3069" s="98"/>
      <c r="E3069" s="98"/>
      <c r="F3069" s="102"/>
      <c r="G3069" s="103"/>
    </row>
    <row r="3070" spans="1:7" x14ac:dyDescent="0.25">
      <c r="A3070" s="101"/>
      <c r="B3070" s="36"/>
      <c r="C3070" s="98"/>
      <c r="D3070" s="98"/>
      <c r="E3070" s="98"/>
      <c r="F3070" s="102"/>
      <c r="G3070" s="103"/>
    </row>
    <row r="3071" spans="1:7" x14ac:dyDescent="0.25">
      <c r="A3071" s="101"/>
      <c r="B3071" s="36"/>
      <c r="C3071" s="98"/>
      <c r="D3071" s="98"/>
      <c r="E3071" s="98"/>
      <c r="F3071" s="102"/>
      <c r="G3071" s="103"/>
    </row>
    <row r="3072" spans="1:7" x14ac:dyDescent="0.25">
      <c r="A3072" s="101"/>
      <c r="B3072" s="36"/>
      <c r="C3072" s="98"/>
      <c r="D3072" s="98"/>
      <c r="E3072" s="98"/>
      <c r="F3072" s="102"/>
      <c r="G3072" s="103"/>
    </row>
    <row r="3073" spans="1:7" x14ac:dyDescent="0.25">
      <c r="A3073" s="101"/>
      <c r="B3073" s="36"/>
      <c r="C3073" s="98"/>
      <c r="D3073" s="98"/>
      <c r="E3073" s="98"/>
      <c r="F3073" s="102"/>
      <c r="G3073" s="103"/>
    </row>
    <row r="3074" spans="1:7" x14ac:dyDescent="0.25">
      <c r="A3074" s="101"/>
      <c r="B3074" s="36"/>
      <c r="C3074" s="98"/>
      <c r="D3074" s="98"/>
      <c r="E3074" s="98"/>
      <c r="F3074" s="102"/>
      <c r="G3074" s="103"/>
    </row>
    <row r="3075" spans="1:7" x14ac:dyDescent="0.25">
      <c r="A3075" s="101"/>
      <c r="B3075" s="36"/>
      <c r="C3075" s="98"/>
      <c r="D3075" s="98"/>
      <c r="E3075" s="98"/>
      <c r="F3075" s="102"/>
      <c r="G3075" s="103"/>
    </row>
    <row r="3076" spans="1:7" x14ac:dyDescent="0.25">
      <c r="A3076" s="101"/>
      <c r="B3076" s="36"/>
      <c r="C3076" s="98"/>
      <c r="D3076" s="98"/>
      <c r="E3076" s="98"/>
      <c r="F3076" s="102"/>
      <c r="G3076" s="103"/>
    </row>
    <row r="3077" spans="1:7" x14ac:dyDescent="0.25">
      <c r="A3077" s="101"/>
      <c r="B3077" s="36"/>
      <c r="C3077" s="98"/>
      <c r="D3077" s="98"/>
      <c r="E3077" s="98"/>
      <c r="F3077" s="102"/>
      <c r="G3077" s="103"/>
    </row>
    <row r="3078" spans="1:7" x14ac:dyDescent="0.25">
      <c r="A3078" s="101"/>
      <c r="B3078" s="36"/>
      <c r="C3078" s="98"/>
      <c r="D3078" s="98"/>
      <c r="E3078" s="98"/>
      <c r="F3078" s="102"/>
      <c r="G3078" s="103"/>
    </row>
    <row r="3079" spans="1:7" x14ac:dyDescent="0.25">
      <c r="A3079" s="101"/>
      <c r="B3079" s="36"/>
      <c r="C3079" s="98"/>
      <c r="D3079" s="98"/>
      <c r="E3079" s="98"/>
      <c r="F3079" s="102"/>
      <c r="G3079" s="103"/>
    </row>
    <row r="3080" spans="1:7" x14ac:dyDescent="0.25">
      <c r="A3080" s="101"/>
      <c r="B3080" s="36"/>
      <c r="C3080" s="98"/>
      <c r="D3080" s="98"/>
      <c r="E3080" s="98"/>
      <c r="F3080" s="102"/>
      <c r="G3080" s="103"/>
    </row>
    <row r="3081" spans="1:7" x14ac:dyDescent="0.25">
      <c r="A3081" s="101"/>
      <c r="B3081" s="36"/>
      <c r="C3081" s="98"/>
      <c r="D3081" s="98"/>
      <c r="E3081" s="98"/>
      <c r="F3081" s="102"/>
      <c r="G3081" s="103"/>
    </row>
    <row r="3082" spans="1:7" x14ac:dyDescent="0.25">
      <c r="A3082" s="101"/>
      <c r="B3082" s="36"/>
      <c r="C3082" s="98"/>
      <c r="D3082" s="98"/>
      <c r="E3082" s="98"/>
      <c r="F3082" s="102"/>
      <c r="G3082" s="103"/>
    </row>
    <row r="3083" spans="1:7" x14ac:dyDescent="0.25">
      <c r="A3083" s="101"/>
      <c r="B3083" s="36"/>
      <c r="C3083" s="98"/>
      <c r="D3083" s="98"/>
      <c r="E3083" s="98"/>
      <c r="F3083" s="102"/>
      <c r="G3083" s="103"/>
    </row>
    <row r="3084" spans="1:7" x14ac:dyDescent="0.25">
      <c r="A3084" s="101"/>
      <c r="B3084" s="36"/>
      <c r="C3084" s="98"/>
      <c r="D3084" s="98"/>
      <c r="E3084" s="98"/>
      <c r="F3084" s="102"/>
      <c r="G3084" s="103"/>
    </row>
    <row r="3085" spans="1:7" x14ac:dyDescent="0.25">
      <c r="A3085" s="101"/>
      <c r="B3085" s="36"/>
      <c r="C3085" s="98"/>
      <c r="D3085" s="98"/>
      <c r="E3085" s="98"/>
      <c r="F3085" s="102"/>
      <c r="G3085" s="103"/>
    </row>
    <row r="3086" spans="1:7" x14ac:dyDescent="0.25">
      <c r="A3086" s="101"/>
      <c r="B3086" s="36"/>
      <c r="C3086" s="98"/>
      <c r="D3086" s="98"/>
      <c r="E3086" s="98"/>
      <c r="F3086" s="102"/>
      <c r="G3086" s="103"/>
    </row>
    <row r="3087" spans="1:7" x14ac:dyDescent="0.25">
      <c r="A3087" s="101"/>
      <c r="B3087" s="67"/>
      <c r="C3087" s="98"/>
      <c r="D3087" s="98"/>
      <c r="E3087" s="98"/>
      <c r="F3087" s="102"/>
      <c r="G3087" s="103"/>
    </row>
    <row r="3088" spans="1:7" x14ac:dyDescent="0.25">
      <c r="A3088" s="101"/>
      <c r="B3088" s="36"/>
      <c r="C3088" s="98"/>
      <c r="D3088" s="98"/>
      <c r="E3088" s="98"/>
      <c r="F3088" s="102"/>
      <c r="G3088" s="103"/>
    </row>
    <row r="3089" spans="1:7" x14ac:dyDescent="0.25">
      <c r="A3089" s="101"/>
      <c r="B3089" s="36"/>
      <c r="C3089" s="98"/>
      <c r="D3089" s="98"/>
      <c r="E3089" s="98"/>
      <c r="F3089" s="102"/>
      <c r="G3089" s="103"/>
    </row>
    <row r="3090" spans="1:7" x14ac:dyDescent="0.25">
      <c r="A3090" s="101"/>
      <c r="B3090" s="36"/>
      <c r="C3090" s="98"/>
      <c r="D3090" s="98"/>
      <c r="E3090" s="98"/>
      <c r="F3090" s="102"/>
      <c r="G3090" s="103"/>
    </row>
    <row r="3091" spans="1:7" x14ac:dyDescent="0.25">
      <c r="A3091" s="101"/>
      <c r="B3091" s="36"/>
      <c r="C3091" s="98"/>
      <c r="D3091" s="98"/>
      <c r="E3091" s="98"/>
      <c r="F3091" s="102"/>
      <c r="G3091" s="103"/>
    </row>
    <row r="3092" spans="1:7" x14ac:dyDescent="0.25">
      <c r="A3092" s="101"/>
      <c r="B3092" s="36"/>
      <c r="C3092" s="98"/>
      <c r="D3092" s="98"/>
      <c r="E3092" s="98"/>
      <c r="F3092" s="102"/>
      <c r="G3092" s="103"/>
    </row>
    <row r="3093" spans="1:7" x14ac:dyDescent="0.25">
      <c r="A3093" s="101"/>
      <c r="B3093" s="36"/>
      <c r="C3093" s="98"/>
      <c r="D3093" s="98"/>
      <c r="E3093" s="98"/>
      <c r="F3093" s="102"/>
      <c r="G3093" s="103"/>
    </row>
    <row r="3094" spans="1:7" x14ac:dyDescent="0.25">
      <c r="A3094" s="101"/>
      <c r="B3094" s="36"/>
      <c r="C3094" s="98"/>
      <c r="D3094" s="98"/>
      <c r="E3094" s="98"/>
      <c r="F3094" s="102"/>
      <c r="G3094" s="103"/>
    </row>
    <row r="3095" spans="1:7" x14ac:dyDescent="0.25">
      <c r="A3095" s="101"/>
      <c r="B3095" s="36"/>
      <c r="C3095" s="98"/>
      <c r="D3095" s="98"/>
      <c r="E3095" s="98"/>
      <c r="F3095" s="102"/>
      <c r="G3095" s="103"/>
    </row>
    <row r="3096" spans="1:7" x14ac:dyDescent="0.25">
      <c r="A3096" s="101"/>
      <c r="B3096" s="36"/>
      <c r="C3096" s="98"/>
      <c r="D3096" s="98"/>
      <c r="E3096" s="98"/>
      <c r="F3096" s="102"/>
      <c r="G3096" s="103"/>
    </row>
    <row r="3097" spans="1:7" x14ac:dyDescent="0.25">
      <c r="A3097" s="101"/>
      <c r="B3097" s="36"/>
      <c r="C3097" s="98"/>
      <c r="D3097" s="98"/>
      <c r="E3097" s="98"/>
      <c r="F3097" s="102"/>
      <c r="G3097" s="103"/>
    </row>
    <row r="3098" spans="1:7" x14ac:dyDescent="0.25">
      <c r="A3098" s="101"/>
      <c r="B3098" s="104"/>
      <c r="C3098" s="98"/>
      <c r="D3098" s="98"/>
      <c r="E3098" s="98"/>
      <c r="F3098" s="102"/>
      <c r="G3098" s="103"/>
    </row>
    <row r="3099" spans="1:7" x14ac:dyDescent="0.25">
      <c r="A3099" s="101"/>
      <c r="B3099" s="36"/>
      <c r="C3099" s="98"/>
      <c r="D3099" s="98"/>
      <c r="E3099" s="98"/>
      <c r="F3099" s="102"/>
      <c r="G3099" s="103"/>
    </row>
    <row r="3100" spans="1:7" x14ac:dyDescent="0.25">
      <c r="A3100" s="101"/>
      <c r="B3100" s="36"/>
      <c r="C3100" s="98"/>
      <c r="D3100" s="98"/>
      <c r="E3100" s="98"/>
      <c r="F3100" s="102"/>
      <c r="G3100" s="103"/>
    </row>
    <row r="3101" spans="1:7" x14ac:dyDescent="0.25">
      <c r="A3101" s="101"/>
      <c r="B3101" s="36"/>
      <c r="C3101" s="98"/>
      <c r="D3101" s="98"/>
      <c r="E3101" s="98"/>
      <c r="F3101" s="102"/>
      <c r="G3101" s="103"/>
    </row>
    <row r="3102" spans="1:7" x14ac:dyDescent="0.25">
      <c r="A3102" s="101"/>
      <c r="B3102" s="36"/>
      <c r="C3102" s="98"/>
      <c r="D3102" s="98"/>
      <c r="E3102" s="98"/>
      <c r="F3102" s="102"/>
      <c r="G3102" s="103"/>
    </row>
    <row r="3103" spans="1:7" x14ac:dyDescent="0.25">
      <c r="A3103" s="101"/>
      <c r="B3103" s="36"/>
      <c r="C3103" s="98"/>
      <c r="D3103" s="98"/>
      <c r="E3103" s="98"/>
      <c r="F3103" s="102"/>
      <c r="G3103" s="103"/>
    </row>
    <row r="3104" spans="1:7" x14ac:dyDescent="0.25">
      <c r="A3104" s="101"/>
      <c r="B3104" s="36"/>
      <c r="C3104" s="98"/>
      <c r="D3104" s="98"/>
      <c r="E3104" s="98"/>
      <c r="F3104" s="102"/>
      <c r="G3104" s="103"/>
    </row>
    <row r="3105" spans="1:7" x14ac:dyDescent="0.25">
      <c r="A3105" s="101"/>
      <c r="B3105" s="36"/>
      <c r="C3105" s="98"/>
      <c r="D3105" s="98"/>
      <c r="E3105" s="98"/>
      <c r="F3105" s="102"/>
      <c r="G3105" s="103"/>
    </row>
    <row r="3106" spans="1:7" x14ac:dyDescent="0.25">
      <c r="A3106" s="101"/>
      <c r="B3106" s="36"/>
      <c r="C3106" s="98"/>
      <c r="D3106" s="98"/>
      <c r="E3106" s="98"/>
      <c r="F3106" s="102"/>
      <c r="G3106" s="103"/>
    </row>
    <row r="3107" spans="1:7" x14ac:dyDescent="0.25">
      <c r="A3107" s="101"/>
      <c r="B3107" s="36"/>
      <c r="C3107" s="98"/>
      <c r="D3107" s="98"/>
      <c r="E3107" s="98"/>
      <c r="F3107" s="102"/>
      <c r="G3107" s="103"/>
    </row>
    <row r="3108" spans="1:7" x14ac:dyDescent="0.25">
      <c r="A3108" s="101"/>
      <c r="B3108" s="36"/>
      <c r="C3108" s="98"/>
      <c r="D3108" s="98"/>
      <c r="E3108" s="98"/>
      <c r="F3108" s="102"/>
      <c r="G3108" s="103"/>
    </row>
    <row r="3109" spans="1:7" x14ac:dyDescent="0.25">
      <c r="A3109" s="101"/>
      <c r="B3109" s="36"/>
      <c r="C3109" s="98"/>
      <c r="D3109" s="98"/>
      <c r="E3109" s="98"/>
      <c r="F3109" s="102"/>
      <c r="G3109" s="103"/>
    </row>
    <row r="3110" spans="1:7" x14ac:dyDescent="0.25">
      <c r="A3110" s="101"/>
      <c r="B3110" s="104"/>
      <c r="C3110" s="98"/>
      <c r="D3110" s="98"/>
      <c r="E3110" s="98"/>
      <c r="F3110" s="102"/>
      <c r="G3110" s="103"/>
    </row>
    <row r="3111" spans="1:7" x14ac:dyDescent="0.25">
      <c r="A3111" s="101"/>
      <c r="B3111" s="36"/>
      <c r="C3111" s="98"/>
      <c r="D3111" s="98"/>
      <c r="E3111" s="98"/>
      <c r="F3111" s="102"/>
      <c r="G3111" s="103"/>
    </row>
    <row r="3112" spans="1:7" x14ac:dyDescent="0.25">
      <c r="A3112" s="101"/>
      <c r="B3112" s="36"/>
      <c r="C3112" s="98"/>
      <c r="D3112" s="98"/>
      <c r="E3112" s="98"/>
      <c r="F3112" s="102"/>
      <c r="G3112" s="103"/>
    </row>
    <row r="3113" spans="1:7" x14ac:dyDescent="0.25">
      <c r="A3113" s="101"/>
      <c r="B3113" s="36"/>
      <c r="C3113" s="98"/>
      <c r="D3113" s="98"/>
      <c r="E3113" s="98"/>
      <c r="F3113" s="102"/>
      <c r="G3113" s="103"/>
    </row>
    <row r="3114" spans="1:7" x14ac:dyDescent="0.25">
      <c r="A3114" s="101"/>
      <c r="B3114" s="36"/>
      <c r="C3114" s="98"/>
      <c r="D3114" s="98"/>
      <c r="E3114" s="98"/>
      <c r="F3114" s="102"/>
      <c r="G3114" s="103"/>
    </row>
    <row r="3115" spans="1:7" x14ac:dyDescent="0.25">
      <c r="A3115" s="101"/>
      <c r="B3115" s="36"/>
      <c r="C3115" s="98"/>
      <c r="D3115" s="98"/>
      <c r="E3115" s="98"/>
      <c r="F3115" s="102"/>
      <c r="G3115" s="103"/>
    </row>
    <row r="3116" spans="1:7" x14ac:dyDescent="0.25">
      <c r="A3116" s="101"/>
      <c r="B3116" s="36"/>
      <c r="C3116" s="98"/>
      <c r="D3116" s="98"/>
      <c r="E3116" s="98"/>
      <c r="F3116" s="102"/>
      <c r="G3116" s="103"/>
    </row>
    <row r="3117" spans="1:7" x14ac:dyDescent="0.25">
      <c r="A3117" s="101"/>
      <c r="B3117" s="36"/>
      <c r="C3117" s="98"/>
      <c r="D3117" s="98"/>
      <c r="E3117" s="98"/>
      <c r="F3117" s="102"/>
      <c r="G3117" s="103"/>
    </row>
    <row r="3118" spans="1:7" x14ac:dyDescent="0.25">
      <c r="A3118" s="101"/>
      <c r="B3118" s="36"/>
      <c r="C3118" s="98"/>
      <c r="D3118" s="98"/>
      <c r="E3118" s="98"/>
      <c r="F3118" s="102"/>
      <c r="G3118" s="103"/>
    </row>
    <row r="3119" spans="1:7" x14ac:dyDescent="0.25">
      <c r="A3119" s="101"/>
      <c r="B3119" s="36"/>
      <c r="C3119" s="98"/>
      <c r="D3119" s="98"/>
      <c r="E3119" s="98"/>
      <c r="F3119" s="102"/>
      <c r="G3119" s="103"/>
    </row>
    <row r="3120" spans="1:7" x14ac:dyDescent="0.25">
      <c r="A3120" s="101"/>
      <c r="B3120" s="36"/>
      <c r="C3120" s="98"/>
      <c r="D3120" s="98"/>
      <c r="E3120" s="98"/>
      <c r="F3120" s="102"/>
      <c r="G3120" s="103"/>
    </row>
    <row r="3121" spans="1:7" x14ac:dyDescent="0.25">
      <c r="A3121" s="101"/>
      <c r="B3121" s="36"/>
      <c r="C3121" s="98"/>
      <c r="D3121" s="98"/>
      <c r="E3121" s="98"/>
      <c r="F3121" s="102"/>
      <c r="G3121" s="103"/>
    </row>
    <row r="3122" spans="1:7" x14ac:dyDescent="0.25">
      <c r="A3122" s="101"/>
      <c r="B3122" s="36"/>
      <c r="C3122" s="98"/>
      <c r="D3122" s="98"/>
      <c r="E3122" s="98"/>
      <c r="F3122" s="102"/>
      <c r="G3122" s="103"/>
    </row>
    <row r="3123" spans="1:7" x14ac:dyDescent="0.25">
      <c r="A3123" s="101"/>
      <c r="B3123" s="36"/>
      <c r="C3123" s="98"/>
      <c r="D3123" s="98"/>
      <c r="E3123" s="98"/>
      <c r="F3123" s="102"/>
      <c r="G3123" s="103"/>
    </row>
    <row r="3124" spans="1:7" x14ac:dyDescent="0.25">
      <c r="A3124" s="101"/>
      <c r="B3124" s="36"/>
      <c r="C3124" s="98"/>
      <c r="D3124" s="98"/>
      <c r="E3124" s="98"/>
      <c r="F3124" s="102"/>
      <c r="G3124" s="103"/>
    </row>
    <row r="3125" spans="1:7" x14ac:dyDescent="0.25">
      <c r="A3125" s="101"/>
      <c r="B3125" s="36"/>
      <c r="C3125" s="98"/>
      <c r="D3125" s="98"/>
      <c r="E3125" s="98"/>
      <c r="F3125" s="102"/>
      <c r="G3125" s="103"/>
    </row>
    <row r="3126" spans="1:7" x14ac:dyDescent="0.25">
      <c r="A3126" s="101"/>
      <c r="B3126" s="36"/>
      <c r="C3126" s="98"/>
      <c r="D3126" s="98"/>
      <c r="E3126" s="98"/>
      <c r="F3126" s="102"/>
      <c r="G3126" s="103"/>
    </row>
    <row r="3127" spans="1:7" x14ac:dyDescent="0.25">
      <c r="A3127" s="101"/>
      <c r="B3127" s="36"/>
      <c r="C3127" s="98"/>
      <c r="D3127" s="98"/>
      <c r="E3127" s="98"/>
      <c r="F3127" s="102"/>
      <c r="G3127" s="103"/>
    </row>
    <row r="3128" spans="1:7" x14ac:dyDescent="0.25">
      <c r="A3128" s="101"/>
      <c r="B3128" s="36"/>
      <c r="C3128" s="98"/>
      <c r="D3128" s="98"/>
      <c r="E3128" s="98"/>
      <c r="F3128" s="102"/>
      <c r="G3128" s="103"/>
    </row>
    <row r="3129" spans="1:7" x14ac:dyDescent="0.25">
      <c r="A3129" s="101"/>
      <c r="B3129" s="36"/>
      <c r="C3129" s="98"/>
      <c r="D3129" s="98"/>
      <c r="E3129" s="98"/>
      <c r="F3129" s="102"/>
      <c r="G3129" s="103"/>
    </row>
    <row r="3130" spans="1:7" x14ac:dyDescent="0.25">
      <c r="A3130" s="101"/>
      <c r="B3130" s="104"/>
      <c r="C3130" s="98"/>
      <c r="D3130" s="98"/>
      <c r="E3130" s="98"/>
      <c r="F3130" s="102"/>
      <c r="G3130" s="103"/>
    </row>
    <row r="3131" spans="1:7" x14ac:dyDescent="0.25">
      <c r="A3131" s="101"/>
      <c r="B3131" s="36"/>
      <c r="C3131" s="98"/>
      <c r="D3131" s="98"/>
      <c r="E3131" s="98"/>
      <c r="F3131" s="102"/>
      <c r="G3131" s="103"/>
    </row>
    <row r="3132" spans="1:7" x14ac:dyDescent="0.25">
      <c r="A3132" s="101"/>
      <c r="B3132" s="36"/>
      <c r="C3132" s="98"/>
      <c r="D3132" s="98"/>
      <c r="E3132" s="98"/>
      <c r="F3132" s="102"/>
      <c r="G3132" s="103"/>
    </row>
    <row r="3133" spans="1:7" x14ac:dyDescent="0.25">
      <c r="A3133" s="101"/>
      <c r="B3133" s="36"/>
      <c r="C3133" s="98"/>
      <c r="D3133" s="98"/>
      <c r="E3133" s="98"/>
      <c r="F3133" s="102"/>
      <c r="G3133" s="103"/>
    </row>
    <row r="3134" spans="1:7" x14ac:dyDescent="0.25">
      <c r="A3134" s="101"/>
      <c r="B3134" s="36"/>
      <c r="C3134" s="98"/>
      <c r="D3134" s="98"/>
      <c r="E3134" s="98"/>
      <c r="F3134" s="102"/>
      <c r="G3134" s="103"/>
    </row>
    <row r="3135" spans="1:7" x14ac:dyDescent="0.25">
      <c r="A3135" s="101"/>
      <c r="B3135" s="36"/>
      <c r="C3135" s="98"/>
      <c r="D3135" s="98"/>
      <c r="E3135" s="98"/>
      <c r="F3135" s="102"/>
      <c r="G3135" s="103"/>
    </row>
    <row r="3136" spans="1:7" x14ac:dyDescent="0.25">
      <c r="A3136" s="101"/>
      <c r="B3136" s="36"/>
      <c r="C3136" s="98"/>
      <c r="D3136" s="98"/>
      <c r="E3136" s="98"/>
      <c r="F3136" s="102"/>
      <c r="G3136" s="103"/>
    </row>
    <row r="3137" spans="1:7" x14ac:dyDescent="0.25">
      <c r="A3137" s="101"/>
      <c r="B3137" s="36"/>
      <c r="C3137" s="98"/>
      <c r="D3137" s="98"/>
      <c r="E3137" s="98"/>
      <c r="F3137" s="102"/>
      <c r="G3137" s="103"/>
    </row>
    <row r="3138" spans="1:7" x14ac:dyDescent="0.25">
      <c r="A3138" s="101"/>
      <c r="B3138" s="36"/>
      <c r="C3138" s="98"/>
      <c r="D3138" s="98"/>
      <c r="E3138" s="98"/>
      <c r="F3138" s="102"/>
      <c r="G3138" s="103"/>
    </row>
    <row r="3139" spans="1:7" x14ac:dyDescent="0.25">
      <c r="A3139" s="101"/>
      <c r="B3139" s="36"/>
      <c r="C3139" s="98"/>
      <c r="D3139" s="98"/>
      <c r="E3139" s="98"/>
      <c r="F3139" s="102"/>
      <c r="G3139" s="103"/>
    </row>
    <row r="3140" spans="1:7" x14ac:dyDescent="0.25">
      <c r="A3140" s="101"/>
      <c r="B3140" s="36"/>
      <c r="C3140" s="98"/>
      <c r="D3140" s="98"/>
      <c r="E3140" s="98"/>
      <c r="F3140" s="102"/>
      <c r="G3140" s="103"/>
    </row>
    <row r="3141" spans="1:7" x14ac:dyDescent="0.25">
      <c r="A3141" s="101"/>
      <c r="B3141" s="36"/>
      <c r="C3141" s="98"/>
      <c r="D3141" s="98"/>
      <c r="E3141" s="98"/>
      <c r="F3141" s="102"/>
      <c r="G3141" s="103"/>
    </row>
    <row r="3142" spans="1:7" x14ac:dyDescent="0.25">
      <c r="A3142" s="101"/>
      <c r="B3142" s="36"/>
      <c r="C3142" s="98"/>
      <c r="D3142" s="98"/>
      <c r="E3142" s="98"/>
      <c r="F3142" s="102"/>
      <c r="G3142" s="103"/>
    </row>
    <row r="3143" spans="1:7" x14ac:dyDescent="0.25">
      <c r="A3143" s="101"/>
      <c r="B3143" s="36"/>
      <c r="C3143" s="98"/>
      <c r="D3143" s="98"/>
      <c r="E3143" s="98"/>
      <c r="F3143" s="102"/>
      <c r="G3143" s="103"/>
    </row>
    <row r="3144" spans="1:7" x14ac:dyDescent="0.25">
      <c r="A3144" s="101"/>
      <c r="B3144" s="36"/>
      <c r="C3144" s="98"/>
      <c r="D3144" s="98"/>
      <c r="E3144" s="98"/>
      <c r="F3144" s="102"/>
      <c r="G3144" s="103"/>
    </row>
    <row r="3145" spans="1:7" x14ac:dyDescent="0.25">
      <c r="A3145" s="101"/>
      <c r="B3145" s="36"/>
      <c r="C3145" s="98"/>
      <c r="D3145" s="98"/>
      <c r="E3145" s="98"/>
      <c r="F3145" s="102"/>
      <c r="G3145" s="103"/>
    </row>
    <row r="3146" spans="1:7" x14ac:dyDescent="0.25">
      <c r="A3146" s="101"/>
      <c r="B3146" s="36"/>
      <c r="C3146" s="98"/>
      <c r="D3146" s="98"/>
      <c r="E3146" s="98"/>
      <c r="F3146" s="102"/>
      <c r="G3146" s="103"/>
    </row>
    <row r="3147" spans="1:7" x14ac:dyDescent="0.25">
      <c r="A3147" s="101"/>
      <c r="B3147" s="36"/>
      <c r="C3147" s="98"/>
      <c r="D3147" s="98"/>
      <c r="E3147" s="98"/>
      <c r="F3147" s="102"/>
      <c r="G3147" s="103"/>
    </row>
    <row r="3148" spans="1:7" x14ac:dyDescent="0.25">
      <c r="A3148" s="101"/>
      <c r="B3148" s="36"/>
      <c r="C3148" s="98"/>
      <c r="D3148" s="98"/>
      <c r="E3148" s="98"/>
      <c r="F3148" s="102"/>
      <c r="G3148" s="103"/>
    </row>
    <row r="3149" spans="1:7" x14ac:dyDescent="0.25">
      <c r="A3149" s="101"/>
      <c r="B3149" s="36"/>
      <c r="C3149" s="98"/>
      <c r="D3149" s="98"/>
      <c r="E3149" s="98"/>
      <c r="F3149" s="102"/>
      <c r="G3149" s="103"/>
    </row>
    <row r="3150" spans="1:7" x14ac:dyDescent="0.25">
      <c r="A3150" s="101"/>
      <c r="B3150" s="36"/>
      <c r="C3150" s="98"/>
      <c r="D3150" s="98"/>
      <c r="E3150" s="98"/>
      <c r="F3150" s="102"/>
      <c r="G3150" s="103"/>
    </row>
    <row r="3151" spans="1:7" x14ac:dyDescent="0.25">
      <c r="A3151" s="101"/>
      <c r="B3151" s="36"/>
      <c r="C3151" s="98"/>
      <c r="D3151" s="98"/>
      <c r="E3151" s="98"/>
      <c r="F3151" s="102"/>
      <c r="G3151" s="103"/>
    </row>
    <row r="3152" spans="1:7" x14ac:dyDescent="0.25">
      <c r="A3152" s="101"/>
      <c r="B3152" s="36"/>
      <c r="C3152" s="98"/>
      <c r="D3152" s="98"/>
      <c r="E3152" s="98"/>
      <c r="F3152" s="102"/>
      <c r="G3152" s="103"/>
    </row>
    <row r="3153" spans="1:7" x14ac:dyDescent="0.25">
      <c r="A3153" s="101"/>
      <c r="B3153" s="36"/>
      <c r="C3153" s="98"/>
      <c r="D3153" s="98"/>
      <c r="E3153" s="98"/>
      <c r="F3153" s="102"/>
      <c r="G3153" s="103"/>
    </row>
    <row r="3154" spans="1:7" x14ac:dyDescent="0.25">
      <c r="A3154" s="101"/>
      <c r="B3154" s="36"/>
      <c r="C3154" s="98"/>
      <c r="D3154" s="98"/>
      <c r="E3154" s="98"/>
      <c r="F3154" s="102"/>
      <c r="G3154" s="103"/>
    </row>
    <row r="3155" spans="1:7" x14ac:dyDescent="0.25">
      <c r="A3155" s="101"/>
      <c r="B3155" s="36"/>
      <c r="C3155" s="98"/>
      <c r="D3155" s="98"/>
      <c r="E3155" s="98"/>
      <c r="F3155" s="102"/>
      <c r="G3155" s="103"/>
    </row>
    <row r="3156" spans="1:7" x14ac:dyDescent="0.25">
      <c r="A3156" s="101"/>
      <c r="B3156" s="36"/>
      <c r="C3156" s="98"/>
      <c r="D3156" s="98"/>
      <c r="E3156" s="98"/>
      <c r="F3156" s="102"/>
      <c r="G3156" s="103"/>
    </row>
    <row r="3157" spans="1:7" x14ac:dyDescent="0.25">
      <c r="A3157" s="101"/>
      <c r="B3157" s="36"/>
      <c r="C3157" s="98"/>
      <c r="D3157" s="98"/>
      <c r="E3157" s="98"/>
      <c r="F3157" s="102"/>
      <c r="G3157" s="103"/>
    </row>
    <row r="3158" spans="1:7" x14ac:dyDescent="0.25">
      <c r="A3158" s="101"/>
      <c r="B3158" s="36"/>
      <c r="C3158" s="98"/>
      <c r="D3158" s="98"/>
      <c r="E3158" s="98"/>
      <c r="F3158" s="102"/>
      <c r="G3158" s="103"/>
    </row>
    <row r="3159" spans="1:7" x14ac:dyDescent="0.25">
      <c r="A3159" s="101"/>
      <c r="B3159" s="36"/>
      <c r="C3159" s="98"/>
      <c r="D3159" s="98"/>
      <c r="E3159" s="98"/>
      <c r="F3159" s="102"/>
      <c r="G3159" s="103"/>
    </row>
    <row r="3160" spans="1:7" x14ac:dyDescent="0.25">
      <c r="A3160" s="101"/>
      <c r="B3160" s="36"/>
      <c r="C3160" s="98"/>
      <c r="D3160" s="98"/>
      <c r="E3160" s="98"/>
      <c r="F3160" s="102"/>
      <c r="G3160" s="103"/>
    </row>
    <row r="3161" spans="1:7" x14ac:dyDescent="0.25">
      <c r="A3161" s="101"/>
      <c r="B3161" s="36"/>
      <c r="C3161" s="98"/>
      <c r="D3161" s="98"/>
      <c r="E3161" s="98"/>
      <c r="F3161" s="102"/>
      <c r="G3161" s="103"/>
    </row>
    <row r="3162" spans="1:7" x14ac:dyDescent="0.25">
      <c r="A3162" s="101"/>
      <c r="B3162" s="36"/>
      <c r="C3162" s="98"/>
      <c r="D3162" s="98"/>
      <c r="E3162" s="98"/>
      <c r="F3162" s="102"/>
      <c r="G3162" s="103"/>
    </row>
    <row r="3163" spans="1:7" x14ac:dyDescent="0.25">
      <c r="A3163" s="101"/>
      <c r="B3163" s="36"/>
      <c r="C3163" s="98"/>
      <c r="D3163" s="98"/>
      <c r="E3163" s="98"/>
      <c r="F3163" s="102"/>
      <c r="G3163" s="103"/>
    </row>
    <row r="3164" spans="1:7" x14ac:dyDescent="0.25">
      <c r="A3164" s="101"/>
      <c r="B3164" s="36"/>
      <c r="C3164" s="98"/>
      <c r="D3164" s="98"/>
      <c r="E3164" s="98"/>
      <c r="F3164" s="102"/>
      <c r="G3164" s="103"/>
    </row>
    <row r="3165" spans="1:7" x14ac:dyDescent="0.25">
      <c r="A3165" s="101"/>
      <c r="B3165" s="36"/>
      <c r="C3165" s="98"/>
      <c r="D3165" s="98"/>
      <c r="E3165" s="98"/>
      <c r="F3165" s="102"/>
      <c r="G3165" s="103"/>
    </row>
    <row r="3166" spans="1:7" x14ac:dyDescent="0.25">
      <c r="A3166" s="101"/>
      <c r="B3166" s="36"/>
      <c r="C3166" s="98"/>
      <c r="D3166" s="98"/>
      <c r="E3166" s="98"/>
      <c r="F3166" s="102"/>
      <c r="G3166" s="103"/>
    </row>
    <row r="3167" spans="1:7" x14ac:dyDescent="0.25">
      <c r="A3167" s="101"/>
      <c r="B3167" s="36"/>
      <c r="C3167" s="98"/>
      <c r="D3167" s="98"/>
      <c r="E3167" s="98"/>
      <c r="F3167" s="102"/>
      <c r="G3167" s="103"/>
    </row>
    <row r="3168" spans="1:7" x14ac:dyDescent="0.25">
      <c r="A3168" s="101"/>
      <c r="B3168" s="36"/>
      <c r="C3168" s="98"/>
      <c r="D3168" s="98"/>
      <c r="E3168" s="98"/>
      <c r="F3168" s="102"/>
      <c r="G3168" s="103"/>
    </row>
    <row r="3169" spans="1:7" x14ac:dyDescent="0.25">
      <c r="A3169" s="101"/>
      <c r="B3169" s="36"/>
      <c r="C3169" s="98"/>
      <c r="D3169" s="98"/>
      <c r="E3169" s="98"/>
      <c r="F3169" s="102"/>
      <c r="G3169" s="103"/>
    </row>
    <row r="3170" spans="1:7" x14ac:dyDescent="0.25">
      <c r="A3170" s="101"/>
      <c r="B3170" s="36"/>
      <c r="C3170" s="98"/>
      <c r="D3170" s="98"/>
      <c r="E3170" s="98"/>
      <c r="F3170" s="102"/>
      <c r="G3170" s="103"/>
    </row>
    <row r="3171" spans="1:7" x14ac:dyDescent="0.25">
      <c r="A3171" s="101"/>
      <c r="B3171" s="36"/>
      <c r="C3171" s="98"/>
      <c r="D3171" s="98"/>
      <c r="E3171" s="98"/>
      <c r="F3171" s="102"/>
      <c r="G3171" s="103"/>
    </row>
    <row r="3172" spans="1:7" x14ac:dyDescent="0.25">
      <c r="A3172" s="101"/>
      <c r="B3172" s="36"/>
      <c r="C3172" s="98"/>
      <c r="D3172" s="98"/>
      <c r="E3172" s="98"/>
      <c r="F3172" s="102"/>
      <c r="G3172" s="103"/>
    </row>
    <row r="3173" spans="1:7" x14ac:dyDescent="0.25">
      <c r="A3173" s="101"/>
      <c r="B3173" s="36"/>
      <c r="C3173" s="98"/>
      <c r="D3173" s="98"/>
      <c r="E3173" s="98"/>
      <c r="F3173" s="102"/>
      <c r="G3173" s="103"/>
    </row>
    <row r="3174" spans="1:7" x14ac:dyDescent="0.25">
      <c r="A3174" s="101"/>
      <c r="B3174" s="36"/>
      <c r="C3174" s="98"/>
      <c r="D3174" s="98"/>
      <c r="E3174" s="98"/>
      <c r="F3174" s="102"/>
      <c r="G3174" s="103"/>
    </row>
    <row r="3175" spans="1:7" x14ac:dyDescent="0.25">
      <c r="A3175" s="101"/>
      <c r="B3175" s="36"/>
      <c r="C3175" s="98"/>
      <c r="D3175" s="98"/>
      <c r="E3175" s="98"/>
      <c r="F3175" s="102"/>
      <c r="G3175" s="103"/>
    </row>
    <row r="3176" spans="1:7" x14ac:dyDescent="0.25">
      <c r="A3176" s="101"/>
      <c r="B3176" s="36"/>
      <c r="C3176" s="98"/>
      <c r="D3176" s="98"/>
      <c r="E3176" s="98"/>
      <c r="F3176" s="102"/>
      <c r="G3176" s="103"/>
    </row>
    <row r="3177" spans="1:7" x14ac:dyDescent="0.25">
      <c r="A3177" s="101"/>
      <c r="B3177" s="36"/>
      <c r="C3177" s="98"/>
      <c r="D3177" s="98"/>
      <c r="E3177" s="98"/>
      <c r="F3177" s="102"/>
      <c r="G3177" s="103"/>
    </row>
    <row r="3178" spans="1:7" x14ac:dyDescent="0.25">
      <c r="A3178" s="101"/>
      <c r="B3178" s="36"/>
      <c r="C3178" s="98"/>
      <c r="D3178" s="98"/>
      <c r="E3178" s="98"/>
      <c r="F3178" s="102"/>
      <c r="G3178" s="103"/>
    </row>
    <row r="3179" spans="1:7" x14ac:dyDescent="0.25">
      <c r="A3179" s="101"/>
      <c r="B3179" s="36"/>
      <c r="C3179" s="98"/>
      <c r="D3179" s="98"/>
      <c r="E3179" s="98"/>
      <c r="F3179" s="102"/>
      <c r="G3179" s="103"/>
    </row>
    <row r="3180" spans="1:7" x14ac:dyDescent="0.25">
      <c r="A3180" s="101"/>
      <c r="B3180" s="36"/>
      <c r="C3180" s="98"/>
      <c r="D3180" s="98"/>
      <c r="E3180" s="98"/>
      <c r="F3180" s="102"/>
      <c r="G3180" s="103"/>
    </row>
    <row r="3181" spans="1:7" x14ac:dyDescent="0.25">
      <c r="A3181" s="101"/>
      <c r="B3181" s="36"/>
      <c r="C3181" s="98"/>
      <c r="D3181" s="98"/>
      <c r="E3181" s="98"/>
      <c r="F3181" s="102"/>
      <c r="G3181" s="103"/>
    </row>
    <row r="3182" spans="1:7" x14ac:dyDescent="0.25">
      <c r="A3182" s="101"/>
      <c r="B3182" s="36"/>
      <c r="C3182" s="98"/>
      <c r="D3182" s="98"/>
      <c r="E3182" s="98"/>
      <c r="F3182" s="102"/>
      <c r="G3182" s="103"/>
    </row>
    <row r="3183" spans="1:7" x14ac:dyDescent="0.25">
      <c r="A3183" s="101"/>
      <c r="B3183" s="36"/>
      <c r="C3183" s="98"/>
      <c r="D3183" s="98"/>
      <c r="E3183" s="98"/>
      <c r="F3183" s="102"/>
      <c r="G3183" s="103"/>
    </row>
    <row r="3184" spans="1:7" x14ac:dyDescent="0.25">
      <c r="A3184" s="101"/>
      <c r="B3184" s="36"/>
      <c r="C3184" s="98"/>
      <c r="D3184" s="98"/>
      <c r="E3184" s="98"/>
      <c r="F3184" s="102"/>
      <c r="G3184" s="103"/>
    </row>
    <row r="3185" spans="1:7" x14ac:dyDescent="0.25">
      <c r="A3185" s="101"/>
      <c r="B3185" s="36"/>
      <c r="C3185" s="98"/>
      <c r="D3185" s="98"/>
      <c r="E3185" s="98"/>
      <c r="F3185" s="102"/>
      <c r="G3185" s="103"/>
    </row>
    <row r="3186" spans="1:7" x14ac:dyDescent="0.25">
      <c r="A3186" s="101"/>
      <c r="B3186" s="36"/>
      <c r="C3186" s="98"/>
      <c r="D3186" s="98"/>
      <c r="E3186" s="98"/>
      <c r="F3186" s="102"/>
      <c r="G3186" s="103"/>
    </row>
    <row r="3187" spans="1:7" x14ac:dyDescent="0.25">
      <c r="A3187" s="101"/>
      <c r="B3187" s="36"/>
      <c r="C3187" s="98"/>
      <c r="D3187" s="98"/>
      <c r="E3187" s="98"/>
      <c r="F3187" s="102"/>
      <c r="G3187" s="103"/>
    </row>
    <row r="3188" spans="1:7" x14ac:dyDescent="0.25">
      <c r="A3188" s="101"/>
      <c r="B3188" s="36"/>
      <c r="C3188" s="98"/>
      <c r="D3188" s="98"/>
      <c r="E3188" s="98"/>
      <c r="F3188" s="102"/>
      <c r="G3188" s="103"/>
    </row>
    <row r="3189" spans="1:7" x14ac:dyDescent="0.25">
      <c r="A3189" s="101"/>
      <c r="B3189" s="36"/>
      <c r="C3189" s="98"/>
      <c r="D3189" s="98"/>
      <c r="E3189" s="98"/>
      <c r="F3189" s="102"/>
      <c r="G3189" s="103"/>
    </row>
    <row r="3190" spans="1:7" x14ac:dyDescent="0.25">
      <c r="A3190" s="101"/>
      <c r="B3190" s="36"/>
      <c r="C3190" s="98"/>
      <c r="D3190" s="98"/>
      <c r="E3190" s="98"/>
      <c r="F3190" s="102"/>
      <c r="G3190" s="103"/>
    </row>
    <row r="3191" spans="1:7" x14ac:dyDescent="0.25">
      <c r="A3191" s="101"/>
      <c r="B3191" s="36"/>
      <c r="C3191" s="98"/>
      <c r="D3191" s="98"/>
      <c r="E3191" s="98"/>
      <c r="F3191" s="102"/>
      <c r="G3191" s="103"/>
    </row>
    <row r="3192" spans="1:7" x14ac:dyDescent="0.25">
      <c r="A3192" s="101"/>
      <c r="B3192" s="36"/>
      <c r="C3192" s="98"/>
      <c r="D3192" s="98"/>
      <c r="E3192" s="98"/>
      <c r="F3192" s="102"/>
      <c r="G3192" s="103"/>
    </row>
    <row r="3193" spans="1:7" x14ac:dyDescent="0.25">
      <c r="A3193" s="101"/>
      <c r="B3193" s="36"/>
      <c r="C3193" s="98"/>
      <c r="D3193" s="98"/>
      <c r="E3193" s="98"/>
      <c r="F3193" s="102"/>
      <c r="G3193" s="103"/>
    </row>
    <row r="3194" spans="1:7" x14ac:dyDescent="0.25">
      <c r="A3194" s="101"/>
      <c r="B3194" s="36"/>
      <c r="C3194" s="98"/>
      <c r="D3194" s="98"/>
      <c r="E3194" s="98"/>
      <c r="F3194" s="102"/>
      <c r="G3194" s="103"/>
    </row>
    <row r="3195" spans="1:7" x14ac:dyDescent="0.25">
      <c r="A3195" s="101"/>
      <c r="B3195" s="36"/>
      <c r="C3195" s="98"/>
      <c r="D3195" s="98"/>
      <c r="E3195" s="98"/>
      <c r="F3195" s="102"/>
      <c r="G3195" s="103"/>
    </row>
    <row r="3196" spans="1:7" x14ac:dyDescent="0.25">
      <c r="A3196" s="101"/>
      <c r="B3196" s="36"/>
      <c r="C3196" s="98"/>
      <c r="D3196" s="98"/>
      <c r="E3196" s="98"/>
      <c r="F3196" s="102"/>
      <c r="G3196" s="103"/>
    </row>
    <row r="3197" spans="1:7" x14ac:dyDescent="0.25">
      <c r="A3197" s="101"/>
      <c r="B3197" s="36"/>
      <c r="C3197" s="98"/>
      <c r="D3197" s="98"/>
      <c r="E3197" s="98"/>
      <c r="F3197" s="102"/>
      <c r="G3197" s="103"/>
    </row>
    <row r="3198" spans="1:7" x14ac:dyDescent="0.25">
      <c r="A3198" s="101"/>
      <c r="B3198" s="36"/>
      <c r="C3198" s="98"/>
      <c r="D3198" s="98"/>
      <c r="E3198" s="98"/>
      <c r="F3198" s="102"/>
      <c r="G3198" s="103"/>
    </row>
    <row r="3199" spans="1:7" x14ac:dyDescent="0.25">
      <c r="A3199" s="101"/>
      <c r="B3199" s="36"/>
      <c r="C3199" s="98"/>
      <c r="D3199" s="98"/>
      <c r="E3199" s="98"/>
      <c r="F3199" s="102"/>
      <c r="G3199" s="103"/>
    </row>
    <row r="3200" spans="1:7" x14ac:dyDescent="0.25">
      <c r="A3200" s="101"/>
      <c r="B3200" s="36"/>
      <c r="C3200" s="98"/>
      <c r="D3200" s="98"/>
      <c r="E3200" s="98"/>
      <c r="F3200" s="102"/>
      <c r="G3200" s="103"/>
    </row>
    <row r="3201" spans="1:7" x14ac:dyDescent="0.25">
      <c r="A3201" s="101"/>
      <c r="B3201" s="36"/>
      <c r="C3201" s="98"/>
      <c r="D3201" s="98"/>
      <c r="E3201" s="98"/>
      <c r="F3201" s="102"/>
      <c r="G3201" s="103"/>
    </row>
    <row r="3202" spans="1:7" x14ac:dyDescent="0.25">
      <c r="A3202" s="101"/>
      <c r="B3202" s="36"/>
      <c r="C3202" s="98"/>
      <c r="D3202" s="98"/>
      <c r="E3202" s="98"/>
      <c r="F3202" s="102"/>
      <c r="G3202" s="103"/>
    </row>
    <row r="3203" spans="1:7" x14ac:dyDescent="0.25">
      <c r="A3203" s="101"/>
      <c r="B3203" s="36"/>
      <c r="C3203" s="98"/>
      <c r="D3203" s="98"/>
      <c r="E3203" s="98"/>
      <c r="F3203" s="102"/>
      <c r="G3203" s="103"/>
    </row>
    <row r="3204" spans="1:7" x14ac:dyDescent="0.25">
      <c r="A3204" s="101"/>
      <c r="B3204" s="36"/>
      <c r="C3204" s="98"/>
      <c r="D3204" s="98"/>
      <c r="E3204" s="98"/>
      <c r="F3204" s="102"/>
      <c r="G3204" s="103"/>
    </row>
    <row r="3205" spans="1:7" x14ac:dyDescent="0.25">
      <c r="A3205" s="101"/>
      <c r="B3205" s="36"/>
      <c r="C3205" s="98"/>
      <c r="D3205" s="98"/>
      <c r="E3205" s="98"/>
      <c r="F3205" s="102"/>
      <c r="G3205" s="103"/>
    </row>
    <row r="3206" spans="1:7" x14ac:dyDescent="0.25">
      <c r="A3206" s="101"/>
      <c r="B3206" s="36"/>
      <c r="C3206" s="98"/>
      <c r="D3206" s="98"/>
      <c r="E3206" s="98"/>
      <c r="F3206" s="102"/>
      <c r="G3206" s="103"/>
    </row>
    <row r="3207" spans="1:7" x14ac:dyDescent="0.25">
      <c r="A3207" s="101"/>
      <c r="B3207" s="36"/>
      <c r="C3207" s="98"/>
      <c r="D3207" s="98"/>
      <c r="E3207" s="98"/>
      <c r="F3207" s="102"/>
      <c r="G3207" s="103"/>
    </row>
    <row r="3208" spans="1:7" x14ac:dyDescent="0.25">
      <c r="A3208" s="101"/>
      <c r="B3208" s="36"/>
      <c r="C3208" s="98"/>
      <c r="D3208" s="98"/>
      <c r="E3208" s="98"/>
      <c r="F3208" s="102"/>
      <c r="G3208" s="103"/>
    </row>
    <row r="3209" spans="1:7" x14ac:dyDescent="0.25">
      <c r="A3209" s="101"/>
      <c r="B3209" s="36"/>
      <c r="C3209" s="98"/>
      <c r="D3209" s="98"/>
      <c r="E3209" s="98"/>
      <c r="F3209" s="102"/>
      <c r="G3209" s="103"/>
    </row>
    <row r="3210" spans="1:7" x14ac:dyDescent="0.25">
      <c r="A3210" s="101"/>
      <c r="B3210" s="36"/>
      <c r="C3210" s="98"/>
      <c r="D3210" s="98"/>
      <c r="E3210" s="98"/>
      <c r="F3210" s="102"/>
      <c r="G3210" s="103"/>
    </row>
    <row r="3211" spans="1:7" x14ac:dyDescent="0.25">
      <c r="A3211" s="101"/>
      <c r="B3211" s="36"/>
      <c r="C3211" s="98"/>
      <c r="D3211" s="98"/>
      <c r="E3211" s="98"/>
      <c r="F3211" s="102"/>
      <c r="G3211" s="103"/>
    </row>
    <row r="3212" spans="1:7" x14ac:dyDescent="0.25">
      <c r="A3212" s="101"/>
      <c r="B3212" s="36"/>
      <c r="C3212" s="98"/>
      <c r="D3212" s="98"/>
      <c r="E3212" s="98"/>
      <c r="F3212" s="102"/>
      <c r="G3212" s="103"/>
    </row>
    <row r="3213" spans="1:7" x14ac:dyDescent="0.25">
      <c r="A3213" s="101"/>
      <c r="B3213" s="36"/>
      <c r="C3213" s="98"/>
      <c r="D3213" s="98"/>
      <c r="E3213" s="98"/>
      <c r="F3213" s="102"/>
      <c r="G3213" s="103"/>
    </row>
    <row r="3214" spans="1:7" x14ac:dyDescent="0.25">
      <c r="A3214" s="101"/>
      <c r="B3214" s="36"/>
      <c r="C3214" s="98"/>
      <c r="D3214" s="98"/>
      <c r="E3214" s="98"/>
      <c r="F3214" s="102"/>
      <c r="G3214" s="103"/>
    </row>
    <row r="3215" spans="1:7" x14ac:dyDescent="0.25">
      <c r="A3215" s="101"/>
      <c r="B3215" s="36"/>
      <c r="C3215" s="98"/>
      <c r="D3215" s="98"/>
      <c r="E3215" s="98"/>
      <c r="F3215" s="102"/>
      <c r="G3215" s="103"/>
    </row>
    <row r="3216" spans="1:7" x14ac:dyDescent="0.25">
      <c r="A3216" s="101"/>
      <c r="B3216" s="36"/>
      <c r="C3216" s="98"/>
      <c r="D3216" s="98"/>
      <c r="E3216" s="98"/>
      <c r="F3216" s="102"/>
      <c r="G3216" s="103"/>
    </row>
    <row r="3217" spans="1:7" x14ac:dyDescent="0.25">
      <c r="A3217" s="101"/>
      <c r="B3217" s="36"/>
      <c r="C3217" s="98"/>
      <c r="D3217" s="98"/>
      <c r="E3217" s="98"/>
      <c r="F3217" s="102"/>
      <c r="G3217" s="103"/>
    </row>
    <row r="3218" spans="1:7" x14ac:dyDescent="0.25">
      <c r="A3218" s="101"/>
      <c r="B3218" s="36"/>
      <c r="C3218" s="98"/>
      <c r="D3218" s="98"/>
      <c r="E3218" s="98"/>
      <c r="F3218" s="102"/>
      <c r="G3218" s="103"/>
    </row>
    <row r="3219" spans="1:7" x14ac:dyDescent="0.25">
      <c r="A3219" s="101"/>
      <c r="B3219" s="36"/>
      <c r="C3219" s="98"/>
      <c r="D3219" s="98"/>
      <c r="E3219" s="98"/>
      <c r="F3219" s="102"/>
      <c r="G3219" s="103"/>
    </row>
    <row r="3220" spans="1:7" x14ac:dyDescent="0.25">
      <c r="A3220" s="101"/>
      <c r="B3220" s="36"/>
      <c r="C3220" s="98"/>
      <c r="D3220" s="98"/>
      <c r="E3220" s="98"/>
      <c r="F3220" s="102"/>
      <c r="G3220" s="103"/>
    </row>
    <row r="3221" spans="1:7" x14ac:dyDescent="0.25">
      <c r="A3221" s="101"/>
      <c r="B3221" s="36"/>
      <c r="C3221" s="98"/>
      <c r="D3221" s="98"/>
      <c r="E3221" s="98"/>
      <c r="F3221" s="102"/>
      <c r="G3221" s="103"/>
    </row>
    <row r="3222" spans="1:7" x14ac:dyDescent="0.25">
      <c r="A3222" s="101"/>
      <c r="B3222" s="36"/>
      <c r="C3222" s="98"/>
      <c r="D3222" s="98"/>
      <c r="E3222" s="98"/>
      <c r="F3222" s="102"/>
      <c r="G3222" s="103"/>
    </row>
    <row r="3223" spans="1:7" x14ac:dyDescent="0.25">
      <c r="A3223" s="101"/>
      <c r="B3223" s="36"/>
      <c r="C3223" s="98"/>
      <c r="D3223" s="98"/>
      <c r="E3223" s="98"/>
      <c r="F3223" s="102"/>
      <c r="G3223" s="103"/>
    </row>
    <row r="3224" spans="1:7" x14ac:dyDescent="0.25">
      <c r="A3224" s="101"/>
      <c r="B3224" s="36"/>
      <c r="C3224" s="98"/>
      <c r="D3224" s="98"/>
      <c r="E3224" s="98"/>
      <c r="F3224" s="102"/>
      <c r="G3224" s="103"/>
    </row>
    <row r="3225" spans="1:7" x14ac:dyDescent="0.25">
      <c r="A3225" s="101"/>
      <c r="B3225" s="36"/>
      <c r="C3225" s="98"/>
      <c r="D3225" s="98"/>
      <c r="E3225" s="98"/>
      <c r="F3225" s="102"/>
      <c r="G3225" s="103"/>
    </row>
    <row r="3226" spans="1:7" x14ac:dyDescent="0.25">
      <c r="A3226" s="101"/>
      <c r="B3226" s="36"/>
      <c r="C3226" s="98"/>
      <c r="D3226" s="98"/>
      <c r="E3226" s="98"/>
      <c r="F3226" s="102"/>
      <c r="G3226" s="103"/>
    </row>
    <row r="3227" spans="1:7" x14ac:dyDescent="0.25">
      <c r="A3227" s="101"/>
      <c r="B3227" s="36"/>
      <c r="C3227" s="98"/>
      <c r="D3227" s="98"/>
      <c r="E3227" s="98"/>
      <c r="F3227" s="102"/>
      <c r="G3227" s="103"/>
    </row>
    <row r="3228" spans="1:7" x14ac:dyDescent="0.25">
      <c r="A3228" s="101"/>
      <c r="B3228" s="36"/>
      <c r="C3228" s="98"/>
      <c r="D3228" s="98"/>
      <c r="E3228" s="98"/>
      <c r="F3228" s="102"/>
      <c r="G3228" s="103"/>
    </row>
    <row r="3229" spans="1:7" x14ac:dyDescent="0.25">
      <c r="A3229" s="101"/>
      <c r="B3229" s="36"/>
      <c r="C3229" s="98"/>
      <c r="D3229" s="98"/>
      <c r="E3229" s="98"/>
      <c r="F3229" s="102"/>
      <c r="G3229" s="103"/>
    </row>
    <row r="3230" spans="1:7" x14ac:dyDescent="0.25">
      <c r="A3230" s="101"/>
      <c r="B3230" s="36"/>
      <c r="C3230" s="98"/>
      <c r="D3230" s="98"/>
      <c r="E3230" s="98"/>
      <c r="F3230" s="102"/>
      <c r="G3230" s="103"/>
    </row>
    <row r="3231" spans="1:7" x14ac:dyDescent="0.25">
      <c r="A3231" s="101"/>
      <c r="B3231" s="36"/>
      <c r="C3231" s="98"/>
      <c r="D3231" s="98"/>
      <c r="E3231" s="98"/>
      <c r="F3231" s="102"/>
      <c r="G3231" s="103"/>
    </row>
    <row r="3232" spans="1:7" x14ac:dyDescent="0.25">
      <c r="A3232" s="101"/>
      <c r="B3232" s="36"/>
      <c r="C3232" s="98"/>
      <c r="D3232" s="98"/>
      <c r="E3232" s="98"/>
      <c r="F3232" s="102"/>
      <c r="G3232" s="103"/>
    </row>
    <row r="3233" spans="1:7" x14ac:dyDescent="0.25">
      <c r="A3233" s="101"/>
      <c r="B3233" s="36"/>
      <c r="C3233" s="98"/>
      <c r="D3233" s="98"/>
      <c r="E3233" s="98"/>
      <c r="F3233" s="102"/>
      <c r="G3233" s="103"/>
    </row>
    <row r="3234" spans="1:7" x14ac:dyDescent="0.25">
      <c r="A3234" s="101"/>
      <c r="B3234" s="36"/>
      <c r="C3234" s="98"/>
      <c r="D3234" s="98"/>
      <c r="E3234" s="98"/>
      <c r="F3234" s="102"/>
      <c r="G3234" s="103"/>
    </row>
    <row r="3235" spans="1:7" x14ac:dyDescent="0.25">
      <c r="A3235" s="101"/>
      <c r="B3235" s="36"/>
      <c r="C3235" s="98"/>
      <c r="D3235" s="98"/>
      <c r="E3235" s="98"/>
      <c r="F3235" s="102"/>
      <c r="G3235" s="103"/>
    </row>
    <row r="3236" spans="1:7" x14ac:dyDescent="0.25">
      <c r="A3236" s="101"/>
      <c r="B3236" s="36"/>
      <c r="C3236" s="98"/>
      <c r="D3236" s="98"/>
      <c r="E3236" s="98"/>
      <c r="F3236" s="102"/>
      <c r="G3236" s="103"/>
    </row>
    <row r="3237" spans="1:7" x14ac:dyDescent="0.25">
      <c r="A3237" s="101"/>
      <c r="B3237" s="36"/>
      <c r="C3237" s="98"/>
      <c r="D3237" s="98"/>
      <c r="E3237" s="98"/>
      <c r="F3237" s="102"/>
      <c r="G3237" s="103"/>
    </row>
    <row r="3238" spans="1:7" x14ac:dyDescent="0.25">
      <c r="A3238" s="101"/>
      <c r="B3238" s="36"/>
      <c r="C3238" s="98"/>
      <c r="D3238" s="98"/>
      <c r="E3238" s="98"/>
      <c r="F3238" s="102"/>
      <c r="G3238" s="103"/>
    </row>
    <row r="3239" spans="1:7" x14ac:dyDescent="0.25">
      <c r="A3239" s="101"/>
      <c r="B3239" s="36"/>
      <c r="C3239" s="98"/>
      <c r="D3239" s="98"/>
      <c r="E3239" s="98"/>
      <c r="F3239" s="102"/>
      <c r="G3239" s="103"/>
    </row>
    <row r="3240" spans="1:7" x14ac:dyDescent="0.25">
      <c r="A3240" s="101"/>
      <c r="B3240" s="36"/>
      <c r="C3240" s="98"/>
      <c r="D3240" s="98"/>
      <c r="E3240" s="98"/>
      <c r="F3240" s="102"/>
      <c r="G3240" s="103"/>
    </row>
    <row r="3241" spans="1:7" x14ac:dyDescent="0.25">
      <c r="A3241" s="101"/>
      <c r="B3241" s="36"/>
      <c r="C3241" s="98"/>
      <c r="D3241" s="98"/>
      <c r="E3241" s="98"/>
      <c r="F3241" s="102"/>
      <c r="G3241" s="103"/>
    </row>
    <row r="3242" spans="1:7" x14ac:dyDescent="0.25">
      <c r="A3242" s="101"/>
      <c r="B3242" s="36"/>
      <c r="C3242" s="98"/>
      <c r="D3242" s="98"/>
      <c r="E3242" s="98"/>
      <c r="F3242" s="102"/>
      <c r="G3242" s="103"/>
    </row>
    <row r="3243" spans="1:7" x14ac:dyDescent="0.25">
      <c r="A3243" s="101"/>
      <c r="B3243" s="36"/>
      <c r="C3243" s="98"/>
      <c r="D3243" s="98"/>
      <c r="E3243" s="98"/>
      <c r="F3243" s="102"/>
      <c r="G3243" s="103"/>
    </row>
    <row r="3244" spans="1:7" x14ac:dyDescent="0.25">
      <c r="A3244" s="101"/>
      <c r="B3244" s="36"/>
      <c r="C3244" s="98"/>
      <c r="D3244" s="98"/>
      <c r="E3244" s="98"/>
      <c r="F3244" s="102"/>
      <c r="G3244" s="103"/>
    </row>
    <row r="3245" spans="1:7" x14ac:dyDescent="0.25">
      <c r="A3245" s="101"/>
      <c r="B3245" s="36"/>
      <c r="C3245" s="98"/>
      <c r="D3245" s="98"/>
      <c r="E3245" s="98"/>
      <c r="F3245" s="102"/>
      <c r="G3245" s="103"/>
    </row>
    <row r="3246" spans="1:7" x14ac:dyDescent="0.25">
      <c r="A3246" s="101"/>
      <c r="B3246" s="36"/>
      <c r="C3246" s="98"/>
      <c r="D3246" s="98"/>
      <c r="E3246" s="98"/>
      <c r="F3246" s="102"/>
      <c r="G3246" s="103"/>
    </row>
    <row r="3247" spans="1:7" x14ac:dyDescent="0.25">
      <c r="A3247" s="101"/>
      <c r="B3247" s="36"/>
      <c r="C3247" s="98"/>
      <c r="D3247" s="98"/>
      <c r="E3247" s="98"/>
      <c r="F3247" s="102"/>
      <c r="G3247" s="103"/>
    </row>
    <row r="3248" spans="1:7" x14ac:dyDescent="0.25">
      <c r="A3248" s="101"/>
      <c r="B3248" s="36"/>
      <c r="C3248" s="98"/>
      <c r="D3248" s="98"/>
      <c r="E3248" s="98"/>
      <c r="F3248" s="102"/>
      <c r="G3248" s="103"/>
    </row>
    <row r="3249" spans="1:7" x14ac:dyDescent="0.25">
      <c r="A3249" s="101"/>
      <c r="B3249" s="36"/>
      <c r="C3249" s="98"/>
      <c r="D3249" s="98"/>
      <c r="E3249" s="98"/>
      <c r="F3249" s="102"/>
      <c r="G3249" s="103"/>
    </row>
    <row r="3250" spans="1:7" x14ac:dyDescent="0.25">
      <c r="A3250" s="101"/>
      <c r="B3250" s="36"/>
      <c r="C3250" s="98"/>
      <c r="D3250" s="98"/>
      <c r="E3250" s="98"/>
      <c r="F3250" s="102"/>
      <c r="G3250" s="103"/>
    </row>
    <row r="3251" spans="1:7" x14ac:dyDescent="0.25">
      <c r="A3251" s="101"/>
      <c r="B3251" s="36"/>
      <c r="C3251" s="98"/>
      <c r="D3251" s="98"/>
      <c r="E3251" s="98"/>
      <c r="F3251" s="102"/>
      <c r="G3251" s="103"/>
    </row>
    <row r="3252" spans="1:7" x14ac:dyDescent="0.25">
      <c r="A3252" s="101"/>
      <c r="B3252" s="36"/>
      <c r="C3252" s="98"/>
      <c r="D3252" s="98"/>
      <c r="E3252" s="98"/>
      <c r="F3252" s="102"/>
      <c r="G3252" s="103"/>
    </row>
    <row r="3253" spans="1:7" x14ac:dyDescent="0.25">
      <c r="A3253" s="101"/>
      <c r="B3253" s="36"/>
      <c r="C3253" s="98"/>
      <c r="D3253" s="98"/>
      <c r="E3253" s="98"/>
      <c r="F3253" s="102"/>
      <c r="G3253" s="103"/>
    </row>
    <row r="3254" spans="1:7" x14ac:dyDescent="0.25">
      <c r="A3254" s="101"/>
      <c r="B3254" s="36"/>
      <c r="C3254" s="98"/>
      <c r="D3254" s="98"/>
      <c r="E3254" s="98"/>
      <c r="F3254" s="102"/>
      <c r="G3254" s="103"/>
    </row>
    <row r="3255" spans="1:7" x14ac:dyDescent="0.25">
      <c r="A3255" s="101"/>
      <c r="B3255" s="36"/>
      <c r="C3255" s="98"/>
      <c r="D3255" s="98"/>
      <c r="E3255" s="98"/>
      <c r="F3255" s="102"/>
      <c r="G3255" s="103"/>
    </row>
    <row r="3256" spans="1:7" x14ac:dyDescent="0.25">
      <c r="A3256" s="101"/>
      <c r="B3256" s="36"/>
      <c r="C3256" s="98"/>
      <c r="D3256" s="98"/>
      <c r="E3256" s="98"/>
      <c r="F3256" s="102"/>
      <c r="G3256" s="103"/>
    </row>
    <row r="3257" spans="1:7" x14ac:dyDescent="0.25">
      <c r="A3257" s="101"/>
      <c r="B3257" s="36"/>
      <c r="C3257" s="98"/>
      <c r="D3257" s="98"/>
      <c r="E3257" s="98"/>
      <c r="F3257" s="102"/>
      <c r="G3257" s="103"/>
    </row>
    <row r="3258" spans="1:7" x14ac:dyDescent="0.25">
      <c r="A3258" s="101"/>
      <c r="B3258" s="36"/>
      <c r="C3258" s="98"/>
      <c r="D3258" s="98"/>
      <c r="E3258" s="98"/>
      <c r="F3258" s="102"/>
      <c r="G3258" s="103"/>
    </row>
    <row r="3259" spans="1:7" x14ac:dyDescent="0.25">
      <c r="A3259" s="101"/>
      <c r="B3259" s="36"/>
      <c r="C3259" s="98"/>
      <c r="D3259" s="98"/>
      <c r="E3259" s="98"/>
      <c r="F3259" s="102"/>
      <c r="G3259" s="103"/>
    </row>
    <row r="3260" spans="1:7" x14ac:dyDescent="0.25">
      <c r="A3260" s="101"/>
      <c r="B3260" s="36"/>
      <c r="C3260" s="98"/>
      <c r="D3260" s="98"/>
      <c r="E3260" s="98"/>
      <c r="F3260" s="102"/>
      <c r="G3260" s="103"/>
    </row>
    <row r="3261" spans="1:7" x14ac:dyDescent="0.25">
      <c r="A3261" s="101"/>
      <c r="B3261" s="36"/>
      <c r="C3261" s="98"/>
      <c r="D3261" s="98"/>
      <c r="E3261" s="98"/>
      <c r="F3261" s="102"/>
      <c r="G3261" s="103"/>
    </row>
    <row r="3262" spans="1:7" x14ac:dyDescent="0.25">
      <c r="A3262" s="101"/>
      <c r="B3262" s="36"/>
      <c r="C3262" s="98"/>
      <c r="D3262" s="98"/>
      <c r="E3262" s="98"/>
      <c r="F3262" s="102"/>
      <c r="G3262" s="103"/>
    </row>
    <row r="3263" spans="1:7" x14ac:dyDescent="0.25">
      <c r="A3263" s="101"/>
      <c r="B3263" s="36"/>
      <c r="C3263" s="98"/>
      <c r="D3263" s="98"/>
      <c r="E3263" s="98"/>
      <c r="F3263" s="102"/>
      <c r="G3263" s="103"/>
    </row>
    <row r="3264" spans="1:7" x14ac:dyDescent="0.25">
      <c r="A3264" s="101"/>
      <c r="B3264" s="36"/>
      <c r="C3264" s="98"/>
      <c r="D3264" s="98"/>
      <c r="E3264" s="98"/>
      <c r="F3264" s="102"/>
      <c r="G3264" s="103"/>
    </row>
    <row r="3265" spans="1:7" x14ac:dyDescent="0.25">
      <c r="A3265" s="101"/>
      <c r="B3265" s="36"/>
      <c r="C3265" s="98"/>
      <c r="D3265" s="98"/>
      <c r="E3265" s="98"/>
      <c r="F3265" s="102"/>
      <c r="G3265" s="103"/>
    </row>
    <row r="3266" spans="1:7" x14ac:dyDescent="0.25">
      <c r="A3266" s="101"/>
      <c r="B3266" s="36"/>
      <c r="C3266" s="98"/>
      <c r="D3266" s="98"/>
      <c r="E3266" s="98"/>
      <c r="F3266" s="102"/>
      <c r="G3266" s="103"/>
    </row>
    <row r="3267" spans="1:7" x14ac:dyDescent="0.25">
      <c r="A3267" s="101"/>
      <c r="B3267" s="36"/>
      <c r="C3267" s="98"/>
      <c r="D3267" s="98"/>
      <c r="E3267" s="98"/>
      <c r="F3267" s="102"/>
      <c r="G3267" s="103"/>
    </row>
    <row r="3268" spans="1:7" x14ac:dyDescent="0.25">
      <c r="A3268" s="101"/>
      <c r="B3268" s="36"/>
      <c r="C3268" s="98"/>
      <c r="D3268" s="98"/>
      <c r="E3268" s="98"/>
      <c r="F3268" s="102"/>
      <c r="G3268" s="103"/>
    </row>
    <row r="3269" spans="1:7" x14ac:dyDescent="0.25">
      <c r="A3269" s="101"/>
      <c r="B3269" s="36"/>
      <c r="C3269" s="98"/>
      <c r="D3269" s="98"/>
      <c r="E3269" s="98"/>
      <c r="F3269" s="102"/>
      <c r="G3269" s="103"/>
    </row>
    <row r="3270" spans="1:7" x14ac:dyDescent="0.25">
      <c r="A3270" s="101"/>
      <c r="B3270" s="36"/>
      <c r="C3270" s="98"/>
      <c r="D3270" s="98"/>
      <c r="E3270" s="98"/>
      <c r="F3270" s="102"/>
      <c r="G3270" s="103"/>
    </row>
    <row r="3271" spans="1:7" x14ac:dyDescent="0.25">
      <c r="A3271" s="101"/>
      <c r="B3271" s="36"/>
      <c r="C3271" s="98"/>
      <c r="D3271" s="98"/>
      <c r="E3271" s="98"/>
      <c r="F3271" s="102"/>
      <c r="G3271" s="103"/>
    </row>
    <row r="3272" spans="1:7" x14ac:dyDescent="0.25">
      <c r="A3272" s="101"/>
      <c r="B3272" s="36"/>
      <c r="C3272" s="98"/>
      <c r="D3272" s="98"/>
      <c r="E3272" s="98"/>
      <c r="F3272" s="102"/>
      <c r="G3272" s="103"/>
    </row>
    <row r="3273" spans="1:7" x14ac:dyDescent="0.25">
      <c r="A3273" s="101"/>
      <c r="B3273" s="36"/>
      <c r="C3273" s="98"/>
      <c r="D3273" s="98"/>
      <c r="E3273" s="98"/>
      <c r="F3273" s="102"/>
      <c r="G3273" s="103"/>
    </row>
    <row r="3274" spans="1:7" x14ac:dyDescent="0.25">
      <c r="A3274" s="101"/>
      <c r="B3274" s="36"/>
      <c r="C3274" s="98"/>
      <c r="D3274" s="98"/>
      <c r="E3274" s="98"/>
      <c r="F3274" s="102"/>
      <c r="G3274" s="103"/>
    </row>
    <row r="3275" spans="1:7" x14ac:dyDescent="0.25">
      <c r="A3275" s="101"/>
      <c r="B3275" s="36"/>
      <c r="C3275" s="98"/>
      <c r="D3275" s="98"/>
      <c r="E3275" s="98"/>
      <c r="F3275" s="102"/>
      <c r="G3275" s="103"/>
    </row>
    <row r="3276" spans="1:7" x14ac:dyDescent="0.25">
      <c r="A3276" s="101"/>
      <c r="B3276" s="36"/>
      <c r="C3276" s="98"/>
      <c r="D3276" s="98"/>
      <c r="E3276" s="98"/>
      <c r="F3276" s="102"/>
      <c r="G3276" s="103"/>
    </row>
    <row r="3277" spans="1:7" x14ac:dyDescent="0.25">
      <c r="A3277" s="101"/>
      <c r="B3277" s="36"/>
      <c r="C3277" s="98"/>
      <c r="D3277" s="98"/>
      <c r="E3277" s="98"/>
      <c r="F3277" s="102"/>
      <c r="G3277" s="103"/>
    </row>
    <row r="3278" spans="1:7" x14ac:dyDescent="0.25">
      <c r="A3278" s="101"/>
      <c r="B3278" s="36"/>
      <c r="C3278" s="98"/>
      <c r="D3278" s="98"/>
      <c r="E3278" s="98"/>
      <c r="F3278" s="102"/>
      <c r="G3278" s="103"/>
    </row>
    <row r="3279" spans="1:7" x14ac:dyDescent="0.25">
      <c r="A3279" s="101"/>
      <c r="B3279" s="36"/>
      <c r="C3279" s="98"/>
      <c r="D3279" s="98"/>
      <c r="E3279" s="98"/>
      <c r="F3279" s="102"/>
      <c r="G3279" s="103"/>
    </row>
    <row r="3280" spans="1:7" x14ac:dyDescent="0.25">
      <c r="A3280" s="101"/>
      <c r="B3280" s="36"/>
      <c r="C3280" s="98"/>
      <c r="D3280" s="98"/>
      <c r="E3280" s="98"/>
      <c r="F3280" s="102"/>
      <c r="G3280" s="103"/>
    </row>
    <row r="3281" spans="1:7" x14ac:dyDescent="0.25">
      <c r="A3281" s="101"/>
      <c r="B3281" s="36"/>
      <c r="C3281" s="98"/>
      <c r="D3281" s="98"/>
      <c r="E3281" s="98"/>
      <c r="F3281" s="102"/>
      <c r="G3281" s="103"/>
    </row>
    <row r="3282" spans="1:7" x14ac:dyDescent="0.25">
      <c r="A3282" s="101"/>
      <c r="B3282" s="36"/>
      <c r="C3282" s="98"/>
      <c r="D3282" s="98"/>
      <c r="E3282" s="98"/>
      <c r="F3282" s="102"/>
      <c r="G3282" s="103"/>
    </row>
    <row r="3283" spans="1:7" x14ac:dyDescent="0.25">
      <c r="A3283" s="101"/>
      <c r="B3283" s="36"/>
      <c r="C3283" s="98"/>
      <c r="D3283" s="98"/>
      <c r="E3283" s="98"/>
      <c r="F3283" s="102"/>
      <c r="G3283" s="103"/>
    </row>
    <row r="3284" spans="1:7" x14ac:dyDescent="0.25">
      <c r="A3284" s="101"/>
      <c r="B3284" s="36"/>
      <c r="C3284" s="98"/>
      <c r="D3284" s="98"/>
      <c r="E3284" s="98"/>
      <c r="F3284" s="102"/>
      <c r="G3284" s="103"/>
    </row>
    <row r="3285" spans="1:7" x14ac:dyDescent="0.25">
      <c r="A3285" s="101"/>
      <c r="B3285" s="36"/>
      <c r="C3285" s="98"/>
      <c r="D3285" s="98"/>
      <c r="E3285" s="98"/>
      <c r="F3285" s="102"/>
      <c r="G3285" s="103"/>
    </row>
    <row r="3286" spans="1:7" x14ac:dyDescent="0.25">
      <c r="A3286" s="101"/>
      <c r="B3286" s="36"/>
      <c r="C3286" s="98"/>
      <c r="D3286" s="98"/>
      <c r="E3286" s="98"/>
      <c r="F3286" s="102"/>
      <c r="G3286" s="103"/>
    </row>
    <row r="3287" spans="1:7" x14ac:dyDescent="0.25">
      <c r="A3287" s="101"/>
      <c r="B3287" s="36"/>
      <c r="C3287" s="98"/>
      <c r="D3287" s="98"/>
      <c r="E3287" s="98"/>
      <c r="F3287" s="102"/>
      <c r="G3287" s="103"/>
    </row>
    <row r="3288" spans="1:7" x14ac:dyDescent="0.25">
      <c r="A3288" s="101"/>
      <c r="B3288" s="36"/>
      <c r="C3288" s="98"/>
      <c r="D3288" s="98"/>
      <c r="E3288" s="98"/>
      <c r="F3288" s="102"/>
      <c r="G3288" s="103"/>
    </row>
    <row r="3289" spans="1:7" x14ac:dyDescent="0.25">
      <c r="A3289" s="101"/>
      <c r="B3289" s="36"/>
      <c r="C3289" s="98"/>
      <c r="D3289" s="98"/>
      <c r="E3289" s="98"/>
      <c r="F3289" s="102"/>
      <c r="G3289" s="103"/>
    </row>
    <row r="3290" spans="1:7" x14ac:dyDescent="0.25">
      <c r="A3290" s="101"/>
      <c r="B3290" s="36"/>
      <c r="C3290" s="98"/>
      <c r="D3290" s="98"/>
      <c r="E3290" s="98"/>
      <c r="F3290" s="102"/>
      <c r="G3290" s="103"/>
    </row>
    <row r="3291" spans="1:7" x14ac:dyDescent="0.25">
      <c r="A3291" s="101"/>
      <c r="B3291" s="36"/>
      <c r="C3291" s="98"/>
      <c r="D3291" s="98"/>
      <c r="E3291" s="98"/>
      <c r="F3291" s="102"/>
      <c r="G3291" s="103"/>
    </row>
    <row r="3292" spans="1:7" x14ac:dyDescent="0.25">
      <c r="A3292" s="101"/>
      <c r="B3292" s="36"/>
      <c r="C3292" s="98"/>
      <c r="D3292" s="98"/>
      <c r="E3292" s="98"/>
      <c r="F3292" s="102"/>
      <c r="G3292" s="103"/>
    </row>
    <row r="3293" spans="1:7" x14ac:dyDescent="0.25">
      <c r="A3293" s="101"/>
      <c r="B3293" s="36"/>
      <c r="C3293" s="98"/>
      <c r="D3293" s="98"/>
      <c r="E3293" s="98"/>
      <c r="F3293" s="102"/>
      <c r="G3293" s="103"/>
    </row>
    <row r="3294" spans="1:7" x14ac:dyDescent="0.25">
      <c r="A3294" s="101"/>
      <c r="B3294" s="36"/>
      <c r="C3294" s="98"/>
      <c r="D3294" s="98"/>
      <c r="E3294" s="98"/>
      <c r="F3294" s="102"/>
      <c r="G3294" s="103"/>
    </row>
    <row r="3295" spans="1:7" x14ac:dyDescent="0.25">
      <c r="A3295" s="101"/>
      <c r="B3295" s="36"/>
      <c r="C3295" s="98"/>
      <c r="D3295" s="98"/>
      <c r="E3295" s="98"/>
      <c r="F3295" s="102"/>
      <c r="G3295" s="103"/>
    </row>
    <row r="3296" spans="1:7" x14ac:dyDescent="0.25">
      <c r="A3296" s="101"/>
      <c r="B3296" s="36"/>
      <c r="C3296" s="98"/>
      <c r="D3296" s="98"/>
      <c r="E3296" s="98"/>
      <c r="F3296" s="102"/>
      <c r="G3296" s="103"/>
    </row>
    <row r="3297" spans="1:7" x14ac:dyDescent="0.25">
      <c r="A3297" s="101"/>
      <c r="B3297" s="36"/>
      <c r="C3297" s="98"/>
      <c r="D3297" s="98"/>
      <c r="E3297" s="98"/>
      <c r="F3297" s="102"/>
      <c r="G3297" s="103"/>
    </row>
    <row r="3298" spans="1:7" x14ac:dyDescent="0.25">
      <c r="A3298" s="101"/>
      <c r="B3298" s="36"/>
      <c r="C3298" s="98"/>
      <c r="D3298" s="98"/>
      <c r="E3298" s="98"/>
      <c r="F3298" s="102"/>
      <c r="G3298" s="103"/>
    </row>
    <row r="3299" spans="1:7" x14ac:dyDescent="0.25">
      <c r="A3299" s="101"/>
      <c r="B3299" s="36"/>
      <c r="C3299" s="98"/>
      <c r="D3299" s="98"/>
      <c r="E3299" s="98"/>
      <c r="F3299" s="102"/>
      <c r="G3299" s="103"/>
    </row>
    <row r="3300" spans="1:7" x14ac:dyDescent="0.25">
      <c r="A3300" s="101"/>
      <c r="B3300" s="36"/>
      <c r="C3300" s="98"/>
      <c r="D3300" s="98"/>
      <c r="E3300" s="98"/>
      <c r="F3300" s="102"/>
      <c r="G3300" s="103"/>
    </row>
    <row r="3301" spans="1:7" x14ac:dyDescent="0.25">
      <c r="A3301" s="101"/>
      <c r="B3301" s="36"/>
      <c r="C3301" s="98"/>
      <c r="D3301" s="98"/>
      <c r="E3301" s="98"/>
      <c r="F3301" s="102"/>
      <c r="G3301" s="103"/>
    </row>
    <row r="3302" spans="1:7" x14ac:dyDescent="0.25">
      <c r="A3302" s="101"/>
      <c r="B3302" s="36"/>
      <c r="C3302" s="98"/>
      <c r="D3302" s="98"/>
      <c r="E3302" s="98"/>
      <c r="F3302" s="102"/>
      <c r="G3302" s="103"/>
    </row>
    <row r="3303" spans="1:7" x14ac:dyDescent="0.25">
      <c r="A3303" s="101"/>
      <c r="B3303" s="36"/>
      <c r="C3303" s="98"/>
      <c r="D3303" s="98"/>
      <c r="E3303" s="98"/>
      <c r="F3303" s="102"/>
      <c r="G3303" s="103"/>
    </row>
    <row r="3304" spans="1:7" x14ac:dyDescent="0.25">
      <c r="A3304" s="101"/>
      <c r="B3304" s="36"/>
      <c r="C3304" s="98"/>
      <c r="D3304" s="98"/>
      <c r="E3304" s="98"/>
      <c r="F3304" s="102"/>
      <c r="G3304" s="103"/>
    </row>
    <row r="3305" spans="1:7" x14ac:dyDescent="0.25">
      <c r="A3305" s="101"/>
      <c r="B3305" s="36"/>
      <c r="C3305" s="98"/>
      <c r="D3305" s="98"/>
      <c r="E3305" s="98"/>
      <c r="F3305" s="102"/>
      <c r="G3305" s="103"/>
    </row>
    <row r="3306" spans="1:7" x14ac:dyDescent="0.25">
      <c r="A3306" s="101"/>
      <c r="B3306" s="36"/>
      <c r="C3306" s="98"/>
      <c r="D3306" s="98"/>
      <c r="E3306" s="98"/>
      <c r="F3306" s="102"/>
      <c r="G3306" s="103"/>
    </row>
    <row r="3307" spans="1:7" x14ac:dyDescent="0.25">
      <c r="A3307" s="101"/>
      <c r="B3307" s="36"/>
      <c r="C3307" s="98"/>
      <c r="D3307" s="98"/>
      <c r="E3307" s="98"/>
      <c r="F3307" s="102"/>
      <c r="G3307" s="103"/>
    </row>
    <row r="3308" spans="1:7" x14ac:dyDescent="0.25">
      <c r="A3308" s="101"/>
      <c r="B3308" s="36"/>
      <c r="C3308" s="98"/>
      <c r="D3308" s="98"/>
      <c r="E3308" s="98"/>
      <c r="F3308" s="102"/>
      <c r="G3308" s="103"/>
    </row>
    <row r="3309" spans="1:7" x14ac:dyDescent="0.25">
      <c r="A3309" s="101"/>
      <c r="B3309" s="36"/>
      <c r="C3309" s="98"/>
      <c r="D3309" s="98"/>
      <c r="E3309" s="98"/>
      <c r="F3309" s="102"/>
      <c r="G3309" s="103"/>
    </row>
    <row r="3310" spans="1:7" x14ac:dyDescent="0.25">
      <c r="A3310" s="101"/>
      <c r="B3310" s="36"/>
      <c r="C3310" s="98"/>
      <c r="D3310" s="98"/>
      <c r="E3310" s="98"/>
      <c r="F3310" s="102"/>
      <c r="G3310" s="103"/>
    </row>
    <row r="3311" spans="1:7" x14ac:dyDescent="0.25">
      <c r="A3311" s="101"/>
      <c r="B3311" s="36"/>
      <c r="C3311" s="98"/>
      <c r="D3311" s="98"/>
      <c r="E3311" s="98"/>
      <c r="F3311" s="102"/>
      <c r="G3311" s="103"/>
    </row>
    <row r="3312" spans="1:7" x14ac:dyDescent="0.25">
      <c r="A3312" s="101"/>
      <c r="B3312" s="36"/>
      <c r="C3312" s="98"/>
      <c r="D3312" s="98"/>
      <c r="E3312" s="98"/>
      <c r="F3312" s="102"/>
      <c r="G3312" s="103"/>
    </row>
    <row r="3313" spans="1:7" x14ac:dyDescent="0.25">
      <c r="A3313" s="101"/>
      <c r="B3313" s="36"/>
      <c r="C3313" s="98"/>
      <c r="D3313" s="98"/>
      <c r="E3313" s="98"/>
      <c r="F3313" s="102"/>
      <c r="G3313" s="103"/>
    </row>
    <row r="3314" spans="1:7" x14ac:dyDescent="0.25">
      <c r="A3314" s="101"/>
      <c r="B3314" s="36"/>
      <c r="C3314" s="98"/>
      <c r="D3314" s="98"/>
      <c r="E3314" s="98"/>
      <c r="F3314" s="102"/>
      <c r="G3314" s="103"/>
    </row>
    <row r="3315" spans="1:7" x14ac:dyDescent="0.25">
      <c r="A3315" s="101"/>
      <c r="B3315" s="36"/>
      <c r="C3315" s="98"/>
      <c r="D3315" s="98"/>
      <c r="E3315" s="98"/>
      <c r="F3315" s="102"/>
      <c r="G3315" s="103"/>
    </row>
    <row r="3316" spans="1:7" x14ac:dyDescent="0.25">
      <c r="A3316" s="101"/>
      <c r="B3316" s="36"/>
      <c r="C3316" s="98"/>
      <c r="D3316" s="98"/>
      <c r="E3316" s="98"/>
      <c r="F3316" s="102"/>
      <c r="G3316" s="103"/>
    </row>
    <row r="3317" spans="1:7" x14ac:dyDescent="0.25">
      <c r="A3317" s="101"/>
      <c r="B3317" s="36"/>
      <c r="C3317" s="98"/>
      <c r="D3317" s="98"/>
      <c r="E3317" s="98"/>
      <c r="F3317" s="102"/>
      <c r="G3317" s="103"/>
    </row>
    <row r="3318" spans="1:7" x14ac:dyDescent="0.25">
      <c r="A3318" s="101"/>
      <c r="B3318" s="36"/>
      <c r="C3318" s="98"/>
      <c r="D3318" s="98"/>
      <c r="E3318" s="98"/>
      <c r="F3318" s="102"/>
      <c r="G3318" s="103"/>
    </row>
    <row r="3319" spans="1:7" x14ac:dyDescent="0.25">
      <c r="A3319" s="101"/>
      <c r="B3319" s="36"/>
      <c r="C3319" s="98"/>
      <c r="D3319" s="98"/>
      <c r="E3319" s="98"/>
      <c r="F3319" s="102"/>
      <c r="G3319" s="103"/>
    </row>
    <row r="3320" spans="1:7" x14ac:dyDescent="0.25">
      <c r="A3320" s="101"/>
      <c r="B3320" s="36"/>
      <c r="C3320" s="98"/>
      <c r="D3320" s="98"/>
      <c r="E3320" s="98"/>
      <c r="F3320" s="102"/>
      <c r="G3320" s="103"/>
    </row>
    <row r="3321" spans="1:7" x14ac:dyDescent="0.25">
      <c r="A3321" s="101"/>
      <c r="B3321" s="36"/>
      <c r="C3321" s="98"/>
      <c r="D3321" s="98"/>
      <c r="E3321" s="98"/>
      <c r="F3321" s="102"/>
      <c r="G3321" s="103"/>
    </row>
    <row r="3322" spans="1:7" x14ac:dyDescent="0.25">
      <c r="A3322" s="101"/>
      <c r="B3322" s="36"/>
      <c r="C3322" s="98"/>
      <c r="D3322" s="98"/>
      <c r="E3322" s="98"/>
      <c r="F3322" s="102"/>
      <c r="G3322" s="103"/>
    </row>
    <row r="3323" spans="1:7" x14ac:dyDescent="0.25">
      <c r="A3323" s="101"/>
      <c r="B3323" s="36"/>
      <c r="C3323" s="98"/>
      <c r="D3323" s="98"/>
      <c r="E3323" s="98"/>
      <c r="F3323" s="102"/>
      <c r="G3323" s="103"/>
    </row>
    <row r="3324" spans="1:7" x14ac:dyDescent="0.25">
      <c r="A3324" s="101"/>
      <c r="B3324" s="36"/>
      <c r="C3324" s="98"/>
      <c r="D3324" s="98"/>
      <c r="E3324" s="98"/>
      <c r="F3324" s="102"/>
      <c r="G3324" s="103"/>
    </row>
    <row r="3325" spans="1:7" x14ac:dyDescent="0.25">
      <c r="A3325" s="101"/>
      <c r="B3325" s="36"/>
      <c r="C3325" s="98"/>
      <c r="D3325" s="98"/>
      <c r="E3325" s="98"/>
      <c r="F3325" s="102"/>
      <c r="G3325" s="103"/>
    </row>
    <row r="3326" spans="1:7" x14ac:dyDescent="0.25">
      <c r="A3326" s="101"/>
      <c r="B3326" s="36"/>
      <c r="C3326" s="98"/>
      <c r="D3326" s="98"/>
      <c r="E3326" s="98"/>
      <c r="F3326" s="102"/>
      <c r="G3326" s="103"/>
    </row>
    <row r="3327" spans="1:7" x14ac:dyDescent="0.25">
      <c r="A3327" s="101"/>
      <c r="B3327" s="36"/>
      <c r="C3327" s="98"/>
      <c r="D3327" s="98"/>
      <c r="E3327" s="98"/>
      <c r="F3327" s="102"/>
      <c r="G3327" s="103"/>
    </row>
    <row r="3328" spans="1:7" x14ac:dyDescent="0.25">
      <c r="A3328" s="101"/>
      <c r="B3328" s="104"/>
      <c r="C3328" s="98"/>
      <c r="D3328" s="98"/>
      <c r="E3328" s="98"/>
      <c r="F3328" s="102"/>
      <c r="G3328" s="103"/>
    </row>
    <row r="3329" spans="1:7" x14ac:dyDescent="0.25">
      <c r="A3329" s="101"/>
      <c r="B3329" s="36"/>
      <c r="C3329" s="98"/>
      <c r="D3329" s="98"/>
      <c r="E3329" s="98"/>
      <c r="F3329" s="102"/>
      <c r="G3329" s="103"/>
    </row>
    <row r="3330" spans="1:7" x14ac:dyDescent="0.25">
      <c r="A3330" s="101"/>
      <c r="B3330" s="36"/>
      <c r="C3330" s="98"/>
      <c r="D3330" s="98"/>
      <c r="E3330" s="98"/>
      <c r="F3330" s="102"/>
      <c r="G3330" s="103"/>
    </row>
    <row r="3331" spans="1:7" x14ac:dyDescent="0.25">
      <c r="A3331" s="101"/>
      <c r="B3331" s="36"/>
      <c r="C3331" s="98"/>
      <c r="D3331" s="98"/>
      <c r="E3331" s="98"/>
      <c r="F3331" s="102"/>
      <c r="G3331" s="103"/>
    </row>
    <row r="3332" spans="1:7" x14ac:dyDescent="0.25">
      <c r="A3332" s="101"/>
      <c r="B3332" s="36"/>
      <c r="C3332" s="98"/>
      <c r="D3332" s="98"/>
      <c r="E3332" s="98"/>
      <c r="F3332" s="102"/>
      <c r="G3332" s="103"/>
    </row>
    <row r="3333" spans="1:7" x14ac:dyDescent="0.25">
      <c r="A3333" s="101"/>
      <c r="B3333" s="36"/>
      <c r="C3333" s="98"/>
      <c r="D3333" s="98"/>
      <c r="E3333" s="98"/>
      <c r="F3333" s="102"/>
      <c r="G3333" s="103"/>
    </row>
    <row r="3334" spans="1:7" x14ac:dyDescent="0.25">
      <c r="A3334" s="101"/>
      <c r="B3334" s="36"/>
      <c r="C3334" s="98"/>
      <c r="D3334" s="98"/>
      <c r="E3334" s="98"/>
      <c r="F3334" s="102"/>
      <c r="G3334" s="103"/>
    </row>
    <row r="3335" spans="1:7" x14ac:dyDescent="0.25">
      <c r="A3335" s="101"/>
      <c r="B3335" s="36"/>
      <c r="C3335" s="98"/>
      <c r="D3335" s="98"/>
      <c r="E3335" s="98"/>
      <c r="F3335" s="102"/>
      <c r="G3335" s="103"/>
    </row>
    <row r="3336" spans="1:7" x14ac:dyDescent="0.25">
      <c r="A3336" s="101"/>
      <c r="B3336" s="36"/>
      <c r="C3336" s="98"/>
      <c r="D3336" s="98"/>
      <c r="E3336" s="98"/>
      <c r="F3336" s="102"/>
      <c r="G3336" s="103"/>
    </row>
    <row r="3337" spans="1:7" x14ac:dyDescent="0.25">
      <c r="A3337" s="101"/>
      <c r="B3337" s="36"/>
      <c r="C3337" s="98"/>
      <c r="D3337" s="98"/>
      <c r="E3337" s="98"/>
      <c r="F3337" s="102"/>
      <c r="G3337" s="103"/>
    </row>
    <row r="3338" spans="1:7" x14ac:dyDescent="0.25">
      <c r="A3338" s="101"/>
      <c r="B3338" s="36"/>
      <c r="C3338" s="98"/>
      <c r="D3338" s="98"/>
      <c r="E3338" s="98"/>
      <c r="F3338" s="102"/>
      <c r="G3338" s="103"/>
    </row>
    <row r="3339" spans="1:7" x14ac:dyDescent="0.25">
      <c r="A3339" s="101"/>
      <c r="B3339" s="36"/>
      <c r="C3339" s="98"/>
      <c r="D3339" s="98"/>
      <c r="E3339" s="98"/>
      <c r="F3339" s="102"/>
      <c r="G3339" s="103"/>
    </row>
    <row r="3340" spans="1:7" x14ac:dyDescent="0.25">
      <c r="A3340" s="101"/>
      <c r="B3340" s="36"/>
      <c r="C3340" s="98"/>
      <c r="D3340" s="98"/>
      <c r="E3340" s="98"/>
      <c r="F3340" s="102"/>
      <c r="G3340" s="103"/>
    </row>
    <row r="3341" spans="1:7" x14ac:dyDescent="0.25">
      <c r="A3341" s="101"/>
      <c r="B3341" s="36"/>
      <c r="C3341" s="98"/>
      <c r="D3341" s="98"/>
      <c r="E3341" s="98"/>
      <c r="F3341" s="102"/>
      <c r="G3341" s="103"/>
    </row>
    <row r="3342" spans="1:7" x14ac:dyDescent="0.25">
      <c r="A3342" s="101"/>
      <c r="B3342" s="36"/>
      <c r="C3342" s="98"/>
      <c r="D3342" s="98"/>
      <c r="E3342" s="98"/>
      <c r="F3342" s="102"/>
      <c r="G3342" s="103"/>
    </row>
    <row r="3343" spans="1:7" x14ac:dyDescent="0.25">
      <c r="A3343" s="101"/>
      <c r="B3343" s="36"/>
      <c r="C3343" s="98"/>
      <c r="D3343" s="98"/>
      <c r="E3343" s="98"/>
      <c r="F3343" s="102"/>
      <c r="G3343" s="103"/>
    </row>
    <row r="3344" spans="1:7" x14ac:dyDescent="0.25">
      <c r="A3344" s="101"/>
      <c r="B3344" s="36"/>
      <c r="C3344" s="98"/>
      <c r="D3344" s="98"/>
      <c r="E3344" s="98"/>
      <c r="F3344" s="102"/>
      <c r="G3344" s="103"/>
    </row>
    <row r="3345" spans="1:7" x14ac:dyDescent="0.25">
      <c r="A3345" s="101"/>
      <c r="B3345" s="36"/>
      <c r="C3345" s="98"/>
      <c r="D3345" s="98"/>
      <c r="E3345" s="98"/>
      <c r="F3345" s="102"/>
      <c r="G3345" s="103"/>
    </row>
    <row r="3346" spans="1:7" x14ac:dyDescent="0.25">
      <c r="A3346" s="101"/>
      <c r="B3346" s="36"/>
      <c r="C3346" s="98"/>
      <c r="D3346" s="98"/>
      <c r="E3346" s="98"/>
      <c r="F3346" s="102"/>
      <c r="G3346" s="103"/>
    </row>
    <row r="3347" spans="1:7" x14ac:dyDescent="0.25">
      <c r="A3347" s="101"/>
      <c r="B3347" s="36"/>
      <c r="C3347" s="98"/>
      <c r="D3347" s="98"/>
      <c r="E3347" s="98"/>
      <c r="F3347" s="102"/>
      <c r="G3347" s="103"/>
    </row>
    <row r="3348" spans="1:7" x14ac:dyDescent="0.25">
      <c r="A3348" s="101"/>
      <c r="B3348" s="36"/>
      <c r="C3348" s="98"/>
      <c r="D3348" s="98"/>
      <c r="E3348" s="98"/>
      <c r="F3348" s="102"/>
      <c r="G3348" s="103"/>
    </row>
    <row r="3349" spans="1:7" x14ac:dyDescent="0.25">
      <c r="A3349" s="101"/>
      <c r="B3349" s="36"/>
      <c r="C3349" s="98"/>
      <c r="D3349" s="98"/>
      <c r="E3349" s="98"/>
      <c r="F3349" s="102"/>
      <c r="G3349" s="103"/>
    </row>
    <row r="3350" spans="1:7" x14ac:dyDescent="0.25">
      <c r="A3350" s="101"/>
      <c r="B3350" s="36"/>
      <c r="C3350" s="98"/>
      <c r="D3350" s="98"/>
      <c r="E3350" s="98"/>
      <c r="F3350" s="102"/>
      <c r="G3350" s="103"/>
    </row>
    <row r="3351" spans="1:7" x14ac:dyDescent="0.25">
      <c r="A3351" s="101"/>
      <c r="B3351" s="36"/>
      <c r="C3351" s="98"/>
      <c r="D3351" s="98"/>
      <c r="E3351" s="98"/>
      <c r="F3351" s="102"/>
      <c r="G3351" s="103"/>
    </row>
    <row r="3352" spans="1:7" x14ac:dyDescent="0.25">
      <c r="A3352" s="101"/>
      <c r="B3352" s="36"/>
      <c r="C3352" s="98"/>
      <c r="D3352" s="98"/>
      <c r="E3352" s="98"/>
      <c r="F3352" s="102"/>
      <c r="G3352" s="103"/>
    </row>
    <row r="3353" spans="1:7" x14ac:dyDescent="0.25">
      <c r="A3353" s="101"/>
      <c r="B3353" s="36"/>
      <c r="C3353" s="98"/>
      <c r="D3353" s="98"/>
      <c r="E3353" s="98"/>
      <c r="F3353" s="102"/>
      <c r="G3353" s="103"/>
    </row>
    <row r="3354" spans="1:7" x14ac:dyDescent="0.25">
      <c r="A3354" s="101"/>
      <c r="B3354" s="36"/>
      <c r="C3354" s="98"/>
      <c r="D3354" s="98"/>
      <c r="E3354" s="98"/>
      <c r="F3354" s="102"/>
      <c r="G3354" s="103"/>
    </row>
    <row r="3355" spans="1:7" x14ac:dyDescent="0.25">
      <c r="A3355" s="101"/>
      <c r="B3355" s="36"/>
      <c r="C3355" s="98"/>
      <c r="D3355" s="98"/>
      <c r="E3355" s="98"/>
      <c r="F3355" s="102"/>
      <c r="G3355" s="103"/>
    </row>
    <row r="3356" spans="1:7" x14ac:dyDescent="0.25">
      <c r="A3356" s="101"/>
      <c r="B3356" s="104"/>
      <c r="C3356" s="98"/>
      <c r="D3356" s="98"/>
      <c r="E3356" s="98"/>
      <c r="F3356" s="102"/>
      <c r="G3356" s="103"/>
    </row>
    <row r="3357" spans="1:7" x14ac:dyDescent="0.25">
      <c r="A3357" s="101"/>
      <c r="B3357" s="104"/>
      <c r="C3357" s="98"/>
      <c r="D3357" s="98"/>
      <c r="E3357" s="98"/>
      <c r="F3357" s="102"/>
      <c r="G3357" s="103"/>
    </row>
    <row r="3358" spans="1:7" x14ac:dyDescent="0.25">
      <c r="A3358" s="101"/>
      <c r="B3358" s="36"/>
      <c r="C3358" s="98"/>
      <c r="D3358" s="98"/>
      <c r="E3358" s="98"/>
      <c r="F3358" s="102"/>
      <c r="G3358" s="103"/>
    </row>
    <row r="3359" spans="1:7" x14ac:dyDescent="0.25">
      <c r="A3359" s="101"/>
      <c r="B3359" s="36"/>
      <c r="C3359" s="98"/>
      <c r="D3359" s="98"/>
      <c r="E3359" s="98"/>
      <c r="F3359" s="102"/>
      <c r="G3359" s="103"/>
    </row>
    <row r="3360" spans="1:7" x14ac:dyDescent="0.25">
      <c r="A3360" s="101"/>
      <c r="B3360" s="36"/>
      <c r="C3360" s="98"/>
      <c r="D3360" s="98"/>
      <c r="E3360" s="98"/>
      <c r="F3360" s="102"/>
      <c r="G3360" s="103"/>
    </row>
    <row r="3361" spans="1:7" x14ac:dyDescent="0.25">
      <c r="A3361" s="101"/>
      <c r="B3361" s="36"/>
      <c r="C3361" s="98"/>
      <c r="D3361" s="98"/>
      <c r="E3361" s="98"/>
      <c r="F3361" s="102"/>
      <c r="G3361" s="103"/>
    </row>
    <row r="3362" spans="1:7" x14ac:dyDescent="0.25">
      <c r="A3362" s="101"/>
      <c r="B3362" s="36"/>
      <c r="C3362" s="98"/>
      <c r="D3362" s="98"/>
      <c r="E3362" s="98"/>
      <c r="F3362" s="102"/>
      <c r="G3362" s="103"/>
    </row>
    <row r="3363" spans="1:7" x14ac:dyDescent="0.25">
      <c r="A3363" s="101"/>
      <c r="B3363" s="36"/>
      <c r="C3363" s="98"/>
      <c r="D3363" s="98"/>
      <c r="E3363" s="98"/>
      <c r="F3363" s="102"/>
      <c r="G3363" s="103"/>
    </row>
    <row r="3364" spans="1:7" x14ac:dyDescent="0.25">
      <c r="A3364" s="101"/>
      <c r="B3364" s="36"/>
      <c r="C3364" s="98"/>
      <c r="D3364" s="98"/>
      <c r="E3364" s="98"/>
      <c r="F3364" s="102"/>
      <c r="G3364" s="103"/>
    </row>
    <row r="3365" spans="1:7" x14ac:dyDescent="0.25">
      <c r="A3365" s="101"/>
      <c r="B3365" s="36"/>
      <c r="C3365" s="98"/>
      <c r="D3365" s="98"/>
      <c r="E3365" s="98"/>
      <c r="F3365" s="102"/>
      <c r="G3365" s="103"/>
    </row>
    <row r="3366" spans="1:7" x14ac:dyDescent="0.25">
      <c r="A3366" s="101"/>
      <c r="B3366" s="36"/>
      <c r="C3366" s="98"/>
      <c r="D3366" s="98"/>
      <c r="E3366" s="98"/>
      <c r="F3366" s="102"/>
      <c r="G3366" s="103"/>
    </row>
    <row r="3367" spans="1:7" x14ac:dyDescent="0.25">
      <c r="A3367" s="101"/>
      <c r="B3367" s="36"/>
      <c r="C3367" s="98"/>
      <c r="D3367" s="98"/>
      <c r="E3367" s="98"/>
      <c r="F3367" s="102"/>
      <c r="G3367" s="103"/>
    </row>
    <row r="3368" spans="1:7" x14ac:dyDescent="0.25">
      <c r="A3368" s="101"/>
      <c r="B3368" s="36"/>
      <c r="C3368" s="98"/>
      <c r="D3368" s="98"/>
      <c r="E3368" s="98"/>
      <c r="F3368" s="102"/>
      <c r="G3368" s="103"/>
    </row>
    <row r="3369" spans="1:7" x14ac:dyDescent="0.25">
      <c r="A3369" s="101"/>
      <c r="B3369" s="36"/>
      <c r="C3369" s="98"/>
      <c r="D3369" s="98"/>
      <c r="E3369" s="98"/>
      <c r="F3369" s="102"/>
      <c r="G3369" s="103"/>
    </row>
    <row r="3370" spans="1:7" x14ac:dyDescent="0.25">
      <c r="A3370" s="101"/>
      <c r="B3370" s="66"/>
      <c r="C3370" s="98"/>
      <c r="D3370" s="98"/>
      <c r="E3370" s="98"/>
      <c r="F3370" s="102"/>
      <c r="G3370" s="103"/>
    </row>
    <row r="3371" spans="1:7" x14ac:dyDescent="0.25">
      <c r="A3371" s="101"/>
      <c r="B3371" s="36"/>
      <c r="C3371" s="98"/>
      <c r="D3371" s="98"/>
      <c r="E3371" s="98"/>
      <c r="F3371" s="102"/>
      <c r="G3371" s="103"/>
    </row>
    <row r="3372" spans="1:7" x14ac:dyDescent="0.25">
      <c r="A3372" s="101"/>
      <c r="B3372" s="36"/>
      <c r="C3372" s="98"/>
      <c r="D3372" s="98"/>
      <c r="E3372" s="98"/>
      <c r="F3372" s="102"/>
      <c r="G3372" s="103"/>
    </row>
    <row r="3373" spans="1:7" x14ac:dyDescent="0.25">
      <c r="A3373" s="101"/>
      <c r="B3373" s="36"/>
      <c r="C3373" s="98"/>
      <c r="D3373" s="98"/>
      <c r="E3373" s="98"/>
      <c r="F3373" s="102"/>
      <c r="G3373" s="103"/>
    </row>
    <row r="3374" spans="1:7" x14ac:dyDescent="0.25">
      <c r="A3374" s="101"/>
      <c r="B3374" s="36"/>
      <c r="C3374" s="98"/>
      <c r="D3374" s="98"/>
      <c r="E3374" s="98"/>
      <c r="F3374" s="102"/>
      <c r="G3374" s="103"/>
    </row>
    <row r="3375" spans="1:7" x14ac:dyDescent="0.25">
      <c r="A3375" s="101"/>
      <c r="B3375" s="36"/>
      <c r="C3375" s="98"/>
      <c r="D3375" s="98"/>
      <c r="E3375" s="98"/>
      <c r="F3375" s="102"/>
      <c r="G3375" s="103"/>
    </row>
    <row r="3376" spans="1:7" x14ac:dyDescent="0.25">
      <c r="A3376" s="101"/>
      <c r="B3376" s="36"/>
      <c r="C3376" s="98"/>
      <c r="D3376" s="98"/>
      <c r="E3376" s="98"/>
      <c r="F3376" s="102"/>
      <c r="G3376" s="103"/>
    </row>
    <row r="3377" spans="1:7" x14ac:dyDescent="0.25">
      <c r="A3377" s="101"/>
      <c r="B3377" s="36"/>
      <c r="C3377" s="98"/>
      <c r="D3377" s="98"/>
      <c r="E3377" s="98"/>
      <c r="F3377" s="102"/>
      <c r="G3377" s="103"/>
    </row>
    <row r="3378" spans="1:7" x14ac:dyDescent="0.25">
      <c r="A3378" s="101"/>
      <c r="B3378" s="36"/>
      <c r="C3378" s="98"/>
      <c r="D3378" s="98"/>
      <c r="E3378" s="98"/>
      <c r="F3378" s="102"/>
      <c r="G3378" s="103"/>
    </row>
    <row r="3379" spans="1:7" x14ac:dyDescent="0.25">
      <c r="A3379" s="101"/>
      <c r="B3379" s="36"/>
      <c r="C3379" s="98"/>
      <c r="D3379" s="98"/>
      <c r="E3379" s="98"/>
      <c r="F3379" s="102"/>
      <c r="G3379" s="103"/>
    </row>
    <row r="3380" spans="1:7" x14ac:dyDescent="0.25">
      <c r="A3380" s="101"/>
      <c r="B3380" s="36"/>
      <c r="C3380" s="98"/>
      <c r="D3380" s="98"/>
      <c r="E3380" s="98"/>
      <c r="F3380" s="102"/>
      <c r="G3380" s="103"/>
    </row>
    <row r="3381" spans="1:7" x14ac:dyDescent="0.25">
      <c r="A3381" s="101"/>
      <c r="B3381" s="36"/>
      <c r="C3381" s="98"/>
      <c r="D3381" s="98"/>
      <c r="E3381" s="98"/>
      <c r="F3381" s="102"/>
      <c r="G3381" s="103"/>
    </row>
    <row r="3382" spans="1:7" x14ac:dyDescent="0.25">
      <c r="A3382" s="101"/>
      <c r="B3382" s="36"/>
      <c r="C3382" s="98"/>
      <c r="D3382" s="98"/>
      <c r="E3382" s="98"/>
      <c r="F3382" s="102"/>
      <c r="G3382" s="103"/>
    </row>
    <row r="3383" spans="1:7" x14ac:dyDescent="0.25">
      <c r="A3383" s="101"/>
      <c r="B3383" s="104"/>
      <c r="C3383" s="98"/>
      <c r="D3383" s="98"/>
      <c r="E3383" s="98"/>
      <c r="F3383" s="102"/>
      <c r="G3383" s="103"/>
    </row>
    <row r="3384" spans="1:7" x14ac:dyDescent="0.25">
      <c r="A3384" s="101"/>
      <c r="B3384" s="104"/>
      <c r="C3384" s="98"/>
      <c r="D3384" s="98"/>
      <c r="E3384" s="98"/>
      <c r="F3384" s="102"/>
      <c r="G3384" s="103"/>
    </row>
    <row r="3385" spans="1:7" x14ac:dyDescent="0.25">
      <c r="A3385" s="101"/>
      <c r="B3385" s="36"/>
      <c r="C3385" s="98"/>
      <c r="D3385" s="98"/>
      <c r="E3385" s="98"/>
      <c r="F3385" s="102"/>
      <c r="G3385" s="103"/>
    </row>
    <row r="3386" spans="1:7" x14ac:dyDescent="0.25">
      <c r="A3386" s="101"/>
      <c r="B3386" s="36"/>
      <c r="C3386" s="98"/>
      <c r="D3386" s="98"/>
      <c r="E3386" s="98"/>
      <c r="F3386" s="102"/>
      <c r="G3386" s="103"/>
    </row>
    <row r="3387" spans="1:7" x14ac:dyDescent="0.25">
      <c r="A3387" s="101"/>
      <c r="B3387" s="36"/>
      <c r="C3387" s="98"/>
      <c r="D3387" s="98"/>
      <c r="E3387" s="98"/>
      <c r="F3387" s="102"/>
      <c r="G3387" s="103"/>
    </row>
    <row r="3388" spans="1:7" x14ac:dyDescent="0.25">
      <c r="A3388" s="101"/>
      <c r="B3388" s="36"/>
      <c r="C3388" s="98"/>
      <c r="D3388" s="98"/>
      <c r="E3388" s="98"/>
      <c r="F3388" s="102"/>
      <c r="G3388" s="103"/>
    </row>
    <row r="3389" spans="1:7" x14ac:dyDescent="0.25">
      <c r="A3389" s="101"/>
      <c r="B3389" s="36"/>
      <c r="C3389" s="98"/>
      <c r="D3389" s="98"/>
      <c r="E3389" s="98"/>
      <c r="F3389" s="102"/>
      <c r="G3389" s="103"/>
    </row>
    <row r="3390" spans="1:7" x14ac:dyDescent="0.25">
      <c r="A3390" s="101"/>
      <c r="B3390" s="36"/>
      <c r="C3390" s="98"/>
      <c r="D3390" s="98"/>
      <c r="E3390" s="98"/>
      <c r="F3390" s="102"/>
      <c r="G3390" s="103"/>
    </row>
    <row r="3391" spans="1:7" x14ac:dyDescent="0.25">
      <c r="A3391" s="101"/>
      <c r="B3391" s="36"/>
      <c r="C3391" s="98"/>
      <c r="D3391" s="98"/>
      <c r="E3391" s="98"/>
      <c r="F3391" s="102"/>
      <c r="G3391" s="103"/>
    </row>
    <row r="3392" spans="1:7" x14ac:dyDescent="0.25">
      <c r="A3392" s="101"/>
      <c r="B3392" s="36"/>
      <c r="C3392" s="98"/>
      <c r="D3392" s="98"/>
      <c r="E3392" s="98"/>
      <c r="F3392" s="102"/>
      <c r="G3392" s="103"/>
    </row>
    <row r="3393" spans="1:7" x14ac:dyDescent="0.25">
      <c r="A3393" s="101"/>
      <c r="B3393" s="36"/>
      <c r="C3393" s="98"/>
      <c r="D3393" s="98"/>
      <c r="E3393" s="98"/>
      <c r="F3393" s="102"/>
      <c r="G3393" s="103"/>
    </row>
    <row r="3394" spans="1:7" x14ac:dyDescent="0.25">
      <c r="A3394" s="101"/>
      <c r="B3394" s="36"/>
      <c r="C3394" s="98"/>
      <c r="D3394" s="98"/>
      <c r="E3394" s="98"/>
      <c r="F3394" s="102"/>
      <c r="G3394" s="103"/>
    </row>
    <row r="3395" spans="1:7" x14ac:dyDescent="0.25">
      <c r="A3395" s="101"/>
      <c r="B3395" s="36"/>
      <c r="C3395" s="98"/>
      <c r="D3395" s="98"/>
      <c r="E3395" s="98"/>
      <c r="F3395" s="102"/>
      <c r="G3395" s="103"/>
    </row>
    <row r="3396" spans="1:7" x14ac:dyDescent="0.25">
      <c r="A3396" s="101"/>
      <c r="B3396" s="36"/>
      <c r="C3396" s="98"/>
      <c r="D3396" s="98"/>
      <c r="E3396" s="98"/>
      <c r="F3396" s="102"/>
      <c r="G3396" s="103"/>
    </row>
    <row r="3397" spans="1:7" x14ac:dyDescent="0.25">
      <c r="A3397" s="101"/>
      <c r="B3397" s="36"/>
      <c r="C3397" s="98"/>
      <c r="D3397" s="98"/>
      <c r="E3397" s="98"/>
      <c r="F3397" s="102"/>
      <c r="G3397" s="103"/>
    </row>
    <row r="3398" spans="1:7" x14ac:dyDescent="0.25">
      <c r="A3398" s="101"/>
      <c r="B3398" s="36"/>
      <c r="C3398" s="98"/>
      <c r="D3398" s="98"/>
      <c r="E3398" s="98"/>
      <c r="F3398" s="102"/>
      <c r="G3398" s="103"/>
    </row>
    <row r="3399" spans="1:7" x14ac:dyDescent="0.25">
      <c r="A3399" s="101"/>
      <c r="B3399" s="36"/>
      <c r="C3399" s="98"/>
      <c r="D3399" s="98"/>
      <c r="E3399" s="98"/>
      <c r="F3399" s="102"/>
      <c r="G3399" s="103"/>
    </row>
    <row r="3400" spans="1:7" x14ac:dyDescent="0.25">
      <c r="A3400" s="101"/>
      <c r="B3400" s="36"/>
      <c r="C3400" s="98"/>
      <c r="D3400" s="98"/>
      <c r="E3400" s="98"/>
      <c r="F3400" s="102"/>
      <c r="G3400" s="103"/>
    </row>
    <row r="3401" spans="1:7" x14ac:dyDescent="0.25">
      <c r="A3401" s="101"/>
      <c r="B3401" s="36"/>
      <c r="C3401" s="98"/>
      <c r="D3401" s="98"/>
      <c r="E3401" s="98"/>
      <c r="F3401" s="102"/>
      <c r="G3401" s="103"/>
    </row>
    <row r="3402" spans="1:7" x14ac:dyDescent="0.25">
      <c r="A3402" s="101"/>
      <c r="B3402" s="36"/>
      <c r="C3402" s="98"/>
      <c r="D3402" s="98"/>
      <c r="E3402" s="98"/>
      <c r="F3402" s="102"/>
      <c r="G3402" s="103"/>
    </row>
    <row r="3403" spans="1:7" x14ac:dyDescent="0.25">
      <c r="A3403" s="101"/>
      <c r="B3403" s="36"/>
      <c r="C3403" s="98"/>
      <c r="D3403" s="98"/>
      <c r="E3403" s="98"/>
      <c r="F3403" s="102"/>
      <c r="G3403" s="103"/>
    </row>
    <row r="3404" spans="1:7" x14ac:dyDescent="0.25">
      <c r="A3404" s="101"/>
      <c r="B3404" s="36"/>
      <c r="C3404" s="98"/>
      <c r="D3404" s="98"/>
      <c r="E3404" s="98"/>
      <c r="F3404" s="102"/>
      <c r="G3404" s="103"/>
    </row>
    <row r="3405" spans="1:7" x14ac:dyDescent="0.25">
      <c r="A3405" s="101"/>
      <c r="B3405" s="36"/>
      <c r="C3405" s="98"/>
      <c r="D3405" s="98"/>
      <c r="E3405" s="98"/>
      <c r="F3405" s="102"/>
      <c r="G3405" s="103"/>
    </row>
    <row r="3406" spans="1:7" x14ac:dyDescent="0.25">
      <c r="A3406" s="101"/>
      <c r="B3406" s="36"/>
      <c r="C3406" s="98"/>
      <c r="D3406" s="98"/>
      <c r="E3406" s="98"/>
      <c r="F3406" s="102"/>
      <c r="G3406" s="103"/>
    </row>
    <row r="3407" spans="1:7" x14ac:dyDescent="0.25">
      <c r="A3407" s="101"/>
      <c r="B3407" s="36"/>
      <c r="C3407" s="98"/>
      <c r="D3407" s="98"/>
      <c r="E3407" s="98"/>
      <c r="F3407" s="102"/>
      <c r="G3407" s="103"/>
    </row>
    <row r="3408" spans="1:7" x14ac:dyDescent="0.25">
      <c r="A3408" s="101"/>
      <c r="B3408" s="36"/>
      <c r="C3408" s="98"/>
      <c r="D3408" s="98"/>
      <c r="E3408" s="98"/>
      <c r="F3408" s="102"/>
      <c r="G3408" s="103"/>
    </row>
    <row r="3409" spans="1:7" x14ac:dyDescent="0.25">
      <c r="A3409" s="101"/>
      <c r="B3409" s="36"/>
      <c r="C3409" s="98"/>
      <c r="D3409" s="98"/>
      <c r="E3409" s="98"/>
      <c r="F3409" s="102"/>
      <c r="G3409" s="103"/>
    </row>
    <row r="3410" spans="1:7" x14ac:dyDescent="0.25">
      <c r="A3410" s="101"/>
      <c r="B3410" s="36"/>
      <c r="C3410" s="98"/>
      <c r="D3410" s="98"/>
      <c r="E3410" s="98"/>
      <c r="F3410" s="102"/>
      <c r="G3410" s="103"/>
    </row>
    <row r="3411" spans="1:7" x14ac:dyDescent="0.25">
      <c r="A3411" s="101"/>
      <c r="B3411" s="36"/>
      <c r="C3411" s="98"/>
      <c r="D3411" s="98"/>
      <c r="E3411" s="98"/>
      <c r="F3411" s="102"/>
      <c r="G3411" s="103"/>
    </row>
    <row r="3412" spans="1:7" x14ac:dyDescent="0.25">
      <c r="A3412" s="101"/>
      <c r="B3412" s="36"/>
      <c r="C3412" s="98"/>
      <c r="D3412" s="98"/>
      <c r="E3412" s="98"/>
      <c r="F3412" s="102"/>
      <c r="G3412" s="103"/>
    </row>
    <row r="3413" spans="1:7" x14ac:dyDescent="0.25">
      <c r="A3413" s="101"/>
      <c r="B3413" s="36"/>
      <c r="C3413" s="98"/>
      <c r="D3413" s="98"/>
      <c r="E3413" s="98"/>
      <c r="F3413" s="102"/>
      <c r="G3413" s="103"/>
    </row>
    <row r="3414" spans="1:7" x14ac:dyDescent="0.25">
      <c r="A3414" s="101"/>
      <c r="B3414" s="36"/>
      <c r="C3414" s="98"/>
      <c r="D3414" s="98"/>
      <c r="E3414" s="98"/>
      <c r="F3414" s="102"/>
      <c r="G3414" s="103"/>
    </row>
    <row r="3415" spans="1:7" x14ac:dyDescent="0.25">
      <c r="A3415" s="101"/>
      <c r="B3415" s="104"/>
      <c r="C3415" s="98"/>
      <c r="D3415" s="98"/>
      <c r="E3415" s="98"/>
      <c r="F3415" s="102"/>
      <c r="G3415" s="103"/>
    </row>
    <row r="3416" spans="1:7" x14ac:dyDescent="0.25">
      <c r="A3416" s="101"/>
      <c r="B3416" s="36"/>
      <c r="C3416" s="98"/>
      <c r="D3416" s="98"/>
      <c r="E3416" s="98"/>
      <c r="F3416" s="102"/>
      <c r="G3416" s="103"/>
    </row>
    <row r="3417" spans="1:7" x14ac:dyDescent="0.25">
      <c r="A3417" s="101"/>
      <c r="B3417" s="36"/>
      <c r="C3417" s="98"/>
      <c r="D3417" s="98"/>
      <c r="E3417" s="98"/>
      <c r="F3417" s="102"/>
      <c r="G3417" s="103"/>
    </row>
    <row r="3418" spans="1:7" x14ac:dyDescent="0.25">
      <c r="A3418" s="101"/>
      <c r="B3418" s="36"/>
      <c r="C3418" s="98"/>
      <c r="D3418" s="98"/>
      <c r="E3418" s="98"/>
      <c r="F3418" s="102"/>
      <c r="G3418" s="103"/>
    </row>
    <row r="3419" spans="1:7" x14ac:dyDescent="0.25">
      <c r="A3419" s="101"/>
      <c r="B3419" s="36"/>
      <c r="C3419" s="98"/>
      <c r="D3419" s="98"/>
      <c r="E3419" s="98"/>
      <c r="F3419" s="102"/>
      <c r="G3419" s="103"/>
    </row>
    <row r="3420" spans="1:7" x14ac:dyDescent="0.25">
      <c r="A3420" s="101"/>
      <c r="B3420" s="36"/>
      <c r="C3420" s="98"/>
      <c r="D3420" s="98"/>
      <c r="E3420" s="98"/>
      <c r="F3420" s="102"/>
      <c r="G3420" s="103"/>
    </row>
    <row r="3421" spans="1:7" x14ac:dyDescent="0.25">
      <c r="A3421" s="101"/>
      <c r="B3421" s="36"/>
      <c r="C3421" s="98"/>
      <c r="D3421" s="98"/>
      <c r="E3421" s="98"/>
      <c r="F3421" s="102"/>
      <c r="G3421" s="103"/>
    </row>
    <row r="3422" spans="1:7" x14ac:dyDescent="0.25">
      <c r="A3422" s="101"/>
      <c r="B3422" s="36"/>
      <c r="C3422" s="98"/>
      <c r="D3422" s="98"/>
      <c r="E3422" s="98"/>
      <c r="F3422" s="102"/>
      <c r="G3422" s="103"/>
    </row>
    <row r="3423" spans="1:7" x14ac:dyDescent="0.25">
      <c r="A3423" s="101"/>
      <c r="B3423" s="36"/>
      <c r="C3423" s="98"/>
      <c r="D3423" s="98"/>
      <c r="E3423" s="98"/>
      <c r="F3423" s="102"/>
      <c r="G3423" s="103"/>
    </row>
    <row r="3424" spans="1:7" x14ac:dyDescent="0.25">
      <c r="A3424" s="101"/>
      <c r="B3424" s="36"/>
      <c r="C3424" s="98"/>
      <c r="D3424" s="98"/>
      <c r="E3424" s="98"/>
      <c r="F3424" s="102"/>
      <c r="G3424" s="103"/>
    </row>
    <row r="3425" spans="1:7" x14ac:dyDescent="0.25">
      <c r="A3425" s="101"/>
      <c r="B3425" s="36"/>
      <c r="C3425" s="98"/>
      <c r="D3425" s="98"/>
      <c r="E3425" s="98"/>
      <c r="F3425" s="102"/>
      <c r="G3425" s="103"/>
    </row>
    <row r="3426" spans="1:7" x14ac:dyDescent="0.25">
      <c r="A3426" s="101"/>
      <c r="B3426" s="36"/>
      <c r="C3426" s="98"/>
      <c r="D3426" s="98"/>
      <c r="E3426" s="98"/>
      <c r="F3426" s="102"/>
      <c r="G3426" s="103"/>
    </row>
    <row r="3427" spans="1:7" x14ac:dyDescent="0.25">
      <c r="A3427" s="101"/>
      <c r="B3427" s="36"/>
      <c r="C3427" s="98"/>
      <c r="D3427" s="98"/>
      <c r="E3427" s="98"/>
      <c r="F3427" s="102"/>
      <c r="G3427" s="103"/>
    </row>
    <row r="3428" spans="1:7" x14ac:dyDescent="0.25">
      <c r="A3428" s="101"/>
      <c r="B3428" s="36"/>
      <c r="C3428" s="98"/>
      <c r="D3428" s="98"/>
      <c r="E3428" s="98"/>
      <c r="F3428" s="102"/>
      <c r="G3428" s="103"/>
    </row>
    <row r="3429" spans="1:7" x14ac:dyDescent="0.25">
      <c r="A3429" s="101"/>
      <c r="B3429" s="36"/>
      <c r="C3429" s="98"/>
      <c r="D3429" s="98"/>
      <c r="E3429" s="98"/>
      <c r="F3429" s="102"/>
      <c r="G3429" s="103"/>
    </row>
    <row r="3430" spans="1:7" x14ac:dyDescent="0.25">
      <c r="A3430" s="101"/>
      <c r="B3430" s="36"/>
      <c r="C3430" s="98"/>
      <c r="D3430" s="98"/>
      <c r="E3430" s="98"/>
      <c r="F3430" s="102"/>
      <c r="G3430" s="103"/>
    </row>
    <row r="3431" spans="1:7" x14ac:dyDescent="0.25">
      <c r="A3431" s="101"/>
      <c r="B3431" s="36"/>
      <c r="C3431" s="98"/>
      <c r="D3431" s="98"/>
      <c r="E3431" s="98"/>
      <c r="F3431" s="102"/>
      <c r="G3431" s="103"/>
    </row>
    <row r="3432" spans="1:7" x14ac:dyDescent="0.25">
      <c r="A3432" s="101"/>
      <c r="B3432" s="36"/>
      <c r="C3432" s="98"/>
      <c r="D3432" s="98"/>
      <c r="E3432" s="98"/>
      <c r="F3432" s="102"/>
      <c r="G3432" s="103"/>
    </row>
    <row r="3433" spans="1:7" x14ac:dyDescent="0.25">
      <c r="A3433" s="101"/>
      <c r="B3433" s="36"/>
      <c r="C3433" s="98"/>
      <c r="D3433" s="98"/>
      <c r="E3433" s="98"/>
      <c r="F3433" s="102"/>
      <c r="G3433" s="103"/>
    </row>
    <row r="3434" spans="1:7" x14ac:dyDescent="0.25">
      <c r="A3434" s="101"/>
      <c r="B3434" s="36"/>
      <c r="C3434" s="98"/>
      <c r="D3434" s="98"/>
      <c r="E3434" s="98"/>
      <c r="F3434" s="102"/>
      <c r="G3434" s="103"/>
    </row>
    <row r="3435" spans="1:7" x14ac:dyDescent="0.25">
      <c r="A3435" s="101"/>
      <c r="B3435" s="36"/>
      <c r="C3435" s="98"/>
      <c r="D3435" s="98"/>
      <c r="E3435" s="98"/>
      <c r="F3435" s="102"/>
      <c r="G3435" s="103"/>
    </row>
    <row r="3436" spans="1:7" x14ac:dyDescent="0.25">
      <c r="A3436" s="101"/>
      <c r="B3436" s="36"/>
      <c r="C3436" s="98"/>
      <c r="D3436" s="98"/>
      <c r="E3436" s="98"/>
      <c r="F3436" s="102"/>
      <c r="G3436" s="103"/>
    </row>
    <row r="3437" spans="1:7" x14ac:dyDescent="0.25">
      <c r="A3437" s="101"/>
      <c r="B3437" s="36"/>
      <c r="C3437" s="98"/>
      <c r="D3437" s="98"/>
      <c r="E3437" s="98"/>
      <c r="F3437" s="102"/>
      <c r="G3437" s="103"/>
    </row>
    <row r="3438" spans="1:7" x14ac:dyDescent="0.25">
      <c r="A3438" s="101"/>
      <c r="B3438" s="36"/>
      <c r="C3438" s="98"/>
      <c r="D3438" s="98"/>
      <c r="E3438" s="98"/>
      <c r="F3438" s="102"/>
      <c r="G3438" s="103"/>
    </row>
    <row r="3439" spans="1:7" x14ac:dyDescent="0.25">
      <c r="A3439" s="101"/>
      <c r="B3439" s="36"/>
      <c r="C3439" s="98"/>
      <c r="D3439" s="98"/>
      <c r="E3439" s="98"/>
      <c r="F3439" s="102"/>
      <c r="G3439" s="103"/>
    </row>
    <row r="3440" spans="1:7" x14ac:dyDescent="0.25">
      <c r="A3440" s="101"/>
      <c r="B3440" s="36"/>
      <c r="C3440" s="98"/>
      <c r="D3440" s="98"/>
      <c r="E3440" s="98"/>
      <c r="F3440" s="102"/>
      <c r="G3440" s="103"/>
    </row>
    <row r="3441" spans="1:7" x14ac:dyDescent="0.25">
      <c r="A3441" s="101"/>
      <c r="B3441" s="36"/>
      <c r="C3441" s="98"/>
      <c r="D3441" s="98"/>
      <c r="E3441" s="98"/>
      <c r="F3441" s="102"/>
      <c r="G3441" s="103"/>
    </row>
    <row r="3442" spans="1:7" x14ac:dyDescent="0.25">
      <c r="A3442" s="101"/>
      <c r="B3442" s="36"/>
      <c r="C3442" s="98"/>
      <c r="D3442" s="98"/>
      <c r="E3442" s="98"/>
      <c r="F3442" s="102"/>
      <c r="G3442" s="103"/>
    </row>
    <row r="3443" spans="1:7" x14ac:dyDescent="0.25">
      <c r="A3443" s="101"/>
      <c r="B3443" s="36"/>
      <c r="C3443" s="98"/>
      <c r="D3443" s="98"/>
      <c r="E3443" s="98"/>
      <c r="F3443" s="102"/>
      <c r="G3443" s="103"/>
    </row>
    <row r="3444" spans="1:7" x14ac:dyDescent="0.25">
      <c r="A3444" s="101"/>
      <c r="B3444" s="36"/>
      <c r="C3444" s="98"/>
      <c r="D3444" s="98"/>
      <c r="E3444" s="98"/>
      <c r="F3444" s="102"/>
      <c r="G3444" s="103"/>
    </row>
    <row r="3445" spans="1:7" x14ac:dyDescent="0.25">
      <c r="A3445" s="101"/>
      <c r="B3445" s="36"/>
      <c r="C3445" s="98"/>
      <c r="D3445" s="98"/>
      <c r="E3445" s="98"/>
      <c r="F3445" s="102"/>
      <c r="G3445" s="103"/>
    </row>
    <row r="3446" spans="1:7" x14ac:dyDescent="0.25">
      <c r="A3446" s="101"/>
      <c r="B3446" s="36"/>
      <c r="C3446" s="98"/>
      <c r="D3446" s="98"/>
      <c r="E3446" s="98"/>
      <c r="F3446" s="102"/>
      <c r="G3446" s="103"/>
    </row>
    <row r="3447" spans="1:7" x14ac:dyDescent="0.25">
      <c r="A3447" s="101"/>
      <c r="B3447" s="36"/>
      <c r="C3447" s="98"/>
      <c r="D3447" s="98"/>
      <c r="E3447" s="98"/>
      <c r="F3447" s="102"/>
      <c r="G3447" s="103"/>
    </row>
    <row r="3448" spans="1:7" x14ac:dyDescent="0.25">
      <c r="A3448" s="101"/>
      <c r="B3448" s="36"/>
      <c r="C3448" s="98"/>
      <c r="D3448" s="98"/>
      <c r="E3448" s="98"/>
      <c r="F3448" s="102"/>
      <c r="G3448" s="103"/>
    </row>
    <row r="3449" spans="1:7" x14ac:dyDescent="0.25">
      <c r="A3449" s="101"/>
      <c r="B3449" s="104"/>
      <c r="C3449" s="98"/>
      <c r="D3449" s="98"/>
      <c r="E3449" s="98"/>
      <c r="F3449" s="102"/>
      <c r="G3449" s="103"/>
    </row>
    <row r="3450" spans="1:7" x14ac:dyDescent="0.25">
      <c r="A3450" s="101"/>
      <c r="B3450" s="104"/>
      <c r="C3450" s="98"/>
      <c r="D3450" s="98"/>
      <c r="E3450" s="98"/>
      <c r="F3450" s="102"/>
      <c r="G3450" s="103"/>
    </row>
    <row r="3451" spans="1:7" x14ac:dyDescent="0.25">
      <c r="A3451" s="101"/>
      <c r="B3451" s="104"/>
      <c r="C3451" s="98"/>
      <c r="D3451" s="98"/>
      <c r="E3451" s="98"/>
      <c r="F3451" s="102"/>
      <c r="G3451" s="103"/>
    </row>
    <row r="3452" spans="1:7" x14ac:dyDescent="0.25">
      <c r="A3452" s="101"/>
      <c r="B3452" s="36"/>
      <c r="C3452" s="98"/>
      <c r="D3452" s="98"/>
      <c r="E3452" s="98"/>
      <c r="F3452" s="102"/>
      <c r="G3452" s="103"/>
    </row>
    <row r="3453" spans="1:7" x14ac:dyDescent="0.25">
      <c r="A3453" s="101"/>
      <c r="B3453" s="36"/>
      <c r="C3453" s="98"/>
      <c r="D3453" s="98"/>
      <c r="E3453" s="98"/>
      <c r="F3453" s="102"/>
      <c r="G3453" s="103"/>
    </row>
    <row r="3454" spans="1:7" x14ac:dyDescent="0.25">
      <c r="A3454" s="101"/>
      <c r="B3454" s="36"/>
      <c r="C3454" s="98"/>
      <c r="D3454" s="98"/>
      <c r="E3454" s="98"/>
      <c r="F3454" s="102"/>
      <c r="G3454" s="103"/>
    </row>
    <row r="3455" spans="1:7" x14ac:dyDescent="0.25">
      <c r="A3455" s="101"/>
      <c r="B3455" s="36"/>
      <c r="C3455" s="98"/>
      <c r="D3455" s="98"/>
      <c r="E3455" s="98"/>
      <c r="F3455" s="102"/>
      <c r="G3455" s="103"/>
    </row>
    <row r="3456" spans="1:7" x14ac:dyDescent="0.25">
      <c r="A3456" s="101"/>
      <c r="B3456" s="36"/>
      <c r="C3456" s="98"/>
      <c r="D3456" s="98"/>
      <c r="E3456" s="98"/>
      <c r="F3456" s="102"/>
      <c r="G3456" s="103"/>
    </row>
    <row r="3457" spans="1:7" x14ac:dyDescent="0.25">
      <c r="A3457" s="101"/>
      <c r="B3457" s="36"/>
      <c r="C3457" s="98"/>
      <c r="D3457" s="98"/>
      <c r="E3457" s="98"/>
      <c r="F3457" s="102"/>
      <c r="G3457" s="103"/>
    </row>
    <row r="3458" spans="1:7" x14ac:dyDescent="0.25">
      <c r="A3458" s="101"/>
      <c r="B3458" s="66"/>
      <c r="C3458" s="98"/>
      <c r="D3458" s="98"/>
      <c r="E3458" s="98"/>
      <c r="F3458" s="102"/>
      <c r="G3458" s="103"/>
    </row>
    <row r="3459" spans="1:7" x14ac:dyDescent="0.25">
      <c r="A3459" s="101"/>
      <c r="B3459" s="36"/>
      <c r="C3459" s="98"/>
      <c r="D3459" s="98"/>
      <c r="E3459" s="98"/>
      <c r="F3459" s="102"/>
      <c r="G3459" s="103"/>
    </row>
    <row r="3460" spans="1:7" x14ac:dyDescent="0.25">
      <c r="A3460" s="101"/>
      <c r="B3460" s="36"/>
      <c r="C3460" s="98"/>
      <c r="D3460" s="98"/>
      <c r="E3460" s="98"/>
      <c r="F3460" s="102"/>
      <c r="G3460" s="103"/>
    </row>
    <row r="3461" spans="1:7" x14ac:dyDescent="0.25">
      <c r="A3461" s="101"/>
      <c r="B3461" s="36"/>
      <c r="C3461" s="98"/>
      <c r="D3461" s="98"/>
      <c r="E3461" s="98"/>
      <c r="F3461" s="102"/>
      <c r="G3461" s="103"/>
    </row>
    <row r="3462" spans="1:7" x14ac:dyDescent="0.25">
      <c r="A3462" s="101"/>
      <c r="B3462" s="36"/>
      <c r="C3462" s="98"/>
      <c r="D3462" s="98"/>
      <c r="E3462" s="98"/>
      <c r="F3462" s="102"/>
      <c r="G3462" s="103"/>
    </row>
    <row r="3463" spans="1:7" x14ac:dyDescent="0.25">
      <c r="A3463" s="101"/>
      <c r="B3463" s="36"/>
      <c r="C3463" s="98"/>
      <c r="D3463" s="98"/>
      <c r="E3463" s="98"/>
      <c r="F3463" s="102"/>
      <c r="G3463" s="103"/>
    </row>
    <row r="3464" spans="1:7" x14ac:dyDescent="0.25">
      <c r="A3464" s="101"/>
      <c r="B3464" s="36"/>
      <c r="C3464" s="98"/>
      <c r="D3464" s="98"/>
      <c r="E3464" s="98"/>
      <c r="F3464" s="102"/>
      <c r="G3464" s="103"/>
    </row>
    <row r="3465" spans="1:7" x14ac:dyDescent="0.25">
      <c r="A3465" s="101"/>
      <c r="B3465" s="36"/>
      <c r="C3465" s="98"/>
      <c r="D3465" s="98"/>
      <c r="E3465" s="98"/>
      <c r="F3465" s="102"/>
      <c r="G3465" s="103"/>
    </row>
    <row r="3466" spans="1:7" x14ac:dyDescent="0.25">
      <c r="A3466" s="101"/>
      <c r="B3466" s="36"/>
      <c r="C3466" s="98"/>
      <c r="D3466" s="98"/>
      <c r="E3466" s="98"/>
      <c r="F3466" s="102"/>
      <c r="G3466" s="103"/>
    </row>
    <row r="3467" spans="1:7" x14ac:dyDescent="0.25">
      <c r="A3467" s="101"/>
      <c r="B3467" s="36"/>
      <c r="C3467" s="98"/>
      <c r="D3467" s="98"/>
      <c r="E3467" s="98"/>
      <c r="F3467" s="102"/>
      <c r="G3467" s="103"/>
    </row>
    <row r="3468" spans="1:7" x14ac:dyDescent="0.25">
      <c r="A3468" s="101"/>
      <c r="B3468" s="36"/>
      <c r="C3468" s="98"/>
      <c r="D3468" s="98"/>
      <c r="E3468" s="98"/>
      <c r="F3468" s="102"/>
      <c r="G3468" s="103"/>
    </row>
    <row r="3469" spans="1:7" x14ac:dyDescent="0.25">
      <c r="A3469" s="101"/>
      <c r="B3469" s="36"/>
      <c r="C3469" s="98"/>
      <c r="D3469" s="98"/>
      <c r="E3469" s="98"/>
      <c r="F3469" s="102"/>
      <c r="G3469" s="103"/>
    </row>
    <row r="3470" spans="1:7" x14ac:dyDescent="0.25">
      <c r="A3470" s="101"/>
      <c r="B3470" s="36"/>
      <c r="C3470" s="98"/>
      <c r="D3470" s="98"/>
      <c r="E3470" s="98"/>
      <c r="F3470" s="102"/>
      <c r="G3470" s="103"/>
    </row>
    <row r="3471" spans="1:7" x14ac:dyDescent="0.25">
      <c r="A3471" s="101"/>
      <c r="B3471" s="36"/>
      <c r="C3471" s="98"/>
      <c r="D3471" s="98"/>
      <c r="E3471" s="98"/>
      <c r="F3471" s="102"/>
      <c r="G3471" s="103"/>
    </row>
    <row r="3472" spans="1:7" x14ac:dyDescent="0.25">
      <c r="A3472" s="101"/>
      <c r="B3472" s="36"/>
      <c r="C3472" s="98"/>
      <c r="D3472" s="98"/>
      <c r="E3472" s="98"/>
      <c r="F3472" s="102"/>
      <c r="G3472" s="103"/>
    </row>
    <row r="3473" spans="1:7" x14ac:dyDescent="0.25">
      <c r="A3473" s="101"/>
      <c r="B3473" s="36"/>
      <c r="C3473" s="98"/>
      <c r="D3473" s="98"/>
      <c r="E3473" s="98"/>
      <c r="F3473" s="102"/>
      <c r="G3473" s="103"/>
    </row>
    <row r="3474" spans="1:7" x14ac:dyDescent="0.25">
      <c r="A3474" s="101"/>
      <c r="B3474" s="36"/>
      <c r="C3474" s="98"/>
      <c r="D3474" s="98"/>
      <c r="E3474" s="98"/>
      <c r="F3474" s="102"/>
      <c r="G3474" s="103"/>
    </row>
    <row r="3475" spans="1:7" x14ac:dyDescent="0.25">
      <c r="A3475" s="101"/>
      <c r="B3475" s="36"/>
      <c r="C3475" s="98"/>
      <c r="D3475" s="98"/>
      <c r="E3475" s="98"/>
      <c r="F3475" s="102"/>
      <c r="G3475" s="103"/>
    </row>
    <row r="3476" spans="1:7" x14ac:dyDescent="0.25">
      <c r="A3476" s="101"/>
      <c r="B3476" s="36"/>
      <c r="C3476" s="98"/>
      <c r="D3476" s="98"/>
      <c r="E3476" s="98"/>
      <c r="F3476" s="102"/>
      <c r="G3476" s="103"/>
    </row>
    <row r="3477" spans="1:7" x14ac:dyDescent="0.25">
      <c r="A3477" s="101"/>
      <c r="B3477" s="36"/>
      <c r="C3477" s="98"/>
      <c r="D3477" s="98"/>
      <c r="E3477" s="98"/>
      <c r="F3477" s="102"/>
      <c r="G3477" s="103"/>
    </row>
    <row r="3478" spans="1:7" x14ac:dyDescent="0.25">
      <c r="A3478" s="101"/>
      <c r="B3478" s="36"/>
      <c r="C3478" s="98"/>
      <c r="D3478" s="98"/>
      <c r="E3478" s="98"/>
      <c r="F3478" s="102"/>
      <c r="G3478" s="103"/>
    </row>
    <row r="3479" spans="1:7" x14ac:dyDescent="0.25">
      <c r="A3479" s="101"/>
      <c r="B3479" s="36"/>
      <c r="C3479" s="98"/>
      <c r="D3479" s="98"/>
      <c r="E3479" s="98"/>
      <c r="F3479" s="102"/>
      <c r="G3479" s="103"/>
    </row>
    <row r="3480" spans="1:7" x14ac:dyDescent="0.25">
      <c r="A3480" s="101"/>
      <c r="B3480" s="36"/>
      <c r="C3480" s="98"/>
      <c r="D3480" s="98"/>
      <c r="E3480" s="98"/>
      <c r="F3480" s="102"/>
      <c r="G3480" s="103"/>
    </row>
    <row r="3481" spans="1:7" x14ac:dyDescent="0.25">
      <c r="A3481" s="101"/>
      <c r="B3481" s="36"/>
      <c r="C3481" s="98"/>
      <c r="D3481" s="98"/>
      <c r="E3481" s="98"/>
      <c r="F3481" s="102"/>
      <c r="G3481" s="103"/>
    </row>
    <row r="3482" spans="1:7" x14ac:dyDescent="0.25">
      <c r="A3482" s="101"/>
      <c r="B3482" s="36"/>
      <c r="C3482" s="98"/>
      <c r="D3482" s="98"/>
      <c r="E3482" s="98"/>
      <c r="F3482" s="102"/>
      <c r="G3482" s="103"/>
    </row>
    <row r="3483" spans="1:7" x14ac:dyDescent="0.25">
      <c r="A3483" s="101"/>
      <c r="B3483" s="36"/>
      <c r="C3483" s="98"/>
      <c r="D3483" s="98"/>
      <c r="E3483" s="98"/>
      <c r="F3483" s="102"/>
      <c r="G3483" s="103"/>
    </row>
    <row r="3484" spans="1:7" x14ac:dyDescent="0.25">
      <c r="A3484" s="101"/>
      <c r="B3484" s="36"/>
      <c r="C3484" s="98"/>
      <c r="D3484" s="98"/>
      <c r="E3484" s="98"/>
      <c r="F3484" s="102"/>
      <c r="G3484" s="103"/>
    </row>
    <row r="3485" spans="1:7" x14ac:dyDescent="0.25">
      <c r="A3485" s="101"/>
      <c r="B3485" s="36"/>
      <c r="C3485" s="98"/>
      <c r="D3485" s="98"/>
      <c r="E3485" s="98"/>
      <c r="F3485" s="102"/>
      <c r="G3485" s="103"/>
    </row>
    <row r="3486" spans="1:7" x14ac:dyDescent="0.25">
      <c r="A3486" s="101"/>
      <c r="B3486" s="36"/>
      <c r="C3486" s="98"/>
      <c r="D3486" s="98"/>
      <c r="E3486" s="98"/>
      <c r="F3486" s="102"/>
      <c r="G3486" s="103"/>
    </row>
    <row r="3487" spans="1:7" x14ac:dyDescent="0.25">
      <c r="A3487" s="101"/>
      <c r="B3487" s="36"/>
      <c r="C3487" s="98"/>
      <c r="D3487" s="98"/>
      <c r="E3487" s="98"/>
      <c r="F3487" s="102"/>
      <c r="G3487" s="103"/>
    </row>
    <row r="3488" spans="1:7" x14ac:dyDescent="0.25">
      <c r="A3488" s="101"/>
      <c r="B3488" s="36"/>
      <c r="C3488" s="98"/>
      <c r="D3488" s="98"/>
      <c r="E3488" s="98"/>
      <c r="F3488" s="102"/>
      <c r="G3488" s="103"/>
    </row>
    <row r="3489" spans="1:7" x14ac:dyDescent="0.25">
      <c r="A3489" s="101"/>
      <c r="B3489" s="36"/>
      <c r="C3489" s="98"/>
      <c r="D3489" s="98"/>
      <c r="E3489" s="98"/>
      <c r="F3489" s="102"/>
      <c r="G3489" s="103"/>
    </row>
    <row r="3490" spans="1:7" x14ac:dyDescent="0.25">
      <c r="A3490" s="101"/>
      <c r="B3490" s="36"/>
      <c r="C3490" s="98"/>
      <c r="D3490" s="98"/>
      <c r="E3490" s="98"/>
      <c r="F3490" s="102"/>
      <c r="G3490" s="103"/>
    </row>
    <row r="3491" spans="1:7" x14ac:dyDescent="0.25">
      <c r="A3491" s="101"/>
      <c r="B3491" s="36"/>
      <c r="C3491" s="98"/>
      <c r="D3491" s="98"/>
      <c r="E3491" s="98"/>
      <c r="F3491" s="102"/>
      <c r="G3491" s="103"/>
    </row>
    <row r="3492" spans="1:7" x14ac:dyDescent="0.25">
      <c r="A3492" s="101"/>
      <c r="B3492" s="36"/>
      <c r="C3492" s="98"/>
      <c r="D3492" s="98"/>
      <c r="E3492" s="98"/>
      <c r="F3492" s="102"/>
      <c r="G3492" s="103"/>
    </row>
    <row r="3493" spans="1:7" x14ac:dyDescent="0.25">
      <c r="A3493" s="101"/>
      <c r="B3493" s="36"/>
      <c r="C3493" s="98"/>
      <c r="D3493" s="98"/>
      <c r="E3493" s="98"/>
      <c r="F3493" s="102"/>
      <c r="G3493" s="103"/>
    </row>
    <row r="3494" spans="1:7" x14ac:dyDescent="0.25">
      <c r="A3494" s="101"/>
      <c r="B3494" s="66"/>
      <c r="C3494" s="98"/>
      <c r="D3494" s="98"/>
      <c r="E3494" s="98"/>
      <c r="F3494" s="102"/>
      <c r="G3494" s="103"/>
    </row>
    <row r="3495" spans="1:7" x14ac:dyDescent="0.25">
      <c r="A3495" s="101"/>
      <c r="B3495" s="36"/>
      <c r="C3495" s="98"/>
      <c r="D3495" s="98"/>
      <c r="E3495" s="98"/>
      <c r="F3495" s="102"/>
      <c r="G3495" s="103"/>
    </row>
    <row r="3496" spans="1:7" x14ac:dyDescent="0.25">
      <c r="A3496" s="101"/>
      <c r="B3496" s="67"/>
      <c r="C3496" s="98"/>
      <c r="D3496" s="98"/>
      <c r="E3496" s="98"/>
      <c r="F3496" s="102"/>
      <c r="G3496" s="103"/>
    </row>
    <row r="3497" spans="1:7" x14ac:dyDescent="0.25">
      <c r="A3497" s="101"/>
      <c r="B3497" s="36"/>
      <c r="C3497" s="98"/>
      <c r="D3497" s="98"/>
      <c r="E3497" s="98"/>
      <c r="F3497" s="102"/>
      <c r="G3497" s="103"/>
    </row>
    <row r="3498" spans="1:7" x14ac:dyDescent="0.25">
      <c r="A3498" s="101"/>
      <c r="B3498" s="36"/>
      <c r="C3498" s="98"/>
      <c r="D3498" s="98"/>
      <c r="E3498" s="98"/>
      <c r="F3498" s="102"/>
      <c r="G3498" s="103"/>
    </row>
    <row r="3499" spans="1:7" x14ac:dyDescent="0.25">
      <c r="A3499" s="101"/>
      <c r="B3499" s="36"/>
      <c r="C3499" s="98"/>
      <c r="D3499" s="98"/>
      <c r="E3499" s="98"/>
      <c r="F3499" s="102"/>
      <c r="G3499" s="103"/>
    </row>
    <row r="3500" spans="1:7" x14ac:dyDescent="0.25">
      <c r="A3500" s="101"/>
      <c r="B3500" s="36"/>
      <c r="C3500" s="98"/>
      <c r="D3500" s="98"/>
      <c r="E3500" s="98"/>
      <c r="F3500" s="102"/>
      <c r="G3500" s="103"/>
    </row>
    <row r="3501" spans="1:7" x14ac:dyDescent="0.25">
      <c r="A3501" s="101"/>
      <c r="B3501" s="36"/>
      <c r="C3501" s="98"/>
      <c r="D3501" s="98"/>
      <c r="E3501" s="98"/>
      <c r="F3501" s="102"/>
      <c r="G3501" s="103"/>
    </row>
    <row r="3502" spans="1:7" x14ac:dyDescent="0.25">
      <c r="A3502" s="101"/>
      <c r="B3502" s="36"/>
      <c r="C3502" s="98"/>
      <c r="D3502" s="98"/>
      <c r="E3502" s="98"/>
      <c r="F3502" s="102"/>
      <c r="G3502" s="103"/>
    </row>
    <row r="3503" spans="1:7" x14ac:dyDescent="0.25">
      <c r="A3503" s="101"/>
      <c r="B3503" s="36"/>
      <c r="C3503" s="98"/>
      <c r="D3503" s="98"/>
      <c r="E3503" s="98"/>
      <c r="F3503" s="102"/>
      <c r="G3503" s="103"/>
    </row>
    <row r="3504" spans="1:7" x14ac:dyDescent="0.25">
      <c r="A3504" s="101"/>
      <c r="B3504" s="36"/>
      <c r="C3504" s="98"/>
      <c r="D3504" s="98"/>
      <c r="E3504" s="98"/>
      <c r="F3504" s="102"/>
      <c r="G3504" s="103"/>
    </row>
    <row r="3505" spans="1:7" x14ac:dyDescent="0.25">
      <c r="A3505" s="101"/>
      <c r="B3505" s="36"/>
      <c r="C3505" s="98"/>
      <c r="D3505" s="98"/>
      <c r="E3505" s="98"/>
      <c r="F3505" s="102"/>
      <c r="G3505" s="103"/>
    </row>
    <row r="3506" spans="1:7" x14ac:dyDescent="0.25">
      <c r="A3506" s="101"/>
      <c r="B3506" s="36"/>
      <c r="C3506" s="98"/>
      <c r="D3506" s="98"/>
      <c r="E3506" s="98"/>
      <c r="F3506" s="102"/>
      <c r="G3506" s="103"/>
    </row>
    <row r="3507" spans="1:7" x14ac:dyDescent="0.25">
      <c r="A3507" s="101"/>
      <c r="B3507" s="36"/>
      <c r="C3507" s="98"/>
      <c r="D3507" s="98"/>
      <c r="E3507" s="98"/>
      <c r="F3507" s="102"/>
      <c r="G3507" s="103"/>
    </row>
    <row r="3508" spans="1:7" x14ac:dyDescent="0.25">
      <c r="A3508" s="101"/>
      <c r="B3508" s="36"/>
      <c r="C3508" s="98"/>
      <c r="D3508" s="98"/>
      <c r="E3508" s="98"/>
      <c r="F3508" s="102"/>
      <c r="G3508" s="103"/>
    </row>
    <row r="3509" spans="1:7" x14ac:dyDescent="0.25">
      <c r="A3509" s="101"/>
      <c r="B3509" s="36"/>
      <c r="C3509" s="98"/>
      <c r="D3509" s="98"/>
      <c r="E3509" s="98"/>
      <c r="F3509" s="102"/>
      <c r="G3509" s="103"/>
    </row>
    <row r="3510" spans="1:7" x14ac:dyDescent="0.25">
      <c r="A3510" s="101"/>
      <c r="B3510" s="36"/>
      <c r="C3510" s="98"/>
      <c r="D3510" s="98"/>
      <c r="E3510" s="98"/>
      <c r="F3510" s="102"/>
      <c r="G3510" s="103"/>
    </row>
    <row r="3511" spans="1:7" x14ac:dyDescent="0.25">
      <c r="A3511" s="101"/>
      <c r="B3511" s="36"/>
      <c r="C3511" s="98"/>
      <c r="D3511" s="98"/>
      <c r="E3511" s="98"/>
      <c r="F3511" s="102"/>
      <c r="G3511" s="103"/>
    </row>
    <row r="3512" spans="1:7" x14ac:dyDescent="0.25">
      <c r="A3512" s="101"/>
      <c r="B3512" s="36"/>
      <c r="C3512" s="98"/>
      <c r="D3512" s="98"/>
      <c r="E3512" s="98"/>
      <c r="F3512" s="102"/>
      <c r="G3512" s="103"/>
    </row>
    <row r="3513" spans="1:7" x14ac:dyDescent="0.25">
      <c r="A3513" s="101"/>
      <c r="B3513" s="36"/>
      <c r="C3513" s="98"/>
      <c r="D3513" s="98"/>
      <c r="E3513" s="98"/>
      <c r="F3513" s="102"/>
      <c r="G3513" s="103"/>
    </row>
    <row r="3514" spans="1:7" x14ac:dyDescent="0.25">
      <c r="A3514" s="101"/>
      <c r="B3514" s="36"/>
      <c r="C3514" s="98"/>
      <c r="D3514" s="98"/>
      <c r="E3514" s="98"/>
      <c r="F3514" s="102"/>
      <c r="G3514" s="103"/>
    </row>
    <row r="3515" spans="1:7" x14ac:dyDescent="0.25">
      <c r="A3515" s="101"/>
      <c r="B3515" s="36"/>
      <c r="C3515" s="98"/>
      <c r="D3515" s="98"/>
      <c r="E3515" s="98"/>
      <c r="F3515" s="102"/>
      <c r="G3515" s="103"/>
    </row>
    <row r="3516" spans="1:7" x14ac:dyDescent="0.25">
      <c r="A3516" s="101"/>
      <c r="B3516" s="36"/>
      <c r="C3516" s="98"/>
      <c r="D3516" s="98"/>
      <c r="E3516" s="98"/>
      <c r="F3516" s="102"/>
      <c r="G3516" s="103"/>
    </row>
    <row r="3517" spans="1:7" x14ac:dyDescent="0.25">
      <c r="A3517" s="101"/>
      <c r="B3517" s="36"/>
      <c r="C3517" s="98"/>
      <c r="D3517" s="98"/>
      <c r="E3517" s="98"/>
      <c r="F3517" s="102"/>
      <c r="G3517" s="103"/>
    </row>
    <row r="3518" spans="1:7" x14ac:dyDescent="0.25">
      <c r="A3518" s="101"/>
      <c r="B3518" s="36"/>
      <c r="C3518" s="98"/>
      <c r="D3518" s="98"/>
      <c r="E3518" s="98"/>
      <c r="F3518" s="102"/>
      <c r="G3518" s="103"/>
    </row>
    <row r="3519" spans="1:7" x14ac:dyDescent="0.25">
      <c r="A3519" s="101"/>
      <c r="B3519" s="36"/>
      <c r="C3519" s="98"/>
      <c r="D3519" s="98"/>
      <c r="E3519" s="98"/>
      <c r="F3519" s="102"/>
      <c r="G3519" s="103"/>
    </row>
    <row r="3520" spans="1:7" x14ac:dyDescent="0.25">
      <c r="A3520" s="101"/>
      <c r="B3520" s="36"/>
      <c r="C3520" s="98"/>
      <c r="D3520" s="98"/>
      <c r="E3520" s="98"/>
      <c r="F3520" s="102"/>
      <c r="G3520" s="103"/>
    </row>
    <row r="3521" spans="1:7" x14ac:dyDescent="0.25">
      <c r="A3521" s="101"/>
      <c r="B3521" s="36"/>
      <c r="C3521" s="98"/>
      <c r="D3521" s="98"/>
      <c r="E3521" s="98"/>
      <c r="F3521" s="102"/>
      <c r="G3521" s="103"/>
    </row>
    <row r="3522" spans="1:7" x14ac:dyDescent="0.25">
      <c r="A3522" s="101"/>
      <c r="B3522" s="36"/>
      <c r="C3522" s="98"/>
      <c r="D3522" s="98"/>
      <c r="E3522" s="98"/>
      <c r="F3522" s="102"/>
      <c r="G3522" s="103"/>
    </row>
    <row r="3523" spans="1:7" x14ac:dyDescent="0.25">
      <c r="A3523" s="101"/>
      <c r="B3523" s="104"/>
      <c r="C3523" s="98"/>
      <c r="D3523" s="98"/>
      <c r="E3523" s="98"/>
      <c r="F3523" s="102"/>
      <c r="G3523" s="103"/>
    </row>
    <row r="3524" spans="1:7" x14ac:dyDescent="0.25">
      <c r="A3524" s="101"/>
      <c r="B3524" s="36"/>
      <c r="C3524" s="98"/>
      <c r="D3524" s="98"/>
      <c r="E3524" s="98"/>
      <c r="F3524" s="102"/>
      <c r="G3524" s="103"/>
    </row>
    <row r="3525" spans="1:7" x14ac:dyDescent="0.25">
      <c r="A3525" s="101"/>
      <c r="B3525" s="36"/>
      <c r="C3525" s="98"/>
      <c r="D3525" s="98"/>
      <c r="E3525" s="98"/>
      <c r="F3525" s="102"/>
      <c r="G3525" s="103"/>
    </row>
    <row r="3526" spans="1:7" x14ac:dyDescent="0.25">
      <c r="A3526" s="101"/>
      <c r="B3526" s="36"/>
      <c r="C3526" s="98"/>
      <c r="D3526" s="98"/>
      <c r="E3526" s="98"/>
      <c r="F3526" s="102"/>
      <c r="G3526" s="103"/>
    </row>
    <row r="3527" spans="1:7" x14ac:dyDescent="0.25">
      <c r="A3527" s="101"/>
      <c r="B3527" s="36"/>
      <c r="C3527" s="98"/>
      <c r="D3527" s="98"/>
      <c r="E3527" s="98"/>
      <c r="F3527" s="102"/>
      <c r="G3527" s="103"/>
    </row>
    <row r="3528" spans="1:7" x14ac:dyDescent="0.25">
      <c r="A3528" s="101"/>
      <c r="B3528" s="36"/>
      <c r="C3528" s="98"/>
      <c r="D3528" s="98"/>
      <c r="E3528" s="98"/>
      <c r="F3528" s="102"/>
      <c r="G3528" s="103"/>
    </row>
    <row r="3529" spans="1:7" x14ac:dyDescent="0.25">
      <c r="A3529" s="101"/>
      <c r="B3529" s="36"/>
      <c r="C3529" s="98"/>
      <c r="D3529" s="98"/>
      <c r="E3529" s="98"/>
      <c r="F3529" s="102"/>
      <c r="G3529" s="103"/>
    </row>
    <row r="3530" spans="1:7" x14ac:dyDescent="0.25">
      <c r="A3530" s="101"/>
      <c r="B3530" s="36"/>
      <c r="C3530" s="98"/>
      <c r="D3530" s="98"/>
      <c r="E3530" s="98"/>
      <c r="F3530" s="102"/>
      <c r="G3530" s="103"/>
    </row>
    <row r="3531" spans="1:7" x14ac:dyDescent="0.25">
      <c r="A3531" s="101"/>
      <c r="B3531" s="36"/>
      <c r="C3531" s="98"/>
      <c r="D3531" s="98"/>
      <c r="E3531" s="98"/>
      <c r="F3531" s="102"/>
      <c r="G3531" s="103"/>
    </row>
    <row r="3532" spans="1:7" x14ac:dyDescent="0.25">
      <c r="A3532" s="101"/>
      <c r="B3532" s="36"/>
      <c r="C3532" s="98"/>
      <c r="D3532" s="98"/>
      <c r="E3532" s="98"/>
      <c r="F3532" s="102"/>
      <c r="G3532" s="103"/>
    </row>
    <row r="3533" spans="1:7" x14ac:dyDescent="0.25">
      <c r="A3533" s="101"/>
      <c r="B3533" s="36"/>
      <c r="C3533" s="98"/>
      <c r="D3533" s="98"/>
      <c r="E3533" s="98"/>
      <c r="F3533" s="102"/>
      <c r="G3533" s="103"/>
    </row>
    <row r="3534" spans="1:7" x14ac:dyDescent="0.25">
      <c r="A3534" s="101"/>
      <c r="B3534" s="36"/>
      <c r="C3534" s="98"/>
      <c r="D3534" s="98"/>
      <c r="E3534" s="98"/>
      <c r="F3534" s="102"/>
      <c r="G3534" s="103"/>
    </row>
    <row r="3535" spans="1:7" x14ac:dyDescent="0.25">
      <c r="A3535" s="101"/>
      <c r="B3535" s="36"/>
      <c r="C3535" s="98"/>
      <c r="D3535" s="98"/>
      <c r="E3535" s="98"/>
      <c r="F3535" s="102"/>
      <c r="G3535" s="103"/>
    </row>
    <row r="3536" spans="1:7" x14ac:dyDescent="0.25">
      <c r="A3536" s="101"/>
      <c r="B3536" s="36"/>
      <c r="C3536" s="98"/>
      <c r="D3536" s="98"/>
      <c r="E3536" s="98"/>
      <c r="F3536" s="102"/>
      <c r="G3536" s="103"/>
    </row>
    <row r="3537" spans="1:7" x14ac:dyDescent="0.25">
      <c r="A3537" s="101"/>
      <c r="B3537" s="36"/>
      <c r="C3537" s="98"/>
      <c r="D3537" s="98"/>
      <c r="E3537" s="98"/>
      <c r="F3537" s="102"/>
      <c r="G3537" s="103"/>
    </row>
    <row r="3538" spans="1:7" x14ac:dyDescent="0.25">
      <c r="A3538" s="101"/>
      <c r="B3538" s="36"/>
      <c r="C3538" s="98"/>
      <c r="D3538" s="98"/>
      <c r="E3538" s="98"/>
      <c r="F3538" s="102"/>
      <c r="G3538" s="103"/>
    </row>
    <row r="3539" spans="1:7" x14ac:dyDescent="0.25">
      <c r="A3539" s="101"/>
      <c r="B3539" s="36"/>
      <c r="C3539" s="98"/>
      <c r="D3539" s="98"/>
      <c r="E3539" s="98"/>
      <c r="F3539" s="102"/>
      <c r="G3539" s="103"/>
    </row>
    <row r="3540" spans="1:7" x14ac:dyDescent="0.25">
      <c r="A3540" s="101"/>
      <c r="B3540" s="36"/>
      <c r="C3540" s="98"/>
      <c r="D3540" s="98"/>
      <c r="E3540" s="98"/>
      <c r="F3540" s="102"/>
      <c r="G3540" s="103"/>
    </row>
    <row r="3541" spans="1:7" x14ac:dyDescent="0.25">
      <c r="A3541" s="101"/>
      <c r="B3541" s="36"/>
      <c r="C3541" s="98"/>
      <c r="D3541" s="98"/>
      <c r="E3541" s="98"/>
      <c r="F3541" s="102"/>
      <c r="G3541" s="103"/>
    </row>
    <row r="3542" spans="1:7" x14ac:dyDescent="0.25">
      <c r="A3542" s="101"/>
      <c r="B3542" s="36"/>
      <c r="C3542" s="98"/>
      <c r="D3542" s="98"/>
      <c r="E3542" s="98"/>
      <c r="F3542" s="102"/>
      <c r="G3542" s="103"/>
    </row>
    <row r="3543" spans="1:7" x14ac:dyDescent="0.25">
      <c r="A3543" s="101"/>
      <c r="B3543" s="36"/>
      <c r="C3543" s="98"/>
      <c r="D3543" s="98"/>
      <c r="E3543" s="98"/>
      <c r="F3543" s="102"/>
      <c r="G3543" s="103"/>
    </row>
    <row r="3544" spans="1:7" x14ac:dyDescent="0.25">
      <c r="A3544" s="101"/>
      <c r="B3544" s="36"/>
      <c r="C3544" s="98"/>
      <c r="D3544" s="98"/>
      <c r="E3544" s="98"/>
      <c r="F3544" s="102"/>
      <c r="G3544" s="103"/>
    </row>
    <row r="3545" spans="1:7" x14ac:dyDescent="0.25">
      <c r="A3545" s="101"/>
      <c r="B3545" s="36"/>
      <c r="C3545" s="98"/>
      <c r="D3545" s="98"/>
      <c r="E3545" s="98"/>
      <c r="F3545" s="102"/>
      <c r="G3545" s="103"/>
    </row>
    <row r="3546" spans="1:7" x14ac:dyDescent="0.25">
      <c r="A3546" s="101"/>
      <c r="B3546" s="36"/>
      <c r="C3546" s="98"/>
      <c r="D3546" s="98"/>
      <c r="E3546" s="98"/>
      <c r="F3546" s="102"/>
      <c r="G3546" s="103"/>
    </row>
    <row r="3547" spans="1:7" x14ac:dyDescent="0.25">
      <c r="A3547" s="101"/>
      <c r="B3547" s="36"/>
      <c r="C3547" s="98"/>
      <c r="D3547" s="98"/>
      <c r="E3547" s="98"/>
      <c r="F3547" s="102"/>
      <c r="G3547" s="103"/>
    </row>
    <row r="3548" spans="1:7" x14ac:dyDescent="0.25">
      <c r="A3548" s="101"/>
      <c r="B3548" s="36"/>
      <c r="C3548" s="98"/>
      <c r="D3548" s="98"/>
      <c r="E3548" s="98"/>
      <c r="F3548" s="102"/>
      <c r="G3548" s="103"/>
    </row>
    <row r="3549" spans="1:7" x14ac:dyDescent="0.25">
      <c r="A3549" s="101"/>
      <c r="B3549" s="36"/>
      <c r="C3549" s="98"/>
      <c r="D3549" s="98"/>
      <c r="E3549" s="98"/>
      <c r="F3549" s="102"/>
      <c r="G3549" s="103"/>
    </row>
    <row r="3550" spans="1:7" x14ac:dyDescent="0.25">
      <c r="A3550" s="101"/>
      <c r="B3550" s="36"/>
      <c r="C3550" s="98"/>
      <c r="D3550" s="98"/>
      <c r="E3550" s="98"/>
      <c r="F3550" s="102"/>
      <c r="G3550" s="103"/>
    </row>
    <row r="3551" spans="1:7" x14ac:dyDescent="0.25">
      <c r="A3551" s="101"/>
      <c r="B3551" s="36"/>
      <c r="C3551" s="98"/>
      <c r="D3551" s="98"/>
      <c r="E3551" s="98"/>
      <c r="F3551" s="102"/>
      <c r="G3551" s="103"/>
    </row>
    <row r="3552" spans="1:7" x14ac:dyDescent="0.25">
      <c r="A3552" s="101"/>
      <c r="B3552" s="36"/>
      <c r="C3552" s="98"/>
      <c r="D3552" s="98"/>
      <c r="E3552" s="98"/>
      <c r="F3552" s="102"/>
      <c r="G3552" s="103"/>
    </row>
    <row r="3553" spans="1:7" x14ac:dyDescent="0.25">
      <c r="A3553" s="101"/>
      <c r="B3553" s="36"/>
      <c r="C3553" s="98"/>
      <c r="D3553" s="98"/>
      <c r="E3553" s="98"/>
      <c r="F3553" s="102"/>
      <c r="G3553" s="103"/>
    </row>
    <row r="3554" spans="1:7" x14ac:dyDescent="0.25">
      <c r="A3554" s="101"/>
      <c r="B3554" s="36"/>
      <c r="C3554" s="98"/>
      <c r="D3554" s="98"/>
      <c r="E3554" s="98"/>
      <c r="F3554" s="102"/>
      <c r="G3554" s="103"/>
    </row>
    <row r="3555" spans="1:7" x14ac:dyDescent="0.25">
      <c r="A3555" s="101"/>
      <c r="B3555" s="36"/>
      <c r="C3555" s="98"/>
      <c r="D3555" s="98"/>
      <c r="E3555" s="98"/>
      <c r="F3555" s="102"/>
      <c r="G3555" s="103"/>
    </row>
    <row r="3556" spans="1:7" x14ac:dyDescent="0.25">
      <c r="A3556" s="101"/>
      <c r="B3556" s="36"/>
      <c r="C3556" s="98"/>
      <c r="D3556" s="98"/>
      <c r="E3556" s="98"/>
      <c r="F3556" s="102"/>
      <c r="G3556" s="103"/>
    </row>
    <row r="3557" spans="1:7" x14ac:dyDescent="0.25">
      <c r="A3557" s="101"/>
      <c r="B3557" s="36"/>
      <c r="C3557" s="98"/>
      <c r="D3557" s="98"/>
      <c r="E3557" s="98"/>
      <c r="F3557" s="102"/>
      <c r="G3557" s="103"/>
    </row>
    <row r="3558" spans="1:7" x14ac:dyDescent="0.25">
      <c r="A3558" s="101"/>
      <c r="B3558" s="36"/>
      <c r="C3558" s="98"/>
      <c r="D3558" s="98"/>
      <c r="E3558" s="98"/>
      <c r="F3558" s="102"/>
      <c r="G3558" s="103"/>
    </row>
    <row r="3559" spans="1:7" x14ac:dyDescent="0.25">
      <c r="A3559" s="101"/>
      <c r="B3559" s="36"/>
      <c r="C3559" s="98"/>
      <c r="D3559" s="98"/>
      <c r="E3559" s="98"/>
      <c r="F3559" s="102"/>
      <c r="G3559" s="103"/>
    </row>
    <row r="3560" spans="1:7" x14ac:dyDescent="0.25">
      <c r="A3560" s="101"/>
      <c r="B3560" s="36"/>
      <c r="C3560" s="98"/>
      <c r="D3560" s="98"/>
      <c r="E3560" s="98"/>
      <c r="F3560" s="102"/>
      <c r="G3560" s="103"/>
    </row>
    <row r="3561" spans="1:7" x14ac:dyDescent="0.25">
      <c r="A3561" s="101"/>
      <c r="B3561" s="36"/>
      <c r="C3561" s="98"/>
      <c r="D3561" s="98"/>
      <c r="E3561" s="98"/>
      <c r="F3561" s="102"/>
      <c r="G3561" s="103"/>
    </row>
    <row r="3562" spans="1:7" x14ac:dyDescent="0.25">
      <c r="A3562" s="101"/>
      <c r="B3562" s="36"/>
      <c r="C3562" s="98"/>
      <c r="D3562" s="98"/>
      <c r="E3562" s="98"/>
      <c r="F3562" s="102"/>
      <c r="G3562" s="103"/>
    </row>
    <row r="3563" spans="1:7" x14ac:dyDescent="0.25">
      <c r="A3563" s="101"/>
      <c r="B3563" s="36"/>
      <c r="C3563" s="98"/>
      <c r="D3563" s="98"/>
      <c r="E3563" s="98"/>
      <c r="F3563" s="102"/>
      <c r="G3563" s="103"/>
    </row>
    <row r="3564" spans="1:7" x14ac:dyDescent="0.25">
      <c r="A3564" s="101"/>
      <c r="B3564" s="36"/>
      <c r="C3564" s="98"/>
      <c r="D3564" s="98"/>
      <c r="E3564" s="98"/>
      <c r="F3564" s="102"/>
      <c r="G3564" s="103"/>
    </row>
    <row r="3565" spans="1:7" x14ac:dyDescent="0.25">
      <c r="A3565" s="101"/>
      <c r="B3565" s="36"/>
      <c r="C3565" s="98"/>
      <c r="D3565" s="98"/>
      <c r="E3565" s="98"/>
      <c r="F3565" s="102"/>
      <c r="G3565" s="103"/>
    </row>
    <row r="3566" spans="1:7" x14ac:dyDescent="0.25">
      <c r="A3566" s="101"/>
      <c r="B3566" s="36"/>
      <c r="C3566" s="98"/>
      <c r="D3566" s="98"/>
      <c r="E3566" s="98"/>
      <c r="F3566" s="102"/>
      <c r="G3566" s="103"/>
    </row>
    <row r="3567" spans="1:7" x14ac:dyDescent="0.25">
      <c r="A3567" s="101"/>
      <c r="B3567" s="36"/>
      <c r="C3567" s="98"/>
      <c r="D3567" s="98"/>
      <c r="E3567" s="98"/>
      <c r="F3567" s="102"/>
      <c r="G3567" s="103"/>
    </row>
    <row r="3568" spans="1:7" x14ac:dyDescent="0.25">
      <c r="A3568" s="101"/>
      <c r="B3568" s="36"/>
      <c r="C3568" s="98"/>
      <c r="D3568" s="98"/>
      <c r="E3568" s="98"/>
      <c r="F3568" s="102"/>
      <c r="G3568" s="103"/>
    </row>
    <row r="3569" spans="1:7" x14ac:dyDescent="0.25">
      <c r="A3569" s="101"/>
      <c r="B3569" s="36"/>
      <c r="C3569" s="98"/>
      <c r="D3569" s="98"/>
      <c r="E3569" s="98"/>
      <c r="F3569" s="102"/>
      <c r="G3569" s="103"/>
    </row>
    <row r="3570" spans="1:7" x14ac:dyDescent="0.25">
      <c r="A3570" s="101"/>
      <c r="B3570" s="36"/>
      <c r="C3570" s="98"/>
      <c r="D3570" s="98"/>
      <c r="E3570" s="98"/>
      <c r="F3570" s="102"/>
      <c r="G3570" s="103"/>
    </row>
    <row r="3571" spans="1:7" x14ac:dyDescent="0.25">
      <c r="A3571" s="101"/>
      <c r="B3571" s="36"/>
      <c r="C3571" s="98"/>
      <c r="D3571" s="98"/>
      <c r="E3571" s="98"/>
      <c r="F3571" s="102"/>
      <c r="G3571" s="103"/>
    </row>
    <row r="3572" spans="1:7" x14ac:dyDescent="0.25">
      <c r="A3572" s="101"/>
      <c r="B3572" s="36"/>
      <c r="C3572" s="98"/>
      <c r="D3572" s="98"/>
      <c r="E3572" s="98"/>
      <c r="F3572" s="102"/>
      <c r="G3572" s="103"/>
    </row>
    <row r="3573" spans="1:7" x14ac:dyDescent="0.25">
      <c r="A3573" s="101"/>
      <c r="B3573" s="36"/>
      <c r="C3573" s="98"/>
      <c r="D3573" s="98"/>
      <c r="E3573" s="98"/>
      <c r="F3573" s="102"/>
      <c r="G3573" s="103"/>
    </row>
    <row r="3574" spans="1:7" x14ac:dyDescent="0.25">
      <c r="A3574" s="101"/>
      <c r="B3574" s="36"/>
      <c r="C3574" s="98"/>
      <c r="D3574" s="98"/>
      <c r="E3574" s="98"/>
      <c r="F3574" s="102"/>
      <c r="G3574" s="103"/>
    </row>
    <row r="3575" spans="1:7" x14ac:dyDescent="0.25">
      <c r="A3575" s="101"/>
      <c r="B3575" s="36"/>
      <c r="C3575" s="98"/>
      <c r="D3575" s="98"/>
      <c r="E3575" s="98"/>
      <c r="F3575" s="102"/>
      <c r="G3575" s="103"/>
    </row>
    <row r="3576" spans="1:7" x14ac:dyDescent="0.25">
      <c r="A3576" s="101"/>
      <c r="B3576" s="36"/>
      <c r="C3576" s="98"/>
      <c r="D3576" s="98"/>
      <c r="E3576" s="98"/>
      <c r="F3576" s="102"/>
      <c r="G3576" s="103"/>
    </row>
    <row r="3577" spans="1:7" x14ac:dyDescent="0.25">
      <c r="A3577" s="101"/>
      <c r="B3577" s="36"/>
      <c r="C3577" s="98"/>
      <c r="D3577" s="98"/>
      <c r="E3577" s="98"/>
      <c r="F3577" s="102"/>
      <c r="G3577" s="103"/>
    </row>
    <row r="3578" spans="1:7" x14ac:dyDescent="0.25">
      <c r="A3578" s="101"/>
      <c r="B3578" s="36"/>
      <c r="C3578" s="98"/>
      <c r="D3578" s="98"/>
      <c r="E3578" s="98"/>
      <c r="F3578" s="102"/>
      <c r="G3578" s="103"/>
    </row>
    <row r="3579" spans="1:7" x14ac:dyDescent="0.25">
      <c r="A3579" s="101"/>
      <c r="B3579" s="36"/>
      <c r="C3579" s="98"/>
      <c r="D3579" s="98"/>
      <c r="E3579" s="98"/>
      <c r="F3579" s="102"/>
      <c r="G3579" s="103"/>
    </row>
    <row r="3580" spans="1:7" x14ac:dyDescent="0.25">
      <c r="A3580" s="101"/>
      <c r="B3580" s="36"/>
      <c r="C3580" s="98"/>
      <c r="D3580" s="98"/>
      <c r="E3580" s="98"/>
      <c r="F3580" s="102"/>
      <c r="G3580" s="103"/>
    </row>
    <row r="3581" spans="1:7" x14ac:dyDescent="0.25">
      <c r="A3581" s="101"/>
      <c r="B3581" s="36"/>
      <c r="C3581" s="98"/>
      <c r="D3581" s="98"/>
      <c r="E3581" s="98"/>
      <c r="F3581" s="102"/>
      <c r="G3581" s="103"/>
    </row>
    <row r="3582" spans="1:7" x14ac:dyDescent="0.25">
      <c r="A3582" s="101"/>
      <c r="B3582" s="36"/>
      <c r="C3582" s="98"/>
      <c r="D3582" s="98"/>
      <c r="E3582" s="98"/>
      <c r="F3582" s="102"/>
      <c r="G3582" s="103"/>
    </row>
    <row r="3583" spans="1:7" x14ac:dyDescent="0.25">
      <c r="A3583" s="101"/>
      <c r="B3583" s="66"/>
      <c r="C3583" s="98"/>
      <c r="D3583" s="98"/>
      <c r="E3583" s="98"/>
      <c r="F3583" s="102"/>
      <c r="G3583" s="103"/>
    </row>
    <row r="3584" spans="1:7" x14ac:dyDescent="0.25">
      <c r="A3584" s="101"/>
      <c r="B3584" s="36"/>
      <c r="C3584" s="98"/>
      <c r="D3584" s="98"/>
      <c r="E3584" s="98"/>
      <c r="F3584" s="102"/>
      <c r="G3584" s="103"/>
    </row>
    <row r="3585" spans="1:7" x14ac:dyDescent="0.25">
      <c r="A3585" s="101"/>
      <c r="B3585" s="36"/>
      <c r="C3585" s="98"/>
      <c r="D3585" s="98"/>
      <c r="E3585" s="98"/>
      <c r="F3585" s="102"/>
      <c r="G3585" s="103"/>
    </row>
    <row r="3586" spans="1:7" x14ac:dyDescent="0.25">
      <c r="A3586" s="101"/>
      <c r="B3586" s="36"/>
      <c r="C3586" s="98"/>
      <c r="D3586" s="98"/>
      <c r="E3586" s="98"/>
      <c r="F3586" s="102"/>
      <c r="G3586" s="103"/>
    </row>
    <row r="3587" spans="1:7" x14ac:dyDescent="0.25">
      <c r="A3587" s="101"/>
      <c r="B3587" s="36"/>
      <c r="C3587" s="98"/>
      <c r="D3587" s="98"/>
      <c r="E3587" s="98"/>
      <c r="F3587" s="102"/>
      <c r="G3587" s="103"/>
    </row>
    <row r="3588" spans="1:7" x14ac:dyDescent="0.25">
      <c r="A3588" s="101"/>
      <c r="B3588" s="36"/>
      <c r="C3588" s="98"/>
      <c r="D3588" s="98"/>
      <c r="E3588" s="98"/>
      <c r="F3588" s="102"/>
      <c r="G3588" s="103"/>
    </row>
    <row r="3589" spans="1:7" x14ac:dyDescent="0.25">
      <c r="A3589" s="101"/>
      <c r="B3589" s="36"/>
      <c r="C3589" s="98"/>
      <c r="D3589" s="98"/>
      <c r="E3589" s="98"/>
      <c r="F3589" s="102"/>
      <c r="G3589" s="103"/>
    </row>
    <row r="3590" spans="1:7" x14ac:dyDescent="0.25">
      <c r="A3590" s="101"/>
      <c r="B3590" s="36"/>
      <c r="C3590" s="98"/>
      <c r="D3590" s="98"/>
      <c r="E3590" s="98"/>
      <c r="F3590" s="102"/>
      <c r="G3590" s="103"/>
    </row>
    <row r="3591" spans="1:7" x14ac:dyDescent="0.25">
      <c r="A3591" s="101"/>
      <c r="B3591" s="36"/>
      <c r="C3591" s="98"/>
      <c r="D3591" s="98"/>
      <c r="E3591" s="98"/>
      <c r="F3591" s="102"/>
      <c r="G3591" s="103"/>
    </row>
    <row r="3592" spans="1:7" x14ac:dyDescent="0.25">
      <c r="A3592" s="101"/>
      <c r="B3592" s="36"/>
      <c r="C3592" s="98"/>
      <c r="D3592" s="98"/>
      <c r="E3592" s="98"/>
      <c r="F3592" s="102"/>
      <c r="G3592" s="103"/>
    </row>
    <row r="3593" spans="1:7" x14ac:dyDescent="0.25">
      <c r="A3593" s="101"/>
      <c r="B3593" s="36"/>
      <c r="C3593" s="98"/>
      <c r="D3593" s="98"/>
      <c r="E3593" s="98"/>
      <c r="F3593" s="102"/>
      <c r="G3593" s="103"/>
    </row>
    <row r="3594" spans="1:7" x14ac:dyDescent="0.25">
      <c r="A3594" s="101"/>
      <c r="B3594" s="36"/>
      <c r="C3594" s="98"/>
      <c r="D3594" s="98"/>
      <c r="E3594" s="98"/>
      <c r="F3594" s="102"/>
      <c r="G3594" s="103"/>
    </row>
    <row r="3595" spans="1:7" x14ac:dyDescent="0.25">
      <c r="A3595" s="101"/>
      <c r="B3595" s="36"/>
      <c r="C3595" s="98"/>
      <c r="D3595" s="98"/>
      <c r="E3595" s="98"/>
      <c r="F3595" s="102"/>
      <c r="G3595" s="103"/>
    </row>
    <row r="3596" spans="1:7" x14ac:dyDescent="0.25">
      <c r="A3596" s="101"/>
      <c r="B3596" s="36"/>
      <c r="C3596" s="98"/>
      <c r="D3596" s="98"/>
      <c r="E3596" s="98"/>
      <c r="F3596" s="102"/>
      <c r="G3596" s="103"/>
    </row>
    <row r="3597" spans="1:7" x14ac:dyDescent="0.25">
      <c r="A3597" s="101"/>
      <c r="B3597" s="36"/>
      <c r="C3597" s="98"/>
      <c r="D3597" s="98"/>
      <c r="E3597" s="98"/>
      <c r="F3597" s="102"/>
      <c r="G3597" s="103"/>
    </row>
    <row r="3598" spans="1:7" x14ac:dyDescent="0.25">
      <c r="A3598" s="101"/>
      <c r="B3598" s="36"/>
      <c r="C3598" s="98"/>
      <c r="D3598" s="98"/>
      <c r="E3598" s="98"/>
      <c r="F3598" s="102"/>
      <c r="G3598" s="103"/>
    </row>
    <row r="3599" spans="1:7" x14ac:dyDescent="0.25">
      <c r="A3599" s="101"/>
      <c r="B3599" s="36"/>
      <c r="C3599" s="98"/>
      <c r="D3599" s="98"/>
      <c r="E3599" s="98"/>
      <c r="F3599" s="102"/>
      <c r="G3599" s="103"/>
    </row>
    <row r="3600" spans="1:7" x14ac:dyDescent="0.25">
      <c r="A3600" s="101"/>
      <c r="B3600" s="36"/>
      <c r="C3600" s="98"/>
      <c r="D3600" s="98"/>
      <c r="E3600" s="98"/>
      <c r="F3600" s="102"/>
      <c r="G3600" s="103"/>
    </row>
    <row r="3601" spans="1:7" x14ac:dyDescent="0.25">
      <c r="A3601" s="101"/>
      <c r="B3601" s="36"/>
      <c r="C3601" s="98"/>
      <c r="D3601" s="98"/>
      <c r="E3601" s="98"/>
      <c r="F3601" s="102"/>
      <c r="G3601" s="103"/>
    </row>
    <row r="3602" spans="1:7" x14ac:dyDescent="0.25">
      <c r="A3602" s="101"/>
      <c r="B3602" s="36"/>
      <c r="C3602" s="98"/>
      <c r="D3602" s="98"/>
      <c r="E3602" s="98"/>
      <c r="F3602" s="102"/>
      <c r="G3602" s="103"/>
    </row>
    <row r="3603" spans="1:7" x14ac:dyDescent="0.25">
      <c r="A3603" s="101"/>
      <c r="B3603" s="36"/>
      <c r="C3603" s="98"/>
      <c r="D3603" s="98"/>
      <c r="E3603" s="98"/>
      <c r="F3603" s="102"/>
      <c r="G3603" s="103"/>
    </row>
    <row r="3604" spans="1:7" x14ac:dyDescent="0.25">
      <c r="A3604" s="101"/>
      <c r="B3604" s="36"/>
      <c r="C3604" s="98"/>
      <c r="D3604" s="98"/>
      <c r="E3604" s="98"/>
      <c r="F3604" s="102"/>
      <c r="G3604" s="103"/>
    </row>
    <row r="3605" spans="1:7" x14ac:dyDescent="0.25">
      <c r="A3605" s="101"/>
      <c r="B3605" s="36"/>
      <c r="C3605" s="98"/>
      <c r="D3605" s="98"/>
      <c r="E3605" s="98"/>
      <c r="F3605" s="102"/>
      <c r="G3605" s="103"/>
    </row>
    <row r="3606" spans="1:7" x14ac:dyDescent="0.25">
      <c r="A3606" s="101"/>
      <c r="B3606" s="36"/>
      <c r="C3606" s="98"/>
      <c r="D3606" s="98"/>
      <c r="E3606" s="98"/>
      <c r="F3606" s="102"/>
      <c r="G3606" s="103"/>
    </row>
    <row r="3607" spans="1:7" x14ac:dyDescent="0.25">
      <c r="A3607" s="101"/>
      <c r="B3607" s="36"/>
      <c r="C3607" s="98"/>
      <c r="D3607" s="98"/>
      <c r="E3607" s="98"/>
      <c r="F3607" s="102"/>
      <c r="G3607" s="103"/>
    </row>
    <row r="3608" spans="1:7" x14ac:dyDescent="0.25">
      <c r="A3608" s="101"/>
      <c r="B3608" s="36"/>
      <c r="C3608" s="98"/>
      <c r="D3608" s="98"/>
      <c r="E3608" s="98"/>
      <c r="F3608" s="102"/>
      <c r="G3608" s="103"/>
    </row>
    <row r="3609" spans="1:7" x14ac:dyDescent="0.25">
      <c r="A3609" s="101"/>
      <c r="B3609" s="36"/>
      <c r="C3609" s="98"/>
      <c r="D3609" s="98"/>
      <c r="E3609" s="98"/>
      <c r="F3609" s="102"/>
      <c r="G3609" s="103"/>
    </row>
    <row r="3610" spans="1:7" x14ac:dyDescent="0.25">
      <c r="A3610" s="101"/>
      <c r="B3610" s="36"/>
      <c r="C3610" s="98"/>
      <c r="D3610" s="98"/>
      <c r="E3610" s="98"/>
      <c r="F3610" s="102"/>
      <c r="G3610" s="103"/>
    </row>
    <row r="3611" spans="1:7" x14ac:dyDescent="0.25">
      <c r="A3611" s="101"/>
      <c r="B3611" s="36"/>
      <c r="C3611" s="98"/>
      <c r="D3611" s="98"/>
      <c r="E3611" s="98"/>
      <c r="F3611" s="102"/>
      <c r="G3611" s="103"/>
    </row>
    <row r="3612" spans="1:7" x14ac:dyDescent="0.25">
      <c r="A3612" s="101"/>
      <c r="B3612" s="36"/>
      <c r="C3612" s="98"/>
      <c r="D3612" s="98"/>
      <c r="E3612" s="98"/>
      <c r="F3612" s="102"/>
      <c r="G3612" s="103"/>
    </row>
    <row r="3613" spans="1:7" x14ac:dyDescent="0.25">
      <c r="A3613" s="101"/>
      <c r="B3613" s="36"/>
      <c r="C3613" s="98"/>
      <c r="D3613" s="98"/>
      <c r="E3613" s="98"/>
      <c r="F3613" s="102"/>
      <c r="G3613" s="103"/>
    </row>
    <row r="3614" spans="1:7" x14ac:dyDescent="0.25">
      <c r="A3614" s="101"/>
      <c r="B3614" s="36"/>
      <c r="C3614" s="98"/>
      <c r="D3614" s="98"/>
      <c r="E3614" s="98"/>
      <c r="F3614" s="102"/>
      <c r="G3614" s="103"/>
    </row>
    <row r="3615" spans="1:7" x14ac:dyDescent="0.25">
      <c r="A3615" s="101"/>
      <c r="B3615" s="36"/>
      <c r="C3615" s="98"/>
      <c r="D3615" s="98"/>
      <c r="E3615" s="98"/>
      <c r="F3615" s="102"/>
      <c r="G3615" s="103"/>
    </row>
    <row r="3616" spans="1:7" x14ac:dyDescent="0.25">
      <c r="A3616" s="101"/>
      <c r="B3616" s="36"/>
      <c r="C3616" s="98"/>
      <c r="D3616" s="98"/>
      <c r="E3616" s="98"/>
      <c r="F3616" s="102"/>
      <c r="G3616" s="103"/>
    </row>
    <row r="3617" spans="1:7" x14ac:dyDescent="0.25">
      <c r="A3617" s="101"/>
      <c r="B3617" s="36"/>
      <c r="C3617" s="98"/>
      <c r="D3617" s="98"/>
      <c r="E3617" s="98"/>
      <c r="F3617" s="102"/>
      <c r="G3617" s="103"/>
    </row>
    <row r="3618" spans="1:7" x14ac:dyDescent="0.25">
      <c r="A3618" s="101"/>
      <c r="B3618" s="36"/>
      <c r="C3618" s="98"/>
      <c r="D3618" s="98"/>
      <c r="E3618" s="98"/>
      <c r="F3618" s="102"/>
      <c r="G3618" s="103"/>
    </row>
    <row r="3619" spans="1:7" x14ac:dyDescent="0.25">
      <c r="A3619" s="101"/>
      <c r="B3619" s="67"/>
      <c r="C3619" s="98"/>
      <c r="D3619" s="98"/>
      <c r="E3619" s="98"/>
      <c r="F3619" s="102"/>
      <c r="G3619" s="103"/>
    </row>
    <row r="3620" spans="1:7" x14ac:dyDescent="0.25">
      <c r="A3620" s="101"/>
      <c r="B3620" s="36"/>
      <c r="C3620" s="98"/>
      <c r="D3620" s="98"/>
      <c r="E3620" s="98"/>
      <c r="F3620" s="102"/>
      <c r="G3620" s="103"/>
    </row>
    <row r="3621" spans="1:7" x14ac:dyDescent="0.25">
      <c r="A3621" s="101"/>
      <c r="B3621" s="36"/>
      <c r="C3621" s="98"/>
      <c r="D3621" s="98"/>
      <c r="E3621" s="98"/>
      <c r="F3621" s="102"/>
      <c r="G3621" s="103"/>
    </row>
    <row r="3622" spans="1:7" x14ac:dyDescent="0.25">
      <c r="A3622" s="101"/>
      <c r="B3622" s="36"/>
      <c r="C3622" s="98"/>
      <c r="D3622" s="98"/>
      <c r="E3622" s="98"/>
      <c r="F3622" s="102"/>
      <c r="G3622" s="103"/>
    </row>
    <row r="3623" spans="1:7" x14ac:dyDescent="0.25">
      <c r="A3623" s="101"/>
      <c r="B3623" s="36"/>
      <c r="C3623" s="98"/>
      <c r="D3623" s="98"/>
      <c r="E3623" s="98"/>
      <c r="F3623" s="102"/>
      <c r="G3623" s="103"/>
    </row>
    <row r="3624" spans="1:7" x14ac:dyDescent="0.25">
      <c r="A3624" s="101"/>
      <c r="B3624" s="36"/>
      <c r="C3624" s="98"/>
      <c r="D3624" s="98"/>
      <c r="E3624" s="98"/>
      <c r="F3624" s="102"/>
      <c r="G3624" s="103"/>
    </row>
    <row r="3625" spans="1:7" x14ac:dyDescent="0.25">
      <c r="A3625" s="101"/>
      <c r="B3625" s="36"/>
      <c r="C3625" s="98"/>
      <c r="D3625" s="98"/>
      <c r="E3625" s="98"/>
      <c r="F3625" s="102"/>
      <c r="G3625" s="103"/>
    </row>
    <row r="3626" spans="1:7" x14ac:dyDescent="0.25">
      <c r="A3626" s="101"/>
      <c r="B3626" s="36"/>
      <c r="C3626" s="98"/>
      <c r="D3626" s="98"/>
      <c r="E3626" s="98"/>
      <c r="F3626" s="102"/>
      <c r="G3626" s="103"/>
    </row>
    <row r="3627" spans="1:7" x14ac:dyDescent="0.25">
      <c r="A3627" s="101"/>
      <c r="B3627" s="36"/>
      <c r="C3627" s="98"/>
      <c r="D3627" s="98"/>
      <c r="E3627" s="98"/>
      <c r="F3627" s="102"/>
      <c r="G3627" s="103"/>
    </row>
    <row r="3628" spans="1:7" x14ac:dyDescent="0.25">
      <c r="A3628" s="101"/>
      <c r="B3628" s="36"/>
      <c r="C3628" s="98"/>
      <c r="D3628" s="98"/>
      <c r="E3628" s="98"/>
      <c r="F3628" s="102"/>
      <c r="G3628" s="103"/>
    </row>
    <row r="3629" spans="1:7" x14ac:dyDescent="0.25">
      <c r="A3629" s="101"/>
      <c r="B3629" s="36"/>
      <c r="C3629" s="98"/>
      <c r="D3629" s="98"/>
      <c r="E3629" s="98"/>
      <c r="F3629" s="102"/>
      <c r="G3629" s="103"/>
    </row>
    <row r="3630" spans="1:7" x14ac:dyDescent="0.25">
      <c r="A3630" s="101"/>
      <c r="B3630" s="36"/>
      <c r="C3630" s="98"/>
      <c r="D3630" s="98"/>
      <c r="E3630" s="98"/>
      <c r="F3630" s="102"/>
      <c r="G3630" s="103"/>
    </row>
    <row r="3631" spans="1:7" x14ac:dyDescent="0.25">
      <c r="A3631" s="101"/>
      <c r="B3631" s="36"/>
      <c r="C3631" s="98"/>
      <c r="D3631" s="98"/>
      <c r="E3631" s="98"/>
      <c r="F3631" s="102"/>
      <c r="G3631" s="103"/>
    </row>
    <row r="3632" spans="1:7" x14ac:dyDescent="0.25">
      <c r="A3632" s="101"/>
      <c r="B3632" s="36"/>
      <c r="C3632" s="98"/>
      <c r="D3632" s="98"/>
      <c r="E3632" s="98"/>
      <c r="F3632" s="102"/>
      <c r="G3632" s="103"/>
    </row>
    <row r="3633" spans="1:7" x14ac:dyDescent="0.25">
      <c r="A3633" s="101"/>
      <c r="B3633" s="36"/>
      <c r="C3633" s="98"/>
      <c r="D3633" s="98"/>
      <c r="E3633" s="98"/>
      <c r="F3633" s="102"/>
      <c r="G3633" s="103"/>
    </row>
    <row r="3634" spans="1:7" x14ac:dyDescent="0.25">
      <c r="A3634" s="101"/>
      <c r="B3634" s="36"/>
      <c r="C3634" s="98"/>
      <c r="D3634" s="98"/>
      <c r="E3634" s="98"/>
      <c r="F3634" s="102"/>
      <c r="G3634" s="103"/>
    </row>
    <row r="3635" spans="1:7" x14ac:dyDescent="0.25">
      <c r="A3635" s="101"/>
      <c r="B3635" s="36"/>
      <c r="C3635" s="98"/>
      <c r="D3635" s="98"/>
      <c r="E3635" s="98"/>
      <c r="F3635" s="102"/>
      <c r="G3635" s="103"/>
    </row>
    <row r="3636" spans="1:7" x14ac:dyDescent="0.25">
      <c r="A3636" s="101"/>
      <c r="B3636" s="36"/>
      <c r="C3636" s="98"/>
      <c r="D3636" s="98"/>
      <c r="E3636" s="98"/>
      <c r="F3636" s="102"/>
      <c r="G3636" s="103"/>
    </row>
    <row r="3637" spans="1:7" x14ac:dyDescent="0.25">
      <c r="A3637" s="101"/>
      <c r="B3637" s="36"/>
      <c r="C3637" s="98"/>
      <c r="D3637" s="98"/>
      <c r="E3637" s="98"/>
      <c r="F3637" s="102"/>
      <c r="G3637" s="103"/>
    </row>
    <row r="3638" spans="1:7" x14ac:dyDescent="0.25">
      <c r="A3638" s="101"/>
      <c r="B3638" s="36"/>
      <c r="C3638" s="98"/>
      <c r="D3638" s="98"/>
      <c r="E3638" s="98"/>
      <c r="F3638" s="102"/>
      <c r="G3638" s="103"/>
    </row>
    <row r="3639" spans="1:7" x14ac:dyDescent="0.25">
      <c r="A3639" s="101"/>
      <c r="B3639" s="36"/>
      <c r="C3639" s="98"/>
      <c r="D3639" s="98"/>
      <c r="E3639" s="98"/>
      <c r="F3639" s="102"/>
      <c r="G3639" s="103"/>
    </row>
    <row r="3640" spans="1:7" x14ac:dyDescent="0.25">
      <c r="A3640" s="101"/>
      <c r="B3640" s="36"/>
      <c r="C3640" s="98"/>
      <c r="D3640" s="98"/>
      <c r="E3640" s="98"/>
      <c r="F3640" s="102"/>
      <c r="G3640" s="103"/>
    </row>
    <row r="3641" spans="1:7" x14ac:dyDescent="0.25">
      <c r="A3641" s="101"/>
      <c r="B3641" s="67"/>
      <c r="C3641" s="98"/>
      <c r="D3641" s="98"/>
      <c r="E3641" s="98"/>
      <c r="F3641" s="102"/>
      <c r="G3641" s="103"/>
    </row>
    <row r="3642" spans="1:7" x14ac:dyDescent="0.25">
      <c r="A3642" s="101"/>
      <c r="B3642" s="36"/>
      <c r="C3642" s="98"/>
      <c r="D3642" s="98"/>
      <c r="E3642" s="98"/>
      <c r="F3642" s="102"/>
      <c r="G3642" s="103"/>
    </row>
    <row r="3643" spans="1:7" x14ac:dyDescent="0.25">
      <c r="A3643" s="101"/>
      <c r="B3643" s="36"/>
      <c r="C3643" s="98"/>
      <c r="D3643" s="98"/>
      <c r="E3643" s="98"/>
      <c r="F3643" s="102"/>
      <c r="G3643" s="103"/>
    </row>
    <row r="3644" spans="1:7" x14ac:dyDescent="0.25">
      <c r="A3644" s="101"/>
      <c r="B3644" s="36"/>
      <c r="C3644" s="98"/>
      <c r="D3644" s="98"/>
      <c r="E3644" s="98"/>
      <c r="F3644" s="102"/>
      <c r="G3644" s="103"/>
    </row>
    <row r="3645" spans="1:7" x14ac:dyDescent="0.25">
      <c r="A3645" s="101"/>
      <c r="B3645" s="36"/>
      <c r="C3645" s="98"/>
      <c r="D3645" s="98"/>
      <c r="E3645" s="98"/>
      <c r="F3645" s="102"/>
      <c r="G3645" s="103"/>
    </row>
    <row r="3646" spans="1:7" x14ac:dyDescent="0.25">
      <c r="A3646" s="101"/>
      <c r="B3646" s="36"/>
      <c r="C3646" s="98"/>
      <c r="D3646" s="98"/>
      <c r="E3646" s="98"/>
      <c r="F3646" s="102"/>
      <c r="G3646" s="103"/>
    </row>
    <row r="3647" spans="1:7" x14ac:dyDescent="0.25">
      <c r="A3647" s="101"/>
      <c r="B3647" s="36"/>
      <c r="C3647" s="98"/>
      <c r="D3647" s="98"/>
      <c r="E3647" s="98"/>
      <c r="F3647" s="102"/>
      <c r="G3647" s="103"/>
    </row>
    <row r="3648" spans="1:7" x14ac:dyDescent="0.25">
      <c r="A3648" s="101"/>
      <c r="B3648" s="36"/>
      <c r="C3648" s="98"/>
      <c r="D3648" s="98"/>
      <c r="E3648" s="98"/>
      <c r="F3648" s="102"/>
      <c r="G3648" s="103"/>
    </row>
    <row r="3649" spans="1:7" x14ac:dyDescent="0.25">
      <c r="A3649" s="101"/>
      <c r="B3649" s="36"/>
      <c r="C3649" s="98"/>
      <c r="D3649" s="98"/>
      <c r="E3649" s="98"/>
      <c r="F3649" s="102"/>
      <c r="G3649" s="103"/>
    </row>
    <row r="3650" spans="1:7" x14ac:dyDescent="0.25">
      <c r="A3650" s="101"/>
      <c r="B3650" s="36"/>
      <c r="C3650" s="98"/>
      <c r="D3650" s="98"/>
      <c r="E3650" s="98"/>
      <c r="F3650" s="102"/>
      <c r="G3650" s="103"/>
    </row>
    <row r="3651" spans="1:7" x14ac:dyDescent="0.25">
      <c r="A3651" s="101"/>
      <c r="B3651" s="36"/>
      <c r="C3651" s="98"/>
      <c r="D3651" s="98"/>
      <c r="E3651" s="98"/>
      <c r="F3651" s="102"/>
      <c r="G3651" s="103"/>
    </row>
    <row r="3652" spans="1:7" x14ac:dyDescent="0.25">
      <c r="A3652" s="101"/>
      <c r="B3652" s="36"/>
      <c r="C3652" s="98"/>
      <c r="D3652" s="98"/>
      <c r="E3652" s="98"/>
      <c r="F3652" s="102"/>
      <c r="G3652" s="103"/>
    </row>
    <row r="3653" spans="1:7" x14ac:dyDescent="0.25">
      <c r="A3653" s="101"/>
      <c r="B3653" s="36"/>
      <c r="C3653" s="98"/>
      <c r="D3653" s="98"/>
      <c r="E3653" s="98"/>
      <c r="F3653" s="102"/>
      <c r="G3653" s="103"/>
    </row>
    <row r="3654" spans="1:7" x14ac:dyDescent="0.25">
      <c r="A3654" s="101"/>
      <c r="B3654" s="36"/>
      <c r="C3654" s="98"/>
      <c r="D3654" s="98"/>
      <c r="E3654" s="98"/>
      <c r="F3654" s="102"/>
      <c r="G3654" s="103"/>
    </row>
    <row r="3655" spans="1:7" x14ac:dyDescent="0.25">
      <c r="A3655" s="101"/>
      <c r="B3655" s="36"/>
      <c r="C3655" s="98"/>
      <c r="D3655" s="98"/>
      <c r="E3655" s="98"/>
      <c r="F3655" s="102"/>
      <c r="G3655" s="103"/>
    </row>
    <row r="3656" spans="1:7" x14ac:dyDescent="0.25">
      <c r="A3656" s="101"/>
      <c r="B3656" s="36"/>
      <c r="C3656" s="98"/>
      <c r="D3656" s="98"/>
      <c r="E3656" s="98"/>
      <c r="F3656" s="102"/>
      <c r="G3656" s="103"/>
    </row>
    <row r="3657" spans="1:7" x14ac:dyDescent="0.25">
      <c r="A3657" s="101"/>
      <c r="B3657" s="36"/>
      <c r="C3657" s="98"/>
      <c r="D3657" s="98"/>
      <c r="E3657" s="98"/>
      <c r="F3657" s="102"/>
      <c r="G3657" s="103"/>
    </row>
    <row r="3658" spans="1:7" x14ac:dyDescent="0.25">
      <c r="A3658" s="101"/>
      <c r="B3658" s="36"/>
      <c r="C3658" s="98"/>
      <c r="D3658" s="98"/>
      <c r="E3658" s="98"/>
      <c r="F3658" s="102"/>
      <c r="G3658" s="103"/>
    </row>
    <row r="3659" spans="1:7" x14ac:dyDescent="0.25">
      <c r="A3659" s="101"/>
      <c r="B3659" s="36"/>
      <c r="C3659" s="98"/>
      <c r="D3659" s="98"/>
      <c r="E3659" s="98"/>
      <c r="F3659" s="102"/>
      <c r="G3659" s="103"/>
    </row>
    <row r="3660" spans="1:7" x14ac:dyDescent="0.25">
      <c r="A3660" s="101"/>
      <c r="B3660" s="36"/>
      <c r="C3660" s="98"/>
      <c r="D3660" s="98"/>
      <c r="E3660" s="98"/>
      <c r="F3660" s="102"/>
      <c r="G3660" s="103"/>
    </row>
    <row r="3661" spans="1:7" x14ac:dyDescent="0.25">
      <c r="A3661" s="101"/>
      <c r="B3661" s="36"/>
      <c r="C3661" s="98"/>
      <c r="D3661" s="98"/>
      <c r="E3661" s="98"/>
      <c r="F3661" s="102"/>
      <c r="G3661" s="103"/>
    </row>
    <row r="3662" spans="1:7" x14ac:dyDescent="0.25">
      <c r="A3662" s="101"/>
      <c r="B3662" s="36"/>
      <c r="C3662" s="98"/>
      <c r="D3662" s="98"/>
      <c r="E3662" s="98"/>
      <c r="F3662" s="102"/>
      <c r="G3662" s="103"/>
    </row>
    <row r="3663" spans="1:7" x14ac:dyDescent="0.25">
      <c r="A3663" s="101"/>
      <c r="B3663" s="36"/>
      <c r="C3663" s="98"/>
      <c r="D3663" s="98"/>
      <c r="E3663" s="98"/>
      <c r="F3663" s="102"/>
      <c r="G3663" s="103"/>
    </row>
    <row r="3664" spans="1:7" x14ac:dyDescent="0.25">
      <c r="A3664" s="101"/>
      <c r="B3664" s="36"/>
      <c r="C3664" s="98"/>
      <c r="D3664" s="98"/>
      <c r="E3664" s="98"/>
      <c r="F3664" s="102"/>
      <c r="G3664" s="103"/>
    </row>
    <row r="3665" spans="1:7" x14ac:dyDescent="0.25">
      <c r="A3665" s="101"/>
      <c r="B3665" s="36"/>
      <c r="C3665" s="98"/>
      <c r="D3665" s="98"/>
      <c r="E3665" s="98"/>
      <c r="F3665" s="102"/>
      <c r="G3665" s="103"/>
    </row>
    <row r="3666" spans="1:7" x14ac:dyDescent="0.25">
      <c r="A3666" s="101"/>
      <c r="B3666" s="36"/>
      <c r="C3666" s="98"/>
      <c r="D3666" s="98"/>
      <c r="E3666" s="98"/>
      <c r="F3666" s="102"/>
      <c r="G3666" s="103"/>
    </row>
    <row r="3667" spans="1:7" x14ac:dyDescent="0.25">
      <c r="A3667" s="101"/>
      <c r="B3667" s="36"/>
      <c r="C3667" s="98"/>
      <c r="D3667" s="98"/>
      <c r="E3667" s="98"/>
      <c r="F3667" s="102"/>
      <c r="G3667" s="103"/>
    </row>
    <row r="3668" spans="1:7" x14ac:dyDescent="0.25">
      <c r="A3668" s="101"/>
      <c r="B3668" s="36"/>
      <c r="C3668" s="98"/>
      <c r="D3668" s="98"/>
      <c r="E3668" s="98"/>
      <c r="F3668" s="102"/>
      <c r="G3668" s="103"/>
    </row>
    <row r="3669" spans="1:7" x14ac:dyDescent="0.25">
      <c r="A3669" s="101"/>
      <c r="B3669" s="36"/>
      <c r="C3669" s="98"/>
      <c r="D3669" s="98"/>
      <c r="E3669" s="98"/>
      <c r="F3669" s="102"/>
      <c r="G3669" s="103"/>
    </row>
    <row r="3670" spans="1:7" x14ac:dyDescent="0.25">
      <c r="A3670" s="101"/>
      <c r="B3670" s="36"/>
      <c r="C3670" s="98"/>
      <c r="D3670" s="98"/>
      <c r="E3670" s="98"/>
      <c r="F3670" s="102"/>
      <c r="G3670" s="103"/>
    </row>
    <row r="3671" spans="1:7" x14ac:dyDescent="0.25">
      <c r="A3671" s="101"/>
      <c r="B3671" s="36"/>
      <c r="C3671" s="98"/>
      <c r="D3671" s="98"/>
      <c r="E3671" s="98"/>
      <c r="F3671" s="102"/>
      <c r="G3671" s="103"/>
    </row>
    <row r="3672" spans="1:7" x14ac:dyDescent="0.25">
      <c r="A3672" s="101"/>
      <c r="B3672" s="36"/>
      <c r="C3672" s="98"/>
      <c r="D3672" s="98"/>
      <c r="E3672" s="98"/>
      <c r="F3672" s="102"/>
      <c r="G3672" s="103"/>
    </row>
    <row r="3673" spans="1:7" x14ac:dyDescent="0.25">
      <c r="A3673" s="101"/>
      <c r="B3673" s="36"/>
      <c r="C3673" s="98"/>
      <c r="D3673" s="98"/>
      <c r="E3673" s="98"/>
      <c r="F3673" s="102"/>
      <c r="G3673" s="103"/>
    </row>
    <row r="3674" spans="1:7" x14ac:dyDescent="0.25">
      <c r="A3674" s="101"/>
      <c r="B3674" s="36"/>
      <c r="C3674" s="98"/>
      <c r="D3674" s="98"/>
      <c r="E3674" s="98"/>
      <c r="F3674" s="102"/>
      <c r="G3674" s="103"/>
    </row>
    <row r="3675" spans="1:7" x14ac:dyDescent="0.25">
      <c r="A3675" s="101"/>
      <c r="B3675" s="36"/>
      <c r="C3675" s="98"/>
      <c r="D3675" s="98"/>
      <c r="E3675" s="98"/>
      <c r="F3675" s="102"/>
      <c r="G3675" s="103"/>
    </row>
    <row r="3676" spans="1:7" x14ac:dyDescent="0.25">
      <c r="A3676" s="101"/>
      <c r="B3676" s="67"/>
      <c r="C3676" s="98"/>
      <c r="D3676" s="98"/>
      <c r="E3676" s="98"/>
      <c r="F3676" s="102"/>
      <c r="G3676" s="103"/>
    </row>
    <row r="3677" spans="1:7" x14ac:dyDescent="0.25">
      <c r="A3677" s="101"/>
      <c r="B3677" s="36"/>
      <c r="C3677" s="98"/>
      <c r="D3677" s="98"/>
      <c r="E3677" s="98"/>
      <c r="F3677" s="102"/>
      <c r="G3677" s="103"/>
    </row>
    <row r="3678" spans="1:7" x14ac:dyDescent="0.25">
      <c r="A3678" s="101"/>
      <c r="B3678" s="36"/>
      <c r="C3678" s="98"/>
      <c r="D3678" s="98"/>
      <c r="E3678" s="98"/>
      <c r="F3678" s="102"/>
      <c r="G3678" s="103"/>
    </row>
    <row r="3679" spans="1:7" x14ac:dyDescent="0.25">
      <c r="A3679" s="101"/>
      <c r="B3679" s="36"/>
      <c r="C3679" s="98"/>
      <c r="D3679" s="98"/>
      <c r="E3679" s="98"/>
      <c r="F3679" s="102"/>
      <c r="G3679" s="103"/>
    </row>
    <row r="3680" spans="1:7" x14ac:dyDescent="0.25">
      <c r="A3680" s="101"/>
      <c r="B3680" s="36"/>
      <c r="C3680" s="98"/>
      <c r="D3680" s="98"/>
      <c r="E3680" s="98"/>
      <c r="F3680" s="102"/>
      <c r="G3680" s="103"/>
    </row>
    <row r="3681" spans="1:7" x14ac:dyDescent="0.25">
      <c r="A3681" s="101"/>
      <c r="B3681" s="36"/>
      <c r="C3681" s="98"/>
      <c r="D3681" s="98"/>
      <c r="E3681" s="98"/>
      <c r="F3681" s="102"/>
      <c r="G3681" s="103"/>
    </row>
    <row r="3682" spans="1:7" x14ac:dyDescent="0.25">
      <c r="A3682" s="101"/>
      <c r="B3682" s="36"/>
      <c r="C3682" s="98"/>
      <c r="D3682" s="98"/>
      <c r="E3682" s="98"/>
      <c r="F3682" s="102"/>
      <c r="G3682" s="103"/>
    </row>
    <row r="3683" spans="1:7" x14ac:dyDescent="0.25">
      <c r="A3683" s="101"/>
      <c r="B3683" s="36"/>
      <c r="C3683" s="98"/>
      <c r="D3683" s="98"/>
      <c r="E3683" s="98"/>
      <c r="F3683" s="102"/>
      <c r="G3683" s="103"/>
    </row>
    <row r="3684" spans="1:7" x14ac:dyDescent="0.25">
      <c r="A3684" s="101"/>
      <c r="B3684" s="36"/>
      <c r="C3684" s="98"/>
      <c r="D3684" s="98"/>
      <c r="E3684" s="98"/>
      <c r="F3684" s="102"/>
      <c r="G3684" s="103"/>
    </row>
    <row r="3685" spans="1:7" x14ac:dyDescent="0.25">
      <c r="A3685" s="101"/>
      <c r="B3685" s="36"/>
      <c r="C3685" s="98"/>
      <c r="D3685" s="98"/>
      <c r="E3685" s="98"/>
      <c r="F3685" s="102"/>
      <c r="G3685" s="103"/>
    </row>
    <row r="3686" spans="1:7" x14ac:dyDescent="0.25">
      <c r="A3686" s="101"/>
      <c r="B3686" s="36"/>
      <c r="C3686" s="98"/>
      <c r="D3686" s="98"/>
      <c r="E3686" s="98"/>
      <c r="F3686" s="102"/>
      <c r="G3686" s="103"/>
    </row>
    <row r="3687" spans="1:7" x14ac:dyDescent="0.25">
      <c r="A3687" s="101"/>
      <c r="B3687" s="36"/>
      <c r="C3687" s="98"/>
      <c r="D3687" s="98"/>
      <c r="E3687" s="98"/>
      <c r="F3687" s="102"/>
      <c r="G3687" s="103"/>
    </row>
    <row r="3688" spans="1:7" x14ac:dyDescent="0.25">
      <c r="A3688" s="101"/>
      <c r="B3688" s="36"/>
      <c r="C3688" s="98"/>
      <c r="D3688" s="98"/>
      <c r="E3688" s="98"/>
      <c r="F3688" s="102"/>
      <c r="G3688" s="103"/>
    </row>
    <row r="3689" spans="1:7" x14ac:dyDescent="0.25">
      <c r="A3689" s="101"/>
      <c r="B3689" s="36"/>
      <c r="C3689" s="98"/>
      <c r="D3689" s="98"/>
      <c r="E3689" s="98"/>
      <c r="F3689" s="102"/>
      <c r="G3689" s="103"/>
    </row>
    <row r="3690" spans="1:7" x14ac:dyDescent="0.25">
      <c r="A3690" s="101"/>
      <c r="B3690" s="36"/>
      <c r="C3690" s="98"/>
      <c r="D3690" s="98"/>
      <c r="E3690" s="98"/>
      <c r="F3690" s="102"/>
      <c r="G3690" s="103"/>
    </row>
    <row r="3691" spans="1:7" x14ac:dyDescent="0.25">
      <c r="A3691" s="101"/>
      <c r="B3691" s="36"/>
      <c r="C3691" s="98"/>
      <c r="D3691" s="98"/>
      <c r="E3691" s="98"/>
      <c r="F3691" s="102"/>
      <c r="G3691" s="103"/>
    </row>
    <row r="3692" spans="1:7" x14ac:dyDescent="0.25">
      <c r="A3692" s="101"/>
      <c r="B3692" s="36"/>
      <c r="C3692" s="98"/>
      <c r="D3692" s="98"/>
      <c r="E3692" s="98"/>
      <c r="F3692" s="102"/>
      <c r="G3692" s="103"/>
    </row>
    <row r="3693" spans="1:7" x14ac:dyDescent="0.25">
      <c r="A3693" s="101"/>
      <c r="B3693" s="36"/>
      <c r="C3693" s="98"/>
      <c r="D3693" s="98"/>
      <c r="E3693" s="98"/>
      <c r="F3693" s="102"/>
      <c r="G3693" s="103"/>
    </row>
    <row r="3694" spans="1:7" x14ac:dyDescent="0.25">
      <c r="A3694" s="101"/>
      <c r="B3694" s="36"/>
      <c r="C3694" s="98"/>
      <c r="D3694" s="98"/>
      <c r="E3694" s="98"/>
      <c r="F3694" s="102"/>
      <c r="G3694" s="103"/>
    </row>
    <row r="3695" spans="1:7" x14ac:dyDescent="0.25">
      <c r="A3695" s="101"/>
      <c r="B3695" s="36"/>
      <c r="C3695" s="98"/>
      <c r="D3695" s="98"/>
      <c r="E3695" s="98"/>
      <c r="F3695" s="102"/>
      <c r="G3695" s="103"/>
    </row>
    <row r="3696" spans="1:7" x14ac:dyDescent="0.25">
      <c r="A3696" s="101"/>
      <c r="B3696" s="36"/>
      <c r="C3696" s="98"/>
      <c r="D3696" s="98"/>
      <c r="E3696" s="98"/>
      <c r="F3696" s="102"/>
      <c r="G3696" s="103"/>
    </row>
    <row r="3697" spans="1:7" x14ac:dyDescent="0.25">
      <c r="A3697" s="101"/>
      <c r="B3697" s="36"/>
      <c r="C3697" s="98"/>
      <c r="D3697" s="98"/>
      <c r="E3697" s="98"/>
      <c r="F3697" s="102"/>
      <c r="G3697" s="103"/>
    </row>
    <row r="3698" spans="1:7" x14ac:dyDescent="0.25">
      <c r="A3698" s="101"/>
      <c r="B3698" s="36"/>
      <c r="C3698" s="98"/>
      <c r="D3698" s="98"/>
      <c r="E3698" s="98"/>
      <c r="F3698" s="102"/>
      <c r="G3698" s="103"/>
    </row>
    <row r="3699" spans="1:7" x14ac:dyDescent="0.25">
      <c r="A3699" s="101"/>
      <c r="B3699" s="36"/>
      <c r="C3699" s="98"/>
      <c r="D3699" s="98"/>
      <c r="E3699" s="98"/>
      <c r="F3699" s="102"/>
      <c r="G3699" s="103"/>
    </row>
    <row r="3700" spans="1:7" x14ac:dyDescent="0.25">
      <c r="A3700" s="101"/>
      <c r="B3700" s="36"/>
      <c r="C3700" s="98"/>
      <c r="D3700" s="98"/>
      <c r="E3700" s="98"/>
      <c r="F3700" s="102"/>
      <c r="G3700" s="103"/>
    </row>
    <row r="3701" spans="1:7" x14ac:dyDescent="0.25">
      <c r="A3701" s="101"/>
      <c r="B3701" s="36"/>
      <c r="C3701" s="98"/>
      <c r="D3701" s="98"/>
      <c r="E3701" s="98"/>
      <c r="F3701" s="102"/>
      <c r="G3701" s="103"/>
    </row>
    <row r="3702" spans="1:7" x14ac:dyDescent="0.25">
      <c r="A3702" s="101"/>
      <c r="B3702" s="36"/>
      <c r="C3702" s="98"/>
      <c r="D3702" s="98"/>
      <c r="E3702" s="98"/>
      <c r="F3702" s="102"/>
      <c r="G3702" s="103"/>
    </row>
    <row r="3703" spans="1:7" x14ac:dyDescent="0.25">
      <c r="A3703" s="101"/>
      <c r="B3703" s="67"/>
      <c r="C3703" s="98"/>
      <c r="D3703" s="98"/>
      <c r="E3703" s="98"/>
      <c r="F3703" s="102"/>
      <c r="G3703" s="103"/>
    </row>
    <row r="3704" spans="1:7" x14ac:dyDescent="0.25">
      <c r="A3704" s="101"/>
      <c r="B3704" s="67"/>
      <c r="C3704" s="98"/>
      <c r="D3704" s="98"/>
      <c r="E3704" s="98"/>
      <c r="F3704" s="102"/>
      <c r="G3704" s="103"/>
    </row>
    <row r="3705" spans="1:7" x14ac:dyDescent="0.25">
      <c r="A3705" s="101"/>
      <c r="B3705" s="36"/>
      <c r="C3705" s="98"/>
      <c r="D3705" s="98"/>
      <c r="E3705" s="98"/>
      <c r="F3705" s="102"/>
      <c r="G3705" s="103"/>
    </row>
    <row r="3706" spans="1:7" x14ac:dyDescent="0.25">
      <c r="A3706" s="101"/>
      <c r="B3706" s="36"/>
      <c r="C3706" s="98"/>
      <c r="D3706" s="98"/>
      <c r="E3706" s="98"/>
      <c r="F3706" s="102"/>
      <c r="G3706" s="103"/>
    </row>
    <row r="3707" spans="1:7" x14ac:dyDescent="0.25">
      <c r="A3707" s="101"/>
      <c r="B3707" s="36"/>
      <c r="C3707" s="98"/>
      <c r="D3707" s="98"/>
      <c r="E3707" s="98"/>
      <c r="F3707" s="102"/>
      <c r="G3707" s="103"/>
    </row>
    <row r="3708" spans="1:7" x14ac:dyDescent="0.25">
      <c r="A3708" s="101"/>
      <c r="B3708" s="36"/>
      <c r="C3708" s="98"/>
      <c r="D3708" s="98"/>
      <c r="E3708" s="98"/>
      <c r="F3708" s="102"/>
      <c r="G3708" s="103"/>
    </row>
    <row r="3709" spans="1:7" x14ac:dyDescent="0.25">
      <c r="A3709" s="101"/>
      <c r="B3709" s="36"/>
      <c r="C3709" s="98"/>
      <c r="D3709" s="98"/>
      <c r="E3709" s="98"/>
      <c r="F3709" s="102"/>
      <c r="G3709" s="103"/>
    </row>
    <row r="3710" spans="1:7" x14ac:dyDescent="0.25">
      <c r="A3710" s="101"/>
      <c r="B3710" s="67"/>
      <c r="C3710" s="98"/>
      <c r="D3710" s="98"/>
      <c r="E3710" s="98"/>
      <c r="F3710" s="102"/>
      <c r="G3710" s="103"/>
    </row>
    <row r="3711" spans="1:7" x14ac:dyDescent="0.25">
      <c r="A3711" s="101"/>
      <c r="B3711" s="67"/>
      <c r="C3711" s="98"/>
      <c r="D3711" s="98"/>
      <c r="E3711" s="98"/>
      <c r="F3711" s="102"/>
      <c r="G3711" s="103"/>
    </row>
    <row r="3712" spans="1:7" x14ac:dyDescent="0.25">
      <c r="A3712" s="101"/>
      <c r="B3712" s="36"/>
      <c r="C3712" s="98"/>
      <c r="D3712" s="98"/>
      <c r="E3712" s="98"/>
      <c r="F3712" s="102"/>
      <c r="G3712" s="103"/>
    </row>
    <row r="3713" spans="1:7" x14ac:dyDescent="0.25">
      <c r="A3713" s="101"/>
      <c r="B3713" s="36"/>
      <c r="C3713" s="98"/>
      <c r="D3713" s="98"/>
      <c r="E3713" s="98"/>
      <c r="F3713" s="102"/>
      <c r="G3713" s="103"/>
    </row>
    <row r="3714" spans="1:7" x14ac:dyDescent="0.25">
      <c r="A3714" s="101"/>
      <c r="B3714" s="36"/>
      <c r="C3714" s="98"/>
      <c r="D3714" s="98"/>
      <c r="E3714" s="98"/>
      <c r="F3714" s="102"/>
      <c r="G3714" s="103"/>
    </row>
    <row r="3715" spans="1:7" x14ac:dyDescent="0.25">
      <c r="A3715" s="101"/>
      <c r="B3715" s="36"/>
      <c r="C3715" s="98"/>
      <c r="D3715" s="98"/>
      <c r="E3715" s="98"/>
      <c r="F3715" s="102"/>
      <c r="G3715" s="103"/>
    </row>
    <row r="3716" spans="1:7" x14ac:dyDescent="0.25">
      <c r="A3716" s="101"/>
      <c r="B3716" s="36"/>
      <c r="C3716" s="98"/>
      <c r="D3716" s="98"/>
      <c r="E3716" s="98"/>
      <c r="F3716" s="102"/>
      <c r="G3716" s="103"/>
    </row>
    <row r="3717" spans="1:7" x14ac:dyDescent="0.25">
      <c r="A3717" s="101"/>
      <c r="B3717" s="36"/>
      <c r="C3717" s="98"/>
      <c r="D3717" s="98"/>
      <c r="E3717" s="98"/>
      <c r="F3717" s="102"/>
      <c r="G3717" s="103"/>
    </row>
    <row r="3718" spans="1:7" x14ac:dyDescent="0.25">
      <c r="A3718" s="101"/>
      <c r="B3718" s="36"/>
      <c r="C3718" s="98"/>
      <c r="D3718" s="98"/>
      <c r="E3718" s="98"/>
      <c r="F3718" s="102"/>
      <c r="G3718" s="103"/>
    </row>
    <row r="3719" spans="1:7" x14ac:dyDescent="0.25">
      <c r="A3719" s="101"/>
      <c r="B3719" s="36"/>
      <c r="C3719" s="98"/>
      <c r="D3719" s="98"/>
      <c r="E3719" s="98"/>
      <c r="F3719" s="102"/>
      <c r="G3719" s="103"/>
    </row>
    <row r="3720" spans="1:7" x14ac:dyDescent="0.25">
      <c r="A3720" s="101"/>
      <c r="B3720" s="36"/>
      <c r="C3720" s="98"/>
      <c r="D3720" s="98"/>
      <c r="E3720" s="98"/>
      <c r="F3720" s="102"/>
      <c r="G3720" s="103"/>
    </row>
    <row r="3721" spans="1:7" x14ac:dyDescent="0.25">
      <c r="A3721" s="101"/>
      <c r="B3721" s="36"/>
      <c r="C3721" s="98"/>
      <c r="D3721" s="98"/>
      <c r="E3721" s="98"/>
      <c r="F3721" s="102"/>
      <c r="G3721" s="103"/>
    </row>
    <row r="3722" spans="1:7" x14ac:dyDescent="0.25">
      <c r="A3722" s="101"/>
      <c r="B3722" s="36"/>
      <c r="C3722" s="98"/>
      <c r="D3722" s="98"/>
      <c r="E3722" s="98"/>
      <c r="F3722" s="102"/>
      <c r="G3722" s="103"/>
    </row>
    <row r="3723" spans="1:7" x14ac:dyDescent="0.25">
      <c r="A3723" s="101"/>
      <c r="B3723" s="36"/>
      <c r="C3723" s="98"/>
      <c r="D3723" s="98"/>
      <c r="E3723" s="98"/>
      <c r="F3723" s="102"/>
      <c r="G3723" s="103"/>
    </row>
    <row r="3724" spans="1:7" x14ac:dyDescent="0.25">
      <c r="A3724" s="101"/>
      <c r="B3724" s="36"/>
      <c r="C3724" s="98"/>
      <c r="D3724" s="98"/>
      <c r="E3724" s="98"/>
      <c r="F3724" s="102"/>
      <c r="G3724" s="103"/>
    </row>
    <row r="3725" spans="1:7" x14ac:dyDescent="0.25">
      <c r="A3725" s="101"/>
      <c r="B3725" s="36"/>
      <c r="C3725" s="98"/>
      <c r="D3725" s="98"/>
      <c r="E3725" s="98"/>
      <c r="F3725" s="102"/>
      <c r="G3725" s="103"/>
    </row>
    <row r="3726" spans="1:7" x14ac:dyDescent="0.25">
      <c r="A3726" s="101"/>
      <c r="B3726" s="36"/>
      <c r="C3726" s="98"/>
      <c r="D3726" s="98"/>
      <c r="E3726" s="98"/>
      <c r="F3726" s="102"/>
      <c r="G3726" s="103"/>
    </row>
    <row r="3727" spans="1:7" x14ac:dyDescent="0.25">
      <c r="A3727" s="101"/>
      <c r="B3727" s="36"/>
      <c r="C3727" s="98"/>
      <c r="D3727" s="98"/>
      <c r="E3727" s="98"/>
      <c r="F3727" s="102"/>
      <c r="G3727" s="103"/>
    </row>
    <row r="3728" spans="1:7" x14ac:dyDescent="0.25">
      <c r="A3728" s="101"/>
      <c r="B3728" s="36"/>
      <c r="C3728" s="98"/>
      <c r="D3728" s="98"/>
      <c r="E3728" s="98"/>
      <c r="F3728" s="102"/>
      <c r="G3728" s="103"/>
    </row>
    <row r="3729" spans="1:7" x14ac:dyDescent="0.25">
      <c r="A3729" s="101"/>
      <c r="B3729" s="36"/>
      <c r="C3729" s="98"/>
      <c r="D3729" s="98"/>
      <c r="E3729" s="98"/>
      <c r="F3729" s="102"/>
      <c r="G3729" s="103"/>
    </row>
    <row r="3730" spans="1:7" x14ac:dyDescent="0.25">
      <c r="A3730" s="101"/>
      <c r="B3730" s="36"/>
      <c r="C3730" s="98"/>
      <c r="D3730" s="98"/>
      <c r="E3730" s="98"/>
      <c r="F3730" s="102"/>
      <c r="G3730" s="103"/>
    </row>
    <row r="3731" spans="1:7" x14ac:dyDescent="0.25">
      <c r="A3731" s="101"/>
      <c r="B3731" s="36"/>
      <c r="C3731" s="98"/>
      <c r="D3731" s="98"/>
      <c r="E3731" s="98"/>
      <c r="F3731" s="102"/>
      <c r="G3731" s="103"/>
    </row>
    <row r="3732" spans="1:7" x14ac:dyDescent="0.25">
      <c r="A3732" s="101"/>
      <c r="B3732" s="67"/>
      <c r="C3732" s="98"/>
      <c r="D3732" s="98"/>
      <c r="E3732" s="98"/>
      <c r="F3732" s="102"/>
      <c r="G3732" s="103"/>
    </row>
    <row r="3733" spans="1:7" x14ac:dyDescent="0.25">
      <c r="A3733" s="101"/>
      <c r="B3733" s="36"/>
      <c r="C3733" s="98"/>
      <c r="D3733" s="98"/>
      <c r="E3733" s="98"/>
      <c r="F3733" s="102"/>
      <c r="G3733" s="103"/>
    </row>
    <row r="3734" spans="1:7" x14ac:dyDescent="0.25">
      <c r="A3734" s="101"/>
      <c r="B3734" s="36"/>
      <c r="C3734" s="98"/>
      <c r="D3734" s="98"/>
      <c r="E3734" s="98"/>
      <c r="F3734" s="102"/>
      <c r="G3734" s="103"/>
    </row>
    <row r="3735" spans="1:7" x14ac:dyDescent="0.25">
      <c r="A3735" s="101"/>
      <c r="B3735" s="36"/>
      <c r="C3735" s="98"/>
      <c r="D3735" s="98"/>
      <c r="E3735" s="98"/>
      <c r="F3735" s="102"/>
      <c r="G3735" s="103"/>
    </row>
    <row r="3736" spans="1:7" x14ac:dyDescent="0.25">
      <c r="A3736" s="101"/>
      <c r="B3736" s="36"/>
      <c r="C3736" s="98"/>
      <c r="D3736" s="98"/>
      <c r="E3736" s="98"/>
      <c r="F3736" s="102"/>
      <c r="G3736" s="103"/>
    </row>
    <row r="3737" spans="1:7" x14ac:dyDescent="0.25">
      <c r="A3737" s="101"/>
      <c r="B3737" s="36"/>
      <c r="C3737" s="98"/>
      <c r="D3737" s="98"/>
      <c r="E3737" s="98"/>
      <c r="F3737" s="102"/>
      <c r="G3737" s="103"/>
    </row>
    <row r="3738" spans="1:7" x14ac:dyDescent="0.25">
      <c r="A3738" s="101"/>
      <c r="B3738" s="67"/>
      <c r="C3738" s="98"/>
      <c r="D3738" s="98"/>
      <c r="E3738" s="98"/>
      <c r="F3738" s="102"/>
      <c r="G3738" s="103"/>
    </row>
    <row r="3739" spans="1:7" x14ac:dyDescent="0.25">
      <c r="A3739" s="101"/>
      <c r="B3739" s="36"/>
      <c r="C3739" s="98"/>
      <c r="D3739" s="98"/>
      <c r="E3739" s="98"/>
      <c r="F3739" s="102"/>
      <c r="G3739" s="103"/>
    </row>
    <row r="3740" spans="1:7" x14ac:dyDescent="0.25">
      <c r="A3740" s="101"/>
      <c r="B3740" s="36"/>
      <c r="C3740" s="98"/>
      <c r="D3740" s="98"/>
      <c r="E3740" s="98"/>
      <c r="F3740" s="102"/>
      <c r="G3740" s="103"/>
    </row>
    <row r="3741" spans="1:7" x14ac:dyDescent="0.25">
      <c r="A3741" s="101"/>
      <c r="B3741" s="36"/>
      <c r="C3741" s="98"/>
      <c r="D3741" s="98"/>
      <c r="E3741" s="98"/>
      <c r="F3741" s="102"/>
      <c r="G3741" s="103"/>
    </row>
    <row r="3742" spans="1:7" x14ac:dyDescent="0.25">
      <c r="A3742" s="101"/>
      <c r="B3742" s="36"/>
      <c r="C3742" s="98"/>
      <c r="D3742" s="98"/>
      <c r="E3742" s="98"/>
      <c r="F3742" s="102"/>
      <c r="G3742" s="103"/>
    </row>
    <row r="3743" spans="1:7" x14ac:dyDescent="0.25">
      <c r="A3743" s="101"/>
      <c r="B3743" s="36"/>
      <c r="C3743" s="98"/>
      <c r="D3743" s="98"/>
      <c r="E3743" s="98"/>
      <c r="F3743" s="102"/>
      <c r="G3743" s="103"/>
    </row>
    <row r="3744" spans="1:7" x14ac:dyDescent="0.25">
      <c r="A3744" s="101"/>
      <c r="B3744" s="36"/>
      <c r="C3744" s="98"/>
      <c r="D3744" s="98"/>
      <c r="E3744" s="98"/>
      <c r="F3744" s="102"/>
      <c r="G3744" s="103"/>
    </row>
    <row r="3745" spans="1:7" x14ac:dyDescent="0.25">
      <c r="A3745" s="101"/>
      <c r="B3745" s="36"/>
      <c r="C3745" s="98"/>
      <c r="D3745" s="98"/>
      <c r="E3745" s="98"/>
      <c r="F3745" s="102"/>
      <c r="G3745" s="103"/>
    </row>
    <row r="3746" spans="1:7" x14ac:dyDescent="0.25">
      <c r="A3746" s="101"/>
      <c r="B3746" s="36"/>
      <c r="C3746" s="98"/>
      <c r="D3746" s="98"/>
      <c r="E3746" s="98"/>
      <c r="F3746" s="102"/>
      <c r="G3746" s="103"/>
    </row>
    <row r="3747" spans="1:7" x14ac:dyDescent="0.25">
      <c r="A3747" s="101"/>
      <c r="B3747" s="36"/>
      <c r="C3747" s="98"/>
      <c r="D3747" s="98"/>
      <c r="E3747" s="98"/>
      <c r="F3747" s="102"/>
      <c r="G3747" s="103"/>
    </row>
    <row r="3748" spans="1:7" x14ac:dyDescent="0.25">
      <c r="A3748" s="101"/>
      <c r="B3748" s="36"/>
      <c r="C3748" s="98"/>
      <c r="D3748" s="98"/>
      <c r="E3748" s="98"/>
      <c r="F3748" s="102"/>
      <c r="G3748" s="103"/>
    </row>
    <row r="3749" spans="1:7" x14ac:dyDescent="0.25">
      <c r="A3749" s="101"/>
      <c r="B3749" s="36"/>
      <c r="C3749" s="98"/>
      <c r="D3749" s="98"/>
      <c r="E3749" s="98"/>
      <c r="F3749" s="102"/>
      <c r="G3749" s="103"/>
    </row>
    <row r="3750" spans="1:7" x14ac:dyDescent="0.25">
      <c r="A3750" s="101"/>
      <c r="B3750" s="36"/>
      <c r="C3750" s="98"/>
      <c r="D3750" s="98"/>
      <c r="E3750" s="98"/>
      <c r="F3750" s="102"/>
      <c r="G3750" s="103"/>
    </row>
    <row r="3751" spans="1:7" x14ac:dyDescent="0.25">
      <c r="A3751" s="101"/>
      <c r="B3751" s="36"/>
      <c r="C3751" s="98"/>
      <c r="D3751" s="98"/>
      <c r="E3751" s="98"/>
      <c r="F3751" s="102"/>
      <c r="G3751" s="103"/>
    </row>
    <row r="3752" spans="1:7" x14ac:dyDescent="0.25">
      <c r="A3752" s="101"/>
      <c r="B3752" s="36"/>
      <c r="C3752" s="98"/>
      <c r="D3752" s="98"/>
      <c r="E3752" s="98"/>
      <c r="F3752" s="102"/>
      <c r="G3752" s="103"/>
    </row>
    <row r="3753" spans="1:7" x14ac:dyDescent="0.25">
      <c r="A3753" s="101"/>
      <c r="B3753" s="36"/>
      <c r="C3753" s="98"/>
      <c r="D3753" s="98"/>
      <c r="E3753" s="98"/>
      <c r="F3753" s="102"/>
      <c r="G3753" s="103"/>
    </row>
    <row r="3754" spans="1:7" x14ac:dyDescent="0.25">
      <c r="A3754" s="101"/>
      <c r="B3754" s="36"/>
      <c r="C3754" s="98"/>
      <c r="D3754" s="98"/>
      <c r="E3754" s="98"/>
      <c r="F3754" s="102"/>
      <c r="G3754" s="103"/>
    </row>
    <row r="3755" spans="1:7" x14ac:dyDescent="0.25">
      <c r="A3755" s="101"/>
      <c r="B3755" s="36"/>
      <c r="C3755" s="98"/>
      <c r="D3755" s="98"/>
      <c r="E3755" s="98"/>
      <c r="F3755" s="102"/>
      <c r="G3755" s="103"/>
    </row>
    <row r="3756" spans="1:7" x14ac:dyDescent="0.25">
      <c r="A3756" s="101"/>
      <c r="B3756" s="36"/>
      <c r="C3756" s="98"/>
      <c r="D3756" s="98"/>
      <c r="E3756" s="98"/>
      <c r="F3756" s="102"/>
      <c r="G3756" s="103"/>
    </row>
    <row r="3757" spans="1:7" x14ac:dyDescent="0.25">
      <c r="A3757" s="101"/>
      <c r="B3757" s="36"/>
      <c r="C3757" s="98"/>
      <c r="D3757" s="98"/>
      <c r="E3757" s="98"/>
      <c r="F3757" s="102"/>
      <c r="G3757" s="103"/>
    </row>
    <row r="3758" spans="1:7" x14ac:dyDescent="0.25">
      <c r="A3758" s="101"/>
      <c r="B3758" s="36"/>
      <c r="C3758" s="98"/>
      <c r="D3758" s="98"/>
      <c r="E3758" s="98"/>
      <c r="F3758" s="102"/>
      <c r="G3758" s="103"/>
    </row>
    <row r="3759" spans="1:7" x14ac:dyDescent="0.25">
      <c r="A3759" s="101"/>
      <c r="B3759" s="36"/>
      <c r="C3759" s="98"/>
      <c r="D3759" s="98"/>
      <c r="E3759" s="98"/>
      <c r="F3759" s="102"/>
      <c r="G3759" s="103"/>
    </row>
    <row r="3760" spans="1:7" x14ac:dyDescent="0.25">
      <c r="A3760" s="101"/>
      <c r="B3760" s="36"/>
      <c r="C3760" s="98"/>
      <c r="D3760" s="98"/>
      <c r="E3760" s="98"/>
      <c r="F3760" s="102"/>
      <c r="G3760" s="103"/>
    </row>
    <row r="3761" spans="1:7" x14ac:dyDescent="0.25">
      <c r="A3761" s="101"/>
      <c r="B3761" s="36"/>
      <c r="C3761" s="98"/>
      <c r="D3761" s="98"/>
      <c r="E3761" s="98"/>
      <c r="F3761" s="102"/>
      <c r="G3761" s="103"/>
    </row>
    <row r="3762" spans="1:7" x14ac:dyDescent="0.25">
      <c r="A3762" s="101"/>
      <c r="B3762" s="36"/>
      <c r="C3762" s="98"/>
      <c r="D3762" s="98"/>
      <c r="E3762" s="98"/>
      <c r="F3762" s="102"/>
      <c r="G3762" s="103"/>
    </row>
    <row r="3763" spans="1:7" x14ac:dyDescent="0.25">
      <c r="A3763" s="101"/>
      <c r="B3763" s="36"/>
      <c r="C3763" s="98"/>
      <c r="D3763" s="98"/>
      <c r="E3763" s="98"/>
      <c r="F3763" s="102"/>
      <c r="G3763" s="103"/>
    </row>
    <row r="3764" spans="1:7" x14ac:dyDescent="0.25">
      <c r="A3764" s="101"/>
      <c r="B3764" s="36"/>
      <c r="C3764" s="98"/>
      <c r="D3764" s="98"/>
      <c r="E3764" s="98"/>
      <c r="F3764" s="102"/>
      <c r="G3764" s="103"/>
    </row>
    <row r="3765" spans="1:7" x14ac:dyDescent="0.25">
      <c r="A3765" s="101"/>
      <c r="B3765" s="36"/>
      <c r="C3765" s="98"/>
      <c r="D3765" s="98"/>
      <c r="E3765" s="98"/>
      <c r="F3765" s="102"/>
      <c r="G3765" s="103"/>
    </row>
    <row r="3766" spans="1:7" x14ac:dyDescent="0.25">
      <c r="A3766" s="101"/>
      <c r="B3766" s="36"/>
      <c r="C3766" s="98"/>
      <c r="D3766" s="98"/>
      <c r="E3766" s="98"/>
      <c r="F3766" s="102"/>
      <c r="G3766" s="103"/>
    </row>
    <row r="3767" spans="1:7" x14ac:dyDescent="0.25">
      <c r="A3767" s="101"/>
      <c r="B3767" s="36"/>
      <c r="C3767" s="98"/>
      <c r="D3767" s="98"/>
      <c r="E3767" s="98"/>
      <c r="F3767" s="102"/>
      <c r="G3767" s="103"/>
    </row>
    <row r="3768" spans="1:7" x14ac:dyDescent="0.25">
      <c r="A3768" s="101"/>
      <c r="B3768" s="67"/>
      <c r="C3768" s="98"/>
      <c r="D3768" s="98"/>
      <c r="E3768" s="98"/>
      <c r="F3768" s="102"/>
      <c r="G3768" s="103"/>
    </row>
    <row r="3769" spans="1:7" x14ac:dyDescent="0.25">
      <c r="A3769" s="101"/>
      <c r="B3769" s="36"/>
      <c r="C3769" s="98"/>
      <c r="D3769" s="98"/>
      <c r="E3769" s="98"/>
      <c r="F3769" s="102"/>
      <c r="G3769" s="103"/>
    </row>
    <row r="3770" spans="1:7" x14ac:dyDescent="0.25">
      <c r="A3770" s="101"/>
      <c r="B3770" s="36"/>
      <c r="C3770" s="98"/>
      <c r="D3770" s="98"/>
      <c r="E3770" s="98"/>
      <c r="F3770" s="102"/>
      <c r="G3770" s="103"/>
    </row>
    <row r="3771" spans="1:7" x14ac:dyDescent="0.25">
      <c r="A3771" s="101"/>
      <c r="B3771" s="36"/>
      <c r="C3771" s="98"/>
      <c r="D3771" s="98"/>
      <c r="E3771" s="98"/>
      <c r="F3771" s="102"/>
      <c r="G3771" s="103"/>
    </row>
    <row r="3772" spans="1:7" x14ac:dyDescent="0.25">
      <c r="A3772" s="101"/>
      <c r="B3772" s="36"/>
      <c r="C3772" s="98"/>
      <c r="D3772" s="98"/>
      <c r="E3772" s="98"/>
      <c r="F3772" s="102"/>
      <c r="G3772" s="103"/>
    </row>
    <row r="3773" spans="1:7" x14ac:dyDescent="0.25">
      <c r="A3773" s="101"/>
      <c r="B3773" s="36"/>
      <c r="C3773" s="98"/>
      <c r="D3773" s="98"/>
      <c r="E3773" s="98"/>
      <c r="F3773" s="102"/>
      <c r="G3773" s="103"/>
    </row>
    <row r="3774" spans="1:7" x14ac:dyDescent="0.25">
      <c r="A3774" s="101"/>
      <c r="B3774" s="36"/>
      <c r="C3774" s="98"/>
      <c r="D3774" s="98"/>
      <c r="E3774" s="98"/>
      <c r="F3774" s="102"/>
      <c r="G3774" s="103"/>
    </row>
    <row r="3775" spans="1:7" x14ac:dyDescent="0.25">
      <c r="A3775" s="101"/>
      <c r="B3775" s="36"/>
      <c r="C3775" s="98"/>
      <c r="D3775" s="98"/>
      <c r="E3775" s="98"/>
      <c r="F3775" s="102"/>
      <c r="G3775" s="103"/>
    </row>
    <row r="3776" spans="1:7" x14ac:dyDescent="0.25">
      <c r="A3776" s="101"/>
      <c r="B3776" s="36"/>
      <c r="C3776" s="98"/>
      <c r="D3776" s="98"/>
      <c r="E3776" s="98"/>
      <c r="F3776" s="102"/>
      <c r="G3776" s="103"/>
    </row>
    <row r="3777" spans="1:7" x14ac:dyDescent="0.25">
      <c r="A3777" s="101"/>
      <c r="B3777" s="36"/>
      <c r="C3777" s="98"/>
      <c r="D3777" s="98"/>
      <c r="E3777" s="98"/>
      <c r="F3777" s="102"/>
      <c r="G3777" s="103"/>
    </row>
    <row r="3778" spans="1:7" x14ac:dyDescent="0.25">
      <c r="A3778" s="101"/>
      <c r="B3778" s="36"/>
      <c r="C3778" s="98"/>
      <c r="D3778" s="98"/>
      <c r="E3778" s="98"/>
      <c r="F3778" s="102"/>
      <c r="G3778" s="103"/>
    </row>
    <row r="3779" spans="1:7" x14ac:dyDescent="0.25">
      <c r="A3779" s="101"/>
      <c r="B3779" s="36"/>
      <c r="C3779" s="98"/>
      <c r="D3779" s="98"/>
      <c r="E3779" s="98"/>
      <c r="F3779" s="102"/>
      <c r="G3779" s="103"/>
    </row>
    <row r="3780" spans="1:7" x14ac:dyDescent="0.25">
      <c r="A3780" s="101"/>
      <c r="B3780" s="36"/>
      <c r="C3780" s="98"/>
      <c r="D3780" s="98"/>
      <c r="E3780" s="98"/>
      <c r="F3780" s="102"/>
      <c r="G3780" s="103"/>
    </row>
    <row r="3781" spans="1:7" x14ac:dyDescent="0.25">
      <c r="A3781" s="101"/>
      <c r="B3781" s="36"/>
      <c r="C3781" s="98"/>
      <c r="D3781" s="98"/>
      <c r="E3781" s="98"/>
      <c r="F3781" s="102"/>
      <c r="G3781" s="103"/>
    </row>
    <row r="3782" spans="1:7" x14ac:dyDescent="0.25">
      <c r="A3782" s="101"/>
      <c r="B3782" s="36"/>
      <c r="C3782" s="98"/>
      <c r="D3782" s="98"/>
      <c r="E3782" s="98"/>
      <c r="F3782" s="102"/>
      <c r="G3782" s="103"/>
    </row>
    <row r="3783" spans="1:7" x14ac:dyDescent="0.25">
      <c r="A3783" s="101"/>
      <c r="B3783" s="36"/>
      <c r="C3783" s="98"/>
      <c r="D3783" s="98"/>
      <c r="E3783" s="98"/>
      <c r="F3783" s="102"/>
      <c r="G3783" s="103"/>
    </row>
    <row r="3784" spans="1:7" x14ac:dyDescent="0.25">
      <c r="A3784" s="101"/>
      <c r="B3784" s="36"/>
      <c r="C3784" s="98"/>
      <c r="D3784" s="98"/>
      <c r="E3784" s="98"/>
      <c r="F3784" s="102"/>
      <c r="G3784" s="103"/>
    </row>
    <row r="3785" spans="1:7" x14ac:dyDescent="0.25">
      <c r="A3785" s="101"/>
      <c r="B3785" s="36"/>
      <c r="C3785" s="98"/>
      <c r="D3785" s="98"/>
      <c r="E3785" s="98"/>
      <c r="F3785" s="102"/>
      <c r="G3785" s="103"/>
    </row>
    <row r="3786" spans="1:7" x14ac:dyDescent="0.25">
      <c r="A3786" s="101"/>
      <c r="B3786" s="36"/>
      <c r="C3786" s="98"/>
      <c r="D3786" s="98"/>
      <c r="E3786" s="98"/>
      <c r="F3786" s="102"/>
      <c r="G3786" s="103"/>
    </row>
    <row r="3787" spans="1:7" x14ac:dyDescent="0.25">
      <c r="A3787" s="101"/>
      <c r="B3787" s="36"/>
      <c r="C3787" s="98"/>
      <c r="D3787" s="98"/>
      <c r="E3787" s="98"/>
      <c r="F3787" s="102"/>
      <c r="G3787" s="103"/>
    </row>
    <row r="3788" spans="1:7" x14ac:dyDescent="0.25">
      <c r="A3788" s="101"/>
      <c r="B3788" s="36"/>
      <c r="C3788" s="98"/>
      <c r="D3788" s="98"/>
      <c r="E3788" s="98"/>
      <c r="F3788" s="102"/>
      <c r="G3788" s="103"/>
    </row>
    <row r="3789" spans="1:7" x14ac:dyDescent="0.25">
      <c r="A3789" s="101"/>
      <c r="B3789" s="36"/>
      <c r="C3789" s="98"/>
      <c r="D3789" s="98"/>
      <c r="E3789" s="98"/>
      <c r="F3789" s="102"/>
      <c r="G3789" s="103"/>
    </row>
    <row r="3790" spans="1:7" x14ac:dyDescent="0.25">
      <c r="A3790" s="101"/>
      <c r="B3790" s="36"/>
      <c r="C3790" s="98"/>
      <c r="D3790" s="98"/>
      <c r="E3790" s="98"/>
      <c r="F3790" s="102"/>
      <c r="G3790" s="103"/>
    </row>
    <row r="3791" spans="1:7" x14ac:dyDescent="0.25">
      <c r="A3791" s="101"/>
      <c r="B3791" s="36"/>
      <c r="C3791" s="98"/>
      <c r="D3791" s="98"/>
      <c r="E3791" s="98"/>
      <c r="F3791" s="102"/>
      <c r="G3791" s="103"/>
    </row>
    <row r="3792" spans="1:7" x14ac:dyDescent="0.25">
      <c r="A3792" s="101"/>
      <c r="B3792" s="36"/>
      <c r="C3792" s="98"/>
      <c r="D3792" s="98"/>
      <c r="E3792" s="98"/>
      <c r="F3792" s="102"/>
      <c r="G3792" s="103"/>
    </row>
    <row r="3793" spans="1:7" x14ac:dyDescent="0.25">
      <c r="A3793" s="101"/>
      <c r="B3793" s="36"/>
      <c r="C3793" s="98"/>
      <c r="D3793" s="98"/>
      <c r="E3793" s="98"/>
      <c r="F3793" s="102"/>
      <c r="G3793" s="103"/>
    </row>
    <row r="3794" spans="1:7" x14ac:dyDescent="0.25">
      <c r="A3794" s="101"/>
      <c r="B3794" s="67"/>
      <c r="C3794" s="98"/>
      <c r="D3794" s="98"/>
      <c r="E3794" s="98"/>
      <c r="F3794" s="102"/>
      <c r="G3794" s="103"/>
    </row>
    <row r="3795" spans="1:7" x14ac:dyDescent="0.25">
      <c r="A3795" s="101"/>
      <c r="B3795" s="36"/>
      <c r="C3795" s="98"/>
      <c r="D3795" s="98"/>
      <c r="E3795" s="98"/>
      <c r="F3795" s="102"/>
      <c r="G3795" s="103"/>
    </row>
    <row r="3796" spans="1:7" x14ac:dyDescent="0.25">
      <c r="A3796" s="101"/>
      <c r="B3796" s="36"/>
      <c r="C3796" s="98"/>
      <c r="D3796" s="98"/>
      <c r="E3796" s="98"/>
      <c r="F3796" s="102"/>
      <c r="G3796" s="103"/>
    </row>
    <row r="3797" spans="1:7" x14ac:dyDescent="0.25">
      <c r="A3797" s="101"/>
      <c r="B3797" s="36"/>
      <c r="C3797" s="98"/>
      <c r="D3797" s="98"/>
      <c r="E3797" s="98"/>
      <c r="F3797" s="102"/>
      <c r="G3797" s="103"/>
    </row>
    <row r="3798" spans="1:7" x14ac:dyDescent="0.25">
      <c r="A3798" s="101"/>
      <c r="B3798" s="36"/>
      <c r="C3798" s="98"/>
      <c r="D3798" s="98"/>
      <c r="E3798" s="98"/>
      <c r="F3798" s="102"/>
      <c r="G3798" s="103"/>
    </row>
    <row r="3799" spans="1:7" x14ac:dyDescent="0.25">
      <c r="A3799" s="101"/>
      <c r="B3799" s="36"/>
      <c r="C3799" s="98"/>
      <c r="D3799" s="98"/>
      <c r="E3799" s="98"/>
      <c r="F3799" s="102"/>
      <c r="G3799" s="103"/>
    </row>
    <row r="3800" spans="1:7" x14ac:dyDescent="0.25">
      <c r="A3800" s="101"/>
      <c r="B3800" s="36"/>
      <c r="C3800" s="98"/>
      <c r="D3800" s="98"/>
      <c r="E3800" s="98"/>
      <c r="F3800" s="102"/>
      <c r="G3800" s="103"/>
    </row>
    <row r="3801" spans="1:7" x14ac:dyDescent="0.25">
      <c r="A3801" s="101"/>
      <c r="B3801" s="36"/>
      <c r="C3801" s="98"/>
      <c r="D3801" s="98"/>
      <c r="E3801" s="98"/>
      <c r="F3801" s="102"/>
      <c r="G3801" s="103"/>
    </row>
    <row r="3802" spans="1:7" x14ac:dyDescent="0.25">
      <c r="A3802" s="101"/>
      <c r="B3802" s="36"/>
      <c r="C3802" s="98"/>
      <c r="D3802" s="98"/>
      <c r="E3802" s="98"/>
      <c r="F3802" s="102"/>
      <c r="G3802" s="103"/>
    </row>
    <row r="3803" spans="1:7" x14ac:dyDescent="0.25">
      <c r="A3803" s="101"/>
      <c r="B3803" s="36"/>
      <c r="C3803" s="98"/>
      <c r="D3803" s="98"/>
      <c r="E3803" s="98"/>
      <c r="F3803" s="102"/>
      <c r="G3803" s="103"/>
    </row>
    <row r="3804" spans="1:7" x14ac:dyDescent="0.25">
      <c r="A3804" s="101"/>
      <c r="B3804" s="36"/>
      <c r="C3804" s="98"/>
      <c r="D3804" s="98"/>
      <c r="E3804" s="98"/>
      <c r="F3804" s="102"/>
      <c r="G3804" s="103"/>
    </row>
    <row r="3805" spans="1:7" x14ac:dyDescent="0.25">
      <c r="A3805" s="101"/>
      <c r="B3805" s="36"/>
      <c r="C3805" s="98"/>
      <c r="D3805" s="98"/>
      <c r="E3805" s="98"/>
      <c r="F3805" s="102"/>
      <c r="G3805" s="103"/>
    </row>
    <row r="3806" spans="1:7" x14ac:dyDescent="0.25">
      <c r="A3806" s="101"/>
      <c r="B3806" s="36"/>
      <c r="C3806" s="98"/>
      <c r="D3806" s="98"/>
      <c r="E3806" s="98"/>
      <c r="F3806" s="102"/>
      <c r="G3806" s="103"/>
    </row>
    <row r="3807" spans="1:7" x14ac:dyDescent="0.25">
      <c r="A3807" s="101"/>
      <c r="B3807" s="36"/>
      <c r="C3807" s="98"/>
      <c r="D3807" s="98"/>
      <c r="E3807" s="98"/>
      <c r="F3807" s="102"/>
      <c r="G3807" s="103"/>
    </row>
    <row r="3808" spans="1:7" x14ac:dyDescent="0.25">
      <c r="A3808" s="101"/>
      <c r="B3808" s="36"/>
      <c r="C3808" s="98"/>
      <c r="D3808" s="98"/>
      <c r="E3808" s="98"/>
      <c r="F3808" s="102"/>
      <c r="G3808" s="103"/>
    </row>
    <row r="3809" spans="1:7" x14ac:dyDescent="0.25">
      <c r="A3809" s="101"/>
      <c r="B3809" s="36"/>
      <c r="C3809" s="98"/>
      <c r="D3809" s="98"/>
      <c r="E3809" s="98"/>
      <c r="F3809" s="102"/>
      <c r="G3809" s="103"/>
    </row>
    <row r="3810" spans="1:7" x14ac:dyDescent="0.25">
      <c r="A3810" s="101"/>
      <c r="B3810" s="36"/>
      <c r="C3810" s="98"/>
      <c r="D3810" s="98"/>
      <c r="E3810" s="98"/>
      <c r="F3810" s="102"/>
      <c r="G3810" s="103"/>
    </row>
    <row r="3811" spans="1:7" x14ac:dyDescent="0.25">
      <c r="A3811" s="101"/>
      <c r="B3811" s="36"/>
      <c r="C3811" s="98"/>
      <c r="D3811" s="98"/>
      <c r="E3811" s="98"/>
      <c r="F3811" s="102"/>
      <c r="G3811" s="103"/>
    </row>
    <row r="3812" spans="1:7" x14ac:dyDescent="0.25">
      <c r="A3812" s="101"/>
      <c r="B3812" s="36"/>
      <c r="C3812" s="98"/>
      <c r="D3812" s="98"/>
      <c r="E3812" s="98"/>
      <c r="F3812" s="102"/>
      <c r="G3812" s="103"/>
    </row>
    <row r="3813" spans="1:7" x14ac:dyDescent="0.25">
      <c r="A3813" s="101"/>
      <c r="B3813" s="36"/>
      <c r="C3813" s="98"/>
      <c r="D3813" s="98"/>
      <c r="E3813" s="98"/>
      <c r="F3813" s="102"/>
      <c r="G3813" s="103"/>
    </row>
    <row r="3814" spans="1:7" x14ac:dyDescent="0.25">
      <c r="A3814" s="101"/>
      <c r="B3814" s="36"/>
      <c r="C3814" s="98"/>
      <c r="D3814" s="98"/>
      <c r="E3814" s="98"/>
      <c r="F3814" s="102"/>
      <c r="G3814" s="103"/>
    </row>
    <row r="3815" spans="1:7" x14ac:dyDescent="0.25">
      <c r="A3815" s="101"/>
      <c r="B3815" s="36"/>
      <c r="C3815" s="98"/>
      <c r="D3815" s="98"/>
      <c r="E3815" s="98"/>
      <c r="F3815" s="102"/>
      <c r="G3815" s="103"/>
    </row>
    <row r="3816" spans="1:7" x14ac:dyDescent="0.25">
      <c r="A3816" s="101"/>
      <c r="B3816" s="36"/>
      <c r="C3816" s="98"/>
      <c r="D3816" s="98"/>
      <c r="E3816" s="98"/>
      <c r="F3816" s="102"/>
      <c r="G3816" s="103"/>
    </row>
    <row r="3817" spans="1:7" x14ac:dyDescent="0.25">
      <c r="A3817" s="101"/>
      <c r="B3817" s="67"/>
      <c r="C3817" s="98"/>
      <c r="D3817" s="98"/>
      <c r="E3817" s="98"/>
      <c r="F3817" s="102"/>
      <c r="G3817" s="103"/>
    </row>
    <row r="3818" spans="1:7" x14ac:dyDescent="0.25">
      <c r="A3818" s="101"/>
      <c r="B3818" s="36"/>
      <c r="C3818" s="98"/>
      <c r="D3818" s="98"/>
      <c r="E3818" s="98"/>
      <c r="F3818" s="102"/>
      <c r="G3818" s="103"/>
    </row>
    <row r="3819" spans="1:7" x14ac:dyDescent="0.25">
      <c r="A3819" s="101"/>
      <c r="B3819" s="36"/>
      <c r="C3819" s="98"/>
      <c r="D3819" s="98"/>
      <c r="E3819" s="98"/>
      <c r="F3819" s="102"/>
      <c r="G3819" s="103"/>
    </row>
    <row r="3820" spans="1:7" x14ac:dyDescent="0.25">
      <c r="A3820" s="101"/>
      <c r="B3820" s="36"/>
      <c r="C3820" s="98"/>
      <c r="D3820" s="98"/>
      <c r="E3820" s="98"/>
      <c r="F3820" s="102"/>
      <c r="G3820" s="103"/>
    </row>
    <row r="3821" spans="1:7" x14ac:dyDescent="0.25">
      <c r="A3821" s="101"/>
      <c r="B3821" s="66"/>
      <c r="C3821" s="98"/>
      <c r="D3821" s="98"/>
      <c r="E3821" s="98"/>
      <c r="F3821" s="102"/>
      <c r="G3821" s="103"/>
    </row>
    <row r="3822" spans="1:7" x14ac:dyDescent="0.25">
      <c r="A3822" s="101"/>
      <c r="B3822" s="36"/>
      <c r="C3822" s="98"/>
      <c r="D3822" s="98"/>
      <c r="E3822" s="98"/>
      <c r="F3822" s="102"/>
      <c r="G3822" s="103"/>
    </row>
    <row r="3823" spans="1:7" x14ac:dyDescent="0.25">
      <c r="A3823" s="101"/>
      <c r="B3823" s="36"/>
      <c r="C3823" s="98"/>
      <c r="D3823" s="98"/>
      <c r="E3823" s="98"/>
      <c r="F3823" s="102"/>
      <c r="G3823" s="103"/>
    </row>
    <row r="3824" spans="1:7" x14ac:dyDescent="0.25">
      <c r="A3824" s="101"/>
      <c r="B3824" s="36"/>
      <c r="C3824" s="98"/>
      <c r="D3824" s="98"/>
      <c r="E3824" s="98"/>
      <c r="F3824" s="102"/>
      <c r="G3824" s="103"/>
    </row>
    <row r="3825" spans="1:7" x14ac:dyDescent="0.25">
      <c r="A3825" s="101"/>
      <c r="B3825" s="36"/>
      <c r="C3825" s="98"/>
      <c r="D3825" s="98"/>
      <c r="E3825" s="98"/>
      <c r="F3825" s="102"/>
      <c r="G3825" s="103"/>
    </row>
    <row r="3826" spans="1:7" x14ac:dyDescent="0.25">
      <c r="A3826" s="101"/>
      <c r="B3826" s="36"/>
      <c r="C3826" s="98"/>
      <c r="D3826" s="98"/>
      <c r="E3826" s="98"/>
      <c r="F3826" s="102"/>
      <c r="G3826" s="103"/>
    </row>
    <row r="3827" spans="1:7" x14ac:dyDescent="0.25">
      <c r="A3827" s="101"/>
      <c r="B3827" s="36"/>
      <c r="C3827" s="98"/>
      <c r="D3827" s="98"/>
      <c r="E3827" s="98"/>
      <c r="F3827" s="102"/>
      <c r="G3827" s="103"/>
    </row>
    <row r="3828" spans="1:7" x14ac:dyDescent="0.25">
      <c r="A3828" s="101"/>
      <c r="B3828" s="36"/>
      <c r="C3828" s="98"/>
      <c r="D3828" s="98"/>
      <c r="E3828" s="98"/>
      <c r="F3828" s="102"/>
      <c r="G3828" s="103"/>
    </row>
    <row r="3829" spans="1:7" x14ac:dyDescent="0.25">
      <c r="A3829" s="101"/>
      <c r="B3829" s="36"/>
      <c r="C3829" s="98"/>
      <c r="D3829" s="98"/>
      <c r="E3829" s="98"/>
      <c r="F3829" s="102"/>
      <c r="G3829" s="103"/>
    </row>
    <row r="3830" spans="1:7" x14ac:dyDescent="0.25">
      <c r="A3830" s="101"/>
      <c r="B3830" s="36"/>
      <c r="C3830" s="98"/>
      <c r="D3830" s="98"/>
      <c r="E3830" s="98"/>
      <c r="F3830" s="102"/>
      <c r="G3830" s="103"/>
    </row>
    <row r="3831" spans="1:7" x14ac:dyDescent="0.25">
      <c r="A3831" s="101"/>
      <c r="B3831" s="36"/>
      <c r="C3831" s="98"/>
      <c r="D3831" s="98"/>
      <c r="E3831" s="98"/>
      <c r="F3831" s="102"/>
      <c r="G3831" s="103"/>
    </row>
    <row r="3832" spans="1:7" x14ac:dyDescent="0.25">
      <c r="A3832" s="101"/>
      <c r="B3832" s="36"/>
      <c r="C3832" s="98"/>
      <c r="D3832" s="98"/>
      <c r="E3832" s="98"/>
      <c r="F3832" s="102"/>
      <c r="G3832" s="103"/>
    </row>
    <row r="3833" spans="1:7" x14ac:dyDescent="0.25">
      <c r="A3833" s="101"/>
      <c r="B3833" s="36"/>
      <c r="C3833" s="98"/>
      <c r="D3833" s="98"/>
      <c r="E3833" s="98"/>
      <c r="F3833" s="102"/>
      <c r="G3833" s="103"/>
    </row>
    <row r="3834" spans="1:7" x14ac:dyDescent="0.25">
      <c r="A3834" s="101"/>
      <c r="B3834" s="36"/>
      <c r="C3834" s="98"/>
      <c r="D3834" s="98"/>
      <c r="E3834" s="98"/>
      <c r="F3834" s="102"/>
      <c r="G3834" s="103"/>
    </row>
    <row r="3835" spans="1:7" x14ac:dyDescent="0.25">
      <c r="A3835" s="101"/>
      <c r="B3835" s="36"/>
      <c r="C3835" s="98"/>
      <c r="D3835" s="98"/>
      <c r="E3835" s="98"/>
      <c r="F3835" s="102"/>
      <c r="G3835" s="103"/>
    </row>
    <row r="3836" spans="1:7" x14ac:dyDescent="0.25">
      <c r="A3836" s="101"/>
      <c r="B3836" s="36"/>
      <c r="C3836" s="98"/>
      <c r="D3836" s="98"/>
      <c r="E3836" s="98"/>
      <c r="F3836" s="102"/>
      <c r="G3836" s="103"/>
    </row>
    <row r="3837" spans="1:7" x14ac:dyDescent="0.25">
      <c r="A3837" s="101"/>
      <c r="B3837" s="36"/>
      <c r="C3837" s="98"/>
      <c r="D3837" s="98"/>
      <c r="E3837" s="98"/>
      <c r="F3837" s="102"/>
      <c r="G3837" s="103"/>
    </row>
    <row r="3838" spans="1:7" x14ac:dyDescent="0.25">
      <c r="A3838" s="101"/>
      <c r="B3838" s="36"/>
      <c r="C3838" s="98"/>
      <c r="D3838" s="98"/>
      <c r="E3838" s="98"/>
      <c r="F3838" s="102"/>
      <c r="G3838" s="103"/>
    </row>
    <row r="3839" spans="1:7" x14ac:dyDescent="0.25">
      <c r="A3839" s="101"/>
      <c r="B3839" s="36"/>
      <c r="C3839" s="98"/>
      <c r="D3839" s="98"/>
      <c r="E3839" s="98"/>
      <c r="F3839" s="102"/>
      <c r="G3839" s="103"/>
    </row>
    <row r="3840" spans="1:7" x14ac:dyDescent="0.25">
      <c r="A3840" s="101"/>
      <c r="B3840" s="36"/>
      <c r="C3840" s="98"/>
      <c r="D3840" s="98"/>
      <c r="E3840" s="98"/>
      <c r="F3840" s="102"/>
      <c r="G3840" s="103"/>
    </row>
    <row r="3841" spans="1:7" x14ac:dyDescent="0.25">
      <c r="A3841" s="101"/>
      <c r="B3841" s="36"/>
      <c r="C3841" s="98"/>
      <c r="D3841" s="98"/>
      <c r="E3841" s="98"/>
      <c r="F3841" s="102"/>
      <c r="G3841" s="103"/>
    </row>
    <row r="3842" spans="1:7" x14ac:dyDescent="0.25">
      <c r="A3842" s="101"/>
      <c r="B3842" s="67"/>
      <c r="C3842" s="98"/>
      <c r="D3842" s="98"/>
      <c r="E3842" s="98"/>
      <c r="F3842" s="102"/>
      <c r="G3842" s="103"/>
    </row>
    <row r="3843" spans="1:7" x14ac:dyDescent="0.25">
      <c r="A3843" s="101"/>
      <c r="B3843" s="36"/>
      <c r="C3843" s="98"/>
      <c r="D3843" s="98"/>
      <c r="E3843" s="98"/>
      <c r="F3843" s="102"/>
      <c r="G3843" s="103"/>
    </row>
    <row r="3844" spans="1:7" x14ac:dyDescent="0.25">
      <c r="A3844" s="101"/>
      <c r="B3844" s="36"/>
      <c r="C3844" s="98"/>
      <c r="D3844" s="98"/>
      <c r="E3844" s="98"/>
      <c r="F3844" s="102"/>
      <c r="G3844" s="103"/>
    </row>
    <row r="3845" spans="1:7" x14ac:dyDescent="0.25">
      <c r="A3845" s="101"/>
      <c r="B3845" s="36"/>
      <c r="C3845" s="98"/>
      <c r="D3845" s="98"/>
      <c r="E3845" s="98"/>
      <c r="F3845" s="102"/>
      <c r="G3845" s="103"/>
    </row>
    <row r="3846" spans="1:7" x14ac:dyDescent="0.25">
      <c r="A3846" s="101"/>
      <c r="B3846" s="66"/>
      <c r="C3846" s="98"/>
      <c r="D3846" s="98"/>
      <c r="E3846" s="98"/>
      <c r="F3846" s="102"/>
      <c r="G3846" s="103"/>
    </row>
    <row r="3847" spans="1:7" x14ac:dyDescent="0.25">
      <c r="A3847" s="101"/>
      <c r="B3847" s="36"/>
      <c r="C3847" s="98"/>
      <c r="D3847" s="98"/>
      <c r="E3847" s="98"/>
      <c r="F3847" s="102"/>
      <c r="G3847" s="103"/>
    </row>
    <row r="3848" spans="1:7" x14ac:dyDescent="0.25">
      <c r="A3848" s="101"/>
      <c r="B3848" s="36"/>
      <c r="C3848" s="98"/>
      <c r="D3848" s="98"/>
      <c r="E3848" s="98"/>
      <c r="F3848" s="102"/>
      <c r="G3848" s="103"/>
    </row>
    <row r="3849" spans="1:7" x14ac:dyDescent="0.25">
      <c r="A3849" s="101"/>
      <c r="B3849" s="36"/>
      <c r="C3849" s="98"/>
      <c r="D3849" s="98"/>
      <c r="E3849" s="98"/>
      <c r="F3849" s="102"/>
      <c r="G3849" s="103"/>
    </row>
    <row r="3850" spans="1:7" x14ac:dyDescent="0.25">
      <c r="A3850" s="101"/>
      <c r="B3850" s="66"/>
      <c r="C3850" s="98"/>
      <c r="D3850" s="98"/>
      <c r="E3850" s="98"/>
      <c r="F3850" s="102"/>
      <c r="G3850" s="103"/>
    </row>
    <row r="3851" spans="1:7" x14ac:dyDescent="0.25">
      <c r="A3851" s="101"/>
      <c r="B3851" s="36"/>
      <c r="C3851" s="98"/>
      <c r="D3851" s="98"/>
      <c r="E3851" s="98"/>
      <c r="F3851" s="102"/>
      <c r="G3851" s="103"/>
    </row>
    <row r="3852" spans="1:7" x14ac:dyDescent="0.25">
      <c r="A3852" s="101"/>
      <c r="B3852" s="36"/>
      <c r="C3852" s="98"/>
      <c r="D3852" s="98"/>
      <c r="E3852" s="98"/>
      <c r="F3852" s="102"/>
      <c r="G3852" s="103"/>
    </row>
    <row r="3853" spans="1:7" x14ac:dyDescent="0.25">
      <c r="A3853" s="101"/>
      <c r="B3853" s="36"/>
      <c r="C3853" s="98"/>
      <c r="D3853" s="98"/>
      <c r="E3853" s="98"/>
      <c r="F3853" s="102"/>
      <c r="G3853" s="103"/>
    </row>
    <row r="3854" spans="1:7" x14ac:dyDescent="0.25">
      <c r="A3854" s="101"/>
      <c r="B3854" s="36"/>
      <c r="C3854" s="98"/>
      <c r="D3854" s="98"/>
      <c r="E3854" s="98"/>
      <c r="F3854" s="102"/>
      <c r="G3854" s="103"/>
    </row>
    <row r="3855" spans="1:7" x14ac:dyDescent="0.25">
      <c r="A3855" s="101"/>
      <c r="B3855" s="36"/>
      <c r="C3855" s="98"/>
      <c r="D3855" s="98"/>
      <c r="E3855" s="98"/>
      <c r="F3855" s="102"/>
      <c r="G3855" s="103"/>
    </row>
    <row r="3856" spans="1:7" x14ac:dyDescent="0.25">
      <c r="A3856" s="101"/>
      <c r="B3856" s="36"/>
      <c r="C3856" s="98"/>
      <c r="D3856" s="98"/>
      <c r="E3856" s="98"/>
      <c r="F3856" s="102"/>
      <c r="G3856" s="103"/>
    </row>
    <row r="3857" spans="1:7" x14ac:dyDescent="0.25">
      <c r="A3857" s="101"/>
      <c r="B3857" s="36"/>
      <c r="C3857" s="98"/>
      <c r="D3857" s="98"/>
      <c r="E3857" s="98"/>
      <c r="F3857" s="102"/>
      <c r="G3857" s="103"/>
    </row>
    <row r="3858" spans="1:7" x14ac:dyDescent="0.25">
      <c r="A3858" s="101"/>
      <c r="B3858" s="36"/>
      <c r="C3858" s="98"/>
      <c r="D3858" s="98"/>
      <c r="E3858" s="98"/>
      <c r="F3858" s="102"/>
      <c r="G3858" s="103"/>
    </row>
    <row r="3859" spans="1:7" x14ac:dyDescent="0.25">
      <c r="A3859" s="101"/>
      <c r="B3859" s="36"/>
      <c r="C3859" s="98"/>
      <c r="D3859" s="98"/>
      <c r="E3859" s="98"/>
      <c r="F3859" s="102"/>
      <c r="G3859" s="103"/>
    </row>
    <row r="3860" spans="1:7" x14ac:dyDescent="0.25">
      <c r="A3860" s="101"/>
      <c r="B3860" s="36"/>
      <c r="C3860" s="98"/>
      <c r="D3860" s="98"/>
      <c r="E3860" s="98"/>
      <c r="F3860" s="102"/>
      <c r="G3860" s="103"/>
    </row>
    <row r="3861" spans="1:7" x14ac:dyDescent="0.25">
      <c r="A3861" s="101"/>
      <c r="B3861" s="36"/>
      <c r="C3861" s="98"/>
      <c r="D3861" s="98"/>
      <c r="E3861" s="98"/>
      <c r="F3861" s="102"/>
      <c r="G3861" s="103"/>
    </row>
    <row r="3862" spans="1:7" x14ac:dyDescent="0.25">
      <c r="A3862" s="101"/>
      <c r="B3862" s="36"/>
      <c r="C3862" s="98"/>
      <c r="D3862" s="98"/>
      <c r="E3862" s="98"/>
      <c r="F3862" s="102"/>
      <c r="G3862" s="103"/>
    </row>
    <row r="3863" spans="1:7" x14ac:dyDescent="0.25">
      <c r="A3863" s="101"/>
      <c r="B3863" s="36"/>
      <c r="C3863" s="98"/>
      <c r="D3863" s="98"/>
      <c r="E3863" s="98"/>
      <c r="F3863" s="102"/>
      <c r="G3863" s="103"/>
    </row>
    <row r="3864" spans="1:7" x14ac:dyDescent="0.25">
      <c r="A3864" s="101"/>
      <c r="B3864" s="36"/>
      <c r="C3864" s="98"/>
      <c r="D3864" s="98"/>
      <c r="E3864" s="98"/>
      <c r="F3864" s="102"/>
      <c r="G3864" s="103"/>
    </row>
    <row r="3865" spans="1:7" x14ac:dyDescent="0.25">
      <c r="A3865" s="101"/>
      <c r="B3865" s="36"/>
      <c r="C3865" s="98"/>
      <c r="D3865" s="98"/>
      <c r="E3865" s="98"/>
      <c r="F3865" s="102"/>
      <c r="G3865" s="103"/>
    </row>
    <row r="3866" spans="1:7" x14ac:dyDescent="0.25">
      <c r="A3866" s="101"/>
      <c r="B3866" s="36"/>
      <c r="C3866" s="98"/>
      <c r="D3866" s="98"/>
      <c r="E3866" s="98"/>
      <c r="F3866" s="102"/>
      <c r="G3866" s="103"/>
    </row>
    <row r="3867" spans="1:7" x14ac:dyDescent="0.25">
      <c r="A3867" s="101"/>
      <c r="B3867" s="36"/>
      <c r="C3867" s="98"/>
      <c r="D3867" s="98"/>
      <c r="E3867" s="98"/>
      <c r="F3867" s="102"/>
      <c r="G3867" s="103"/>
    </row>
    <row r="3868" spans="1:7" x14ac:dyDescent="0.25">
      <c r="A3868" s="101"/>
      <c r="B3868" s="36"/>
      <c r="C3868" s="98"/>
      <c r="D3868" s="98"/>
      <c r="E3868" s="98"/>
      <c r="F3868" s="102"/>
      <c r="G3868" s="103"/>
    </row>
    <row r="3869" spans="1:7" x14ac:dyDescent="0.25">
      <c r="A3869" s="101"/>
      <c r="B3869" s="36"/>
      <c r="C3869" s="98"/>
      <c r="D3869" s="98"/>
      <c r="E3869" s="98"/>
      <c r="F3869" s="102"/>
      <c r="G3869" s="103"/>
    </row>
    <row r="3870" spans="1:7" x14ac:dyDescent="0.25">
      <c r="A3870" s="101"/>
      <c r="B3870" s="36"/>
      <c r="C3870" s="98"/>
      <c r="D3870" s="98"/>
      <c r="E3870" s="98"/>
      <c r="F3870" s="102"/>
      <c r="G3870" s="103"/>
    </row>
    <row r="3871" spans="1:7" x14ac:dyDescent="0.25">
      <c r="A3871" s="101"/>
      <c r="B3871" s="36"/>
      <c r="C3871" s="98"/>
      <c r="D3871" s="98"/>
      <c r="E3871" s="98"/>
      <c r="F3871" s="102"/>
      <c r="G3871" s="103"/>
    </row>
    <row r="3872" spans="1:7" x14ac:dyDescent="0.25">
      <c r="A3872" s="101"/>
      <c r="B3872" s="36"/>
      <c r="C3872" s="98"/>
      <c r="D3872" s="98"/>
      <c r="E3872" s="98"/>
      <c r="F3872" s="102"/>
      <c r="G3872" s="103"/>
    </row>
    <row r="3873" spans="1:7" x14ac:dyDescent="0.25">
      <c r="A3873" s="101"/>
      <c r="B3873" s="36"/>
      <c r="C3873" s="98"/>
      <c r="D3873" s="98"/>
      <c r="E3873" s="98"/>
      <c r="F3873" s="102"/>
      <c r="G3873" s="103"/>
    </row>
    <row r="3874" spans="1:7" x14ac:dyDescent="0.25">
      <c r="A3874" s="101"/>
      <c r="B3874" s="36"/>
      <c r="C3874" s="98"/>
      <c r="D3874" s="98"/>
      <c r="E3874" s="98"/>
      <c r="F3874" s="102"/>
      <c r="G3874" s="103"/>
    </row>
    <row r="3875" spans="1:7" x14ac:dyDescent="0.25">
      <c r="A3875" s="101"/>
      <c r="B3875" s="36"/>
      <c r="C3875" s="98"/>
      <c r="D3875" s="98"/>
      <c r="E3875" s="98"/>
      <c r="F3875" s="102"/>
      <c r="G3875" s="103"/>
    </row>
    <row r="3876" spans="1:7" x14ac:dyDescent="0.25">
      <c r="A3876" s="101"/>
      <c r="B3876" s="36"/>
      <c r="C3876" s="98"/>
      <c r="D3876" s="98"/>
      <c r="E3876" s="98"/>
      <c r="F3876" s="102"/>
      <c r="G3876" s="103"/>
    </row>
    <row r="3877" spans="1:7" x14ac:dyDescent="0.25">
      <c r="A3877" s="101"/>
      <c r="B3877" s="36"/>
      <c r="C3877" s="98"/>
      <c r="D3877" s="98"/>
      <c r="E3877" s="98"/>
      <c r="F3877" s="102"/>
      <c r="G3877" s="103"/>
    </row>
    <row r="3878" spans="1:7" x14ac:dyDescent="0.25">
      <c r="A3878" s="101"/>
      <c r="B3878" s="36"/>
      <c r="C3878" s="98"/>
      <c r="D3878" s="98"/>
      <c r="E3878" s="98"/>
      <c r="F3878" s="102"/>
      <c r="G3878" s="103"/>
    </row>
    <row r="3879" spans="1:7" x14ac:dyDescent="0.25">
      <c r="A3879" s="101"/>
      <c r="B3879" s="36"/>
      <c r="C3879" s="98"/>
      <c r="D3879" s="98"/>
      <c r="E3879" s="98"/>
      <c r="F3879" s="102"/>
      <c r="G3879" s="103"/>
    </row>
    <row r="3880" spans="1:7" x14ac:dyDescent="0.25">
      <c r="A3880" s="101"/>
      <c r="B3880" s="36"/>
      <c r="C3880" s="98"/>
      <c r="D3880" s="98"/>
      <c r="E3880" s="98"/>
      <c r="F3880" s="102"/>
      <c r="G3880" s="103"/>
    </row>
    <row r="3881" spans="1:7" x14ac:dyDescent="0.25">
      <c r="A3881" s="101"/>
      <c r="B3881" s="36"/>
      <c r="C3881" s="98"/>
      <c r="D3881" s="98"/>
      <c r="E3881" s="98"/>
      <c r="F3881" s="102"/>
      <c r="G3881" s="103"/>
    </row>
    <row r="3882" spans="1:7" x14ac:dyDescent="0.25">
      <c r="A3882" s="101"/>
      <c r="B3882" s="36"/>
      <c r="C3882" s="98"/>
      <c r="D3882" s="98"/>
      <c r="E3882" s="98"/>
      <c r="F3882" s="102"/>
      <c r="G3882" s="103"/>
    </row>
    <row r="3883" spans="1:7" x14ac:dyDescent="0.25">
      <c r="A3883" s="101"/>
      <c r="B3883" s="36"/>
      <c r="C3883" s="98"/>
      <c r="D3883" s="98"/>
      <c r="E3883" s="98"/>
      <c r="F3883" s="102"/>
      <c r="G3883" s="103"/>
    </row>
    <row r="3884" spans="1:7" x14ac:dyDescent="0.25">
      <c r="A3884" s="101"/>
      <c r="B3884" s="36"/>
      <c r="C3884" s="98"/>
      <c r="D3884" s="98"/>
      <c r="E3884" s="98"/>
      <c r="F3884" s="102"/>
      <c r="G3884" s="103"/>
    </row>
    <row r="3885" spans="1:7" x14ac:dyDescent="0.25">
      <c r="A3885" s="101"/>
      <c r="B3885" s="36"/>
      <c r="C3885" s="98"/>
      <c r="D3885" s="98"/>
      <c r="E3885" s="98"/>
      <c r="F3885" s="102"/>
      <c r="G3885" s="103"/>
    </row>
    <row r="3886" spans="1:7" x14ac:dyDescent="0.25">
      <c r="A3886" s="101"/>
      <c r="B3886" s="36"/>
      <c r="C3886" s="98"/>
      <c r="D3886" s="98"/>
      <c r="E3886" s="98"/>
      <c r="F3886" s="102"/>
      <c r="G3886" s="103"/>
    </row>
    <row r="3887" spans="1:7" x14ac:dyDescent="0.25">
      <c r="A3887" s="101"/>
      <c r="B3887" s="36"/>
      <c r="C3887" s="98"/>
      <c r="D3887" s="98"/>
      <c r="E3887" s="98"/>
      <c r="F3887" s="102"/>
      <c r="G3887" s="103"/>
    </row>
    <row r="3888" spans="1:7" x14ac:dyDescent="0.25">
      <c r="A3888" s="101"/>
      <c r="B3888" s="36"/>
      <c r="C3888" s="98"/>
      <c r="D3888" s="98"/>
      <c r="E3888" s="98"/>
      <c r="F3888" s="102"/>
      <c r="G3888" s="103"/>
    </row>
    <row r="3889" spans="1:7" x14ac:dyDescent="0.25">
      <c r="A3889" s="101"/>
      <c r="B3889" s="36"/>
      <c r="C3889" s="98"/>
      <c r="D3889" s="98"/>
      <c r="E3889" s="98"/>
      <c r="F3889" s="102"/>
      <c r="G3889" s="103"/>
    </row>
    <row r="3890" spans="1:7" x14ac:dyDescent="0.25">
      <c r="A3890" s="101"/>
      <c r="B3890" s="36"/>
      <c r="C3890" s="98"/>
      <c r="D3890" s="98"/>
      <c r="E3890" s="98"/>
      <c r="F3890" s="102"/>
      <c r="G3890" s="103"/>
    </row>
    <row r="3891" spans="1:7" x14ac:dyDescent="0.25">
      <c r="A3891" s="101"/>
      <c r="B3891" s="36"/>
      <c r="C3891" s="98"/>
      <c r="D3891" s="98"/>
      <c r="E3891" s="98"/>
      <c r="F3891" s="102"/>
      <c r="G3891" s="103"/>
    </row>
    <row r="3892" spans="1:7" x14ac:dyDescent="0.25">
      <c r="A3892" s="101"/>
      <c r="B3892" s="36"/>
      <c r="C3892" s="98"/>
      <c r="D3892" s="98"/>
      <c r="E3892" s="98"/>
      <c r="F3892" s="102"/>
      <c r="G3892" s="103"/>
    </row>
    <row r="3893" spans="1:7" x14ac:dyDescent="0.25">
      <c r="A3893" s="101"/>
      <c r="B3893" s="36"/>
      <c r="C3893" s="98"/>
      <c r="D3893" s="98"/>
      <c r="E3893" s="98"/>
      <c r="F3893" s="102"/>
      <c r="G3893" s="103"/>
    </row>
    <row r="3894" spans="1:7" x14ac:dyDescent="0.25">
      <c r="A3894" s="101"/>
      <c r="B3894" s="36"/>
      <c r="C3894" s="98"/>
      <c r="D3894" s="98"/>
      <c r="E3894" s="98"/>
      <c r="F3894" s="102"/>
      <c r="G3894" s="103"/>
    </row>
    <row r="3895" spans="1:7" x14ac:dyDescent="0.25">
      <c r="A3895" s="101"/>
      <c r="B3895" s="36"/>
      <c r="C3895" s="98"/>
      <c r="D3895" s="98"/>
      <c r="E3895" s="98"/>
      <c r="F3895" s="102"/>
      <c r="G3895" s="103"/>
    </row>
    <row r="3896" spans="1:7" x14ac:dyDescent="0.25">
      <c r="A3896" s="101"/>
      <c r="B3896" s="36"/>
      <c r="C3896" s="98"/>
      <c r="D3896" s="98"/>
      <c r="E3896" s="98"/>
      <c r="F3896" s="102"/>
      <c r="G3896" s="103"/>
    </row>
    <row r="3897" spans="1:7" x14ac:dyDescent="0.25">
      <c r="A3897" s="101"/>
      <c r="B3897" s="36"/>
      <c r="C3897" s="98"/>
      <c r="D3897" s="98"/>
      <c r="E3897" s="98"/>
      <c r="F3897" s="102"/>
      <c r="G3897" s="103"/>
    </row>
    <row r="3898" spans="1:7" x14ac:dyDescent="0.25">
      <c r="A3898" s="101"/>
      <c r="B3898" s="36"/>
      <c r="C3898" s="98"/>
      <c r="D3898" s="98"/>
      <c r="E3898" s="98"/>
      <c r="F3898" s="102"/>
      <c r="G3898" s="103"/>
    </row>
    <row r="3899" spans="1:7" x14ac:dyDescent="0.25">
      <c r="A3899" s="101"/>
      <c r="B3899" s="36"/>
      <c r="C3899" s="98"/>
      <c r="D3899" s="98"/>
      <c r="E3899" s="98"/>
      <c r="F3899" s="102"/>
      <c r="G3899" s="103"/>
    </row>
    <row r="3900" spans="1:7" x14ac:dyDescent="0.25">
      <c r="A3900" s="101"/>
      <c r="B3900" s="36"/>
      <c r="C3900" s="98"/>
      <c r="D3900" s="98"/>
      <c r="E3900" s="98"/>
      <c r="F3900" s="102"/>
      <c r="G3900" s="103"/>
    </row>
    <row r="3901" spans="1:7" x14ac:dyDescent="0.25">
      <c r="A3901" s="101"/>
      <c r="B3901" s="36"/>
      <c r="C3901" s="98"/>
      <c r="D3901" s="98"/>
      <c r="E3901" s="98"/>
      <c r="F3901" s="102"/>
      <c r="G3901" s="103"/>
    </row>
    <row r="3902" spans="1:7" x14ac:dyDescent="0.25">
      <c r="A3902" s="101"/>
      <c r="B3902" s="36"/>
      <c r="C3902" s="98"/>
      <c r="D3902" s="98"/>
      <c r="E3902" s="98"/>
      <c r="F3902" s="102"/>
      <c r="G3902" s="103"/>
    </row>
    <row r="3903" spans="1:7" x14ac:dyDescent="0.25">
      <c r="A3903" s="101"/>
      <c r="B3903" s="36"/>
      <c r="C3903" s="98"/>
      <c r="D3903" s="98"/>
      <c r="E3903" s="98"/>
      <c r="F3903" s="102"/>
      <c r="G3903" s="103"/>
    </row>
    <row r="3904" spans="1:7" x14ac:dyDescent="0.25">
      <c r="A3904" s="101"/>
      <c r="B3904" s="36"/>
      <c r="C3904" s="98"/>
      <c r="D3904" s="98"/>
      <c r="E3904" s="98"/>
      <c r="F3904" s="102"/>
      <c r="G3904" s="103"/>
    </row>
    <row r="3905" spans="1:7" x14ac:dyDescent="0.25">
      <c r="A3905" s="101"/>
      <c r="B3905" s="36"/>
      <c r="C3905" s="98"/>
      <c r="D3905" s="98"/>
      <c r="E3905" s="98"/>
      <c r="F3905" s="102"/>
      <c r="G3905" s="103"/>
    </row>
    <row r="3906" spans="1:7" x14ac:dyDescent="0.25">
      <c r="A3906" s="101"/>
      <c r="B3906" s="36"/>
      <c r="C3906" s="98"/>
      <c r="D3906" s="98"/>
      <c r="E3906" s="98"/>
      <c r="F3906" s="102"/>
      <c r="G3906" s="103"/>
    </row>
    <row r="3907" spans="1:7" x14ac:dyDescent="0.25">
      <c r="A3907" s="101"/>
      <c r="B3907" s="36"/>
      <c r="C3907" s="98"/>
      <c r="D3907" s="98"/>
      <c r="E3907" s="98"/>
      <c r="F3907" s="102"/>
      <c r="G3907" s="103"/>
    </row>
    <row r="3908" spans="1:7" x14ac:dyDescent="0.25">
      <c r="A3908" s="101"/>
      <c r="B3908" s="36"/>
      <c r="C3908" s="98"/>
      <c r="D3908" s="98"/>
      <c r="E3908" s="98"/>
      <c r="F3908" s="102"/>
      <c r="G3908" s="103"/>
    </row>
    <row r="3909" spans="1:7" x14ac:dyDescent="0.25">
      <c r="A3909" s="101"/>
      <c r="B3909" s="36"/>
      <c r="C3909" s="98"/>
      <c r="D3909" s="98"/>
      <c r="E3909" s="98"/>
      <c r="F3909" s="102"/>
      <c r="G3909" s="103"/>
    </row>
    <row r="3910" spans="1:7" x14ac:dyDescent="0.25">
      <c r="A3910" s="101"/>
      <c r="B3910" s="36"/>
      <c r="C3910" s="98"/>
      <c r="D3910" s="98"/>
      <c r="E3910" s="98"/>
      <c r="F3910" s="102"/>
      <c r="G3910" s="103"/>
    </row>
    <row r="3911" spans="1:7" x14ac:dyDescent="0.25">
      <c r="A3911" s="101"/>
      <c r="B3911" s="36"/>
      <c r="C3911" s="98"/>
      <c r="D3911" s="98"/>
      <c r="E3911" s="98"/>
      <c r="F3911" s="102"/>
      <c r="G3911" s="103"/>
    </row>
    <row r="3912" spans="1:7" x14ac:dyDescent="0.25">
      <c r="A3912" s="101"/>
      <c r="B3912" s="36"/>
      <c r="C3912" s="98"/>
      <c r="D3912" s="98"/>
      <c r="E3912" s="98"/>
      <c r="F3912" s="102"/>
      <c r="G3912" s="103"/>
    </row>
    <row r="3913" spans="1:7" x14ac:dyDescent="0.25">
      <c r="A3913" s="101"/>
      <c r="B3913" s="36"/>
      <c r="C3913" s="98"/>
      <c r="D3913" s="98"/>
      <c r="E3913" s="98"/>
      <c r="F3913" s="102"/>
      <c r="G3913" s="103"/>
    </row>
    <row r="3914" spans="1:7" x14ac:dyDescent="0.25">
      <c r="A3914" s="101"/>
      <c r="B3914" s="36"/>
      <c r="C3914" s="98"/>
      <c r="D3914" s="98"/>
      <c r="E3914" s="98"/>
      <c r="F3914" s="102"/>
      <c r="G3914" s="103"/>
    </row>
    <row r="3915" spans="1:7" x14ac:dyDescent="0.25">
      <c r="A3915" s="101"/>
      <c r="B3915" s="36"/>
      <c r="C3915" s="98"/>
      <c r="D3915" s="98"/>
      <c r="E3915" s="98"/>
      <c r="F3915" s="102"/>
      <c r="G3915" s="103"/>
    </row>
    <row r="3916" spans="1:7" x14ac:dyDescent="0.25">
      <c r="A3916" s="101"/>
      <c r="B3916" s="36"/>
      <c r="C3916" s="98"/>
      <c r="D3916" s="98"/>
      <c r="E3916" s="98"/>
      <c r="F3916" s="102"/>
      <c r="G3916" s="103"/>
    </row>
    <row r="3917" spans="1:7" x14ac:dyDescent="0.25">
      <c r="A3917" s="101"/>
      <c r="B3917" s="36"/>
      <c r="C3917" s="98"/>
      <c r="D3917" s="98"/>
      <c r="E3917" s="98"/>
      <c r="F3917" s="102"/>
      <c r="G3917" s="103"/>
    </row>
    <row r="3918" spans="1:7" x14ac:dyDescent="0.25">
      <c r="A3918" s="101"/>
      <c r="B3918" s="36"/>
      <c r="C3918" s="98"/>
      <c r="D3918" s="98"/>
      <c r="E3918" s="98"/>
      <c r="F3918" s="102"/>
      <c r="G3918" s="103"/>
    </row>
    <row r="3919" spans="1:7" x14ac:dyDescent="0.25">
      <c r="A3919" s="101"/>
      <c r="B3919" s="36"/>
      <c r="C3919" s="98"/>
      <c r="D3919" s="98"/>
      <c r="E3919" s="98"/>
      <c r="F3919" s="102"/>
      <c r="G3919" s="103"/>
    </row>
    <row r="3920" spans="1:7" x14ac:dyDescent="0.25">
      <c r="A3920" s="101"/>
      <c r="B3920" s="36"/>
      <c r="C3920" s="98"/>
      <c r="D3920" s="98"/>
      <c r="E3920" s="98"/>
      <c r="F3920" s="102"/>
      <c r="G3920" s="103"/>
    </row>
    <row r="3921" spans="1:7" x14ac:dyDescent="0.25">
      <c r="A3921" s="101"/>
      <c r="B3921" s="36"/>
      <c r="C3921" s="98"/>
      <c r="D3921" s="98"/>
      <c r="E3921" s="98"/>
      <c r="F3921" s="102"/>
      <c r="G3921" s="103"/>
    </row>
    <row r="3922" spans="1:7" x14ac:dyDescent="0.25">
      <c r="A3922" s="101"/>
      <c r="B3922" s="36"/>
      <c r="C3922" s="98"/>
      <c r="D3922" s="98"/>
      <c r="E3922" s="98"/>
      <c r="F3922" s="102"/>
      <c r="G3922" s="103"/>
    </row>
    <row r="3923" spans="1:7" x14ac:dyDescent="0.25">
      <c r="A3923" s="101"/>
      <c r="B3923" s="36"/>
      <c r="C3923" s="98"/>
      <c r="D3923" s="98"/>
      <c r="E3923" s="98"/>
      <c r="F3923" s="102"/>
      <c r="G3923" s="103"/>
    </row>
    <row r="3924" spans="1:7" x14ac:dyDescent="0.25">
      <c r="A3924" s="101"/>
      <c r="B3924" s="36"/>
      <c r="C3924" s="98"/>
      <c r="D3924" s="98"/>
      <c r="E3924" s="98"/>
      <c r="F3924" s="102"/>
      <c r="G3924" s="103"/>
    </row>
    <row r="3925" spans="1:7" x14ac:dyDescent="0.25">
      <c r="A3925" s="101"/>
      <c r="B3925" s="36"/>
      <c r="C3925" s="98"/>
      <c r="D3925" s="98"/>
      <c r="E3925" s="98"/>
      <c r="F3925" s="102"/>
      <c r="G3925" s="103"/>
    </row>
    <row r="3926" spans="1:7" x14ac:dyDescent="0.25">
      <c r="A3926" s="101"/>
      <c r="B3926" s="36"/>
      <c r="C3926" s="98"/>
      <c r="D3926" s="98"/>
      <c r="E3926" s="98"/>
      <c r="F3926" s="102"/>
      <c r="G3926" s="103"/>
    </row>
    <row r="3927" spans="1:7" x14ac:dyDescent="0.25">
      <c r="A3927" s="101"/>
      <c r="B3927" s="36"/>
      <c r="C3927" s="98"/>
      <c r="D3927" s="98"/>
      <c r="E3927" s="98"/>
      <c r="F3927" s="102"/>
      <c r="G3927" s="103"/>
    </row>
    <row r="3928" spans="1:7" x14ac:dyDescent="0.25">
      <c r="A3928" s="101"/>
      <c r="B3928" s="36"/>
      <c r="C3928" s="98"/>
      <c r="D3928" s="98"/>
      <c r="E3928" s="98"/>
      <c r="F3928" s="102"/>
      <c r="G3928" s="103"/>
    </row>
    <row r="3929" spans="1:7" x14ac:dyDescent="0.25">
      <c r="A3929" s="101"/>
      <c r="B3929" s="36"/>
      <c r="C3929" s="98"/>
      <c r="D3929" s="98"/>
      <c r="E3929" s="98"/>
      <c r="F3929" s="102"/>
      <c r="G3929" s="103"/>
    </row>
    <row r="3930" spans="1:7" x14ac:dyDescent="0.25">
      <c r="A3930" s="101"/>
      <c r="B3930" s="36"/>
      <c r="C3930" s="98"/>
      <c r="D3930" s="98"/>
      <c r="E3930" s="98"/>
      <c r="F3930" s="102"/>
      <c r="G3930" s="103"/>
    </row>
    <row r="3931" spans="1:7" x14ac:dyDescent="0.25">
      <c r="A3931" s="101"/>
      <c r="B3931" s="36"/>
      <c r="C3931" s="98"/>
      <c r="D3931" s="98"/>
      <c r="E3931" s="98"/>
      <c r="F3931" s="102"/>
      <c r="G3931" s="103"/>
    </row>
    <row r="3932" spans="1:7" x14ac:dyDescent="0.25">
      <c r="A3932" s="101"/>
      <c r="B3932" s="36"/>
      <c r="C3932" s="98"/>
      <c r="D3932" s="98"/>
      <c r="E3932" s="98"/>
      <c r="F3932" s="102"/>
      <c r="G3932" s="103"/>
    </row>
    <row r="3933" spans="1:7" x14ac:dyDescent="0.25">
      <c r="A3933" s="101"/>
      <c r="B3933" s="36"/>
      <c r="C3933" s="98"/>
      <c r="D3933" s="98"/>
      <c r="E3933" s="98"/>
      <c r="F3933" s="102"/>
      <c r="G3933" s="103"/>
    </row>
    <row r="3934" spans="1:7" x14ac:dyDescent="0.25">
      <c r="A3934" s="101"/>
      <c r="B3934" s="36"/>
      <c r="C3934" s="98"/>
      <c r="D3934" s="98"/>
      <c r="E3934" s="98"/>
      <c r="F3934" s="102"/>
      <c r="G3934" s="103"/>
    </row>
    <row r="3935" spans="1:7" x14ac:dyDescent="0.25">
      <c r="A3935" s="101"/>
      <c r="B3935" s="36"/>
      <c r="C3935" s="98"/>
      <c r="D3935" s="98"/>
      <c r="E3935" s="98"/>
      <c r="F3935" s="102"/>
      <c r="G3935" s="103"/>
    </row>
    <row r="3936" spans="1:7" x14ac:dyDescent="0.25">
      <c r="A3936" s="101"/>
      <c r="B3936" s="36"/>
      <c r="C3936" s="98"/>
      <c r="D3936" s="98"/>
      <c r="E3936" s="98"/>
      <c r="F3936" s="102"/>
      <c r="G3936" s="103"/>
    </row>
    <row r="3937" spans="1:7" x14ac:dyDescent="0.25">
      <c r="A3937" s="101"/>
      <c r="B3937" s="36"/>
      <c r="C3937" s="98"/>
      <c r="D3937" s="98"/>
      <c r="E3937" s="98"/>
      <c r="F3937" s="102"/>
      <c r="G3937" s="103"/>
    </row>
    <row r="3938" spans="1:7" x14ac:dyDescent="0.25">
      <c r="A3938" s="101"/>
      <c r="B3938" s="36"/>
      <c r="C3938" s="98"/>
      <c r="D3938" s="98"/>
      <c r="E3938" s="98"/>
      <c r="F3938" s="102"/>
      <c r="G3938" s="103"/>
    </row>
    <row r="3939" spans="1:7" x14ac:dyDescent="0.25">
      <c r="A3939" s="101"/>
      <c r="B3939" s="36"/>
      <c r="C3939" s="98"/>
      <c r="D3939" s="98"/>
      <c r="E3939" s="98"/>
      <c r="F3939" s="102"/>
      <c r="G3939" s="103"/>
    </row>
    <row r="3940" spans="1:7" x14ac:dyDescent="0.25">
      <c r="A3940" s="101"/>
      <c r="B3940" s="36"/>
      <c r="C3940" s="98"/>
      <c r="D3940" s="98"/>
      <c r="E3940" s="98"/>
      <c r="F3940" s="102"/>
      <c r="G3940" s="103"/>
    </row>
    <row r="3941" spans="1:7" x14ac:dyDescent="0.25">
      <c r="A3941" s="101"/>
      <c r="B3941" s="36"/>
      <c r="C3941" s="98"/>
      <c r="D3941" s="98"/>
      <c r="E3941" s="98"/>
      <c r="F3941" s="102"/>
      <c r="G3941" s="103"/>
    </row>
    <row r="3942" spans="1:7" x14ac:dyDescent="0.25">
      <c r="A3942" s="101"/>
      <c r="B3942" s="36"/>
      <c r="C3942" s="98"/>
      <c r="D3942" s="98"/>
      <c r="E3942" s="98"/>
      <c r="F3942" s="102"/>
      <c r="G3942" s="103"/>
    </row>
    <row r="3943" spans="1:7" x14ac:dyDescent="0.25">
      <c r="A3943" s="101"/>
      <c r="B3943" s="36"/>
      <c r="C3943" s="98"/>
      <c r="D3943" s="98"/>
      <c r="E3943" s="98"/>
      <c r="F3943" s="102"/>
      <c r="G3943" s="103"/>
    </row>
    <row r="3944" spans="1:7" x14ac:dyDescent="0.25">
      <c r="A3944" s="101"/>
      <c r="B3944" s="36"/>
      <c r="C3944" s="98"/>
      <c r="D3944" s="98"/>
      <c r="E3944" s="98"/>
      <c r="F3944" s="102"/>
      <c r="G3944" s="103"/>
    </row>
    <row r="3945" spans="1:7" x14ac:dyDescent="0.25">
      <c r="A3945" s="101"/>
      <c r="B3945" s="36"/>
      <c r="C3945" s="98"/>
      <c r="D3945" s="98"/>
      <c r="E3945" s="98"/>
      <c r="F3945" s="102"/>
      <c r="G3945" s="103"/>
    </row>
    <row r="3946" spans="1:7" x14ac:dyDescent="0.25">
      <c r="A3946" s="101"/>
      <c r="B3946" s="36"/>
      <c r="C3946" s="98"/>
      <c r="D3946" s="98"/>
      <c r="E3946" s="98"/>
      <c r="F3946" s="102"/>
      <c r="G3946" s="103"/>
    </row>
    <row r="3947" spans="1:7" x14ac:dyDescent="0.25">
      <c r="A3947" s="101"/>
      <c r="B3947" s="36"/>
      <c r="C3947" s="98"/>
      <c r="D3947" s="98"/>
      <c r="E3947" s="98"/>
      <c r="F3947" s="102"/>
      <c r="G3947" s="103"/>
    </row>
    <row r="3948" spans="1:7" x14ac:dyDescent="0.25">
      <c r="A3948" s="101"/>
      <c r="B3948" s="36"/>
      <c r="C3948" s="98"/>
      <c r="D3948" s="98"/>
      <c r="E3948" s="98"/>
      <c r="F3948" s="102"/>
      <c r="G3948" s="103"/>
    </row>
    <row r="3949" spans="1:7" x14ac:dyDescent="0.25">
      <c r="A3949" s="101"/>
      <c r="B3949" s="36"/>
      <c r="C3949" s="98"/>
      <c r="D3949" s="98"/>
      <c r="E3949" s="98"/>
      <c r="F3949" s="102"/>
      <c r="G3949" s="103"/>
    </row>
    <row r="3950" spans="1:7" x14ac:dyDescent="0.25">
      <c r="A3950" s="101"/>
      <c r="B3950" s="36"/>
      <c r="C3950" s="98"/>
      <c r="D3950" s="98"/>
      <c r="E3950" s="98"/>
      <c r="F3950" s="102"/>
      <c r="G3950" s="103"/>
    </row>
    <row r="3951" spans="1:7" x14ac:dyDescent="0.25">
      <c r="A3951" s="101"/>
      <c r="B3951" s="36"/>
      <c r="C3951" s="98"/>
      <c r="D3951" s="98"/>
      <c r="E3951" s="98"/>
      <c r="F3951" s="102"/>
      <c r="G3951" s="103"/>
    </row>
    <row r="3952" spans="1:7" x14ac:dyDescent="0.25">
      <c r="A3952" s="101"/>
      <c r="B3952" s="36"/>
      <c r="C3952" s="98"/>
      <c r="D3952" s="98"/>
      <c r="E3952" s="98"/>
      <c r="F3952" s="102"/>
      <c r="G3952" s="103"/>
    </row>
    <row r="3953" spans="1:7" x14ac:dyDescent="0.25">
      <c r="A3953" s="101"/>
      <c r="B3953" s="36"/>
      <c r="C3953" s="98"/>
      <c r="D3953" s="98"/>
      <c r="E3953" s="98"/>
      <c r="F3953" s="102"/>
      <c r="G3953" s="103"/>
    </row>
    <row r="3954" spans="1:7" x14ac:dyDescent="0.25">
      <c r="A3954" s="101"/>
      <c r="B3954" s="36"/>
      <c r="C3954" s="98"/>
      <c r="D3954" s="98"/>
      <c r="E3954" s="98"/>
      <c r="F3954" s="102"/>
      <c r="G3954" s="103"/>
    </row>
    <row r="3955" spans="1:7" x14ac:dyDescent="0.25">
      <c r="A3955" s="101"/>
      <c r="B3955" s="36"/>
      <c r="C3955" s="98"/>
      <c r="D3955" s="98"/>
      <c r="E3955" s="98"/>
      <c r="F3955" s="102"/>
      <c r="G3955" s="103"/>
    </row>
    <row r="3956" spans="1:7" x14ac:dyDescent="0.25">
      <c r="A3956" s="101"/>
      <c r="B3956" s="36"/>
      <c r="C3956" s="98"/>
      <c r="D3956" s="98"/>
      <c r="E3956" s="98"/>
      <c r="F3956" s="102"/>
      <c r="G3956" s="103"/>
    </row>
    <row r="3957" spans="1:7" x14ac:dyDescent="0.25">
      <c r="A3957" s="101"/>
      <c r="B3957" s="36"/>
      <c r="C3957" s="98"/>
      <c r="D3957" s="98"/>
      <c r="E3957" s="98"/>
      <c r="F3957" s="102"/>
      <c r="G3957" s="103"/>
    </row>
    <row r="3958" spans="1:7" x14ac:dyDescent="0.25">
      <c r="A3958" s="101"/>
      <c r="B3958" s="36"/>
      <c r="C3958" s="98"/>
      <c r="D3958" s="98"/>
      <c r="E3958" s="98"/>
      <c r="F3958" s="102"/>
      <c r="G3958" s="103"/>
    </row>
    <row r="3959" spans="1:7" x14ac:dyDescent="0.25">
      <c r="A3959" s="101"/>
      <c r="B3959" s="36"/>
      <c r="C3959" s="98"/>
      <c r="D3959" s="98"/>
      <c r="E3959" s="98"/>
      <c r="F3959" s="102"/>
      <c r="G3959" s="103"/>
    </row>
    <row r="3960" spans="1:7" x14ac:dyDescent="0.25">
      <c r="A3960" s="101"/>
      <c r="B3960" s="36"/>
      <c r="C3960" s="98"/>
      <c r="D3960" s="98"/>
      <c r="E3960" s="98"/>
      <c r="F3960" s="102"/>
      <c r="G3960" s="103"/>
    </row>
    <row r="3961" spans="1:7" x14ac:dyDescent="0.25">
      <c r="A3961" s="101"/>
      <c r="B3961" s="36"/>
      <c r="C3961" s="98"/>
      <c r="D3961" s="98"/>
      <c r="E3961" s="98"/>
      <c r="F3961" s="102"/>
      <c r="G3961" s="103"/>
    </row>
    <row r="3962" spans="1:7" x14ac:dyDescent="0.25">
      <c r="A3962" s="101"/>
      <c r="B3962" s="36"/>
      <c r="C3962" s="98"/>
      <c r="D3962" s="98"/>
      <c r="E3962" s="98"/>
      <c r="F3962" s="102"/>
      <c r="G3962" s="103"/>
    </row>
    <row r="3963" spans="1:7" x14ac:dyDescent="0.25">
      <c r="A3963" s="101"/>
      <c r="B3963" s="36"/>
      <c r="C3963" s="98"/>
      <c r="D3963" s="98"/>
      <c r="E3963" s="98"/>
      <c r="F3963" s="102"/>
      <c r="G3963" s="103"/>
    </row>
    <row r="3964" spans="1:7" x14ac:dyDescent="0.25">
      <c r="A3964" s="101"/>
      <c r="B3964" s="36"/>
      <c r="C3964" s="98"/>
      <c r="D3964" s="98"/>
      <c r="E3964" s="98"/>
      <c r="F3964" s="102"/>
      <c r="G3964" s="103"/>
    </row>
    <row r="3965" spans="1:7" x14ac:dyDescent="0.25">
      <c r="A3965" s="101"/>
      <c r="B3965" s="36"/>
      <c r="C3965" s="98"/>
      <c r="D3965" s="98"/>
      <c r="E3965" s="98"/>
      <c r="F3965" s="102"/>
      <c r="G3965" s="103"/>
    </row>
    <row r="3966" spans="1:7" x14ac:dyDescent="0.25">
      <c r="A3966" s="101"/>
      <c r="B3966" s="36"/>
      <c r="C3966" s="98"/>
      <c r="D3966" s="98"/>
      <c r="E3966" s="98"/>
      <c r="F3966" s="102"/>
      <c r="G3966" s="103"/>
    </row>
    <row r="3967" spans="1:7" x14ac:dyDescent="0.25">
      <c r="A3967" s="101"/>
      <c r="B3967" s="36"/>
      <c r="C3967" s="98"/>
      <c r="D3967" s="98"/>
      <c r="E3967" s="98"/>
      <c r="F3967" s="102"/>
      <c r="G3967" s="103"/>
    </row>
    <row r="3968" spans="1:7" x14ac:dyDescent="0.25">
      <c r="A3968" s="101"/>
      <c r="B3968" s="36"/>
      <c r="C3968" s="98"/>
      <c r="D3968" s="98"/>
      <c r="E3968" s="98"/>
      <c r="F3968" s="102"/>
      <c r="G3968" s="103"/>
    </row>
    <row r="3969" spans="1:7" x14ac:dyDescent="0.25">
      <c r="A3969" s="101"/>
      <c r="B3969" s="36"/>
      <c r="C3969" s="98"/>
      <c r="D3969" s="98"/>
      <c r="E3969" s="98"/>
      <c r="F3969" s="102"/>
      <c r="G3969" s="103"/>
    </row>
    <row r="3970" spans="1:7" x14ac:dyDescent="0.25">
      <c r="A3970" s="101"/>
      <c r="B3970" s="36"/>
      <c r="C3970" s="98"/>
      <c r="D3970" s="98"/>
      <c r="E3970" s="98"/>
      <c r="F3970" s="102"/>
      <c r="G3970" s="103"/>
    </row>
    <row r="3971" spans="1:7" x14ac:dyDescent="0.25">
      <c r="A3971" s="101"/>
      <c r="B3971" s="36"/>
      <c r="C3971" s="98"/>
      <c r="D3971" s="98"/>
      <c r="E3971" s="98"/>
      <c r="F3971" s="102"/>
      <c r="G3971" s="103"/>
    </row>
    <row r="3972" spans="1:7" x14ac:dyDescent="0.25">
      <c r="A3972" s="101"/>
      <c r="B3972" s="36"/>
      <c r="C3972" s="98"/>
      <c r="D3972" s="98"/>
      <c r="E3972" s="98"/>
      <c r="F3972" s="102"/>
      <c r="G3972" s="103"/>
    </row>
    <row r="3973" spans="1:7" x14ac:dyDescent="0.25">
      <c r="A3973" s="101"/>
      <c r="B3973" s="36"/>
      <c r="C3973" s="98"/>
      <c r="D3973" s="98"/>
      <c r="E3973" s="98"/>
      <c r="F3973" s="102"/>
      <c r="G3973" s="103"/>
    </row>
    <row r="3974" spans="1:7" x14ac:dyDescent="0.25">
      <c r="A3974" s="101"/>
      <c r="B3974" s="36"/>
      <c r="C3974" s="98"/>
      <c r="D3974" s="98"/>
      <c r="E3974" s="98"/>
      <c r="F3974" s="102"/>
      <c r="G3974" s="103"/>
    </row>
    <row r="3975" spans="1:7" x14ac:dyDescent="0.25">
      <c r="A3975" s="101"/>
      <c r="B3975" s="36"/>
      <c r="C3975" s="98"/>
      <c r="D3975" s="98"/>
      <c r="E3975" s="98"/>
      <c r="F3975" s="102"/>
      <c r="G3975" s="103"/>
    </row>
    <row r="3976" spans="1:7" x14ac:dyDescent="0.25">
      <c r="A3976" s="101"/>
      <c r="B3976" s="36"/>
      <c r="C3976" s="98"/>
      <c r="D3976" s="98"/>
      <c r="E3976" s="98"/>
      <c r="F3976" s="102"/>
      <c r="G3976" s="103"/>
    </row>
    <row r="3977" spans="1:7" x14ac:dyDescent="0.25">
      <c r="A3977" s="101"/>
      <c r="B3977" s="36"/>
      <c r="C3977" s="98"/>
      <c r="D3977" s="98"/>
      <c r="E3977" s="98"/>
      <c r="F3977" s="102"/>
      <c r="G3977" s="103"/>
    </row>
    <row r="3978" spans="1:7" x14ac:dyDescent="0.25">
      <c r="A3978" s="101"/>
      <c r="B3978" s="36"/>
      <c r="C3978" s="98"/>
      <c r="D3978" s="98"/>
      <c r="E3978" s="98"/>
      <c r="F3978" s="102"/>
      <c r="G3978" s="103"/>
    </row>
    <row r="3979" spans="1:7" x14ac:dyDescent="0.25">
      <c r="A3979" s="101"/>
      <c r="B3979" s="36"/>
      <c r="C3979" s="98"/>
      <c r="D3979" s="98"/>
      <c r="E3979" s="98"/>
      <c r="F3979" s="102"/>
      <c r="G3979" s="103"/>
    </row>
    <row r="3980" spans="1:7" x14ac:dyDescent="0.25">
      <c r="A3980" s="101"/>
      <c r="B3980" s="36"/>
      <c r="C3980" s="98"/>
      <c r="D3980" s="98"/>
      <c r="E3980" s="98"/>
      <c r="F3980" s="102"/>
      <c r="G3980" s="103"/>
    </row>
    <row r="3981" spans="1:7" x14ac:dyDescent="0.25">
      <c r="A3981" s="101"/>
      <c r="B3981" s="36"/>
      <c r="C3981" s="98"/>
      <c r="D3981" s="98"/>
      <c r="E3981" s="98"/>
      <c r="F3981" s="102"/>
      <c r="G3981" s="103"/>
    </row>
    <row r="3982" spans="1:7" x14ac:dyDescent="0.25">
      <c r="A3982" s="101"/>
      <c r="B3982" s="36"/>
      <c r="C3982" s="98"/>
      <c r="D3982" s="98"/>
      <c r="E3982" s="98"/>
      <c r="F3982" s="102"/>
      <c r="G3982" s="103"/>
    </row>
    <row r="3983" spans="1:7" x14ac:dyDescent="0.25">
      <c r="A3983" s="101"/>
      <c r="B3983" s="36"/>
      <c r="C3983" s="98"/>
      <c r="D3983" s="98"/>
      <c r="E3983" s="98"/>
      <c r="F3983" s="102"/>
      <c r="G3983" s="103"/>
    </row>
    <row r="3984" spans="1:7" x14ac:dyDescent="0.25">
      <c r="A3984" s="101"/>
      <c r="B3984" s="36"/>
      <c r="C3984" s="98"/>
      <c r="D3984" s="98"/>
      <c r="E3984" s="98"/>
      <c r="F3984" s="102"/>
      <c r="G3984" s="103"/>
    </row>
    <row r="3985" spans="1:7" x14ac:dyDescent="0.25">
      <c r="A3985" s="101"/>
      <c r="B3985" s="36"/>
      <c r="C3985" s="98"/>
      <c r="D3985" s="98"/>
      <c r="E3985" s="98"/>
      <c r="F3985" s="102"/>
      <c r="G3985" s="103"/>
    </row>
    <row r="3986" spans="1:7" x14ac:dyDescent="0.25">
      <c r="A3986" s="101"/>
      <c r="B3986" s="36"/>
      <c r="C3986" s="98"/>
      <c r="D3986" s="98"/>
      <c r="E3986" s="98"/>
      <c r="F3986" s="102"/>
      <c r="G3986" s="103"/>
    </row>
    <row r="3987" spans="1:7" x14ac:dyDescent="0.25">
      <c r="A3987" s="101"/>
      <c r="B3987" s="66"/>
      <c r="C3987" s="98"/>
      <c r="D3987" s="98"/>
      <c r="E3987" s="98"/>
      <c r="F3987" s="102"/>
      <c r="G3987" s="103"/>
    </row>
    <row r="3988" spans="1:7" x14ac:dyDescent="0.25">
      <c r="A3988" s="101"/>
      <c r="B3988" s="36"/>
      <c r="C3988" s="98"/>
      <c r="D3988" s="98"/>
      <c r="E3988" s="98"/>
      <c r="F3988" s="102"/>
      <c r="G3988" s="103"/>
    </row>
    <row r="3989" spans="1:7" x14ac:dyDescent="0.25">
      <c r="A3989" s="101"/>
      <c r="B3989" s="36"/>
      <c r="C3989" s="98"/>
      <c r="D3989" s="98"/>
      <c r="E3989" s="98"/>
      <c r="F3989" s="102"/>
      <c r="G3989" s="103"/>
    </row>
    <row r="3990" spans="1:7" x14ac:dyDescent="0.25">
      <c r="A3990" s="101"/>
      <c r="B3990" s="36"/>
      <c r="C3990" s="98"/>
      <c r="D3990" s="98"/>
      <c r="E3990" s="98"/>
      <c r="F3990" s="102"/>
      <c r="G3990" s="103"/>
    </row>
    <row r="3991" spans="1:7" x14ac:dyDescent="0.25">
      <c r="A3991" s="101"/>
      <c r="B3991" s="36"/>
      <c r="C3991" s="98"/>
      <c r="D3991" s="98"/>
      <c r="E3991" s="98"/>
      <c r="F3991" s="102"/>
      <c r="G3991" s="103"/>
    </row>
    <row r="3992" spans="1:7" x14ac:dyDescent="0.25">
      <c r="A3992" s="101"/>
      <c r="B3992" s="36"/>
      <c r="C3992" s="98"/>
      <c r="D3992" s="98"/>
      <c r="E3992" s="98"/>
      <c r="F3992" s="102"/>
      <c r="G3992" s="103"/>
    </row>
    <row r="3993" spans="1:7" x14ac:dyDescent="0.25">
      <c r="A3993" s="101"/>
      <c r="B3993" s="36"/>
      <c r="C3993" s="98"/>
      <c r="D3993" s="98"/>
      <c r="E3993" s="98"/>
      <c r="F3993" s="102"/>
      <c r="G3993" s="103"/>
    </row>
    <row r="3994" spans="1:7" x14ac:dyDescent="0.25">
      <c r="A3994" s="101"/>
      <c r="B3994" s="36"/>
      <c r="C3994" s="98"/>
      <c r="D3994" s="98"/>
      <c r="E3994" s="98"/>
      <c r="F3994" s="102"/>
      <c r="G3994" s="103"/>
    </row>
    <row r="3995" spans="1:7" x14ac:dyDescent="0.25">
      <c r="A3995" s="101"/>
      <c r="B3995" s="36"/>
      <c r="C3995" s="98"/>
      <c r="D3995" s="98"/>
      <c r="E3995" s="98"/>
      <c r="F3995" s="102"/>
      <c r="G3995" s="103"/>
    </row>
    <row r="3996" spans="1:7" x14ac:dyDescent="0.25">
      <c r="A3996" s="101"/>
      <c r="B3996" s="36"/>
      <c r="C3996" s="98"/>
      <c r="D3996" s="98"/>
      <c r="E3996" s="98"/>
      <c r="F3996" s="102"/>
      <c r="G3996" s="103"/>
    </row>
    <row r="3997" spans="1:7" x14ac:dyDescent="0.25">
      <c r="A3997" s="101"/>
      <c r="B3997" s="36"/>
      <c r="C3997" s="98"/>
      <c r="D3997" s="98"/>
      <c r="E3997" s="98"/>
      <c r="F3997" s="102"/>
      <c r="G3997" s="103"/>
    </row>
    <row r="3998" spans="1:7" x14ac:dyDescent="0.25">
      <c r="A3998" s="101"/>
      <c r="B3998" s="36"/>
      <c r="C3998" s="98"/>
      <c r="D3998" s="98"/>
      <c r="E3998" s="98"/>
      <c r="F3998" s="102"/>
      <c r="G3998" s="103"/>
    </row>
    <row r="3999" spans="1:7" x14ac:dyDescent="0.25">
      <c r="A3999" s="101"/>
      <c r="B3999" s="36"/>
      <c r="C3999" s="98"/>
      <c r="D3999" s="98"/>
      <c r="E3999" s="98"/>
      <c r="F3999" s="102"/>
      <c r="G3999" s="103"/>
    </row>
    <row r="4000" spans="1:7" x14ac:dyDescent="0.25">
      <c r="A4000" s="101"/>
      <c r="B4000" s="36"/>
      <c r="C4000" s="98"/>
      <c r="D4000" s="98"/>
      <c r="E4000" s="98"/>
      <c r="F4000" s="102"/>
      <c r="G4000" s="103"/>
    </row>
    <row r="4001" spans="1:7" x14ac:dyDescent="0.25">
      <c r="A4001" s="101"/>
      <c r="B4001" s="36"/>
      <c r="C4001" s="98"/>
      <c r="D4001" s="98"/>
      <c r="E4001" s="98"/>
      <c r="F4001" s="102"/>
      <c r="G4001" s="103"/>
    </row>
    <row r="4002" spans="1:7" x14ac:dyDescent="0.25">
      <c r="A4002" s="101"/>
      <c r="B4002" s="36"/>
      <c r="C4002" s="98"/>
      <c r="D4002" s="98"/>
      <c r="E4002" s="98"/>
      <c r="F4002" s="102"/>
      <c r="G4002" s="103"/>
    </row>
    <row r="4003" spans="1:7" x14ac:dyDescent="0.25">
      <c r="A4003" s="101"/>
      <c r="B4003" s="36"/>
      <c r="C4003" s="98"/>
      <c r="D4003" s="98"/>
      <c r="E4003" s="98"/>
      <c r="F4003" s="102"/>
      <c r="G4003" s="103"/>
    </row>
    <row r="4004" spans="1:7" x14ac:dyDescent="0.25">
      <c r="A4004" s="101"/>
      <c r="B4004" s="36"/>
      <c r="C4004" s="98"/>
      <c r="D4004" s="98"/>
      <c r="E4004" s="98"/>
      <c r="F4004" s="102"/>
      <c r="G4004" s="103"/>
    </row>
    <row r="4005" spans="1:7" x14ac:dyDescent="0.25">
      <c r="A4005" s="101"/>
      <c r="B4005" s="36"/>
      <c r="C4005" s="98"/>
      <c r="D4005" s="98"/>
      <c r="E4005" s="98"/>
      <c r="F4005" s="102"/>
      <c r="G4005" s="103"/>
    </row>
    <row r="4006" spans="1:7" x14ac:dyDescent="0.25">
      <c r="A4006" s="101"/>
      <c r="B4006" s="36"/>
      <c r="C4006" s="98"/>
      <c r="D4006" s="98"/>
      <c r="E4006" s="98"/>
      <c r="F4006" s="102"/>
      <c r="G4006" s="103"/>
    </row>
    <row r="4007" spans="1:7" x14ac:dyDescent="0.25">
      <c r="A4007" s="101"/>
      <c r="B4007" s="36"/>
      <c r="C4007" s="98"/>
      <c r="D4007" s="98"/>
      <c r="E4007" s="98"/>
      <c r="F4007" s="102"/>
      <c r="G4007" s="103"/>
    </row>
    <row r="4008" spans="1:7" x14ac:dyDescent="0.25">
      <c r="A4008" s="101"/>
      <c r="B4008" s="36"/>
      <c r="C4008" s="98"/>
      <c r="D4008" s="98"/>
      <c r="E4008" s="98"/>
      <c r="F4008" s="102"/>
      <c r="G4008" s="103"/>
    </row>
    <row r="4009" spans="1:7" x14ac:dyDescent="0.25">
      <c r="A4009" s="101"/>
      <c r="B4009" s="36"/>
      <c r="C4009" s="98"/>
      <c r="D4009" s="98"/>
      <c r="E4009" s="98"/>
      <c r="F4009" s="102"/>
      <c r="G4009" s="103"/>
    </row>
    <row r="4010" spans="1:7" x14ac:dyDescent="0.25">
      <c r="A4010" s="101"/>
      <c r="B4010" s="36"/>
      <c r="C4010" s="98"/>
      <c r="D4010" s="98"/>
      <c r="E4010" s="98"/>
      <c r="F4010" s="102"/>
      <c r="G4010" s="103"/>
    </row>
    <row r="4011" spans="1:7" x14ac:dyDescent="0.25">
      <c r="A4011" s="101"/>
      <c r="B4011" s="36"/>
      <c r="C4011" s="98"/>
      <c r="D4011" s="98"/>
      <c r="E4011" s="98"/>
      <c r="F4011" s="102"/>
      <c r="G4011" s="103"/>
    </row>
    <row r="4012" spans="1:7" x14ac:dyDescent="0.25">
      <c r="A4012" s="101"/>
      <c r="B4012" s="36"/>
      <c r="C4012" s="98"/>
      <c r="D4012" s="98"/>
      <c r="E4012" s="98"/>
      <c r="F4012" s="102"/>
      <c r="G4012" s="103"/>
    </row>
    <row r="4013" spans="1:7" x14ac:dyDescent="0.25">
      <c r="A4013" s="101"/>
      <c r="B4013" s="36"/>
      <c r="C4013" s="98"/>
      <c r="D4013" s="98"/>
      <c r="E4013" s="98"/>
      <c r="F4013" s="102"/>
      <c r="G4013" s="103"/>
    </row>
    <row r="4014" spans="1:7" x14ac:dyDescent="0.25">
      <c r="A4014" s="101"/>
      <c r="B4014" s="36"/>
      <c r="C4014" s="98"/>
      <c r="D4014" s="98"/>
      <c r="E4014" s="98"/>
      <c r="F4014" s="102"/>
      <c r="G4014" s="103"/>
    </row>
    <row r="4015" spans="1:7" x14ac:dyDescent="0.25">
      <c r="A4015" s="101"/>
      <c r="B4015" s="36"/>
      <c r="C4015" s="98"/>
      <c r="D4015" s="98"/>
      <c r="E4015" s="98"/>
      <c r="F4015" s="102"/>
      <c r="G4015" s="103"/>
    </row>
    <row r="4016" spans="1:7" x14ac:dyDescent="0.25">
      <c r="A4016" s="101"/>
      <c r="B4016" s="66"/>
      <c r="C4016" s="98"/>
      <c r="D4016" s="98"/>
      <c r="E4016" s="98"/>
      <c r="F4016" s="102"/>
      <c r="G4016" s="103"/>
    </row>
    <row r="4017" spans="1:7" x14ac:dyDescent="0.25">
      <c r="A4017" s="101"/>
      <c r="B4017" s="36"/>
      <c r="C4017" s="98"/>
      <c r="D4017" s="98"/>
      <c r="E4017" s="98"/>
      <c r="F4017" s="102"/>
      <c r="G4017" s="103"/>
    </row>
    <row r="4018" spans="1:7" x14ac:dyDescent="0.25">
      <c r="A4018" s="101"/>
      <c r="B4018" s="36"/>
      <c r="C4018" s="98"/>
      <c r="D4018" s="98"/>
      <c r="E4018" s="98"/>
      <c r="F4018" s="102"/>
      <c r="G4018" s="103"/>
    </row>
    <row r="4019" spans="1:7" x14ac:dyDescent="0.25">
      <c r="A4019" s="101"/>
      <c r="B4019" s="36"/>
      <c r="C4019" s="98"/>
      <c r="D4019" s="98"/>
      <c r="E4019" s="98"/>
      <c r="F4019" s="102"/>
      <c r="G4019" s="103"/>
    </row>
    <row r="4020" spans="1:7" x14ac:dyDescent="0.25">
      <c r="A4020" s="101"/>
      <c r="B4020" s="36"/>
      <c r="C4020" s="98"/>
      <c r="D4020" s="98"/>
      <c r="E4020" s="98"/>
      <c r="F4020" s="102"/>
      <c r="G4020" s="103"/>
    </row>
    <row r="4021" spans="1:7" x14ac:dyDescent="0.25">
      <c r="A4021" s="101"/>
      <c r="B4021" s="36"/>
      <c r="C4021" s="98"/>
      <c r="D4021" s="98"/>
      <c r="E4021" s="98"/>
      <c r="F4021" s="102"/>
      <c r="G4021" s="103"/>
    </row>
    <row r="4022" spans="1:7" x14ac:dyDescent="0.25">
      <c r="A4022" s="101"/>
      <c r="B4022" s="36"/>
      <c r="C4022" s="98"/>
      <c r="D4022" s="98"/>
      <c r="E4022" s="98"/>
      <c r="F4022" s="102"/>
      <c r="G4022" s="103"/>
    </row>
    <row r="4023" spans="1:7" x14ac:dyDescent="0.25">
      <c r="A4023" s="101"/>
      <c r="B4023" s="36"/>
      <c r="C4023" s="98"/>
      <c r="D4023" s="98"/>
      <c r="E4023" s="98"/>
      <c r="F4023" s="102"/>
      <c r="G4023" s="103"/>
    </row>
    <row r="4024" spans="1:7" x14ac:dyDescent="0.25">
      <c r="A4024" s="101"/>
      <c r="B4024" s="36"/>
      <c r="C4024" s="98"/>
      <c r="D4024" s="98"/>
      <c r="E4024" s="98"/>
      <c r="F4024" s="102"/>
      <c r="G4024" s="103"/>
    </row>
    <row r="4025" spans="1:7" x14ac:dyDescent="0.25">
      <c r="A4025" s="101"/>
      <c r="B4025" s="36"/>
      <c r="C4025" s="98"/>
      <c r="D4025" s="98"/>
      <c r="E4025" s="98"/>
      <c r="F4025" s="102"/>
      <c r="G4025" s="103"/>
    </row>
    <row r="4026" spans="1:7" x14ac:dyDescent="0.25">
      <c r="A4026" s="101"/>
      <c r="B4026" s="36"/>
      <c r="C4026" s="98"/>
      <c r="D4026" s="98"/>
      <c r="E4026" s="98"/>
      <c r="F4026" s="102"/>
      <c r="G4026" s="103"/>
    </row>
    <row r="4027" spans="1:7" x14ac:dyDescent="0.25">
      <c r="A4027" s="101"/>
      <c r="B4027" s="36"/>
      <c r="C4027" s="98"/>
      <c r="D4027" s="98"/>
      <c r="E4027" s="98"/>
      <c r="F4027" s="102"/>
      <c r="G4027" s="103"/>
    </row>
    <row r="4028" spans="1:7" x14ac:dyDescent="0.25">
      <c r="A4028" s="101"/>
      <c r="B4028" s="36"/>
      <c r="C4028" s="98"/>
      <c r="D4028" s="98"/>
      <c r="E4028" s="98"/>
      <c r="F4028" s="102"/>
      <c r="G4028" s="103"/>
    </row>
    <row r="4029" spans="1:7" x14ac:dyDescent="0.25">
      <c r="A4029" s="101"/>
      <c r="B4029" s="36"/>
      <c r="C4029" s="98"/>
      <c r="D4029" s="98"/>
      <c r="E4029" s="98"/>
      <c r="F4029" s="102"/>
      <c r="G4029" s="103"/>
    </row>
    <row r="4030" spans="1:7" x14ac:dyDescent="0.25">
      <c r="A4030" s="101"/>
      <c r="B4030" s="36"/>
      <c r="C4030" s="98"/>
      <c r="D4030" s="98"/>
      <c r="E4030" s="98"/>
      <c r="F4030" s="102"/>
      <c r="G4030" s="103"/>
    </row>
    <row r="4031" spans="1:7" x14ac:dyDescent="0.25">
      <c r="A4031" s="101"/>
      <c r="B4031" s="36"/>
      <c r="C4031" s="98"/>
      <c r="D4031" s="98"/>
      <c r="E4031" s="98"/>
      <c r="F4031" s="102"/>
      <c r="G4031" s="103"/>
    </row>
    <row r="4032" spans="1:7" x14ac:dyDescent="0.25">
      <c r="A4032" s="101"/>
      <c r="B4032" s="36"/>
      <c r="C4032" s="98"/>
      <c r="D4032" s="98"/>
      <c r="E4032" s="98"/>
      <c r="F4032" s="102"/>
      <c r="G4032" s="103"/>
    </row>
    <row r="4033" spans="1:7" x14ac:dyDescent="0.25">
      <c r="A4033" s="101"/>
      <c r="B4033" s="36"/>
      <c r="C4033" s="98"/>
      <c r="D4033" s="98"/>
      <c r="E4033" s="98"/>
      <c r="F4033" s="102"/>
      <c r="G4033" s="103"/>
    </row>
    <row r="4034" spans="1:7" x14ac:dyDescent="0.25">
      <c r="A4034" s="101"/>
      <c r="B4034" s="36"/>
      <c r="C4034" s="98"/>
      <c r="D4034" s="98"/>
      <c r="E4034" s="98"/>
      <c r="F4034" s="102"/>
      <c r="G4034" s="103"/>
    </row>
    <row r="4035" spans="1:7" x14ac:dyDescent="0.25">
      <c r="A4035" s="101"/>
      <c r="B4035" s="36"/>
      <c r="C4035" s="98"/>
      <c r="D4035" s="98"/>
      <c r="E4035" s="98"/>
      <c r="F4035" s="102"/>
      <c r="G4035" s="103"/>
    </row>
    <row r="4036" spans="1:7" x14ac:dyDescent="0.25">
      <c r="A4036" s="101"/>
      <c r="B4036" s="36"/>
      <c r="C4036" s="98"/>
      <c r="D4036" s="98"/>
      <c r="E4036" s="98"/>
      <c r="F4036" s="102"/>
      <c r="G4036" s="103"/>
    </row>
    <row r="4037" spans="1:7" x14ac:dyDescent="0.25">
      <c r="A4037" s="101"/>
      <c r="B4037" s="36"/>
      <c r="C4037" s="98"/>
      <c r="D4037" s="98"/>
      <c r="E4037" s="98"/>
      <c r="F4037" s="102"/>
      <c r="G4037" s="103"/>
    </row>
    <row r="4038" spans="1:7" x14ac:dyDescent="0.25">
      <c r="A4038" s="101"/>
      <c r="B4038" s="36"/>
      <c r="C4038" s="98"/>
      <c r="D4038" s="98"/>
      <c r="E4038" s="98"/>
      <c r="F4038" s="102"/>
      <c r="G4038" s="103"/>
    </row>
    <row r="4039" spans="1:7" x14ac:dyDescent="0.25">
      <c r="A4039" s="101"/>
      <c r="B4039" s="36"/>
      <c r="C4039" s="98"/>
      <c r="D4039" s="98"/>
      <c r="E4039" s="98"/>
      <c r="F4039" s="102"/>
      <c r="G4039" s="103"/>
    </row>
    <row r="4040" spans="1:7" x14ac:dyDescent="0.25">
      <c r="A4040" s="101"/>
      <c r="B4040" s="36"/>
      <c r="C4040" s="98"/>
      <c r="D4040" s="98"/>
      <c r="E4040" s="98"/>
      <c r="F4040" s="102"/>
      <c r="G4040" s="103"/>
    </row>
    <row r="4041" spans="1:7" x14ac:dyDescent="0.25">
      <c r="A4041" s="101"/>
      <c r="B4041" s="36"/>
      <c r="C4041" s="98"/>
      <c r="D4041" s="98"/>
      <c r="E4041" s="98"/>
      <c r="F4041" s="102"/>
      <c r="G4041" s="103"/>
    </row>
    <row r="4042" spans="1:7" x14ac:dyDescent="0.25">
      <c r="A4042" s="101"/>
      <c r="B4042" s="36"/>
      <c r="C4042" s="98"/>
      <c r="D4042" s="98"/>
      <c r="E4042" s="98"/>
      <c r="F4042" s="102"/>
      <c r="G4042" s="103"/>
    </row>
    <row r="4043" spans="1:7" x14ac:dyDescent="0.25">
      <c r="A4043" s="101"/>
      <c r="B4043" s="36"/>
      <c r="C4043" s="98"/>
      <c r="D4043" s="98"/>
      <c r="E4043" s="98"/>
      <c r="F4043" s="102"/>
      <c r="G4043" s="103"/>
    </row>
    <row r="4044" spans="1:7" x14ac:dyDescent="0.25">
      <c r="A4044" s="101"/>
      <c r="B4044" s="36"/>
      <c r="C4044" s="98"/>
      <c r="D4044" s="98"/>
      <c r="E4044" s="98"/>
      <c r="F4044" s="102"/>
      <c r="G4044" s="103"/>
    </row>
    <row r="4045" spans="1:7" x14ac:dyDescent="0.25">
      <c r="A4045" s="101"/>
      <c r="B4045" s="36"/>
      <c r="C4045" s="98"/>
      <c r="D4045" s="98"/>
      <c r="E4045" s="98"/>
      <c r="F4045" s="102"/>
      <c r="G4045" s="103"/>
    </row>
    <row r="4046" spans="1:7" x14ac:dyDescent="0.25">
      <c r="A4046" s="101"/>
      <c r="B4046" s="36"/>
      <c r="C4046" s="98"/>
      <c r="D4046" s="98"/>
      <c r="E4046" s="98"/>
      <c r="F4046" s="102"/>
      <c r="G4046" s="103"/>
    </row>
    <row r="4047" spans="1:7" x14ac:dyDescent="0.25">
      <c r="A4047" s="101"/>
      <c r="B4047" s="36"/>
      <c r="C4047" s="98"/>
      <c r="D4047" s="98"/>
      <c r="E4047" s="98"/>
      <c r="F4047" s="102"/>
      <c r="G4047" s="103"/>
    </row>
    <row r="4048" spans="1:7" x14ac:dyDescent="0.25">
      <c r="A4048" s="101"/>
      <c r="B4048" s="36"/>
      <c r="C4048" s="98"/>
      <c r="D4048" s="98"/>
      <c r="E4048" s="98"/>
      <c r="F4048" s="102"/>
      <c r="G4048" s="103"/>
    </row>
    <row r="4049" spans="1:7" x14ac:dyDescent="0.25">
      <c r="A4049" s="101"/>
      <c r="B4049" s="36"/>
      <c r="C4049" s="98"/>
      <c r="D4049" s="98"/>
      <c r="E4049" s="98"/>
      <c r="F4049" s="102"/>
      <c r="G4049" s="103"/>
    </row>
    <row r="4050" spans="1:7" x14ac:dyDescent="0.25">
      <c r="A4050" s="101"/>
      <c r="B4050" s="36"/>
      <c r="C4050" s="98"/>
      <c r="D4050" s="98"/>
      <c r="E4050" s="98"/>
      <c r="F4050" s="102"/>
      <c r="G4050" s="103"/>
    </row>
    <row r="4051" spans="1:7" x14ac:dyDescent="0.25">
      <c r="A4051" s="101"/>
      <c r="B4051" s="36"/>
      <c r="C4051" s="98"/>
      <c r="D4051" s="98"/>
      <c r="E4051" s="98"/>
      <c r="F4051" s="102"/>
      <c r="G4051" s="103"/>
    </row>
    <row r="4052" spans="1:7" x14ac:dyDescent="0.25">
      <c r="A4052" s="101"/>
      <c r="B4052" s="36"/>
      <c r="C4052" s="98"/>
      <c r="D4052" s="98"/>
      <c r="E4052" s="98"/>
      <c r="F4052" s="102"/>
      <c r="G4052" s="103"/>
    </row>
    <row r="4053" spans="1:7" x14ac:dyDescent="0.25">
      <c r="A4053" s="101"/>
      <c r="B4053" s="36"/>
      <c r="C4053" s="98"/>
      <c r="D4053" s="98"/>
      <c r="E4053" s="98"/>
      <c r="F4053" s="102"/>
      <c r="G4053" s="103"/>
    </row>
    <row r="4054" spans="1:7" x14ac:dyDescent="0.25">
      <c r="A4054" s="101"/>
      <c r="B4054" s="36"/>
      <c r="C4054" s="98"/>
      <c r="D4054" s="98"/>
      <c r="E4054" s="98"/>
      <c r="F4054" s="102"/>
      <c r="G4054" s="103"/>
    </row>
    <row r="4055" spans="1:7" x14ac:dyDescent="0.25">
      <c r="A4055" s="101"/>
      <c r="B4055" s="36"/>
      <c r="C4055" s="98"/>
      <c r="D4055" s="98"/>
      <c r="E4055" s="98"/>
      <c r="F4055" s="102"/>
      <c r="G4055" s="103"/>
    </row>
    <row r="4056" spans="1:7" x14ac:dyDescent="0.25">
      <c r="A4056" s="101"/>
      <c r="B4056" s="66"/>
      <c r="C4056" s="98"/>
      <c r="D4056" s="98"/>
      <c r="E4056" s="98"/>
      <c r="F4056" s="102"/>
      <c r="G4056" s="103"/>
    </row>
    <row r="4057" spans="1:7" x14ac:dyDescent="0.25">
      <c r="A4057" s="101"/>
      <c r="B4057" s="36"/>
      <c r="C4057" s="98"/>
      <c r="D4057" s="98"/>
      <c r="E4057" s="98"/>
      <c r="F4057" s="102"/>
      <c r="G4057" s="103"/>
    </row>
    <row r="4058" spans="1:7" x14ac:dyDescent="0.25">
      <c r="A4058" s="101"/>
      <c r="B4058" s="36"/>
      <c r="C4058" s="98"/>
      <c r="D4058" s="98"/>
      <c r="E4058" s="98"/>
      <c r="F4058" s="102"/>
      <c r="G4058" s="103"/>
    </row>
    <row r="4059" spans="1:7" x14ac:dyDescent="0.25">
      <c r="A4059" s="101"/>
      <c r="B4059" s="36"/>
      <c r="C4059" s="98"/>
      <c r="D4059" s="98"/>
      <c r="E4059" s="98"/>
      <c r="F4059" s="102"/>
      <c r="G4059" s="103"/>
    </row>
    <row r="4060" spans="1:7" x14ac:dyDescent="0.25">
      <c r="A4060" s="101"/>
      <c r="B4060" s="36"/>
      <c r="C4060" s="98"/>
      <c r="D4060" s="98"/>
      <c r="E4060" s="98"/>
      <c r="F4060" s="102"/>
      <c r="G4060" s="103"/>
    </row>
    <row r="4061" spans="1:7" x14ac:dyDescent="0.25">
      <c r="A4061" s="101"/>
      <c r="B4061" s="36"/>
      <c r="C4061" s="98"/>
      <c r="D4061" s="98"/>
      <c r="E4061" s="98"/>
      <c r="F4061" s="102"/>
      <c r="G4061" s="103"/>
    </row>
    <row r="4062" spans="1:7" x14ac:dyDescent="0.25">
      <c r="A4062" s="101"/>
      <c r="B4062" s="36"/>
      <c r="C4062" s="98"/>
      <c r="D4062" s="98"/>
      <c r="E4062" s="98"/>
      <c r="F4062" s="102"/>
      <c r="G4062" s="103"/>
    </row>
    <row r="4063" spans="1:7" x14ac:dyDescent="0.25">
      <c r="A4063" s="101"/>
      <c r="B4063" s="36"/>
      <c r="C4063" s="98"/>
      <c r="D4063" s="98"/>
      <c r="E4063" s="98"/>
      <c r="F4063" s="102"/>
      <c r="G4063" s="103"/>
    </row>
    <row r="4064" spans="1:7" x14ac:dyDescent="0.25">
      <c r="A4064" s="101"/>
      <c r="B4064" s="36"/>
      <c r="C4064" s="98"/>
      <c r="D4064" s="98"/>
      <c r="E4064" s="98"/>
      <c r="F4064" s="102"/>
      <c r="G4064" s="103"/>
    </row>
    <row r="4065" spans="1:7" x14ac:dyDescent="0.25">
      <c r="A4065" s="101"/>
      <c r="B4065" s="36"/>
      <c r="C4065" s="98"/>
      <c r="D4065" s="98"/>
      <c r="E4065" s="98"/>
      <c r="F4065" s="102"/>
      <c r="G4065" s="103"/>
    </row>
    <row r="4066" spans="1:7" x14ac:dyDescent="0.25">
      <c r="A4066" s="101"/>
      <c r="B4066" s="36"/>
      <c r="C4066" s="98"/>
      <c r="D4066" s="98"/>
      <c r="E4066" s="98"/>
      <c r="F4066" s="102"/>
      <c r="G4066" s="103"/>
    </row>
    <row r="4067" spans="1:7" x14ac:dyDescent="0.25">
      <c r="A4067" s="101"/>
      <c r="B4067" s="66"/>
      <c r="C4067" s="98"/>
      <c r="D4067" s="98"/>
      <c r="E4067" s="98"/>
      <c r="F4067" s="102"/>
      <c r="G4067" s="103"/>
    </row>
    <row r="4068" spans="1:7" x14ac:dyDescent="0.25">
      <c r="A4068" s="101"/>
      <c r="B4068" s="66"/>
      <c r="C4068" s="98"/>
      <c r="D4068" s="98"/>
      <c r="E4068" s="98"/>
      <c r="F4068" s="102"/>
      <c r="G4068" s="103"/>
    </row>
    <row r="4069" spans="1:7" x14ac:dyDescent="0.25">
      <c r="A4069" s="101"/>
      <c r="B4069" s="36"/>
      <c r="C4069" s="98"/>
      <c r="D4069" s="98"/>
      <c r="E4069" s="98"/>
      <c r="F4069" s="102"/>
      <c r="G4069" s="103"/>
    </row>
    <row r="4070" spans="1:7" x14ac:dyDescent="0.25">
      <c r="A4070" s="101"/>
      <c r="B4070" s="36"/>
      <c r="C4070" s="98"/>
      <c r="D4070" s="98"/>
      <c r="E4070" s="98"/>
      <c r="F4070" s="102"/>
      <c r="G4070" s="103"/>
    </row>
    <row r="4071" spans="1:7" x14ac:dyDescent="0.25">
      <c r="A4071" s="101"/>
      <c r="B4071" s="36"/>
      <c r="C4071" s="98"/>
      <c r="D4071" s="98"/>
      <c r="E4071" s="98"/>
      <c r="F4071" s="102"/>
      <c r="G4071" s="103"/>
    </row>
    <row r="4072" spans="1:7" x14ac:dyDescent="0.25">
      <c r="A4072" s="101"/>
      <c r="B4072" s="36"/>
      <c r="C4072" s="98"/>
      <c r="D4072" s="98"/>
      <c r="E4072" s="98"/>
      <c r="F4072" s="102"/>
      <c r="G4072" s="103"/>
    </row>
    <row r="4073" spans="1:7" x14ac:dyDescent="0.25">
      <c r="A4073" s="101"/>
      <c r="B4073" s="36"/>
      <c r="C4073" s="98"/>
      <c r="D4073" s="98"/>
      <c r="E4073" s="98"/>
      <c r="F4073" s="102"/>
      <c r="G4073" s="103"/>
    </row>
    <row r="4074" spans="1:7" x14ac:dyDescent="0.25">
      <c r="A4074" s="101"/>
      <c r="B4074" s="36"/>
      <c r="C4074" s="98"/>
      <c r="D4074" s="98"/>
      <c r="E4074" s="98"/>
      <c r="F4074" s="102"/>
      <c r="G4074" s="103"/>
    </row>
    <row r="4075" spans="1:7" x14ac:dyDescent="0.25">
      <c r="A4075" s="101"/>
      <c r="B4075" s="36"/>
      <c r="C4075" s="98"/>
      <c r="D4075" s="98"/>
      <c r="E4075" s="98"/>
      <c r="F4075" s="102"/>
      <c r="G4075" s="103"/>
    </row>
    <row r="4076" spans="1:7" x14ac:dyDescent="0.25">
      <c r="A4076" s="101"/>
      <c r="B4076" s="36"/>
      <c r="C4076" s="98"/>
      <c r="D4076" s="98"/>
      <c r="E4076" s="98"/>
      <c r="F4076" s="102"/>
      <c r="G4076" s="103"/>
    </row>
    <row r="4077" spans="1:7" x14ac:dyDescent="0.25">
      <c r="A4077" s="101"/>
      <c r="B4077" s="36"/>
      <c r="C4077" s="98"/>
      <c r="D4077" s="98"/>
      <c r="E4077" s="98"/>
      <c r="F4077" s="102"/>
      <c r="G4077" s="103"/>
    </row>
    <row r="4078" spans="1:7" x14ac:dyDescent="0.25">
      <c r="A4078" s="101"/>
      <c r="B4078" s="36"/>
      <c r="C4078" s="98"/>
      <c r="D4078" s="98"/>
      <c r="E4078" s="98"/>
      <c r="F4078" s="102"/>
      <c r="G4078" s="103"/>
    </row>
    <row r="4079" spans="1:7" x14ac:dyDescent="0.25">
      <c r="A4079" s="101"/>
      <c r="B4079" s="36"/>
      <c r="C4079" s="98"/>
      <c r="D4079" s="98"/>
      <c r="E4079" s="98"/>
      <c r="F4079" s="102"/>
      <c r="G4079" s="103"/>
    </row>
    <row r="4080" spans="1:7" x14ac:dyDescent="0.25">
      <c r="A4080" s="101"/>
      <c r="B4080" s="36"/>
      <c r="C4080" s="98"/>
      <c r="D4080" s="98"/>
      <c r="E4080" s="98"/>
      <c r="F4080" s="102"/>
      <c r="G4080" s="103"/>
    </row>
    <row r="4081" spans="1:7" x14ac:dyDescent="0.25">
      <c r="A4081" s="101"/>
      <c r="B4081" s="36"/>
      <c r="C4081" s="98"/>
      <c r="D4081" s="98"/>
      <c r="E4081" s="98"/>
      <c r="F4081" s="102"/>
      <c r="G4081" s="103"/>
    </row>
    <row r="4082" spans="1:7" x14ac:dyDescent="0.25">
      <c r="A4082" s="101"/>
      <c r="B4082" s="36"/>
      <c r="C4082" s="98"/>
      <c r="D4082" s="98"/>
      <c r="E4082" s="98"/>
      <c r="F4082" s="102"/>
      <c r="G4082" s="103"/>
    </row>
    <row r="4083" spans="1:7" x14ac:dyDescent="0.25">
      <c r="A4083" s="101"/>
      <c r="B4083" s="36"/>
      <c r="C4083" s="98"/>
      <c r="D4083" s="98"/>
      <c r="E4083" s="98"/>
      <c r="F4083" s="102"/>
      <c r="G4083" s="103"/>
    </row>
    <row r="4084" spans="1:7" x14ac:dyDescent="0.25">
      <c r="A4084" s="101"/>
      <c r="B4084" s="36"/>
      <c r="C4084" s="98"/>
      <c r="D4084" s="98"/>
      <c r="E4084" s="98"/>
      <c r="F4084" s="102"/>
      <c r="G4084" s="103"/>
    </row>
    <row r="4085" spans="1:7" x14ac:dyDescent="0.25">
      <c r="A4085" s="101"/>
      <c r="B4085" s="36"/>
      <c r="C4085" s="98"/>
      <c r="D4085" s="98"/>
      <c r="E4085" s="98"/>
      <c r="F4085" s="102"/>
      <c r="G4085" s="103"/>
    </row>
    <row r="4086" spans="1:7" x14ac:dyDescent="0.25">
      <c r="A4086" s="101"/>
      <c r="B4086" s="36"/>
      <c r="C4086" s="98"/>
      <c r="D4086" s="98"/>
      <c r="E4086" s="98"/>
      <c r="F4086" s="102"/>
      <c r="G4086" s="103"/>
    </row>
    <row r="4087" spans="1:7" x14ac:dyDescent="0.25">
      <c r="A4087" s="101"/>
      <c r="B4087" s="36"/>
      <c r="C4087" s="98"/>
      <c r="D4087" s="98"/>
      <c r="E4087" s="98"/>
      <c r="F4087" s="102"/>
      <c r="G4087" s="103"/>
    </row>
    <row r="4088" spans="1:7" x14ac:dyDescent="0.25">
      <c r="A4088" s="101"/>
      <c r="B4088" s="36"/>
      <c r="C4088" s="98"/>
      <c r="D4088" s="98"/>
      <c r="E4088" s="98"/>
      <c r="F4088" s="102"/>
      <c r="G4088" s="103"/>
    </row>
    <row r="4089" spans="1:7" x14ac:dyDescent="0.25">
      <c r="A4089" s="101"/>
      <c r="B4089" s="36"/>
      <c r="C4089" s="98"/>
      <c r="D4089" s="98"/>
      <c r="E4089" s="98"/>
      <c r="F4089" s="102"/>
      <c r="G4089" s="103"/>
    </row>
    <row r="4090" spans="1:7" x14ac:dyDescent="0.25">
      <c r="A4090" s="101"/>
      <c r="B4090" s="36"/>
      <c r="C4090" s="98"/>
      <c r="D4090" s="98"/>
      <c r="E4090" s="98"/>
      <c r="F4090" s="102"/>
      <c r="G4090" s="103"/>
    </row>
    <row r="4091" spans="1:7" x14ac:dyDescent="0.25">
      <c r="A4091" s="101"/>
      <c r="B4091" s="36"/>
      <c r="C4091" s="98"/>
      <c r="D4091" s="98"/>
      <c r="E4091" s="98"/>
      <c r="F4091" s="102"/>
      <c r="G4091" s="103"/>
    </row>
    <row r="4092" spans="1:7" x14ac:dyDescent="0.25">
      <c r="A4092" s="101"/>
      <c r="B4092" s="36"/>
      <c r="C4092" s="98"/>
      <c r="D4092" s="98"/>
      <c r="E4092" s="98"/>
      <c r="F4092" s="102"/>
      <c r="G4092" s="103"/>
    </row>
    <row r="4093" spans="1:7" x14ac:dyDescent="0.25">
      <c r="A4093" s="101"/>
      <c r="B4093" s="36"/>
      <c r="C4093" s="98"/>
      <c r="D4093" s="98"/>
      <c r="E4093" s="98"/>
      <c r="F4093" s="102"/>
      <c r="G4093" s="103"/>
    </row>
    <row r="4094" spans="1:7" x14ac:dyDescent="0.25">
      <c r="A4094" s="101"/>
      <c r="B4094" s="36"/>
      <c r="C4094" s="98"/>
      <c r="D4094" s="98"/>
      <c r="E4094" s="98"/>
      <c r="F4094" s="102"/>
      <c r="G4094" s="103"/>
    </row>
    <row r="4095" spans="1:7" x14ac:dyDescent="0.25">
      <c r="A4095" s="101"/>
      <c r="B4095" s="36"/>
      <c r="C4095" s="98"/>
      <c r="D4095" s="98"/>
      <c r="E4095" s="98"/>
      <c r="F4095" s="102"/>
      <c r="G4095" s="103"/>
    </row>
    <row r="4096" spans="1:7" x14ac:dyDescent="0.25">
      <c r="A4096" s="101"/>
      <c r="B4096" s="36"/>
      <c r="C4096" s="98"/>
      <c r="D4096" s="98"/>
      <c r="E4096" s="98"/>
      <c r="F4096" s="102"/>
      <c r="G4096" s="103"/>
    </row>
    <row r="4097" spans="1:7" x14ac:dyDescent="0.25">
      <c r="A4097" s="101"/>
      <c r="B4097" s="36"/>
      <c r="C4097" s="98"/>
      <c r="D4097" s="98"/>
      <c r="E4097" s="98"/>
      <c r="F4097" s="102"/>
      <c r="G4097" s="103"/>
    </row>
    <row r="4098" spans="1:7" x14ac:dyDescent="0.25">
      <c r="A4098" s="101"/>
      <c r="B4098" s="36"/>
      <c r="C4098" s="98"/>
      <c r="D4098" s="98"/>
      <c r="E4098" s="98"/>
      <c r="F4098" s="102"/>
      <c r="G4098" s="103"/>
    </row>
    <row r="4099" spans="1:7" x14ac:dyDescent="0.25">
      <c r="A4099" s="101"/>
      <c r="B4099" s="36"/>
      <c r="C4099" s="98"/>
      <c r="D4099" s="98"/>
      <c r="E4099" s="98"/>
      <c r="F4099" s="102"/>
      <c r="G4099" s="103"/>
    </row>
    <row r="4100" spans="1:7" x14ac:dyDescent="0.25">
      <c r="A4100" s="101"/>
      <c r="B4100" s="36"/>
      <c r="C4100" s="98"/>
      <c r="D4100" s="98"/>
      <c r="E4100" s="98"/>
      <c r="F4100" s="102"/>
      <c r="G4100" s="103"/>
    </row>
    <row r="4101" spans="1:7" x14ac:dyDescent="0.25">
      <c r="A4101" s="101"/>
      <c r="B4101" s="36"/>
      <c r="C4101" s="98"/>
      <c r="D4101" s="98"/>
      <c r="E4101" s="98"/>
      <c r="F4101" s="102"/>
      <c r="G4101" s="103"/>
    </row>
    <row r="4102" spans="1:7" x14ac:dyDescent="0.25">
      <c r="A4102" s="101"/>
      <c r="B4102" s="66"/>
      <c r="C4102" s="98"/>
      <c r="D4102" s="98"/>
      <c r="E4102" s="98"/>
      <c r="F4102" s="102"/>
      <c r="G4102" s="103"/>
    </row>
    <row r="4103" spans="1:7" x14ac:dyDescent="0.25">
      <c r="A4103" s="101"/>
      <c r="B4103" s="36"/>
      <c r="C4103" s="98"/>
      <c r="D4103" s="98"/>
      <c r="E4103" s="98"/>
      <c r="F4103" s="102"/>
      <c r="G4103" s="103"/>
    </row>
    <row r="4104" spans="1:7" x14ac:dyDescent="0.25">
      <c r="A4104" s="101"/>
      <c r="B4104" s="36"/>
      <c r="C4104" s="98"/>
      <c r="D4104" s="98"/>
      <c r="E4104" s="98"/>
      <c r="F4104" s="102"/>
      <c r="G4104" s="103"/>
    </row>
    <row r="4105" spans="1:7" x14ac:dyDescent="0.25">
      <c r="A4105" s="101"/>
      <c r="B4105" s="36"/>
      <c r="C4105" s="98"/>
      <c r="D4105" s="98"/>
      <c r="E4105" s="98"/>
      <c r="F4105" s="102"/>
      <c r="G4105" s="103"/>
    </row>
    <row r="4106" spans="1:7" x14ac:dyDescent="0.25">
      <c r="A4106" s="101"/>
      <c r="B4106" s="36"/>
      <c r="C4106" s="98"/>
      <c r="D4106" s="98"/>
      <c r="E4106" s="98"/>
      <c r="F4106" s="102"/>
      <c r="G4106" s="103"/>
    </row>
    <row r="4107" spans="1:7" x14ac:dyDescent="0.25">
      <c r="A4107" s="101"/>
      <c r="B4107" s="36"/>
      <c r="C4107" s="98"/>
      <c r="D4107" s="98"/>
      <c r="E4107" s="98"/>
      <c r="F4107" s="102"/>
      <c r="G4107" s="103"/>
    </row>
    <row r="4108" spans="1:7" x14ac:dyDescent="0.25">
      <c r="A4108" s="101"/>
      <c r="B4108" s="36"/>
      <c r="C4108" s="98"/>
      <c r="D4108" s="98"/>
      <c r="E4108" s="98"/>
      <c r="F4108" s="102"/>
      <c r="G4108" s="103"/>
    </row>
    <row r="4109" spans="1:7" x14ac:dyDescent="0.25">
      <c r="A4109" s="101"/>
      <c r="B4109" s="36"/>
      <c r="C4109" s="98"/>
      <c r="D4109" s="98"/>
      <c r="E4109" s="98"/>
      <c r="F4109" s="102"/>
      <c r="G4109" s="103"/>
    </row>
    <row r="4110" spans="1:7" x14ac:dyDescent="0.25">
      <c r="A4110" s="101"/>
      <c r="B4110" s="36"/>
      <c r="C4110" s="98"/>
      <c r="D4110" s="98"/>
      <c r="E4110" s="98"/>
      <c r="F4110" s="102"/>
      <c r="G4110" s="103"/>
    </row>
    <row r="4111" spans="1:7" x14ac:dyDescent="0.25">
      <c r="A4111" s="101"/>
      <c r="B4111" s="36"/>
      <c r="C4111" s="98"/>
      <c r="D4111" s="98"/>
      <c r="E4111" s="98"/>
      <c r="F4111" s="102"/>
      <c r="G4111" s="103"/>
    </row>
    <row r="4112" spans="1:7" x14ac:dyDescent="0.25">
      <c r="A4112" s="101"/>
      <c r="B4112" s="36"/>
      <c r="C4112" s="98"/>
      <c r="D4112" s="98"/>
      <c r="E4112" s="98"/>
      <c r="F4112" s="102"/>
      <c r="G4112" s="103"/>
    </row>
    <row r="4113" spans="1:7" x14ac:dyDescent="0.25">
      <c r="A4113" s="101"/>
      <c r="B4113" s="36"/>
      <c r="C4113" s="98"/>
      <c r="D4113" s="98"/>
      <c r="E4113" s="98"/>
      <c r="F4113" s="102"/>
      <c r="G4113" s="103"/>
    </row>
    <row r="4114" spans="1:7" x14ac:dyDescent="0.25">
      <c r="A4114" s="101"/>
      <c r="B4114" s="36"/>
      <c r="C4114" s="98"/>
      <c r="D4114" s="98"/>
      <c r="E4114" s="98"/>
      <c r="F4114" s="102"/>
      <c r="G4114" s="103"/>
    </row>
    <row r="4115" spans="1:7" x14ac:dyDescent="0.25">
      <c r="A4115" s="101"/>
      <c r="B4115" s="36"/>
      <c r="C4115" s="98"/>
      <c r="D4115" s="98"/>
      <c r="E4115" s="98"/>
      <c r="F4115" s="102"/>
      <c r="G4115" s="103"/>
    </row>
    <row r="4116" spans="1:7" x14ac:dyDescent="0.25">
      <c r="A4116" s="101"/>
      <c r="B4116" s="36"/>
      <c r="C4116" s="98"/>
      <c r="D4116" s="98"/>
      <c r="E4116" s="98"/>
      <c r="F4116" s="102"/>
      <c r="G4116" s="103"/>
    </row>
    <row r="4117" spans="1:7" x14ac:dyDescent="0.25">
      <c r="A4117" s="101"/>
      <c r="B4117" s="36"/>
      <c r="C4117" s="98"/>
      <c r="D4117" s="98"/>
      <c r="E4117" s="98"/>
      <c r="F4117" s="102"/>
      <c r="G4117" s="103"/>
    </row>
    <row r="4118" spans="1:7" x14ac:dyDescent="0.25">
      <c r="A4118" s="101"/>
      <c r="B4118" s="36"/>
      <c r="C4118" s="98"/>
      <c r="D4118" s="98"/>
      <c r="E4118" s="98"/>
      <c r="F4118" s="102"/>
      <c r="G4118" s="103"/>
    </row>
    <row r="4119" spans="1:7" x14ac:dyDescent="0.25">
      <c r="A4119" s="101"/>
      <c r="B4119" s="36"/>
      <c r="C4119" s="98"/>
      <c r="D4119" s="98"/>
      <c r="E4119" s="98"/>
      <c r="F4119" s="102"/>
      <c r="G4119" s="103"/>
    </row>
    <row r="4120" spans="1:7" x14ac:dyDescent="0.25">
      <c r="A4120" s="101"/>
      <c r="B4120" s="36"/>
      <c r="C4120" s="98"/>
      <c r="D4120" s="98"/>
      <c r="E4120" s="98"/>
      <c r="F4120" s="102"/>
      <c r="G4120" s="103"/>
    </row>
    <row r="4121" spans="1:7" x14ac:dyDescent="0.25">
      <c r="A4121" s="101"/>
      <c r="B4121" s="36"/>
      <c r="C4121" s="98"/>
      <c r="D4121" s="98"/>
      <c r="E4121" s="98"/>
      <c r="F4121" s="102"/>
      <c r="G4121" s="103"/>
    </row>
    <row r="4122" spans="1:7" x14ac:dyDescent="0.25">
      <c r="A4122" s="101"/>
      <c r="B4122" s="36"/>
      <c r="C4122" s="98"/>
      <c r="D4122" s="98"/>
      <c r="E4122" s="98"/>
      <c r="F4122" s="102"/>
      <c r="G4122" s="103"/>
    </row>
    <row r="4123" spans="1:7" x14ac:dyDescent="0.25">
      <c r="A4123" s="101"/>
      <c r="B4123" s="36"/>
      <c r="C4123" s="98"/>
      <c r="D4123" s="98"/>
      <c r="E4123" s="98"/>
      <c r="F4123" s="102"/>
      <c r="G4123" s="103"/>
    </row>
    <row r="4124" spans="1:7" x14ac:dyDescent="0.25">
      <c r="A4124" s="101"/>
      <c r="B4124" s="36"/>
      <c r="C4124" s="98"/>
      <c r="D4124" s="98"/>
      <c r="E4124" s="98"/>
      <c r="F4124" s="102"/>
      <c r="G4124" s="103"/>
    </row>
    <row r="4125" spans="1:7" x14ac:dyDescent="0.25">
      <c r="A4125" s="101"/>
      <c r="B4125" s="36"/>
      <c r="C4125" s="98"/>
      <c r="D4125" s="98"/>
      <c r="E4125" s="98"/>
      <c r="F4125" s="102"/>
      <c r="G4125" s="103"/>
    </row>
    <row r="4126" spans="1:7" x14ac:dyDescent="0.25">
      <c r="A4126" s="101"/>
      <c r="B4126" s="36"/>
      <c r="C4126" s="98"/>
      <c r="D4126" s="98"/>
      <c r="E4126" s="98"/>
      <c r="F4126" s="102"/>
      <c r="G4126" s="103"/>
    </row>
    <row r="4127" spans="1:7" x14ac:dyDescent="0.25">
      <c r="A4127" s="101"/>
      <c r="B4127" s="36"/>
      <c r="C4127" s="98"/>
      <c r="D4127" s="98"/>
      <c r="E4127" s="98"/>
      <c r="F4127" s="102"/>
      <c r="G4127" s="103"/>
    </row>
    <row r="4128" spans="1:7" x14ac:dyDescent="0.25">
      <c r="A4128" s="101"/>
      <c r="B4128" s="36"/>
      <c r="C4128" s="98"/>
      <c r="D4128" s="98"/>
      <c r="E4128" s="98"/>
      <c r="F4128" s="102"/>
      <c r="G4128" s="103"/>
    </row>
    <row r="4129" spans="1:7" x14ac:dyDescent="0.25">
      <c r="A4129" s="101"/>
      <c r="B4129" s="36"/>
      <c r="C4129" s="98"/>
      <c r="D4129" s="98"/>
      <c r="E4129" s="98"/>
      <c r="F4129" s="102"/>
      <c r="G4129" s="103"/>
    </row>
    <row r="4130" spans="1:7" x14ac:dyDescent="0.25">
      <c r="A4130" s="101"/>
      <c r="B4130" s="36"/>
      <c r="C4130" s="98"/>
      <c r="D4130" s="98"/>
      <c r="E4130" s="98"/>
      <c r="F4130" s="102"/>
      <c r="G4130" s="103"/>
    </row>
    <row r="4131" spans="1:7" x14ac:dyDescent="0.25">
      <c r="A4131" s="101"/>
      <c r="B4131" s="36"/>
      <c r="C4131" s="98"/>
      <c r="D4131" s="98"/>
      <c r="E4131" s="98"/>
      <c r="F4131" s="102"/>
      <c r="G4131" s="103"/>
    </row>
    <row r="4132" spans="1:7" x14ac:dyDescent="0.25">
      <c r="A4132" s="101"/>
      <c r="B4132" s="36"/>
      <c r="C4132" s="98"/>
      <c r="D4132" s="98"/>
      <c r="E4132" s="98"/>
      <c r="F4132" s="102"/>
      <c r="G4132" s="103"/>
    </row>
    <row r="4133" spans="1:7" x14ac:dyDescent="0.25">
      <c r="A4133" s="101"/>
      <c r="B4133" s="36"/>
      <c r="C4133" s="98"/>
      <c r="D4133" s="98"/>
      <c r="E4133" s="98"/>
      <c r="F4133" s="102"/>
      <c r="G4133" s="103"/>
    </row>
    <row r="4134" spans="1:7" x14ac:dyDescent="0.25">
      <c r="A4134" s="101"/>
      <c r="B4134" s="36"/>
      <c r="C4134" s="98"/>
      <c r="D4134" s="98"/>
      <c r="E4134" s="98"/>
      <c r="F4134" s="102"/>
      <c r="G4134" s="103"/>
    </row>
    <row r="4135" spans="1:7" x14ac:dyDescent="0.25">
      <c r="A4135" s="101"/>
      <c r="B4135" s="36"/>
      <c r="C4135" s="98"/>
      <c r="D4135" s="98"/>
      <c r="E4135" s="98"/>
      <c r="F4135" s="102"/>
      <c r="G4135" s="103"/>
    </row>
    <row r="4136" spans="1:7" x14ac:dyDescent="0.25">
      <c r="A4136" s="101"/>
      <c r="B4136" s="36"/>
      <c r="C4136" s="98"/>
      <c r="D4136" s="98"/>
      <c r="E4136" s="98"/>
      <c r="F4136" s="102"/>
      <c r="G4136" s="103"/>
    </row>
    <row r="4137" spans="1:7" x14ac:dyDescent="0.25">
      <c r="A4137" s="101"/>
      <c r="B4137" s="36"/>
      <c r="C4137" s="98"/>
      <c r="D4137" s="98"/>
      <c r="E4137" s="98"/>
      <c r="F4137" s="102"/>
      <c r="G4137" s="103"/>
    </row>
    <row r="4138" spans="1:7" x14ac:dyDescent="0.25">
      <c r="A4138" s="101"/>
      <c r="B4138" s="36"/>
      <c r="C4138" s="98"/>
      <c r="D4138" s="98"/>
      <c r="E4138" s="98"/>
      <c r="F4138" s="102"/>
      <c r="G4138" s="103"/>
    </row>
    <row r="4139" spans="1:7" x14ac:dyDescent="0.25">
      <c r="A4139" s="101"/>
      <c r="B4139" s="36"/>
      <c r="C4139" s="98"/>
      <c r="D4139" s="98"/>
      <c r="E4139" s="98"/>
      <c r="F4139" s="102"/>
      <c r="G4139" s="103"/>
    </row>
    <row r="4140" spans="1:7" x14ac:dyDescent="0.25">
      <c r="A4140" s="101"/>
      <c r="B4140" s="36"/>
      <c r="C4140" s="98"/>
      <c r="D4140" s="98"/>
      <c r="E4140" s="98"/>
      <c r="F4140" s="102"/>
      <c r="G4140" s="103"/>
    </row>
    <row r="4141" spans="1:7" x14ac:dyDescent="0.25">
      <c r="A4141" s="101"/>
      <c r="B4141" s="36"/>
      <c r="C4141" s="98"/>
      <c r="D4141" s="98"/>
      <c r="E4141" s="98"/>
      <c r="F4141" s="102"/>
      <c r="G4141" s="103"/>
    </row>
    <row r="4142" spans="1:7" x14ac:dyDescent="0.25">
      <c r="A4142" s="101"/>
      <c r="B4142" s="36"/>
      <c r="C4142" s="98"/>
      <c r="D4142" s="98"/>
      <c r="E4142" s="98"/>
      <c r="F4142" s="102"/>
      <c r="G4142" s="103"/>
    </row>
    <row r="4143" spans="1:7" x14ac:dyDescent="0.25">
      <c r="A4143" s="101"/>
      <c r="B4143" s="36"/>
      <c r="C4143" s="98"/>
      <c r="D4143" s="98"/>
      <c r="E4143" s="98"/>
      <c r="F4143" s="102"/>
      <c r="G4143" s="103"/>
    </row>
    <row r="4144" spans="1:7" x14ac:dyDescent="0.25">
      <c r="A4144" s="101"/>
      <c r="B4144" s="36"/>
      <c r="C4144" s="98"/>
      <c r="D4144" s="98"/>
      <c r="E4144" s="98"/>
      <c r="F4144" s="102"/>
      <c r="G4144" s="103"/>
    </row>
    <row r="4145" spans="1:7" x14ac:dyDescent="0.25">
      <c r="A4145" s="101"/>
      <c r="B4145" s="36"/>
      <c r="C4145" s="98"/>
      <c r="D4145" s="98"/>
      <c r="E4145" s="98"/>
      <c r="F4145" s="102"/>
      <c r="G4145" s="103"/>
    </row>
    <row r="4146" spans="1:7" x14ac:dyDescent="0.25">
      <c r="A4146" s="101"/>
      <c r="B4146" s="36"/>
      <c r="C4146" s="98"/>
      <c r="D4146" s="98"/>
      <c r="E4146" s="98"/>
      <c r="F4146" s="102"/>
      <c r="G4146" s="103"/>
    </row>
    <row r="4147" spans="1:7" x14ac:dyDescent="0.25">
      <c r="A4147" s="101"/>
      <c r="B4147" s="36"/>
      <c r="C4147" s="98"/>
      <c r="D4147" s="98"/>
      <c r="E4147" s="98"/>
      <c r="F4147" s="102"/>
      <c r="G4147" s="103"/>
    </row>
    <row r="4148" spans="1:7" x14ac:dyDescent="0.25">
      <c r="A4148" s="101"/>
      <c r="B4148" s="36"/>
      <c r="C4148" s="98"/>
      <c r="D4148" s="98"/>
      <c r="E4148" s="98"/>
      <c r="F4148" s="102"/>
      <c r="G4148" s="103"/>
    </row>
    <row r="4149" spans="1:7" x14ac:dyDescent="0.25">
      <c r="A4149" s="101"/>
      <c r="B4149" s="36"/>
      <c r="C4149" s="98"/>
      <c r="D4149" s="98"/>
      <c r="E4149" s="98"/>
      <c r="F4149" s="102"/>
      <c r="G4149" s="103"/>
    </row>
    <row r="4150" spans="1:7" x14ac:dyDescent="0.25">
      <c r="A4150" s="101"/>
      <c r="B4150" s="36"/>
      <c r="C4150" s="98"/>
      <c r="D4150" s="98"/>
      <c r="E4150" s="98"/>
      <c r="F4150" s="102"/>
      <c r="G4150" s="103"/>
    </row>
    <row r="4151" spans="1:7" x14ac:dyDescent="0.25">
      <c r="A4151" s="101"/>
      <c r="B4151" s="36"/>
      <c r="C4151" s="98"/>
      <c r="D4151" s="98"/>
      <c r="E4151" s="98"/>
      <c r="F4151" s="102"/>
      <c r="G4151" s="103"/>
    </row>
    <row r="4152" spans="1:7" x14ac:dyDescent="0.25">
      <c r="A4152" s="101"/>
      <c r="B4152" s="36"/>
      <c r="C4152" s="98"/>
      <c r="D4152" s="98"/>
      <c r="E4152" s="98"/>
      <c r="F4152" s="102"/>
      <c r="G4152" s="103"/>
    </row>
    <row r="4153" spans="1:7" x14ac:dyDescent="0.25">
      <c r="A4153" s="101"/>
      <c r="B4153" s="36"/>
      <c r="C4153" s="98"/>
      <c r="D4153" s="98"/>
      <c r="E4153" s="98"/>
      <c r="F4153" s="102"/>
      <c r="G4153" s="103"/>
    </row>
    <row r="4154" spans="1:7" x14ac:dyDescent="0.25">
      <c r="A4154" s="101"/>
      <c r="B4154" s="36"/>
      <c r="C4154" s="98"/>
      <c r="D4154" s="98"/>
      <c r="E4154" s="98"/>
      <c r="F4154" s="102"/>
      <c r="G4154" s="103"/>
    </row>
    <row r="4155" spans="1:7" x14ac:dyDescent="0.25">
      <c r="A4155" s="101"/>
      <c r="B4155" s="36"/>
      <c r="C4155" s="98"/>
      <c r="D4155" s="98"/>
      <c r="E4155" s="98"/>
      <c r="F4155" s="102"/>
      <c r="G4155" s="103"/>
    </row>
    <row r="4156" spans="1:7" x14ac:dyDescent="0.25">
      <c r="A4156" s="101"/>
      <c r="B4156" s="36"/>
      <c r="C4156" s="98"/>
      <c r="D4156" s="98"/>
      <c r="E4156" s="98"/>
      <c r="F4156" s="102"/>
      <c r="G4156" s="103"/>
    </row>
    <row r="4157" spans="1:7" x14ac:dyDescent="0.25">
      <c r="A4157" s="101"/>
      <c r="B4157" s="36"/>
      <c r="C4157" s="98"/>
      <c r="D4157" s="98"/>
      <c r="E4157" s="98"/>
      <c r="F4157" s="102"/>
      <c r="G4157" s="103"/>
    </row>
    <row r="4158" spans="1:7" x14ac:dyDescent="0.25">
      <c r="A4158" s="101"/>
      <c r="B4158" s="36"/>
      <c r="C4158" s="98"/>
      <c r="D4158" s="98"/>
      <c r="E4158" s="98"/>
      <c r="F4158" s="102"/>
      <c r="G4158" s="103"/>
    </row>
    <row r="4159" spans="1:7" x14ac:dyDescent="0.25">
      <c r="A4159" s="101"/>
      <c r="B4159" s="36"/>
      <c r="C4159" s="98"/>
      <c r="D4159" s="98"/>
      <c r="E4159" s="98"/>
      <c r="F4159" s="102"/>
      <c r="G4159" s="103"/>
    </row>
    <row r="4160" spans="1:7" x14ac:dyDescent="0.25">
      <c r="A4160" s="101"/>
      <c r="B4160" s="36"/>
      <c r="C4160" s="98"/>
      <c r="D4160" s="98"/>
      <c r="E4160" s="98"/>
      <c r="F4160" s="102"/>
      <c r="G4160" s="103"/>
    </row>
    <row r="4161" spans="1:7" x14ac:dyDescent="0.25">
      <c r="A4161" s="101"/>
      <c r="B4161" s="36"/>
      <c r="C4161" s="98"/>
      <c r="D4161" s="98"/>
      <c r="E4161" s="98"/>
      <c r="F4161" s="102"/>
      <c r="G4161" s="103"/>
    </row>
    <row r="4162" spans="1:7" x14ac:dyDescent="0.25">
      <c r="A4162" s="101"/>
      <c r="B4162" s="36"/>
      <c r="C4162" s="98"/>
      <c r="D4162" s="98"/>
      <c r="E4162" s="98"/>
      <c r="F4162" s="102"/>
      <c r="G4162" s="103"/>
    </row>
    <row r="4163" spans="1:7" x14ac:dyDescent="0.25">
      <c r="A4163" s="101"/>
      <c r="B4163" s="36"/>
      <c r="C4163" s="98"/>
      <c r="D4163" s="98"/>
      <c r="E4163" s="98"/>
      <c r="F4163" s="102"/>
      <c r="G4163" s="103"/>
    </row>
    <row r="4164" spans="1:7" x14ac:dyDescent="0.25">
      <c r="A4164" s="101"/>
      <c r="B4164" s="66"/>
      <c r="C4164" s="98"/>
      <c r="D4164" s="98"/>
      <c r="E4164" s="98"/>
      <c r="F4164" s="102"/>
      <c r="G4164" s="103"/>
    </row>
    <row r="4165" spans="1:7" x14ac:dyDescent="0.25">
      <c r="A4165" s="101"/>
      <c r="B4165" s="36"/>
      <c r="C4165" s="98"/>
      <c r="D4165" s="98"/>
      <c r="E4165" s="98"/>
      <c r="F4165" s="102"/>
      <c r="G4165" s="103"/>
    </row>
    <row r="4166" spans="1:7" x14ac:dyDescent="0.25">
      <c r="A4166" s="101"/>
      <c r="B4166" s="36"/>
      <c r="C4166" s="98"/>
      <c r="D4166" s="98"/>
      <c r="E4166" s="98"/>
      <c r="F4166" s="102"/>
      <c r="G4166" s="103"/>
    </row>
    <row r="4167" spans="1:7" x14ac:dyDescent="0.25">
      <c r="A4167" s="101"/>
      <c r="B4167" s="36"/>
      <c r="C4167" s="98"/>
      <c r="D4167" s="98"/>
      <c r="E4167" s="98"/>
      <c r="F4167" s="102"/>
      <c r="G4167" s="103"/>
    </row>
    <row r="4168" spans="1:7" x14ac:dyDescent="0.25">
      <c r="A4168" s="101"/>
      <c r="B4168" s="36"/>
      <c r="C4168" s="98"/>
      <c r="D4168" s="98"/>
      <c r="E4168" s="98"/>
      <c r="F4168" s="102"/>
      <c r="G4168" s="103"/>
    </row>
    <row r="4169" spans="1:7" x14ac:dyDescent="0.25">
      <c r="A4169" s="101"/>
      <c r="B4169" s="36"/>
      <c r="C4169" s="98"/>
      <c r="D4169" s="98"/>
      <c r="E4169" s="98"/>
      <c r="F4169" s="102"/>
      <c r="G4169" s="103"/>
    </row>
    <row r="4170" spans="1:7" x14ac:dyDescent="0.25">
      <c r="A4170" s="101"/>
      <c r="B4170" s="36"/>
      <c r="C4170" s="98"/>
      <c r="D4170" s="98"/>
      <c r="E4170" s="98"/>
      <c r="F4170" s="102"/>
      <c r="G4170" s="103"/>
    </row>
    <row r="4171" spans="1:7" x14ac:dyDescent="0.25">
      <c r="A4171" s="101"/>
      <c r="B4171" s="36"/>
      <c r="C4171" s="98"/>
      <c r="D4171" s="98"/>
      <c r="E4171" s="98"/>
      <c r="F4171" s="102"/>
      <c r="G4171" s="103"/>
    </row>
    <row r="4172" spans="1:7" x14ac:dyDescent="0.25">
      <c r="A4172" s="101"/>
      <c r="B4172" s="36"/>
      <c r="C4172" s="98"/>
      <c r="D4172" s="98"/>
      <c r="E4172" s="98"/>
      <c r="F4172" s="102"/>
      <c r="G4172" s="103"/>
    </row>
    <row r="4173" spans="1:7" x14ac:dyDescent="0.25">
      <c r="A4173" s="101"/>
      <c r="B4173" s="36"/>
      <c r="C4173" s="98"/>
      <c r="D4173" s="98"/>
      <c r="E4173" s="98"/>
      <c r="F4173" s="102"/>
      <c r="G4173" s="103"/>
    </row>
    <row r="4174" spans="1:7" x14ac:dyDescent="0.25">
      <c r="A4174" s="101"/>
      <c r="B4174" s="36"/>
      <c r="C4174" s="98"/>
      <c r="D4174" s="98"/>
      <c r="E4174" s="98"/>
      <c r="F4174" s="102"/>
      <c r="G4174" s="103"/>
    </row>
    <row r="4175" spans="1:7" x14ac:dyDescent="0.25">
      <c r="A4175" s="101"/>
      <c r="B4175" s="36"/>
      <c r="C4175" s="98"/>
      <c r="D4175" s="98"/>
      <c r="E4175" s="98"/>
      <c r="F4175" s="102"/>
      <c r="G4175" s="103"/>
    </row>
    <row r="4176" spans="1:7" x14ac:dyDescent="0.25">
      <c r="A4176" s="101"/>
      <c r="B4176" s="36"/>
      <c r="C4176" s="98"/>
      <c r="D4176" s="98"/>
      <c r="E4176" s="98"/>
      <c r="F4176" s="102"/>
      <c r="G4176" s="103"/>
    </row>
    <row r="4177" spans="1:7" x14ac:dyDescent="0.25">
      <c r="A4177" s="101"/>
      <c r="B4177" s="36"/>
      <c r="C4177" s="98"/>
      <c r="D4177" s="98"/>
      <c r="E4177" s="98"/>
      <c r="F4177" s="102"/>
      <c r="G4177" s="103"/>
    </row>
    <row r="4178" spans="1:7" x14ac:dyDescent="0.25">
      <c r="A4178" s="101"/>
      <c r="B4178" s="36"/>
      <c r="C4178" s="98"/>
      <c r="D4178" s="98"/>
      <c r="E4178" s="98"/>
      <c r="F4178" s="102"/>
      <c r="G4178" s="103"/>
    </row>
    <row r="4179" spans="1:7" x14ac:dyDescent="0.25">
      <c r="A4179" s="101"/>
      <c r="B4179" s="36"/>
      <c r="C4179" s="98"/>
      <c r="D4179" s="98"/>
      <c r="E4179" s="98"/>
      <c r="F4179" s="102"/>
      <c r="G4179" s="103"/>
    </row>
    <row r="4180" spans="1:7" x14ac:dyDescent="0.25">
      <c r="A4180" s="101"/>
      <c r="B4180" s="36"/>
      <c r="C4180" s="98"/>
      <c r="D4180" s="98"/>
      <c r="E4180" s="98"/>
      <c r="F4180" s="102"/>
      <c r="G4180" s="103"/>
    </row>
    <row r="4181" spans="1:7" x14ac:dyDescent="0.25">
      <c r="A4181" s="101"/>
      <c r="B4181" s="36"/>
      <c r="C4181" s="98"/>
      <c r="D4181" s="98"/>
      <c r="E4181" s="98"/>
      <c r="F4181" s="102"/>
      <c r="G4181" s="103"/>
    </row>
    <row r="4182" spans="1:7" x14ac:dyDescent="0.25">
      <c r="A4182" s="101"/>
      <c r="B4182" s="36"/>
      <c r="C4182" s="98"/>
      <c r="D4182" s="98"/>
      <c r="E4182" s="98"/>
      <c r="F4182" s="102"/>
      <c r="G4182" s="103"/>
    </row>
    <row r="4183" spans="1:7" x14ac:dyDescent="0.25">
      <c r="A4183" s="101"/>
      <c r="B4183" s="36"/>
      <c r="C4183" s="98"/>
      <c r="D4183" s="98"/>
      <c r="E4183" s="98"/>
      <c r="F4183" s="102"/>
      <c r="G4183" s="103"/>
    </row>
    <row r="4184" spans="1:7" x14ac:dyDescent="0.25">
      <c r="A4184" s="101"/>
      <c r="B4184" s="36"/>
      <c r="C4184" s="98"/>
      <c r="D4184" s="98"/>
      <c r="E4184" s="98"/>
      <c r="F4184" s="102"/>
      <c r="G4184" s="103"/>
    </row>
    <row r="4185" spans="1:7" x14ac:dyDescent="0.25">
      <c r="A4185" s="101"/>
      <c r="B4185" s="36"/>
      <c r="C4185" s="98"/>
      <c r="D4185" s="98"/>
      <c r="E4185" s="98"/>
      <c r="F4185" s="102"/>
      <c r="G4185" s="103"/>
    </row>
    <row r="4186" spans="1:7" x14ac:dyDescent="0.25">
      <c r="A4186" s="101"/>
      <c r="B4186" s="36"/>
      <c r="C4186" s="98"/>
      <c r="D4186" s="98"/>
      <c r="E4186" s="98"/>
      <c r="F4186" s="102"/>
      <c r="G4186" s="103"/>
    </row>
    <row r="4187" spans="1:7" x14ac:dyDescent="0.25">
      <c r="A4187" s="101"/>
      <c r="B4187" s="36"/>
      <c r="C4187" s="98"/>
      <c r="D4187" s="98"/>
      <c r="E4187" s="98"/>
      <c r="F4187" s="102"/>
      <c r="G4187" s="103"/>
    </row>
    <row r="4188" spans="1:7" x14ac:dyDescent="0.25">
      <c r="A4188" s="101"/>
      <c r="B4188" s="36"/>
      <c r="C4188" s="98"/>
      <c r="D4188" s="98"/>
      <c r="E4188" s="98"/>
      <c r="F4188" s="102"/>
      <c r="G4188" s="103"/>
    </row>
    <row r="4189" spans="1:7" x14ac:dyDescent="0.25">
      <c r="A4189" s="101"/>
      <c r="B4189" s="36"/>
      <c r="C4189" s="98"/>
      <c r="D4189" s="98"/>
      <c r="E4189" s="98"/>
      <c r="F4189" s="102"/>
      <c r="G4189" s="103"/>
    </row>
    <row r="4190" spans="1:7" x14ac:dyDescent="0.25">
      <c r="A4190" s="101"/>
      <c r="B4190" s="36"/>
      <c r="C4190" s="98"/>
      <c r="D4190" s="98"/>
      <c r="E4190" s="98"/>
      <c r="F4190" s="102"/>
      <c r="G4190" s="103"/>
    </row>
    <row r="4191" spans="1:7" x14ac:dyDescent="0.25">
      <c r="A4191" s="101"/>
      <c r="B4191" s="36"/>
      <c r="C4191" s="98"/>
      <c r="D4191" s="98"/>
      <c r="E4191" s="98"/>
      <c r="F4191" s="102"/>
      <c r="G4191" s="103"/>
    </row>
    <row r="4192" spans="1:7" x14ac:dyDescent="0.25">
      <c r="A4192" s="101"/>
      <c r="B4192" s="36"/>
      <c r="C4192" s="98"/>
      <c r="D4192" s="98"/>
      <c r="E4192" s="98"/>
      <c r="F4192" s="102"/>
      <c r="G4192" s="103"/>
    </row>
    <row r="4193" spans="1:7" x14ac:dyDescent="0.25">
      <c r="A4193" s="101"/>
      <c r="B4193" s="36"/>
      <c r="C4193" s="98"/>
      <c r="D4193" s="98"/>
      <c r="E4193" s="98"/>
      <c r="F4193" s="102"/>
      <c r="G4193" s="103"/>
    </row>
    <row r="4194" spans="1:7" x14ac:dyDescent="0.25">
      <c r="A4194" s="101"/>
      <c r="B4194" s="36"/>
      <c r="C4194" s="98"/>
      <c r="D4194" s="98"/>
      <c r="E4194" s="98"/>
      <c r="F4194" s="102"/>
      <c r="G4194" s="103"/>
    </row>
    <row r="4195" spans="1:7" x14ac:dyDescent="0.25">
      <c r="A4195" s="101"/>
      <c r="B4195" s="36"/>
      <c r="C4195" s="98"/>
      <c r="D4195" s="98"/>
      <c r="E4195" s="98"/>
      <c r="F4195" s="102"/>
      <c r="G4195" s="103"/>
    </row>
    <row r="4196" spans="1:7" x14ac:dyDescent="0.25">
      <c r="A4196" s="101"/>
      <c r="B4196" s="36"/>
      <c r="C4196" s="98"/>
      <c r="D4196" s="98"/>
      <c r="E4196" s="98"/>
      <c r="F4196" s="102"/>
      <c r="G4196" s="103"/>
    </row>
    <row r="4197" spans="1:7" x14ac:dyDescent="0.25">
      <c r="A4197" s="101"/>
      <c r="B4197" s="66"/>
      <c r="C4197" s="98"/>
      <c r="D4197" s="98"/>
      <c r="E4197" s="98"/>
      <c r="F4197" s="102"/>
      <c r="G4197" s="103"/>
    </row>
    <row r="4198" spans="1:7" x14ac:dyDescent="0.25">
      <c r="A4198" s="101"/>
      <c r="B4198" s="36"/>
      <c r="C4198" s="98"/>
      <c r="D4198" s="98"/>
      <c r="E4198" s="98"/>
      <c r="F4198" s="102"/>
      <c r="G4198" s="103"/>
    </row>
    <row r="4199" spans="1:7" x14ac:dyDescent="0.25">
      <c r="A4199" s="101"/>
      <c r="B4199" s="36"/>
      <c r="C4199" s="98"/>
      <c r="D4199" s="98"/>
      <c r="E4199" s="98"/>
      <c r="F4199" s="102"/>
      <c r="G4199" s="103"/>
    </row>
    <row r="4200" spans="1:7" x14ac:dyDescent="0.25">
      <c r="A4200" s="101"/>
      <c r="B4200" s="36"/>
      <c r="C4200" s="98"/>
      <c r="D4200" s="98"/>
      <c r="E4200" s="98"/>
      <c r="F4200" s="102"/>
      <c r="G4200" s="103"/>
    </row>
    <row r="4201" spans="1:7" x14ac:dyDescent="0.25">
      <c r="A4201" s="101"/>
      <c r="B4201" s="36"/>
      <c r="C4201" s="98"/>
      <c r="D4201" s="98"/>
      <c r="E4201" s="98"/>
      <c r="F4201" s="102"/>
      <c r="G4201" s="103"/>
    </row>
    <row r="4202" spans="1:7" x14ac:dyDescent="0.25">
      <c r="A4202" s="101"/>
      <c r="B4202" s="36"/>
      <c r="C4202" s="98"/>
      <c r="D4202" s="98"/>
      <c r="E4202" s="98"/>
      <c r="F4202" s="102"/>
      <c r="G4202" s="103"/>
    </row>
    <row r="4203" spans="1:7" x14ac:dyDescent="0.25">
      <c r="A4203" s="101"/>
      <c r="B4203" s="36"/>
      <c r="C4203" s="98"/>
      <c r="D4203" s="98"/>
      <c r="E4203" s="98"/>
      <c r="F4203" s="102"/>
      <c r="G4203" s="103"/>
    </row>
    <row r="4204" spans="1:7" x14ac:dyDescent="0.25">
      <c r="A4204" s="101"/>
      <c r="B4204" s="36"/>
      <c r="C4204" s="98"/>
      <c r="D4204" s="98"/>
      <c r="E4204" s="98"/>
      <c r="F4204" s="102"/>
      <c r="G4204" s="103"/>
    </row>
    <row r="4205" spans="1:7" x14ac:dyDescent="0.25">
      <c r="A4205" s="101"/>
      <c r="B4205" s="36"/>
      <c r="C4205" s="98"/>
      <c r="D4205" s="98"/>
      <c r="E4205" s="98"/>
      <c r="F4205" s="102"/>
      <c r="G4205" s="103"/>
    </row>
    <row r="4206" spans="1:7" x14ac:dyDescent="0.25">
      <c r="A4206" s="101"/>
      <c r="B4206" s="36"/>
      <c r="C4206" s="98"/>
      <c r="D4206" s="98"/>
      <c r="E4206" s="98"/>
      <c r="F4206" s="102"/>
      <c r="G4206" s="103"/>
    </row>
    <row r="4207" spans="1:7" x14ac:dyDescent="0.25">
      <c r="A4207" s="101"/>
      <c r="B4207" s="36"/>
      <c r="C4207" s="98"/>
      <c r="D4207" s="98"/>
      <c r="E4207" s="98"/>
      <c r="F4207" s="102"/>
      <c r="G4207" s="103"/>
    </row>
    <row r="4208" spans="1:7" x14ac:dyDescent="0.25">
      <c r="A4208" s="101"/>
      <c r="B4208" s="36"/>
      <c r="C4208" s="98"/>
      <c r="D4208" s="98"/>
      <c r="E4208" s="98"/>
      <c r="F4208" s="102"/>
      <c r="G4208" s="103"/>
    </row>
    <row r="4209" spans="1:7" x14ac:dyDescent="0.25">
      <c r="A4209" s="101"/>
      <c r="B4209" s="36"/>
      <c r="C4209" s="98"/>
      <c r="D4209" s="98"/>
      <c r="E4209" s="98"/>
      <c r="F4209" s="102"/>
      <c r="G4209" s="103"/>
    </row>
    <row r="4210" spans="1:7" x14ac:dyDescent="0.25">
      <c r="A4210" s="101"/>
      <c r="B4210" s="36"/>
      <c r="C4210" s="98"/>
      <c r="D4210" s="98"/>
      <c r="E4210" s="98"/>
      <c r="F4210" s="102"/>
      <c r="G4210" s="103"/>
    </row>
    <row r="4211" spans="1:7" x14ac:dyDescent="0.25">
      <c r="A4211" s="101"/>
      <c r="B4211" s="36"/>
      <c r="C4211" s="98"/>
      <c r="D4211" s="98"/>
      <c r="E4211" s="98"/>
      <c r="F4211" s="102"/>
      <c r="G4211" s="103"/>
    </row>
    <row r="4212" spans="1:7" x14ac:dyDescent="0.25">
      <c r="A4212" s="101"/>
      <c r="B4212" s="36"/>
      <c r="C4212" s="98"/>
      <c r="D4212" s="98"/>
      <c r="E4212" s="98"/>
      <c r="F4212" s="102"/>
      <c r="G4212" s="103"/>
    </row>
    <row r="4213" spans="1:7" x14ac:dyDescent="0.25">
      <c r="A4213" s="101"/>
      <c r="B4213" s="36"/>
      <c r="C4213" s="98"/>
      <c r="D4213" s="98"/>
      <c r="E4213" s="98"/>
      <c r="F4213" s="102"/>
      <c r="G4213" s="103"/>
    </row>
    <row r="4214" spans="1:7" x14ac:dyDescent="0.25">
      <c r="A4214" s="101"/>
      <c r="B4214" s="36"/>
      <c r="C4214" s="98"/>
      <c r="D4214" s="98"/>
      <c r="E4214" s="98"/>
      <c r="F4214" s="102"/>
      <c r="G4214" s="103"/>
    </row>
    <row r="4215" spans="1:7" x14ac:dyDescent="0.25">
      <c r="A4215" s="101"/>
      <c r="B4215" s="36"/>
      <c r="C4215" s="98"/>
      <c r="D4215" s="98"/>
      <c r="E4215" s="98"/>
      <c r="F4215" s="102"/>
      <c r="G4215" s="103"/>
    </row>
    <row r="4216" spans="1:7" x14ac:dyDescent="0.25">
      <c r="A4216" s="101"/>
      <c r="B4216" s="66"/>
      <c r="C4216" s="98"/>
      <c r="D4216" s="98"/>
      <c r="E4216" s="98"/>
      <c r="F4216" s="102"/>
      <c r="G4216" s="103"/>
    </row>
    <row r="4217" spans="1:7" x14ac:dyDescent="0.25">
      <c r="A4217" s="101"/>
      <c r="B4217" s="36"/>
      <c r="C4217" s="98"/>
      <c r="D4217" s="98"/>
      <c r="E4217" s="98"/>
      <c r="F4217" s="102"/>
      <c r="G4217" s="103"/>
    </row>
    <row r="4218" spans="1:7" x14ac:dyDescent="0.25">
      <c r="A4218" s="101"/>
      <c r="B4218" s="36"/>
      <c r="C4218" s="98"/>
      <c r="D4218" s="98"/>
      <c r="E4218" s="98"/>
      <c r="F4218" s="102"/>
      <c r="G4218" s="103"/>
    </row>
    <row r="4219" spans="1:7" x14ac:dyDescent="0.25">
      <c r="A4219" s="101"/>
      <c r="B4219" s="36"/>
      <c r="C4219" s="98"/>
      <c r="D4219" s="98"/>
      <c r="E4219" s="98"/>
      <c r="F4219" s="102"/>
      <c r="G4219" s="103"/>
    </row>
    <row r="4220" spans="1:7" x14ac:dyDescent="0.25">
      <c r="A4220" s="101"/>
      <c r="B4220" s="36"/>
      <c r="C4220" s="98"/>
      <c r="D4220" s="98"/>
      <c r="E4220" s="98"/>
      <c r="F4220" s="102"/>
      <c r="G4220" s="103"/>
    </row>
    <row r="4221" spans="1:7" x14ac:dyDescent="0.25">
      <c r="A4221" s="101"/>
      <c r="B4221" s="36"/>
      <c r="C4221" s="98"/>
      <c r="D4221" s="98"/>
      <c r="E4221" s="98"/>
      <c r="F4221" s="102"/>
      <c r="G4221" s="103"/>
    </row>
    <row r="4222" spans="1:7" x14ac:dyDescent="0.25">
      <c r="A4222" s="101"/>
      <c r="B4222" s="36"/>
      <c r="C4222" s="98"/>
      <c r="D4222" s="98"/>
      <c r="E4222" s="98"/>
      <c r="F4222" s="102"/>
      <c r="G4222" s="103"/>
    </row>
    <row r="4223" spans="1:7" x14ac:dyDescent="0.25">
      <c r="A4223" s="101"/>
      <c r="B4223" s="36"/>
      <c r="C4223" s="98"/>
      <c r="D4223" s="98"/>
      <c r="E4223" s="98"/>
      <c r="F4223" s="102"/>
      <c r="G4223" s="103"/>
    </row>
    <row r="4224" spans="1:7" x14ac:dyDescent="0.25">
      <c r="A4224" s="101"/>
      <c r="B4224" s="36"/>
      <c r="C4224" s="98"/>
      <c r="D4224" s="98"/>
      <c r="E4224" s="98"/>
      <c r="F4224" s="102"/>
      <c r="G4224" s="103"/>
    </row>
    <row r="4225" spans="1:7" x14ac:dyDescent="0.25">
      <c r="A4225" s="101"/>
      <c r="B4225" s="36"/>
      <c r="C4225" s="98"/>
      <c r="D4225" s="98"/>
      <c r="E4225" s="98"/>
      <c r="F4225" s="102"/>
      <c r="G4225" s="103"/>
    </row>
    <row r="4226" spans="1:7" x14ac:dyDescent="0.25">
      <c r="A4226" s="101"/>
      <c r="B4226" s="36"/>
      <c r="C4226" s="98"/>
      <c r="D4226" s="98"/>
      <c r="E4226" s="98"/>
      <c r="F4226" s="102"/>
      <c r="G4226" s="103"/>
    </row>
    <row r="4227" spans="1:7" x14ac:dyDescent="0.25">
      <c r="A4227" s="101"/>
      <c r="B4227" s="36"/>
      <c r="C4227" s="98"/>
      <c r="D4227" s="98"/>
      <c r="E4227" s="98"/>
      <c r="F4227" s="102"/>
      <c r="G4227" s="103"/>
    </row>
    <row r="4228" spans="1:7" x14ac:dyDescent="0.25">
      <c r="A4228" s="101"/>
      <c r="B4228" s="36"/>
      <c r="C4228" s="98"/>
      <c r="D4228" s="98"/>
      <c r="E4228" s="98"/>
      <c r="F4228" s="102"/>
      <c r="G4228" s="103"/>
    </row>
    <row r="4229" spans="1:7" x14ac:dyDescent="0.25">
      <c r="A4229" s="101"/>
      <c r="B4229" s="36"/>
      <c r="C4229" s="98"/>
      <c r="D4229" s="98"/>
      <c r="E4229" s="98"/>
      <c r="F4229" s="102"/>
      <c r="G4229" s="103"/>
    </row>
    <row r="4230" spans="1:7" x14ac:dyDescent="0.25">
      <c r="A4230" s="101"/>
      <c r="B4230" s="36"/>
      <c r="C4230" s="98"/>
      <c r="D4230" s="98"/>
      <c r="E4230" s="98"/>
      <c r="F4230" s="102"/>
      <c r="G4230" s="103"/>
    </row>
    <row r="4231" spans="1:7" x14ac:dyDescent="0.25">
      <c r="A4231" s="101"/>
      <c r="B4231" s="36"/>
      <c r="C4231" s="98"/>
      <c r="D4231" s="98"/>
      <c r="E4231" s="98"/>
      <c r="F4231" s="102"/>
      <c r="G4231" s="103"/>
    </row>
    <row r="4232" spans="1:7" x14ac:dyDescent="0.25">
      <c r="A4232" s="101"/>
      <c r="B4232" s="36"/>
      <c r="C4232" s="98"/>
      <c r="D4232" s="98"/>
      <c r="E4232" s="98"/>
      <c r="F4232" s="102"/>
      <c r="G4232" s="103"/>
    </row>
    <row r="4233" spans="1:7" x14ac:dyDescent="0.25">
      <c r="A4233" s="101"/>
      <c r="B4233" s="66"/>
      <c r="C4233" s="98"/>
      <c r="D4233" s="98"/>
      <c r="E4233" s="98"/>
      <c r="F4233" s="102"/>
      <c r="G4233" s="103"/>
    </row>
    <row r="4234" spans="1:7" x14ac:dyDescent="0.25">
      <c r="A4234" s="101"/>
      <c r="B4234" s="36"/>
      <c r="C4234" s="98"/>
      <c r="D4234" s="98"/>
      <c r="E4234" s="98"/>
      <c r="F4234" s="102"/>
      <c r="G4234" s="103"/>
    </row>
    <row r="4235" spans="1:7" x14ac:dyDescent="0.25">
      <c r="A4235" s="101"/>
      <c r="B4235" s="36"/>
      <c r="C4235" s="98"/>
      <c r="D4235" s="98"/>
      <c r="E4235" s="98"/>
      <c r="F4235" s="102"/>
      <c r="G4235" s="103"/>
    </row>
    <row r="4236" spans="1:7" x14ac:dyDescent="0.25">
      <c r="A4236" s="101"/>
      <c r="B4236" s="36"/>
      <c r="C4236" s="98"/>
      <c r="D4236" s="98"/>
      <c r="E4236" s="98"/>
      <c r="F4236" s="102"/>
      <c r="G4236" s="103"/>
    </row>
    <row r="4237" spans="1:7" x14ac:dyDescent="0.25">
      <c r="A4237" s="101"/>
      <c r="B4237" s="36"/>
      <c r="C4237" s="98"/>
      <c r="D4237" s="98"/>
      <c r="E4237" s="98"/>
      <c r="F4237" s="102"/>
      <c r="G4237" s="103"/>
    </row>
    <row r="4238" spans="1:7" x14ac:dyDescent="0.25">
      <c r="A4238" s="101"/>
      <c r="B4238" s="36"/>
      <c r="C4238" s="98"/>
      <c r="D4238" s="98"/>
      <c r="E4238" s="98"/>
      <c r="F4238" s="102"/>
      <c r="G4238" s="103"/>
    </row>
    <row r="4239" spans="1:7" x14ac:dyDescent="0.25">
      <c r="A4239" s="101"/>
      <c r="B4239" s="36"/>
      <c r="C4239" s="98"/>
      <c r="D4239" s="98"/>
      <c r="E4239" s="98"/>
      <c r="F4239" s="102"/>
      <c r="G4239" s="103"/>
    </row>
    <row r="4240" spans="1:7" x14ac:dyDescent="0.25">
      <c r="A4240" s="101"/>
      <c r="B4240" s="36"/>
      <c r="C4240" s="98"/>
      <c r="D4240" s="98"/>
      <c r="E4240" s="98"/>
      <c r="F4240" s="102"/>
      <c r="G4240" s="103"/>
    </row>
    <row r="4241" spans="1:7" x14ac:dyDescent="0.25">
      <c r="A4241" s="101"/>
      <c r="B4241" s="36"/>
      <c r="C4241" s="98"/>
      <c r="D4241" s="98"/>
      <c r="E4241" s="98"/>
      <c r="F4241" s="102"/>
      <c r="G4241" s="103"/>
    </row>
    <row r="4242" spans="1:7" x14ac:dyDescent="0.25">
      <c r="A4242" s="101"/>
      <c r="B4242" s="36"/>
      <c r="C4242" s="98"/>
      <c r="D4242" s="98"/>
      <c r="E4242" s="98"/>
      <c r="F4242" s="102"/>
      <c r="G4242" s="103"/>
    </row>
    <row r="4243" spans="1:7" x14ac:dyDescent="0.25">
      <c r="A4243" s="101"/>
      <c r="B4243" s="36"/>
      <c r="C4243" s="98"/>
      <c r="D4243" s="98"/>
      <c r="E4243" s="98"/>
      <c r="F4243" s="102"/>
      <c r="G4243" s="103"/>
    </row>
    <row r="4244" spans="1:7" x14ac:dyDescent="0.25">
      <c r="A4244" s="101"/>
      <c r="B4244" s="36"/>
      <c r="C4244" s="98"/>
      <c r="D4244" s="98"/>
      <c r="E4244" s="98"/>
      <c r="F4244" s="102"/>
      <c r="G4244" s="103"/>
    </row>
    <row r="4245" spans="1:7" x14ac:dyDescent="0.25">
      <c r="A4245" s="101"/>
      <c r="B4245" s="66"/>
      <c r="C4245" s="98"/>
      <c r="D4245" s="98"/>
      <c r="E4245" s="98"/>
      <c r="F4245" s="102"/>
      <c r="G4245" s="103"/>
    </row>
    <row r="4246" spans="1:7" x14ac:dyDescent="0.25">
      <c r="A4246" s="101"/>
      <c r="B4246" s="36"/>
      <c r="C4246" s="98"/>
      <c r="D4246" s="98"/>
      <c r="E4246" s="98"/>
      <c r="F4246" s="102"/>
      <c r="G4246" s="103"/>
    </row>
    <row r="4247" spans="1:7" x14ac:dyDescent="0.25">
      <c r="A4247" s="101"/>
      <c r="B4247" s="36"/>
      <c r="C4247" s="98"/>
      <c r="D4247" s="98"/>
      <c r="E4247" s="98"/>
      <c r="F4247" s="102"/>
      <c r="G4247" s="103"/>
    </row>
    <row r="4248" spans="1:7" x14ac:dyDescent="0.25">
      <c r="A4248" s="101"/>
      <c r="B4248" s="36"/>
      <c r="C4248" s="98"/>
      <c r="D4248" s="98"/>
      <c r="E4248" s="98"/>
      <c r="F4248" s="102"/>
      <c r="G4248" s="103"/>
    </row>
    <row r="4249" spans="1:7" x14ac:dyDescent="0.25">
      <c r="A4249" s="101"/>
      <c r="B4249" s="36"/>
      <c r="C4249" s="98"/>
      <c r="D4249" s="98"/>
      <c r="E4249" s="98"/>
      <c r="F4249" s="102"/>
      <c r="G4249" s="103"/>
    </row>
    <row r="4250" spans="1:7" x14ac:dyDescent="0.25">
      <c r="A4250" s="101"/>
      <c r="B4250" s="36"/>
      <c r="C4250" s="98"/>
      <c r="D4250" s="98"/>
      <c r="E4250" s="98"/>
      <c r="F4250" s="102"/>
      <c r="G4250" s="103"/>
    </row>
    <row r="4251" spans="1:7" x14ac:dyDescent="0.25">
      <c r="A4251" s="101"/>
      <c r="B4251" s="36"/>
      <c r="C4251" s="98"/>
      <c r="D4251" s="98"/>
      <c r="E4251" s="98"/>
      <c r="F4251" s="102"/>
      <c r="G4251" s="103"/>
    </row>
    <row r="4252" spans="1:7" x14ac:dyDescent="0.25">
      <c r="A4252" s="101"/>
      <c r="B4252" s="36"/>
      <c r="C4252" s="98"/>
      <c r="D4252" s="98"/>
      <c r="E4252" s="98"/>
      <c r="F4252" s="102"/>
      <c r="G4252" s="103"/>
    </row>
    <row r="4253" spans="1:7" x14ac:dyDescent="0.25">
      <c r="A4253" s="101"/>
      <c r="B4253" s="36"/>
      <c r="C4253" s="98"/>
      <c r="D4253" s="98"/>
      <c r="E4253" s="98"/>
      <c r="F4253" s="102"/>
      <c r="G4253" s="103"/>
    </row>
    <row r="4254" spans="1:7" x14ac:dyDescent="0.25">
      <c r="A4254" s="101"/>
      <c r="B4254" s="36"/>
      <c r="C4254" s="98"/>
      <c r="D4254" s="98"/>
      <c r="E4254" s="98"/>
      <c r="F4254" s="102"/>
      <c r="G4254" s="103"/>
    </row>
    <row r="4255" spans="1:7" x14ac:dyDescent="0.25">
      <c r="A4255" s="101"/>
      <c r="B4255" s="36"/>
      <c r="C4255" s="98"/>
      <c r="D4255" s="98"/>
      <c r="E4255" s="98"/>
      <c r="F4255" s="102"/>
      <c r="G4255" s="103"/>
    </row>
    <row r="4256" spans="1:7" x14ac:dyDescent="0.25">
      <c r="A4256" s="101"/>
      <c r="B4256" s="36"/>
      <c r="C4256" s="98"/>
      <c r="D4256" s="98"/>
      <c r="E4256" s="98"/>
      <c r="F4256" s="102"/>
      <c r="G4256" s="103"/>
    </row>
    <row r="4257" spans="1:7" x14ac:dyDescent="0.25">
      <c r="A4257" s="101"/>
      <c r="B4257" s="36"/>
      <c r="C4257" s="98"/>
      <c r="D4257" s="98"/>
      <c r="E4257" s="98"/>
      <c r="F4257" s="102"/>
      <c r="G4257" s="103"/>
    </row>
    <row r="4258" spans="1:7" x14ac:dyDescent="0.25">
      <c r="A4258" s="101"/>
      <c r="B4258" s="36"/>
      <c r="C4258" s="98"/>
      <c r="D4258" s="98"/>
      <c r="E4258" s="98"/>
      <c r="F4258" s="102"/>
      <c r="G4258" s="103"/>
    </row>
    <row r="4259" spans="1:7" x14ac:dyDescent="0.25">
      <c r="A4259" s="101"/>
      <c r="B4259" s="36"/>
      <c r="C4259" s="98"/>
      <c r="D4259" s="98"/>
      <c r="E4259" s="98"/>
      <c r="F4259" s="102"/>
      <c r="G4259" s="103"/>
    </row>
    <row r="4260" spans="1:7" x14ac:dyDescent="0.25">
      <c r="A4260" s="101"/>
      <c r="B4260" s="36"/>
      <c r="C4260" s="98"/>
      <c r="D4260" s="98"/>
      <c r="E4260" s="98"/>
      <c r="F4260" s="102"/>
      <c r="G4260" s="103"/>
    </row>
    <row r="4261" spans="1:7" x14ac:dyDescent="0.25">
      <c r="A4261" s="101"/>
      <c r="B4261" s="36"/>
      <c r="C4261" s="98"/>
      <c r="D4261" s="98"/>
      <c r="E4261" s="98"/>
      <c r="F4261" s="102"/>
      <c r="G4261" s="103"/>
    </row>
    <row r="4262" spans="1:7" x14ac:dyDescent="0.25">
      <c r="A4262" s="101"/>
      <c r="B4262" s="36"/>
      <c r="C4262" s="98"/>
      <c r="D4262" s="98"/>
      <c r="E4262" s="98"/>
      <c r="F4262" s="102"/>
      <c r="G4262" s="103"/>
    </row>
    <row r="4263" spans="1:7" x14ac:dyDescent="0.25">
      <c r="A4263" s="101"/>
      <c r="B4263" s="66"/>
      <c r="C4263" s="98"/>
      <c r="D4263" s="98"/>
      <c r="E4263" s="98"/>
      <c r="F4263" s="102"/>
      <c r="G4263" s="103"/>
    </row>
    <row r="4264" spans="1:7" x14ac:dyDescent="0.25">
      <c r="A4264" s="101"/>
      <c r="B4264" s="66"/>
      <c r="C4264" s="98"/>
      <c r="D4264" s="98"/>
      <c r="E4264" s="98"/>
      <c r="F4264" s="102"/>
      <c r="G4264" s="103"/>
    </row>
    <row r="4265" spans="1:7" x14ac:dyDescent="0.25">
      <c r="A4265" s="101"/>
      <c r="B4265" s="36"/>
      <c r="C4265" s="98"/>
      <c r="D4265" s="98"/>
      <c r="E4265" s="98"/>
      <c r="F4265" s="102"/>
      <c r="G4265" s="103"/>
    </row>
    <row r="4266" spans="1:7" x14ac:dyDescent="0.25">
      <c r="A4266" s="101"/>
      <c r="B4266" s="36"/>
      <c r="C4266" s="98"/>
      <c r="D4266" s="98"/>
      <c r="E4266" s="98"/>
      <c r="F4266" s="102"/>
      <c r="G4266" s="103"/>
    </row>
    <row r="4267" spans="1:7" x14ac:dyDescent="0.25">
      <c r="A4267" s="101"/>
      <c r="B4267" s="36"/>
      <c r="C4267" s="98"/>
      <c r="D4267" s="98"/>
      <c r="E4267" s="98"/>
      <c r="F4267" s="102"/>
      <c r="G4267" s="103"/>
    </row>
    <row r="4268" spans="1:7" x14ac:dyDescent="0.25">
      <c r="A4268" s="101"/>
      <c r="B4268" s="36"/>
      <c r="C4268" s="98"/>
      <c r="D4268" s="98"/>
      <c r="E4268" s="98"/>
      <c r="F4268" s="102"/>
      <c r="G4268" s="103"/>
    </row>
    <row r="4269" spans="1:7" x14ac:dyDescent="0.25">
      <c r="A4269" s="101"/>
      <c r="B4269" s="36"/>
      <c r="C4269" s="98"/>
      <c r="D4269" s="98"/>
      <c r="E4269" s="98"/>
      <c r="F4269" s="102"/>
      <c r="G4269" s="103"/>
    </row>
    <row r="4270" spans="1:7" x14ac:dyDescent="0.25">
      <c r="A4270" s="101"/>
      <c r="B4270" s="36"/>
      <c r="C4270" s="98"/>
      <c r="D4270" s="98"/>
      <c r="E4270" s="98"/>
      <c r="F4270" s="102"/>
      <c r="G4270" s="103"/>
    </row>
    <row r="4271" spans="1:7" x14ac:dyDescent="0.25">
      <c r="A4271" s="101"/>
      <c r="B4271" s="36"/>
      <c r="C4271" s="98"/>
      <c r="D4271" s="98"/>
      <c r="E4271" s="98"/>
      <c r="F4271" s="102"/>
      <c r="G4271" s="103"/>
    </row>
    <row r="4272" spans="1:7" x14ac:dyDescent="0.25">
      <c r="A4272" s="101"/>
      <c r="B4272" s="36"/>
      <c r="C4272" s="98"/>
      <c r="D4272" s="98"/>
      <c r="E4272" s="98"/>
      <c r="F4272" s="102"/>
      <c r="G4272" s="103"/>
    </row>
    <row r="4273" spans="1:7" x14ac:dyDescent="0.25">
      <c r="A4273" s="101"/>
      <c r="B4273" s="36"/>
      <c r="C4273" s="98"/>
      <c r="D4273" s="98"/>
      <c r="E4273" s="98"/>
      <c r="F4273" s="102"/>
      <c r="G4273" s="103"/>
    </row>
    <row r="4274" spans="1:7" x14ac:dyDescent="0.25">
      <c r="A4274" s="101"/>
      <c r="B4274" s="36"/>
      <c r="C4274" s="98"/>
      <c r="D4274" s="98"/>
      <c r="E4274" s="98"/>
      <c r="F4274" s="102"/>
      <c r="G4274" s="103"/>
    </row>
    <row r="4275" spans="1:7" x14ac:dyDescent="0.25">
      <c r="A4275" s="101"/>
      <c r="B4275" s="67"/>
      <c r="C4275" s="98"/>
      <c r="D4275" s="98"/>
      <c r="E4275" s="98"/>
      <c r="F4275" s="102"/>
      <c r="G4275" s="103"/>
    </row>
    <row r="4276" spans="1:7" x14ac:dyDescent="0.25">
      <c r="A4276" s="101"/>
      <c r="B4276" s="36"/>
      <c r="C4276" s="98"/>
      <c r="D4276" s="98"/>
      <c r="E4276" s="98"/>
      <c r="F4276" s="102"/>
      <c r="G4276" s="103"/>
    </row>
    <row r="4277" spans="1:7" x14ac:dyDescent="0.25">
      <c r="A4277" s="101"/>
      <c r="B4277" s="36"/>
      <c r="C4277" s="98"/>
      <c r="D4277" s="98"/>
      <c r="E4277" s="98"/>
      <c r="F4277" s="102"/>
      <c r="G4277" s="103"/>
    </row>
    <row r="4278" spans="1:7" x14ac:dyDescent="0.25">
      <c r="A4278" s="101"/>
      <c r="B4278" s="36"/>
      <c r="C4278" s="98"/>
      <c r="D4278" s="98"/>
      <c r="E4278" s="98"/>
      <c r="F4278" s="102"/>
      <c r="G4278" s="103"/>
    </row>
    <row r="4279" spans="1:7" x14ac:dyDescent="0.25">
      <c r="A4279" s="101"/>
      <c r="B4279" s="36"/>
      <c r="C4279" s="98"/>
      <c r="D4279" s="98"/>
      <c r="E4279" s="98"/>
      <c r="F4279" s="102"/>
      <c r="G4279" s="103"/>
    </row>
    <row r="4280" spans="1:7" x14ac:dyDescent="0.25">
      <c r="A4280" s="101"/>
      <c r="B4280" s="36"/>
      <c r="C4280" s="98"/>
      <c r="D4280" s="98"/>
      <c r="E4280" s="98"/>
      <c r="F4280" s="102"/>
      <c r="G4280" s="103"/>
    </row>
    <row r="4281" spans="1:7" x14ac:dyDescent="0.25">
      <c r="A4281" s="101"/>
      <c r="B4281" s="36"/>
      <c r="C4281" s="98"/>
      <c r="D4281" s="98"/>
      <c r="E4281" s="98"/>
      <c r="F4281" s="102"/>
      <c r="G4281" s="103"/>
    </row>
    <row r="4282" spans="1:7" x14ac:dyDescent="0.25">
      <c r="A4282" s="101"/>
      <c r="B4282" s="36"/>
      <c r="C4282" s="98"/>
      <c r="D4282" s="98"/>
      <c r="E4282" s="98"/>
      <c r="F4282" s="102"/>
      <c r="G4282" s="103"/>
    </row>
    <row r="4283" spans="1:7" x14ac:dyDescent="0.25">
      <c r="A4283" s="101"/>
      <c r="B4283" s="36"/>
      <c r="C4283" s="98"/>
      <c r="D4283" s="98"/>
      <c r="E4283" s="98"/>
      <c r="F4283" s="102"/>
      <c r="G4283" s="103"/>
    </row>
    <row r="4284" spans="1:7" x14ac:dyDescent="0.25">
      <c r="A4284" s="101"/>
      <c r="B4284" s="36"/>
      <c r="C4284" s="98"/>
      <c r="D4284" s="98"/>
      <c r="E4284" s="98"/>
      <c r="F4284" s="102"/>
      <c r="G4284" s="103"/>
    </row>
    <row r="4285" spans="1:7" x14ac:dyDescent="0.25">
      <c r="A4285" s="101"/>
      <c r="B4285" s="36"/>
      <c r="C4285" s="98"/>
      <c r="D4285" s="98"/>
      <c r="E4285" s="98"/>
      <c r="F4285" s="102"/>
      <c r="G4285" s="103"/>
    </row>
    <row r="4286" spans="1:7" x14ac:dyDescent="0.25">
      <c r="A4286" s="101"/>
      <c r="B4286" s="36"/>
      <c r="C4286" s="98"/>
      <c r="D4286" s="98"/>
      <c r="E4286" s="98"/>
      <c r="F4286" s="102"/>
      <c r="G4286" s="103"/>
    </row>
    <row r="4287" spans="1:7" x14ac:dyDescent="0.25">
      <c r="A4287" s="101"/>
      <c r="B4287" s="66"/>
      <c r="C4287" s="98"/>
      <c r="D4287" s="98"/>
      <c r="E4287" s="98"/>
      <c r="F4287" s="102"/>
      <c r="G4287" s="103"/>
    </row>
    <row r="4288" spans="1:7" x14ac:dyDescent="0.25">
      <c r="A4288" s="101"/>
      <c r="B4288" s="36"/>
      <c r="C4288" s="98"/>
      <c r="D4288" s="98"/>
      <c r="E4288" s="98"/>
      <c r="F4288" s="102"/>
      <c r="G4288" s="103"/>
    </row>
    <row r="4289" spans="1:7" x14ac:dyDescent="0.25">
      <c r="A4289" s="101"/>
      <c r="B4289" s="36"/>
      <c r="C4289" s="98"/>
      <c r="D4289" s="98"/>
      <c r="E4289" s="98"/>
      <c r="F4289" s="102"/>
      <c r="G4289" s="103"/>
    </row>
    <row r="4290" spans="1:7" x14ac:dyDescent="0.25">
      <c r="A4290" s="101"/>
      <c r="B4290" s="36"/>
      <c r="C4290" s="98"/>
      <c r="D4290" s="98"/>
      <c r="E4290" s="98"/>
      <c r="F4290" s="102"/>
      <c r="G4290" s="103"/>
    </row>
    <row r="4291" spans="1:7" x14ac:dyDescent="0.25">
      <c r="A4291" s="101"/>
      <c r="B4291" s="36"/>
      <c r="C4291" s="98"/>
      <c r="D4291" s="98"/>
      <c r="E4291" s="98"/>
      <c r="F4291" s="102"/>
      <c r="G4291" s="103"/>
    </row>
    <row r="4292" spans="1:7" x14ac:dyDescent="0.25">
      <c r="A4292" s="101"/>
      <c r="B4292" s="36"/>
      <c r="C4292" s="98"/>
      <c r="D4292" s="98"/>
      <c r="E4292" s="98"/>
      <c r="F4292" s="102"/>
      <c r="G4292" s="103"/>
    </row>
    <row r="4293" spans="1:7" x14ac:dyDescent="0.25">
      <c r="A4293" s="101"/>
      <c r="B4293" s="36"/>
      <c r="C4293" s="98"/>
      <c r="D4293" s="98"/>
      <c r="E4293" s="98"/>
      <c r="F4293" s="102"/>
      <c r="G4293" s="103"/>
    </row>
    <row r="4294" spans="1:7" x14ac:dyDescent="0.25">
      <c r="A4294" s="101"/>
      <c r="B4294" s="36"/>
      <c r="C4294" s="98"/>
      <c r="D4294" s="98"/>
      <c r="E4294" s="98"/>
      <c r="F4294" s="102"/>
      <c r="G4294" s="103"/>
    </row>
    <row r="4295" spans="1:7" x14ac:dyDescent="0.25">
      <c r="A4295" s="101"/>
      <c r="B4295" s="36"/>
      <c r="C4295" s="98"/>
      <c r="D4295" s="98"/>
      <c r="E4295" s="98"/>
      <c r="F4295" s="102"/>
      <c r="G4295" s="103"/>
    </row>
    <row r="4296" spans="1:7" x14ac:dyDescent="0.25">
      <c r="A4296" s="101"/>
      <c r="B4296" s="36"/>
      <c r="C4296" s="98"/>
      <c r="D4296" s="98"/>
      <c r="E4296" s="98"/>
      <c r="F4296" s="102"/>
      <c r="G4296" s="103"/>
    </row>
    <row r="4297" spans="1:7" x14ac:dyDescent="0.25">
      <c r="A4297" s="101"/>
      <c r="B4297" s="36"/>
      <c r="C4297" s="98"/>
      <c r="D4297" s="98"/>
      <c r="E4297" s="98"/>
      <c r="F4297" s="102"/>
      <c r="G4297" s="103"/>
    </row>
    <row r="4298" spans="1:7" x14ac:dyDescent="0.25">
      <c r="A4298" s="101"/>
      <c r="B4298" s="36"/>
      <c r="C4298" s="98"/>
      <c r="D4298" s="98"/>
      <c r="E4298" s="98"/>
      <c r="F4298" s="102"/>
      <c r="G4298" s="103"/>
    </row>
    <row r="4299" spans="1:7" x14ac:dyDescent="0.25">
      <c r="A4299" s="101"/>
      <c r="B4299" s="36"/>
      <c r="C4299" s="98"/>
      <c r="D4299" s="98"/>
      <c r="E4299" s="98"/>
      <c r="F4299" s="102"/>
      <c r="G4299" s="103"/>
    </row>
    <row r="4300" spans="1:7" x14ac:dyDescent="0.25">
      <c r="A4300" s="101"/>
      <c r="B4300" s="36"/>
      <c r="C4300" s="98"/>
      <c r="D4300" s="98"/>
      <c r="E4300" s="98"/>
      <c r="F4300" s="102"/>
      <c r="G4300" s="103"/>
    </row>
    <row r="4301" spans="1:7" x14ac:dyDescent="0.25">
      <c r="A4301" s="101"/>
      <c r="B4301" s="36"/>
      <c r="C4301" s="98"/>
      <c r="D4301" s="98"/>
      <c r="E4301" s="98"/>
      <c r="F4301" s="102"/>
      <c r="G4301" s="103"/>
    </row>
    <row r="4302" spans="1:7" x14ac:dyDescent="0.25">
      <c r="A4302" s="101"/>
      <c r="B4302" s="36"/>
      <c r="C4302" s="98"/>
      <c r="D4302" s="98"/>
      <c r="E4302" s="98"/>
      <c r="F4302" s="102"/>
      <c r="G4302" s="103"/>
    </row>
    <row r="4303" spans="1:7" x14ac:dyDescent="0.25">
      <c r="A4303" s="101"/>
      <c r="B4303" s="36"/>
      <c r="C4303" s="98"/>
      <c r="D4303" s="98"/>
      <c r="E4303" s="98"/>
      <c r="F4303" s="102"/>
      <c r="G4303" s="103"/>
    </row>
    <row r="4304" spans="1:7" x14ac:dyDescent="0.25">
      <c r="A4304" s="101"/>
      <c r="B4304" s="36"/>
      <c r="C4304" s="98"/>
      <c r="D4304" s="98"/>
      <c r="E4304" s="98"/>
      <c r="F4304" s="102"/>
      <c r="G4304" s="103"/>
    </row>
    <row r="4305" spans="1:7" x14ac:dyDescent="0.25">
      <c r="A4305" s="101"/>
      <c r="B4305" s="36"/>
      <c r="C4305" s="98"/>
      <c r="D4305" s="98"/>
      <c r="E4305" s="98"/>
      <c r="F4305" s="102"/>
      <c r="G4305" s="103"/>
    </row>
    <row r="4306" spans="1:7" x14ac:dyDescent="0.25">
      <c r="A4306" s="101"/>
      <c r="B4306" s="36"/>
      <c r="C4306" s="98"/>
      <c r="D4306" s="98"/>
      <c r="E4306" s="98"/>
      <c r="F4306" s="102"/>
      <c r="G4306" s="103"/>
    </row>
    <row r="4307" spans="1:7" x14ac:dyDescent="0.25">
      <c r="A4307" s="101"/>
      <c r="B4307" s="36"/>
      <c r="C4307" s="98"/>
      <c r="D4307" s="98"/>
      <c r="E4307" s="98"/>
      <c r="F4307" s="102"/>
      <c r="G4307" s="103"/>
    </row>
    <row r="4308" spans="1:7" x14ac:dyDescent="0.25">
      <c r="A4308" s="101"/>
      <c r="B4308" s="36"/>
      <c r="C4308" s="98"/>
      <c r="D4308" s="98"/>
      <c r="E4308" s="98"/>
      <c r="F4308" s="102"/>
      <c r="G4308" s="103"/>
    </row>
    <row r="4309" spans="1:7" x14ac:dyDescent="0.25">
      <c r="A4309" s="101"/>
      <c r="B4309" s="36"/>
      <c r="C4309" s="98"/>
      <c r="D4309" s="98"/>
      <c r="E4309" s="98"/>
      <c r="F4309" s="102"/>
      <c r="G4309" s="103"/>
    </row>
    <row r="4310" spans="1:7" x14ac:dyDescent="0.25">
      <c r="A4310" s="101"/>
      <c r="B4310" s="36"/>
      <c r="C4310" s="98"/>
      <c r="D4310" s="98"/>
      <c r="E4310" s="98"/>
      <c r="F4310" s="102"/>
      <c r="G4310" s="103"/>
    </row>
    <row r="4311" spans="1:7" x14ac:dyDescent="0.25">
      <c r="A4311" s="101"/>
      <c r="B4311" s="66"/>
      <c r="C4311" s="98"/>
      <c r="D4311" s="98"/>
      <c r="E4311" s="98"/>
      <c r="F4311" s="102"/>
      <c r="G4311" s="103"/>
    </row>
    <row r="4312" spans="1:7" x14ac:dyDescent="0.25">
      <c r="A4312" s="101"/>
      <c r="B4312" s="66"/>
      <c r="C4312" s="98"/>
      <c r="D4312" s="98"/>
      <c r="E4312" s="98"/>
      <c r="F4312" s="102"/>
      <c r="G4312" s="103"/>
    </row>
    <row r="4313" spans="1:7" x14ac:dyDescent="0.25">
      <c r="A4313" s="101"/>
      <c r="B4313" s="36"/>
      <c r="C4313" s="98"/>
      <c r="D4313" s="98"/>
      <c r="E4313" s="98"/>
      <c r="F4313" s="102"/>
      <c r="G4313" s="103"/>
    </row>
    <row r="4314" spans="1:7" x14ac:dyDescent="0.25">
      <c r="A4314" s="101"/>
      <c r="B4314" s="36"/>
      <c r="C4314" s="98"/>
      <c r="D4314" s="98"/>
      <c r="E4314" s="98"/>
      <c r="F4314" s="102"/>
      <c r="G4314" s="103"/>
    </row>
    <row r="4315" spans="1:7" x14ac:dyDescent="0.25">
      <c r="A4315" s="101"/>
      <c r="B4315" s="36"/>
      <c r="C4315" s="98"/>
      <c r="D4315" s="98"/>
      <c r="E4315" s="98"/>
      <c r="F4315" s="102"/>
      <c r="G4315" s="103"/>
    </row>
    <row r="4316" spans="1:7" x14ac:dyDescent="0.25">
      <c r="A4316" s="101"/>
      <c r="B4316" s="36"/>
      <c r="C4316" s="98"/>
      <c r="D4316" s="98"/>
      <c r="E4316" s="98"/>
      <c r="F4316" s="102"/>
      <c r="G4316" s="103"/>
    </row>
    <row r="4317" spans="1:7" x14ac:dyDescent="0.25">
      <c r="A4317" s="101"/>
      <c r="B4317" s="36"/>
      <c r="C4317" s="98"/>
      <c r="D4317" s="98"/>
      <c r="E4317" s="98"/>
      <c r="F4317" s="102"/>
      <c r="G4317" s="103"/>
    </row>
    <row r="4318" spans="1:7" x14ac:dyDescent="0.25">
      <c r="A4318" s="101"/>
      <c r="B4318" s="36"/>
      <c r="C4318" s="98"/>
      <c r="D4318" s="98"/>
      <c r="E4318" s="98"/>
      <c r="F4318" s="102"/>
      <c r="G4318" s="103"/>
    </row>
    <row r="4319" spans="1:7" x14ac:dyDescent="0.25">
      <c r="A4319" s="101"/>
      <c r="B4319" s="36"/>
      <c r="C4319" s="98"/>
      <c r="D4319" s="98"/>
      <c r="E4319" s="98"/>
      <c r="F4319" s="102"/>
      <c r="G4319" s="103"/>
    </row>
    <row r="4320" spans="1:7" x14ac:dyDescent="0.25">
      <c r="A4320" s="101"/>
      <c r="B4320" s="36"/>
      <c r="C4320" s="98"/>
      <c r="D4320" s="98"/>
      <c r="E4320" s="98"/>
      <c r="F4320" s="102"/>
      <c r="G4320" s="103"/>
    </row>
    <row r="4321" spans="1:7" x14ac:dyDescent="0.25">
      <c r="A4321" s="101"/>
      <c r="B4321" s="36"/>
      <c r="C4321" s="98"/>
      <c r="D4321" s="98"/>
      <c r="E4321" s="98"/>
      <c r="F4321" s="102"/>
      <c r="G4321" s="103"/>
    </row>
    <row r="4322" spans="1:7" x14ac:dyDescent="0.25">
      <c r="A4322" s="101"/>
      <c r="B4322" s="36"/>
      <c r="C4322" s="98"/>
      <c r="D4322" s="98"/>
      <c r="E4322" s="98"/>
      <c r="F4322" s="102"/>
      <c r="G4322" s="103"/>
    </row>
    <row r="4323" spans="1:7" x14ac:dyDescent="0.25">
      <c r="A4323" s="101"/>
      <c r="B4323" s="36"/>
      <c r="C4323" s="98"/>
      <c r="D4323" s="98"/>
      <c r="E4323" s="98"/>
      <c r="F4323" s="102"/>
      <c r="G4323" s="103"/>
    </row>
    <row r="4324" spans="1:7" x14ac:dyDescent="0.25">
      <c r="A4324" s="101"/>
      <c r="B4324" s="36"/>
      <c r="C4324" s="98"/>
      <c r="D4324" s="98"/>
      <c r="E4324" s="98"/>
      <c r="F4324" s="102"/>
      <c r="G4324" s="103"/>
    </row>
    <row r="4325" spans="1:7" x14ac:dyDescent="0.25">
      <c r="A4325" s="101"/>
      <c r="B4325" s="36"/>
      <c r="C4325" s="98"/>
      <c r="D4325" s="98"/>
      <c r="E4325" s="98"/>
      <c r="F4325" s="102"/>
      <c r="G4325" s="103"/>
    </row>
    <row r="4326" spans="1:7" x14ac:dyDescent="0.25">
      <c r="A4326" s="101"/>
      <c r="B4326" s="36"/>
      <c r="C4326" s="98"/>
      <c r="D4326" s="98"/>
      <c r="E4326" s="98"/>
      <c r="F4326" s="102"/>
      <c r="G4326" s="103"/>
    </row>
    <row r="4327" spans="1:7" x14ac:dyDescent="0.25">
      <c r="A4327" s="101"/>
      <c r="B4327" s="36"/>
      <c r="C4327" s="98"/>
      <c r="D4327" s="98"/>
      <c r="E4327" s="98"/>
      <c r="F4327" s="102"/>
      <c r="G4327" s="103"/>
    </row>
    <row r="4328" spans="1:7" x14ac:dyDescent="0.25">
      <c r="A4328" s="101"/>
      <c r="B4328" s="36"/>
      <c r="C4328" s="98"/>
      <c r="D4328" s="98"/>
      <c r="E4328" s="98"/>
      <c r="F4328" s="102"/>
      <c r="G4328" s="103"/>
    </row>
    <row r="4329" spans="1:7" x14ac:dyDescent="0.25">
      <c r="A4329" s="101"/>
      <c r="B4329" s="36"/>
      <c r="C4329" s="98"/>
      <c r="D4329" s="98"/>
      <c r="E4329" s="98"/>
      <c r="F4329" s="102"/>
      <c r="G4329" s="103"/>
    </row>
    <row r="4330" spans="1:7" x14ac:dyDescent="0.25">
      <c r="A4330" s="101"/>
      <c r="B4330" s="36"/>
      <c r="C4330" s="98"/>
      <c r="D4330" s="98"/>
      <c r="E4330" s="98"/>
      <c r="F4330" s="102"/>
      <c r="G4330" s="103"/>
    </row>
    <row r="4331" spans="1:7" x14ac:dyDescent="0.25">
      <c r="A4331" s="101"/>
      <c r="B4331" s="36"/>
      <c r="C4331" s="98"/>
      <c r="D4331" s="98"/>
      <c r="E4331" s="98"/>
      <c r="F4331" s="102"/>
      <c r="G4331" s="103"/>
    </row>
    <row r="4332" spans="1:7" x14ac:dyDescent="0.25">
      <c r="A4332" s="101"/>
      <c r="B4332" s="36"/>
      <c r="C4332" s="98"/>
      <c r="D4332" s="98"/>
      <c r="E4332" s="98"/>
      <c r="F4332" s="102"/>
      <c r="G4332" s="103"/>
    </row>
    <row r="4333" spans="1:7" x14ac:dyDescent="0.25">
      <c r="A4333" s="101"/>
      <c r="B4333" s="36"/>
      <c r="C4333" s="98"/>
      <c r="D4333" s="98"/>
      <c r="E4333" s="98"/>
      <c r="F4333" s="102"/>
      <c r="G4333" s="103"/>
    </row>
    <row r="4334" spans="1:7" x14ac:dyDescent="0.25">
      <c r="A4334" s="101"/>
      <c r="B4334" s="36"/>
      <c r="C4334" s="98"/>
      <c r="D4334" s="98"/>
      <c r="E4334" s="98"/>
      <c r="F4334" s="102"/>
      <c r="G4334" s="103"/>
    </row>
    <row r="4335" spans="1:7" x14ac:dyDescent="0.25">
      <c r="A4335" s="101"/>
      <c r="B4335" s="36"/>
      <c r="C4335" s="98"/>
      <c r="D4335" s="98"/>
      <c r="E4335" s="98"/>
      <c r="F4335" s="102"/>
      <c r="G4335" s="103"/>
    </row>
    <row r="4336" spans="1:7" x14ac:dyDescent="0.25">
      <c r="A4336" s="101"/>
      <c r="B4336" s="36"/>
      <c r="C4336" s="98"/>
      <c r="D4336" s="98"/>
      <c r="E4336" s="98"/>
      <c r="F4336" s="102"/>
      <c r="G4336" s="103"/>
    </row>
    <row r="4337" spans="1:7" x14ac:dyDescent="0.25">
      <c r="A4337" s="101"/>
      <c r="B4337" s="36"/>
      <c r="C4337" s="98"/>
      <c r="D4337" s="98"/>
      <c r="E4337" s="98"/>
      <c r="F4337" s="102"/>
      <c r="G4337" s="103"/>
    </row>
    <row r="4338" spans="1:7" x14ac:dyDescent="0.25">
      <c r="A4338" s="101"/>
      <c r="B4338" s="36"/>
      <c r="C4338" s="98"/>
      <c r="D4338" s="98"/>
      <c r="E4338" s="98"/>
      <c r="F4338" s="102"/>
      <c r="G4338" s="103"/>
    </row>
    <row r="4339" spans="1:7" x14ac:dyDescent="0.25">
      <c r="A4339" s="101"/>
      <c r="B4339" s="36"/>
      <c r="C4339" s="98"/>
      <c r="D4339" s="98"/>
      <c r="E4339" s="98"/>
      <c r="F4339" s="102"/>
      <c r="G4339" s="103"/>
    </row>
    <row r="4340" spans="1:7" x14ac:dyDescent="0.25">
      <c r="A4340" s="101"/>
      <c r="B4340" s="36"/>
      <c r="C4340" s="98"/>
      <c r="D4340" s="98"/>
      <c r="E4340" s="98"/>
      <c r="F4340" s="102"/>
      <c r="G4340" s="103"/>
    </row>
    <row r="4341" spans="1:7" x14ac:dyDescent="0.25">
      <c r="A4341" s="101"/>
      <c r="B4341" s="36"/>
      <c r="C4341" s="98"/>
      <c r="D4341" s="98"/>
      <c r="E4341" s="98"/>
      <c r="F4341" s="102"/>
      <c r="G4341" s="103"/>
    </row>
    <row r="4342" spans="1:7" x14ac:dyDescent="0.25">
      <c r="A4342" s="101"/>
      <c r="B4342" s="36"/>
      <c r="C4342" s="98"/>
      <c r="D4342" s="98"/>
      <c r="E4342" s="98"/>
      <c r="F4342" s="102"/>
      <c r="G4342" s="103"/>
    </row>
    <row r="4343" spans="1:7" x14ac:dyDescent="0.25">
      <c r="A4343" s="101"/>
      <c r="B4343" s="36"/>
      <c r="C4343" s="98"/>
      <c r="D4343" s="98"/>
      <c r="E4343" s="98"/>
      <c r="F4343" s="102"/>
      <c r="G4343" s="103"/>
    </row>
    <row r="4344" spans="1:7" x14ac:dyDescent="0.25">
      <c r="A4344" s="101"/>
      <c r="B4344" s="36"/>
      <c r="C4344" s="98"/>
      <c r="D4344" s="98"/>
      <c r="E4344" s="98"/>
      <c r="F4344" s="102"/>
      <c r="G4344" s="103"/>
    </row>
    <row r="4345" spans="1:7" x14ac:dyDescent="0.25">
      <c r="A4345" s="101"/>
      <c r="B4345" s="36"/>
      <c r="C4345" s="98"/>
      <c r="D4345" s="98"/>
      <c r="E4345" s="98"/>
      <c r="F4345" s="102"/>
      <c r="G4345" s="103"/>
    </row>
    <row r="4346" spans="1:7" x14ac:dyDescent="0.25">
      <c r="A4346" s="101"/>
      <c r="B4346" s="36"/>
      <c r="C4346" s="98"/>
      <c r="D4346" s="98"/>
      <c r="E4346" s="98"/>
      <c r="F4346" s="102"/>
      <c r="G4346" s="103"/>
    </row>
    <row r="4347" spans="1:7" x14ac:dyDescent="0.25">
      <c r="A4347" s="101"/>
      <c r="B4347" s="36"/>
      <c r="C4347" s="98"/>
      <c r="D4347" s="98"/>
      <c r="E4347" s="98"/>
      <c r="F4347" s="102"/>
      <c r="G4347" s="103"/>
    </row>
    <row r="4348" spans="1:7" x14ac:dyDescent="0.25">
      <c r="A4348" s="101"/>
      <c r="B4348" s="67"/>
      <c r="C4348" s="98"/>
      <c r="D4348" s="98"/>
      <c r="E4348" s="98"/>
      <c r="F4348" s="102"/>
      <c r="G4348" s="103"/>
    </row>
    <row r="4349" spans="1:7" x14ac:dyDescent="0.25">
      <c r="A4349" s="101"/>
      <c r="B4349" s="36"/>
      <c r="C4349" s="98"/>
      <c r="D4349" s="98"/>
      <c r="E4349" s="98"/>
      <c r="F4349" s="102"/>
      <c r="G4349" s="103"/>
    </row>
    <row r="4350" spans="1:7" x14ac:dyDescent="0.25">
      <c r="A4350" s="101"/>
      <c r="B4350" s="36"/>
      <c r="C4350" s="98"/>
      <c r="D4350" s="98"/>
      <c r="E4350" s="98"/>
      <c r="F4350" s="102"/>
      <c r="G4350" s="103"/>
    </row>
    <row r="4351" spans="1:7" x14ac:dyDescent="0.25">
      <c r="A4351" s="101"/>
      <c r="B4351" s="36"/>
      <c r="C4351" s="98"/>
      <c r="D4351" s="98"/>
      <c r="E4351" s="98"/>
      <c r="F4351" s="102"/>
      <c r="G4351" s="103"/>
    </row>
    <row r="4352" spans="1:7" x14ac:dyDescent="0.25">
      <c r="A4352" s="101"/>
      <c r="B4352" s="36"/>
      <c r="C4352" s="98"/>
      <c r="D4352" s="98"/>
      <c r="E4352" s="98"/>
      <c r="F4352" s="102"/>
      <c r="G4352" s="103"/>
    </row>
    <row r="4353" spans="1:7" x14ac:dyDescent="0.25">
      <c r="A4353" s="101"/>
      <c r="B4353" s="36"/>
      <c r="C4353" s="98"/>
      <c r="D4353" s="98"/>
      <c r="E4353" s="98"/>
      <c r="F4353" s="102"/>
      <c r="G4353" s="103"/>
    </row>
    <row r="4354" spans="1:7" x14ac:dyDescent="0.25">
      <c r="A4354" s="101"/>
      <c r="B4354" s="36"/>
      <c r="C4354" s="98"/>
      <c r="D4354" s="98"/>
      <c r="E4354" s="98"/>
      <c r="F4354" s="102"/>
      <c r="G4354" s="103"/>
    </row>
    <row r="4355" spans="1:7" x14ac:dyDescent="0.25">
      <c r="A4355" s="101"/>
      <c r="B4355" s="36"/>
      <c r="C4355" s="98"/>
      <c r="D4355" s="98"/>
      <c r="E4355" s="98"/>
      <c r="F4355" s="102"/>
      <c r="G4355" s="103"/>
    </row>
    <row r="4356" spans="1:7" x14ac:dyDescent="0.25">
      <c r="A4356" s="101"/>
      <c r="B4356" s="36"/>
      <c r="C4356" s="98"/>
      <c r="D4356" s="98"/>
      <c r="E4356" s="98"/>
      <c r="F4356" s="102"/>
      <c r="G4356" s="103"/>
    </row>
    <row r="4357" spans="1:7" x14ac:dyDescent="0.25">
      <c r="A4357" s="101"/>
      <c r="B4357" s="36"/>
      <c r="C4357" s="98"/>
      <c r="D4357" s="98"/>
      <c r="E4357" s="98"/>
      <c r="F4357" s="102"/>
      <c r="G4357" s="103"/>
    </row>
    <row r="4358" spans="1:7" x14ac:dyDescent="0.25">
      <c r="A4358" s="101"/>
      <c r="B4358" s="36"/>
      <c r="C4358" s="98"/>
      <c r="D4358" s="98"/>
      <c r="E4358" s="98"/>
      <c r="F4358" s="102"/>
      <c r="G4358" s="103"/>
    </row>
    <row r="4359" spans="1:7" x14ac:dyDescent="0.25">
      <c r="A4359" s="101"/>
      <c r="B4359" s="36"/>
      <c r="C4359" s="98"/>
      <c r="D4359" s="98"/>
      <c r="E4359" s="98"/>
      <c r="F4359" s="102"/>
      <c r="G4359" s="103"/>
    </row>
    <row r="4360" spans="1:7" x14ac:dyDescent="0.25">
      <c r="A4360" s="101"/>
      <c r="B4360" s="36"/>
      <c r="C4360" s="98"/>
      <c r="D4360" s="98"/>
      <c r="E4360" s="98"/>
      <c r="F4360" s="102"/>
      <c r="G4360" s="103"/>
    </row>
    <row r="4361" spans="1:7" x14ac:dyDescent="0.25">
      <c r="A4361" s="101"/>
      <c r="B4361" s="36"/>
      <c r="C4361" s="98"/>
      <c r="D4361" s="98"/>
      <c r="E4361" s="98"/>
      <c r="F4361" s="102"/>
      <c r="G4361" s="103"/>
    </row>
    <row r="4362" spans="1:7" x14ac:dyDescent="0.25">
      <c r="A4362" s="101"/>
      <c r="B4362" s="36"/>
      <c r="C4362" s="98"/>
      <c r="D4362" s="98"/>
      <c r="E4362" s="98"/>
      <c r="F4362" s="102"/>
      <c r="G4362" s="103"/>
    </row>
    <row r="4363" spans="1:7" x14ac:dyDescent="0.25">
      <c r="A4363" s="101"/>
      <c r="B4363" s="66"/>
      <c r="C4363" s="98"/>
      <c r="D4363" s="98"/>
      <c r="E4363" s="98"/>
      <c r="F4363" s="102"/>
      <c r="G4363" s="103"/>
    </row>
    <row r="4364" spans="1:7" x14ac:dyDescent="0.25">
      <c r="A4364" s="101"/>
      <c r="B4364" s="36"/>
      <c r="C4364" s="98"/>
      <c r="D4364" s="98"/>
      <c r="E4364" s="98"/>
      <c r="F4364" s="102"/>
      <c r="G4364" s="103"/>
    </row>
    <row r="4365" spans="1:7" x14ac:dyDescent="0.25">
      <c r="A4365" s="101"/>
      <c r="B4365" s="36"/>
      <c r="C4365" s="98"/>
      <c r="D4365" s="98"/>
      <c r="E4365" s="98"/>
      <c r="F4365" s="102"/>
      <c r="G4365" s="103"/>
    </row>
    <row r="4366" spans="1:7" x14ac:dyDescent="0.25">
      <c r="A4366" s="101"/>
      <c r="B4366" s="36"/>
      <c r="C4366" s="98"/>
      <c r="D4366" s="98"/>
      <c r="E4366" s="98"/>
      <c r="F4366" s="102"/>
      <c r="G4366" s="103"/>
    </row>
    <row r="4367" spans="1:7" x14ac:dyDescent="0.25">
      <c r="A4367" s="101"/>
      <c r="B4367" s="36"/>
      <c r="C4367" s="98"/>
      <c r="D4367" s="98"/>
      <c r="E4367" s="98"/>
      <c r="F4367" s="102"/>
      <c r="G4367" s="103"/>
    </row>
    <row r="4368" spans="1:7" x14ac:dyDescent="0.25">
      <c r="A4368" s="101"/>
      <c r="B4368" s="36"/>
      <c r="C4368" s="98"/>
      <c r="D4368" s="98"/>
      <c r="E4368" s="98"/>
      <c r="F4368" s="102"/>
      <c r="G4368" s="103"/>
    </row>
    <row r="4369" spans="1:7" x14ac:dyDescent="0.25">
      <c r="A4369" s="101"/>
      <c r="B4369" s="36"/>
      <c r="C4369" s="98"/>
      <c r="D4369" s="98"/>
      <c r="E4369" s="98"/>
      <c r="F4369" s="102"/>
      <c r="G4369" s="103"/>
    </row>
    <row r="4370" spans="1:7" x14ac:dyDescent="0.25">
      <c r="A4370" s="101"/>
      <c r="B4370" s="36"/>
      <c r="C4370" s="98"/>
      <c r="D4370" s="98"/>
      <c r="E4370" s="98"/>
      <c r="F4370" s="102"/>
      <c r="G4370" s="103"/>
    </row>
    <row r="4371" spans="1:7" x14ac:dyDescent="0.25">
      <c r="A4371" s="101"/>
      <c r="B4371" s="36"/>
      <c r="C4371" s="98"/>
      <c r="D4371" s="98"/>
      <c r="E4371" s="98"/>
      <c r="F4371" s="102"/>
      <c r="G4371" s="103"/>
    </row>
    <row r="4372" spans="1:7" x14ac:dyDescent="0.25">
      <c r="A4372" s="101"/>
      <c r="B4372" s="36"/>
      <c r="C4372" s="98"/>
      <c r="D4372" s="98"/>
      <c r="E4372" s="98"/>
      <c r="F4372" s="102"/>
      <c r="G4372" s="103"/>
    </row>
    <row r="4373" spans="1:7" x14ac:dyDescent="0.25">
      <c r="A4373" s="101"/>
      <c r="B4373" s="36"/>
      <c r="C4373" s="98"/>
      <c r="D4373" s="98"/>
      <c r="E4373" s="98"/>
      <c r="F4373" s="102"/>
      <c r="G4373" s="103"/>
    </row>
    <row r="4374" spans="1:7" x14ac:dyDescent="0.25">
      <c r="A4374" s="101"/>
      <c r="B4374" s="67"/>
      <c r="C4374" s="98"/>
      <c r="D4374" s="98"/>
      <c r="E4374" s="98"/>
      <c r="F4374" s="102"/>
      <c r="G4374" s="103"/>
    </row>
    <row r="4375" spans="1:7" x14ac:dyDescent="0.25">
      <c r="A4375" s="101"/>
      <c r="B4375" s="36"/>
      <c r="C4375" s="98"/>
      <c r="D4375" s="98"/>
      <c r="E4375" s="98"/>
      <c r="F4375" s="102"/>
      <c r="G4375" s="103"/>
    </row>
    <row r="4376" spans="1:7" x14ac:dyDescent="0.25">
      <c r="A4376" s="101"/>
      <c r="B4376" s="36"/>
      <c r="C4376" s="98"/>
      <c r="D4376" s="98"/>
      <c r="E4376" s="98"/>
      <c r="F4376" s="102"/>
      <c r="G4376" s="103"/>
    </row>
    <row r="4377" spans="1:7" x14ac:dyDescent="0.25">
      <c r="A4377" s="101"/>
      <c r="B4377" s="36"/>
      <c r="C4377" s="98"/>
      <c r="D4377" s="98"/>
      <c r="E4377" s="98"/>
      <c r="F4377" s="102"/>
      <c r="G4377" s="103"/>
    </row>
    <row r="4378" spans="1:7" x14ac:dyDescent="0.25">
      <c r="A4378" s="101"/>
      <c r="B4378" s="36"/>
      <c r="C4378" s="98"/>
      <c r="D4378" s="98"/>
      <c r="E4378" s="98"/>
      <c r="F4378" s="102"/>
      <c r="G4378" s="103"/>
    </row>
    <row r="4379" spans="1:7" x14ac:dyDescent="0.25">
      <c r="A4379" s="101"/>
      <c r="B4379" s="36"/>
      <c r="C4379" s="98"/>
      <c r="D4379" s="98"/>
      <c r="E4379" s="98"/>
      <c r="F4379" s="102"/>
      <c r="G4379" s="103"/>
    </row>
    <row r="4380" spans="1:7" x14ac:dyDescent="0.25">
      <c r="A4380" s="101"/>
      <c r="B4380" s="36"/>
      <c r="C4380" s="98"/>
      <c r="D4380" s="98"/>
      <c r="E4380" s="98"/>
      <c r="F4380" s="102"/>
      <c r="G4380" s="103"/>
    </row>
    <row r="4381" spans="1:7" x14ac:dyDescent="0.25">
      <c r="A4381" s="101"/>
      <c r="B4381" s="36"/>
      <c r="C4381" s="98"/>
      <c r="D4381" s="98"/>
      <c r="E4381" s="98"/>
      <c r="F4381" s="102"/>
      <c r="G4381" s="103"/>
    </row>
    <row r="4382" spans="1:7" x14ac:dyDescent="0.25">
      <c r="A4382" s="101"/>
      <c r="B4382" s="36"/>
      <c r="C4382" s="98"/>
      <c r="D4382" s="98"/>
      <c r="E4382" s="98"/>
      <c r="F4382" s="102"/>
      <c r="G4382" s="103"/>
    </row>
    <row r="4383" spans="1:7" x14ac:dyDescent="0.25">
      <c r="A4383" s="101"/>
      <c r="B4383" s="36"/>
      <c r="C4383" s="98"/>
      <c r="D4383" s="98"/>
      <c r="E4383" s="98"/>
      <c r="F4383" s="102"/>
      <c r="G4383" s="103"/>
    </row>
    <row r="4384" spans="1:7" x14ac:dyDescent="0.25">
      <c r="A4384" s="101"/>
      <c r="B4384" s="36"/>
      <c r="C4384" s="98"/>
      <c r="D4384" s="98"/>
      <c r="E4384" s="98"/>
      <c r="F4384" s="102"/>
      <c r="G4384" s="103"/>
    </row>
    <row r="4385" spans="1:7" x14ac:dyDescent="0.25">
      <c r="A4385" s="101"/>
      <c r="B4385" s="36"/>
      <c r="C4385" s="98"/>
      <c r="D4385" s="98"/>
      <c r="E4385" s="98"/>
      <c r="F4385" s="102"/>
      <c r="G4385" s="103"/>
    </row>
    <row r="4386" spans="1:7" x14ac:dyDescent="0.25">
      <c r="A4386" s="101"/>
      <c r="B4386" s="36"/>
      <c r="C4386" s="98"/>
      <c r="D4386" s="98"/>
      <c r="E4386" s="98"/>
      <c r="F4386" s="102"/>
      <c r="G4386" s="103"/>
    </row>
    <row r="4387" spans="1:7" x14ac:dyDescent="0.25">
      <c r="A4387" s="101"/>
      <c r="B4387" s="36"/>
      <c r="C4387" s="98"/>
      <c r="D4387" s="98"/>
      <c r="E4387" s="98"/>
      <c r="F4387" s="102"/>
      <c r="G4387" s="103"/>
    </row>
    <row r="4388" spans="1:7" x14ac:dyDescent="0.25">
      <c r="A4388" s="101"/>
      <c r="B4388" s="36"/>
      <c r="C4388" s="98"/>
      <c r="D4388" s="98"/>
      <c r="E4388" s="98"/>
      <c r="F4388" s="102"/>
      <c r="G4388" s="103"/>
    </row>
    <row r="4389" spans="1:7" x14ac:dyDescent="0.25">
      <c r="A4389" s="101"/>
      <c r="B4389" s="36"/>
      <c r="C4389" s="98"/>
      <c r="D4389" s="98"/>
      <c r="E4389" s="98"/>
      <c r="F4389" s="102"/>
      <c r="G4389" s="103"/>
    </row>
    <row r="4390" spans="1:7" x14ac:dyDescent="0.25">
      <c r="A4390" s="101"/>
      <c r="B4390" s="36"/>
      <c r="C4390" s="98"/>
      <c r="D4390" s="98"/>
      <c r="E4390" s="98"/>
      <c r="F4390" s="102"/>
      <c r="G4390" s="103"/>
    </row>
    <row r="4391" spans="1:7" x14ac:dyDescent="0.25">
      <c r="A4391" s="101"/>
      <c r="B4391" s="36"/>
      <c r="C4391" s="98"/>
      <c r="D4391" s="98"/>
      <c r="E4391" s="98"/>
      <c r="F4391" s="102"/>
      <c r="G4391" s="103"/>
    </row>
    <row r="4392" spans="1:7" x14ac:dyDescent="0.25">
      <c r="A4392" s="101"/>
      <c r="B4392" s="36"/>
      <c r="C4392" s="98"/>
      <c r="D4392" s="98"/>
      <c r="E4392" s="98"/>
      <c r="F4392" s="102"/>
      <c r="G4392" s="103"/>
    </row>
    <row r="4393" spans="1:7" x14ac:dyDescent="0.25">
      <c r="A4393" s="101"/>
      <c r="B4393" s="36"/>
      <c r="C4393" s="98"/>
      <c r="D4393" s="98"/>
      <c r="E4393" s="98"/>
      <c r="F4393" s="102"/>
      <c r="G4393" s="103"/>
    </row>
    <row r="4394" spans="1:7" x14ac:dyDescent="0.25">
      <c r="A4394" s="101"/>
      <c r="B4394" s="66"/>
      <c r="C4394" s="98"/>
      <c r="D4394" s="98"/>
      <c r="E4394" s="98"/>
      <c r="F4394" s="102"/>
      <c r="G4394" s="103"/>
    </row>
    <row r="4395" spans="1:7" x14ac:dyDescent="0.25">
      <c r="A4395" s="101"/>
      <c r="B4395" s="66"/>
      <c r="C4395" s="98"/>
      <c r="D4395" s="98"/>
      <c r="E4395" s="98"/>
      <c r="F4395" s="102"/>
      <c r="G4395" s="103"/>
    </row>
    <row r="4396" spans="1:7" x14ac:dyDescent="0.25">
      <c r="A4396" s="101"/>
      <c r="B4396" s="36"/>
      <c r="C4396" s="98"/>
      <c r="D4396" s="98"/>
      <c r="E4396" s="98"/>
      <c r="F4396" s="102"/>
      <c r="G4396" s="103"/>
    </row>
    <row r="4397" spans="1:7" x14ac:dyDescent="0.25">
      <c r="A4397" s="101"/>
      <c r="B4397" s="36"/>
      <c r="C4397" s="98"/>
      <c r="D4397" s="98"/>
      <c r="E4397" s="98"/>
      <c r="F4397" s="102"/>
      <c r="G4397" s="103"/>
    </row>
    <row r="4398" spans="1:7" x14ac:dyDescent="0.25">
      <c r="A4398" s="101"/>
      <c r="B4398" s="36"/>
      <c r="C4398" s="98"/>
      <c r="D4398" s="98"/>
      <c r="E4398" s="98"/>
      <c r="F4398" s="102"/>
      <c r="G4398" s="103"/>
    </row>
    <row r="4399" spans="1:7" x14ac:dyDescent="0.25">
      <c r="A4399" s="101"/>
      <c r="B4399" s="36"/>
      <c r="C4399" s="98"/>
      <c r="D4399" s="98"/>
      <c r="E4399" s="98"/>
      <c r="F4399" s="102"/>
      <c r="G4399" s="103"/>
    </row>
    <row r="4400" spans="1:7" x14ac:dyDescent="0.25">
      <c r="A4400" s="101"/>
      <c r="B4400" s="36"/>
      <c r="C4400" s="98"/>
      <c r="D4400" s="98"/>
      <c r="E4400" s="98"/>
      <c r="F4400" s="102"/>
      <c r="G4400" s="103"/>
    </row>
    <row r="4401" spans="1:7" x14ac:dyDescent="0.25">
      <c r="A4401" s="101"/>
      <c r="B4401" s="36"/>
      <c r="C4401" s="98"/>
      <c r="D4401" s="98"/>
      <c r="E4401" s="98"/>
      <c r="F4401" s="102"/>
      <c r="G4401" s="103"/>
    </row>
    <row r="4402" spans="1:7" x14ac:dyDescent="0.25">
      <c r="A4402" s="101"/>
      <c r="B4402" s="36"/>
      <c r="C4402" s="98"/>
      <c r="D4402" s="98"/>
      <c r="E4402" s="98"/>
      <c r="F4402" s="102"/>
      <c r="G4402" s="103"/>
    </row>
    <row r="4403" spans="1:7" x14ac:dyDescent="0.25">
      <c r="A4403" s="101"/>
      <c r="B4403" s="67"/>
      <c r="C4403" s="98"/>
      <c r="D4403" s="98"/>
      <c r="E4403" s="98"/>
      <c r="F4403" s="102"/>
      <c r="G4403" s="103"/>
    </row>
    <row r="4404" spans="1:7" x14ac:dyDescent="0.25">
      <c r="A4404" s="101"/>
      <c r="B4404" s="67"/>
      <c r="C4404" s="98"/>
      <c r="D4404" s="98"/>
      <c r="E4404" s="98"/>
      <c r="F4404" s="102"/>
      <c r="G4404" s="103"/>
    </row>
    <row r="4405" spans="1:7" x14ac:dyDescent="0.25">
      <c r="A4405" s="101"/>
      <c r="B4405" s="36"/>
      <c r="C4405" s="98"/>
      <c r="D4405" s="98"/>
      <c r="E4405" s="98"/>
      <c r="F4405" s="102"/>
      <c r="G4405" s="103"/>
    </row>
    <row r="4406" spans="1:7" x14ac:dyDescent="0.25">
      <c r="A4406" s="101"/>
      <c r="B4406" s="36"/>
      <c r="C4406" s="98"/>
      <c r="D4406" s="98"/>
      <c r="E4406" s="98"/>
      <c r="F4406" s="102"/>
      <c r="G4406" s="103"/>
    </row>
    <row r="4407" spans="1:7" x14ac:dyDescent="0.25">
      <c r="A4407" s="101"/>
      <c r="B4407" s="36"/>
      <c r="C4407" s="98"/>
      <c r="D4407" s="98"/>
      <c r="E4407" s="98"/>
      <c r="F4407" s="102"/>
      <c r="G4407" s="103"/>
    </row>
    <row r="4408" spans="1:7" x14ac:dyDescent="0.25">
      <c r="A4408" s="101"/>
      <c r="B4408" s="36"/>
      <c r="C4408" s="98"/>
      <c r="D4408" s="98"/>
      <c r="E4408" s="98"/>
      <c r="F4408" s="102"/>
      <c r="G4408" s="103"/>
    </row>
    <row r="4409" spans="1:7" x14ac:dyDescent="0.25">
      <c r="A4409" s="101"/>
      <c r="B4409" s="36"/>
      <c r="C4409" s="98"/>
      <c r="D4409" s="98"/>
      <c r="E4409" s="98"/>
      <c r="F4409" s="102"/>
      <c r="G4409" s="103"/>
    </row>
    <row r="4410" spans="1:7" x14ac:dyDescent="0.25">
      <c r="A4410" s="101"/>
      <c r="B4410" s="36"/>
      <c r="C4410" s="98"/>
      <c r="D4410" s="98"/>
      <c r="E4410" s="98"/>
      <c r="F4410" s="102"/>
      <c r="G4410" s="103"/>
    </row>
    <row r="4411" spans="1:7" x14ac:dyDescent="0.25">
      <c r="A4411" s="101"/>
      <c r="B4411" s="36"/>
      <c r="C4411" s="98"/>
      <c r="D4411" s="98"/>
      <c r="E4411" s="98"/>
      <c r="F4411" s="102"/>
      <c r="G4411" s="103"/>
    </row>
    <row r="4412" spans="1:7" x14ac:dyDescent="0.25">
      <c r="A4412" s="101"/>
      <c r="B4412" s="36"/>
      <c r="C4412" s="98"/>
      <c r="D4412" s="98"/>
      <c r="E4412" s="98"/>
      <c r="F4412" s="102"/>
      <c r="G4412" s="103"/>
    </row>
    <row r="4413" spans="1:7" x14ac:dyDescent="0.25">
      <c r="A4413" s="101"/>
      <c r="B4413" s="36"/>
      <c r="C4413" s="98"/>
      <c r="D4413" s="98"/>
      <c r="E4413" s="98"/>
      <c r="F4413" s="102"/>
      <c r="G4413" s="103"/>
    </row>
    <row r="4414" spans="1:7" x14ac:dyDescent="0.25">
      <c r="A4414" s="101"/>
      <c r="B4414" s="36"/>
      <c r="C4414" s="98"/>
      <c r="D4414" s="98"/>
      <c r="E4414" s="98"/>
      <c r="F4414" s="102"/>
      <c r="G4414" s="103"/>
    </row>
    <row r="4415" spans="1:7" x14ac:dyDescent="0.25">
      <c r="A4415" s="101"/>
      <c r="B4415" s="36"/>
      <c r="C4415" s="98"/>
      <c r="D4415" s="98"/>
      <c r="E4415" s="98"/>
      <c r="F4415" s="102"/>
      <c r="G4415" s="103"/>
    </row>
    <row r="4416" spans="1:7" x14ac:dyDescent="0.25">
      <c r="A4416" s="101"/>
      <c r="B4416" s="36"/>
      <c r="C4416" s="98"/>
      <c r="D4416" s="98"/>
      <c r="E4416" s="98"/>
      <c r="F4416" s="102"/>
      <c r="G4416" s="103"/>
    </row>
    <row r="4417" spans="1:7" x14ac:dyDescent="0.25">
      <c r="A4417" s="101"/>
      <c r="B4417" s="36"/>
      <c r="C4417" s="98"/>
      <c r="D4417" s="98"/>
      <c r="E4417" s="98"/>
      <c r="F4417" s="102"/>
      <c r="G4417" s="103"/>
    </row>
    <row r="4418" spans="1:7" x14ac:dyDescent="0.25">
      <c r="A4418" s="101"/>
      <c r="B4418" s="36"/>
      <c r="C4418" s="98"/>
      <c r="D4418" s="98"/>
      <c r="E4418" s="98"/>
      <c r="F4418" s="102"/>
      <c r="G4418" s="103"/>
    </row>
    <row r="4419" spans="1:7" x14ac:dyDescent="0.25">
      <c r="A4419" s="101"/>
      <c r="B4419" s="38"/>
      <c r="C4419" s="98"/>
      <c r="D4419" s="98"/>
      <c r="E4419" s="98"/>
      <c r="F4419" s="102"/>
      <c r="G4419" s="103"/>
    </row>
    <row r="4420" spans="1:7" x14ac:dyDescent="0.25">
      <c r="A4420" s="101"/>
      <c r="B4420" s="38"/>
      <c r="C4420" s="98"/>
      <c r="D4420" s="98"/>
      <c r="E4420" s="98"/>
      <c r="F4420" s="102"/>
      <c r="G4420" s="103"/>
    </row>
    <row r="4421" spans="1:7" x14ac:dyDescent="0.25">
      <c r="A4421" s="101"/>
      <c r="B4421" s="38"/>
      <c r="C4421" s="98"/>
      <c r="D4421" s="98"/>
      <c r="E4421" s="98"/>
      <c r="F4421" s="102"/>
      <c r="G4421" s="103"/>
    </row>
    <row r="4422" spans="1:7" x14ac:dyDescent="0.25">
      <c r="A4422" s="101"/>
      <c r="B4422" s="38"/>
      <c r="C4422" s="98"/>
      <c r="D4422" s="98"/>
      <c r="E4422" s="98"/>
      <c r="F4422" s="102"/>
      <c r="G4422" s="103"/>
    </row>
    <row r="4423" spans="1:7" x14ac:dyDescent="0.25">
      <c r="A4423" s="101"/>
      <c r="B4423" s="12"/>
      <c r="C4423" s="98"/>
      <c r="D4423" s="98"/>
      <c r="E4423" s="98"/>
      <c r="F4423" s="102"/>
      <c r="G4423" s="103"/>
    </row>
    <row r="4424" spans="1:7" x14ac:dyDescent="0.25">
      <c r="A4424" s="101"/>
      <c r="B4424" s="36"/>
      <c r="C4424" s="98"/>
      <c r="D4424" s="98"/>
      <c r="E4424" s="98"/>
      <c r="F4424" s="102"/>
      <c r="G4424" s="103"/>
    </row>
    <row r="4425" spans="1:7" x14ac:dyDescent="0.25">
      <c r="A4425" s="101"/>
      <c r="B4425" s="36"/>
      <c r="C4425" s="98"/>
      <c r="D4425" s="98"/>
      <c r="E4425" s="98"/>
      <c r="F4425" s="102"/>
      <c r="G4425" s="103"/>
    </row>
    <row r="4426" spans="1:7" x14ac:dyDescent="0.25">
      <c r="A4426" s="101"/>
      <c r="B4426" s="36"/>
      <c r="C4426" s="98"/>
      <c r="D4426" s="98"/>
      <c r="E4426" s="98"/>
      <c r="F4426" s="102"/>
      <c r="G4426" s="103"/>
    </row>
    <row r="4427" spans="1:7" x14ac:dyDescent="0.25">
      <c r="A4427" s="101"/>
      <c r="B4427" s="36"/>
      <c r="C4427" s="98"/>
      <c r="D4427" s="98"/>
      <c r="E4427" s="98"/>
      <c r="F4427" s="102"/>
      <c r="G4427" s="103"/>
    </row>
    <row r="4428" spans="1:7" x14ac:dyDescent="0.25">
      <c r="A4428" s="101"/>
      <c r="B4428" s="67"/>
      <c r="C4428" s="98"/>
      <c r="D4428" s="98"/>
      <c r="E4428" s="98"/>
      <c r="F4428" s="102"/>
      <c r="G4428" s="103"/>
    </row>
    <row r="4429" spans="1:7" x14ac:dyDescent="0.25">
      <c r="A4429" s="101"/>
      <c r="B4429" s="36"/>
      <c r="C4429" s="98"/>
      <c r="D4429" s="98"/>
      <c r="E4429" s="98"/>
      <c r="F4429" s="102"/>
      <c r="G4429" s="103"/>
    </row>
    <row r="4430" spans="1:7" x14ac:dyDescent="0.25">
      <c r="A4430" s="101"/>
      <c r="B4430" s="36"/>
      <c r="C4430" s="98"/>
      <c r="D4430" s="98"/>
      <c r="E4430" s="98"/>
      <c r="F4430" s="102"/>
      <c r="G4430" s="103"/>
    </row>
    <row r="4431" spans="1:7" x14ac:dyDescent="0.25">
      <c r="A4431" s="101"/>
      <c r="B4431" s="36"/>
      <c r="C4431" s="98"/>
      <c r="D4431" s="98"/>
      <c r="E4431" s="98"/>
      <c r="F4431" s="102"/>
      <c r="G4431" s="103"/>
    </row>
    <row r="4432" spans="1:7" x14ac:dyDescent="0.25">
      <c r="A4432" s="101"/>
      <c r="B4432" s="36"/>
      <c r="C4432" s="98"/>
      <c r="D4432" s="98"/>
      <c r="E4432" s="98"/>
      <c r="F4432" s="102"/>
      <c r="G4432" s="103"/>
    </row>
    <row r="4433" spans="1:7" x14ac:dyDescent="0.25">
      <c r="A4433" s="101"/>
      <c r="B4433" s="36"/>
      <c r="C4433" s="98"/>
      <c r="D4433" s="98"/>
      <c r="E4433" s="98"/>
      <c r="F4433" s="102"/>
      <c r="G4433" s="103"/>
    </row>
    <row r="4434" spans="1:7" x14ac:dyDescent="0.25">
      <c r="A4434" s="101"/>
      <c r="B4434" s="36"/>
      <c r="C4434" s="98"/>
      <c r="D4434" s="98"/>
      <c r="E4434" s="98"/>
      <c r="F4434" s="102"/>
      <c r="G4434" s="103"/>
    </row>
    <row r="4435" spans="1:7" x14ac:dyDescent="0.25">
      <c r="A4435" s="101"/>
      <c r="B4435" s="36"/>
      <c r="C4435" s="98"/>
      <c r="D4435" s="98"/>
      <c r="E4435" s="98"/>
      <c r="F4435" s="102"/>
      <c r="G4435" s="103"/>
    </row>
    <row r="4436" spans="1:7" x14ac:dyDescent="0.25">
      <c r="A4436" s="101"/>
      <c r="B4436" s="36"/>
      <c r="C4436" s="98"/>
      <c r="D4436" s="98"/>
      <c r="E4436" s="98"/>
      <c r="F4436" s="102"/>
      <c r="G4436" s="103"/>
    </row>
    <row r="4437" spans="1:7" x14ac:dyDescent="0.25">
      <c r="A4437" s="101"/>
      <c r="B4437" s="36"/>
      <c r="C4437" s="98"/>
      <c r="D4437" s="98"/>
      <c r="E4437" s="98"/>
      <c r="F4437" s="102"/>
      <c r="G4437" s="103"/>
    </row>
    <row r="4438" spans="1:7" x14ac:dyDescent="0.25">
      <c r="A4438" s="101"/>
      <c r="B4438" s="36"/>
      <c r="C4438" s="98"/>
      <c r="D4438" s="98"/>
      <c r="E4438" s="98"/>
      <c r="F4438" s="102"/>
      <c r="G4438" s="103"/>
    </row>
    <row r="4439" spans="1:7" x14ac:dyDescent="0.25">
      <c r="A4439" s="101"/>
      <c r="B4439" s="36"/>
      <c r="C4439" s="98"/>
      <c r="D4439" s="98"/>
      <c r="E4439" s="98"/>
      <c r="F4439" s="102"/>
      <c r="G4439" s="103"/>
    </row>
    <row r="4440" spans="1:7" x14ac:dyDescent="0.25">
      <c r="A4440" s="101"/>
      <c r="B4440" s="36"/>
      <c r="C4440" s="98"/>
      <c r="D4440" s="98"/>
      <c r="E4440" s="98"/>
      <c r="F4440" s="102"/>
      <c r="G4440" s="103"/>
    </row>
    <row r="4441" spans="1:7" x14ac:dyDescent="0.25">
      <c r="A4441" s="101"/>
      <c r="B4441" s="36"/>
      <c r="C4441" s="98"/>
      <c r="D4441" s="98"/>
      <c r="E4441" s="98"/>
      <c r="F4441" s="102"/>
      <c r="G4441" s="103"/>
    </row>
    <row r="4442" spans="1:7" x14ac:dyDescent="0.25">
      <c r="A4442" s="101"/>
      <c r="B4442" s="36"/>
      <c r="C4442" s="98"/>
      <c r="D4442" s="98"/>
      <c r="E4442" s="98"/>
      <c r="F4442" s="102"/>
      <c r="G4442" s="103"/>
    </row>
    <row r="4443" spans="1:7" x14ac:dyDescent="0.25">
      <c r="A4443" s="101"/>
      <c r="B4443" s="36"/>
      <c r="C4443" s="98"/>
      <c r="D4443" s="98"/>
      <c r="E4443" s="98"/>
      <c r="F4443" s="102"/>
      <c r="G4443" s="103"/>
    </row>
    <row r="4444" spans="1:7" x14ac:dyDescent="0.25">
      <c r="A4444" s="101"/>
      <c r="B4444" s="36"/>
      <c r="C4444" s="98"/>
      <c r="D4444" s="98"/>
      <c r="E4444" s="98"/>
      <c r="F4444" s="102"/>
      <c r="G4444" s="103"/>
    </row>
    <row r="4445" spans="1:7" x14ac:dyDescent="0.25">
      <c r="A4445" s="101"/>
      <c r="B4445" s="36"/>
      <c r="C4445" s="98"/>
      <c r="D4445" s="98"/>
      <c r="E4445" s="98"/>
      <c r="F4445" s="102"/>
      <c r="G4445" s="103"/>
    </row>
    <row r="4446" spans="1:7" x14ac:dyDescent="0.25">
      <c r="A4446" s="101"/>
      <c r="B4446" s="36"/>
      <c r="C4446" s="98"/>
      <c r="D4446" s="98"/>
      <c r="E4446" s="98"/>
      <c r="F4446" s="102"/>
      <c r="G4446" s="103"/>
    </row>
    <row r="4447" spans="1:7" x14ac:dyDescent="0.25">
      <c r="A4447" s="101"/>
      <c r="B4447" s="36"/>
      <c r="C4447" s="98"/>
      <c r="D4447" s="98"/>
      <c r="E4447" s="98"/>
      <c r="F4447" s="102"/>
      <c r="G4447" s="103"/>
    </row>
    <row r="4448" spans="1:7" x14ac:dyDescent="0.25">
      <c r="A4448" s="101"/>
      <c r="B4448" s="36"/>
      <c r="C4448" s="98"/>
      <c r="D4448" s="98"/>
      <c r="E4448" s="98"/>
      <c r="F4448" s="102"/>
      <c r="G4448" s="103"/>
    </row>
    <row r="4449" spans="1:7" x14ac:dyDescent="0.25">
      <c r="A4449" s="101"/>
      <c r="B4449" s="36"/>
      <c r="C4449" s="98"/>
      <c r="D4449" s="98"/>
      <c r="E4449" s="98"/>
      <c r="F4449" s="102"/>
      <c r="G4449" s="103"/>
    </row>
    <row r="4450" spans="1:7" x14ac:dyDescent="0.25">
      <c r="A4450" s="101"/>
      <c r="B4450" s="36"/>
      <c r="C4450" s="98"/>
      <c r="D4450" s="98"/>
      <c r="E4450" s="98"/>
      <c r="F4450" s="102"/>
      <c r="G4450" s="103"/>
    </row>
    <row r="4451" spans="1:7" x14ac:dyDescent="0.25">
      <c r="A4451" s="101"/>
      <c r="B4451" s="36"/>
      <c r="C4451" s="98"/>
      <c r="D4451" s="98"/>
      <c r="E4451" s="98"/>
      <c r="F4451" s="102"/>
      <c r="G4451" s="103"/>
    </row>
    <row r="4452" spans="1:7" x14ac:dyDescent="0.25">
      <c r="A4452" s="101"/>
      <c r="B4452" s="36"/>
      <c r="C4452" s="98"/>
      <c r="D4452" s="98"/>
      <c r="E4452" s="98"/>
      <c r="F4452" s="102"/>
      <c r="G4452" s="103"/>
    </row>
    <row r="4453" spans="1:7" x14ac:dyDescent="0.25">
      <c r="A4453" s="101"/>
      <c r="B4453" s="36"/>
      <c r="C4453" s="98"/>
      <c r="D4453" s="98"/>
      <c r="E4453" s="98"/>
      <c r="F4453" s="102"/>
      <c r="G4453" s="103"/>
    </row>
    <row r="4454" spans="1:7" x14ac:dyDescent="0.25">
      <c r="A4454" s="101"/>
      <c r="B4454" s="36"/>
      <c r="C4454" s="98"/>
      <c r="D4454" s="98"/>
      <c r="E4454" s="98"/>
      <c r="F4454" s="102"/>
      <c r="G4454" s="103"/>
    </row>
    <row r="4455" spans="1:7" x14ac:dyDescent="0.25">
      <c r="A4455" s="101"/>
      <c r="B4455" s="36"/>
      <c r="C4455" s="98"/>
      <c r="D4455" s="98"/>
      <c r="E4455" s="98"/>
      <c r="F4455" s="102"/>
      <c r="G4455" s="103"/>
    </row>
    <row r="4456" spans="1:7" x14ac:dyDescent="0.25">
      <c r="A4456" s="101"/>
      <c r="B4456" s="36"/>
      <c r="C4456" s="98"/>
      <c r="D4456" s="98"/>
      <c r="E4456" s="98"/>
      <c r="F4456" s="102"/>
      <c r="G4456" s="103"/>
    </row>
    <row r="4457" spans="1:7" x14ac:dyDescent="0.25">
      <c r="A4457" s="101"/>
      <c r="B4457" s="36"/>
      <c r="C4457" s="98"/>
      <c r="D4457" s="98"/>
      <c r="E4457" s="98"/>
      <c r="F4457" s="102"/>
      <c r="G4457" s="103"/>
    </row>
    <row r="4458" spans="1:7" x14ac:dyDescent="0.25">
      <c r="A4458" s="101"/>
      <c r="B4458" s="36"/>
      <c r="C4458" s="98"/>
      <c r="D4458" s="98"/>
      <c r="E4458" s="98"/>
      <c r="F4458" s="102"/>
      <c r="G4458" s="103"/>
    </row>
    <row r="4459" spans="1:7" x14ac:dyDescent="0.25">
      <c r="A4459" s="101"/>
      <c r="B4459" s="36"/>
      <c r="C4459" s="98"/>
      <c r="D4459" s="98"/>
      <c r="E4459" s="98"/>
      <c r="F4459" s="102"/>
      <c r="G4459" s="103"/>
    </row>
    <row r="4460" spans="1:7" x14ac:dyDescent="0.25">
      <c r="A4460" s="101"/>
      <c r="B4460" s="36"/>
      <c r="C4460" s="98"/>
      <c r="D4460" s="98"/>
      <c r="E4460" s="98"/>
      <c r="F4460" s="102"/>
      <c r="G4460" s="103"/>
    </row>
    <row r="4461" spans="1:7" x14ac:dyDescent="0.25">
      <c r="A4461" s="101"/>
      <c r="B4461" s="36"/>
      <c r="C4461" s="98"/>
      <c r="D4461" s="98"/>
      <c r="E4461" s="98"/>
      <c r="F4461" s="102"/>
      <c r="G4461" s="103"/>
    </row>
    <row r="4462" spans="1:7" x14ac:dyDescent="0.25">
      <c r="A4462" s="101"/>
      <c r="B4462" s="36"/>
      <c r="C4462" s="98"/>
      <c r="D4462" s="98"/>
      <c r="E4462" s="98"/>
      <c r="F4462" s="102"/>
      <c r="G4462" s="103"/>
    </row>
    <row r="4463" spans="1:7" x14ac:dyDescent="0.25">
      <c r="A4463" s="101"/>
      <c r="B4463" s="36"/>
      <c r="C4463" s="98"/>
      <c r="D4463" s="98"/>
      <c r="E4463" s="98"/>
      <c r="F4463" s="102"/>
      <c r="G4463" s="103"/>
    </row>
    <row r="4464" spans="1:7" x14ac:dyDescent="0.25">
      <c r="A4464" s="101"/>
      <c r="B4464" s="36"/>
      <c r="C4464" s="98"/>
      <c r="D4464" s="98"/>
      <c r="E4464" s="98"/>
      <c r="F4464" s="102"/>
      <c r="G4464" s="103"/>
    </row>
    <row r="4465" spans="1:7" x14ac:dyDescent="0.25">
      <c r="A4465" s="101"/>
      <c r="B4465" s="36"/>
      <c r="C4465" s="98"/>
      <c r="D4465" s="98"/>
      <c r="E4465" s="98"/>
      <c r="F4465" s="102"/>
      <c r="G4465" s="103"/>
    </row>
    <row r="4466" spans="1:7" x14ac:dyDescent="0.25">
      <c r="A4466" s="101"/>
      <c r="B4466" s="36"/>
      <c r="C4466" s="98"/>
      <c r="D4466" s="98"/>
      <c r="E4466" s="98"/>
      <c r="F4466" s="102"/>
      <c r="G4466" s="103"/>
    </row>
    <row r="4467" spans="1:7" x14ac:dyDescent="0.25">
      <c r="A4467" s="101"/>
      <c r="B4467" s="36"/>
      <c r="C4467" s="98"/>
      <c r="D4467" s="98"/>
      <c r="E4467" s="98"/>
      <c r="F4467" s="102"/>
      <c r="G4467" s="103"/>
    </row>
    <row r="4468" spans="1:7" x14ac:dyDescent="0.25">
      <c r="A4468" s="101"/>
      <c r="B4468" s="36"/>
      <c r="C4468" s="98"/>
      <c r="D4468" s="98"/>
      <c r="E4468" s="98"/>
      <c r="F4468" s="102"/>
      <c r="G4468" s="103"/>
    </row>
    <row r="4469" spans="1:7" x14ac:dyDescent="0.25">
      <c r="A4469" s="101"/>
      <c r="B4469" s="66"/>
      <c r="C4469" s="98"/>
      <c r="D4469" s="98"/>
      <c r="E4469" s="98"/>
      <c r="F4469" s="102"/>
      <c r="G4469" s="103"/>
    </row>
    <row r="4470" spans="1:7" x14ac:dyDescent="0.25">
      <c r="A4470" s="101"/>
      <c r="B4470" s="36"/>
      <c r="C4470" s="98"/>
      <c r="D4470" s="98"/>
      <c r="E4470" s="98"/>
      <c r="F4470" s="102"/>
      <c r="G4470" s="103"/>
    </row>
    <row r="4471" spans="1:7" x14ac:dyDescent="0.25">
      <c r="A4471" s="101"/>
      <c r="B4471" s="36"/>
      <c r="C4471" s="98"/>
      <c r="D4471" s="98"/>
      <c r="E4471" s="98"/>
      <c r="F4471" s="102"/>
      <c r="G4471" s="103"/>
    </row>
    <row r="4472" spans="1:7" x14ac:dyDescent="0.25">
      <c r="A4472" s="101"/>
      <c r="B4472" s="67"/>
      <c r="C4472" s="98"/>
      <c r="D4472" s="98"/>
      <c r="E4472" s="98"/>
      <c r="F4472" s="102"/>
      <c r="G4472" s="103"/>
    </row>
    <row r="4473" spans="1:7" x14ac:dyDescent="0.25">
      <c r="A4473" s="101"/>
      <c r="B4473" s="36"/>
      <c r="C4473" s="98"/>
      <c r="D4473" s="98"/>
      <c r="E4473" s="98"/>
      <c r="F4473" s="102"/>
      <c r="G4473" s="103"/>
    </row>
    <row r="4474" spans="1:7" x14ac:dyDescent="0.25">
      <c r="A4474" s="101"/>
      <c r="B4474" s="36"/>
      <c r="C4474" s="98"/>
      <c r="D4474" s="98"/>
      <c r="E4474" s="98"/>
      <c r="F4474" s="102"/>
      <c r="G4474" s="103"/>
    </row>
    <row r="4475" spans="1:7" x14ac:dyDescent="0.25">
      <c r="A4475" s="101"/>
      <c r="B4475" s="36"/>
      <c r="C4475" s="98"/>
      <c r="D4475" s="98"/>
      <c r="E4475" s="98"/>
      <c r="F4475" s="102"/>
      <c r="G4475" s="103"/>
    </row>
    <row r="4476" spans="1:7" x14ac:dyDescent="0.25">
      <c r="A4476" s="101"/>
      <c r="B4476" s="36"/>
      <c r="C4476" s="98"/>
      <c r="D4476" s="98"/>
      <c r="E4476" s="98"/>
      <c r="F4476" s="102"/>
      <c r="G4476" s="103"/>
    </row>
    <row r="4477" spans="1:7" x14ac:dyDescent="0.25">
      <c r="A4477" s="101"/>
      <c r="B4477" s="36"/>
      <c r="C4477" s="98"/>
      <c r="D4477" s="98"/>
      <c r="E4477" s="98"/>
      <c r="F4477" s="102"/>
      <c r="G4477" s="103"/>
    </row>
    <row r="4478" spans="1:7" x14ac:dyDescent="0.25">
      <c r="A4478" s="101"/>
      <c r="B4478" s="66"/>
      <c r="C4478" s="98"/>
      <c r="D4478" s="98"/>
      <c r="E4478" s="98"/>
      <c r="F4478" s="102"/>
      <c r="G4478" s="103"/>
    </row>
    <row r="4479" spans="1:7" x14ac:dyDescent="0.25">
      <c r="A4479" s="101"/>
      <c r="B4479" s="36"/>
      <c r="C4479" s="98"/>
      <c r="D4479" s="98"/>
      <c r="E4479" s="98"/>
      <c r="F4479" s="102"/>
      <c r="G4479" s="103"/>
    </row>
    <row r="4480" spans="1:7" x14ac:dyDescent="0.25">
      <c r="A4480" s="101"/>
      <c r="B4480" s="36"/>
      <c r="C4480" s="98"/>
      <c r="D4480" s="98"/>
      <c r="E4480" s="98"/>
      <c r="F4480" s="102"/>
      <c r="G4480" s="103"/>
    </row>
    <row r="4481" spans="1:7" x14ac:dyDescent="0.25">
      <c r="A4481" s="101"/>
      <c r="B4481" s="36"/>
      <c r="C4481" s="98"/>
      <c r="D4481" s="98"/>
      <c r="E4481" s="98"/>
      <c r="F4481" s="102"/>
      <c r="G4481" s="103"/>
    </row>
    <row r="4482" spans="1:7" x14ac:dyDescent="0.25">
      <c r="A4482" s="101"/>
      <c r="B4482" s="36"/>
      <c r="C4482" s="98"/>
      <c r="D4482" s="98"/>
      <c r="E4482" s="98"/>
      <c r="F4482" s="102"/>
      <c r="G4482" s="103"/>
    </row>
    <row r="4483" spans="1:7" x14ac:dyDescent="0.25">
      <c r="A4483" s="101"/>
      <c r="B4483" s="36"/>
      <c r="C4483" s="98"/>
      <c r="D4483" s="98"/>
      <c r="E4483" s="98"/>
      <c r="F4483" s="102"/>
      <c r="G4483" s="103"/>
    </row>
    <row r="4484" spans="1:7" x14ac:dyDescent="0.25">
      <c r="A4484" s="101"/>
      <c r="B4484" s="36"/>
      <c r="C4484" s="98"/>
      <c r="D4484" s="98"/>
      <c r="E4484" s="98"/>
      <c r="F4484" s="102"/>
      <c r="G4484" s="103"/>
    </row>
    <row r="4485" spans="1:7" x14ac:dyDescent="0.25">
      <c r="A4485" s="101"/>
      <c r="B4485" s="36"/>
      <c r="C4485" s="98"/>
      <c r="D4485" s="98"/>
      <c r="E4485" s="98"/>
      <c r="F4485" s="102"/>
      <c r="G4485" s="103"/>
    </row>
    <row r="4486" spans="1:7" x14ac:dyDescent="0.25">
      <c r="A4486" s="101"/>
      <c r="B4486" s="36"/>
      <c r="C4486" s="98"/>
      <c r="D4486" s="98"/>
      <c r="E4486" s="98"/>
      <c r="F4486" s="102"/>
      <c r="G4486" s="103"/>
    </row>
    <row r="4487" spans="1:7" x14ac:dyDescent="0.25">
      <c r="A4487" s="101"/>
      <c r="B4487" s="36"/>
      <c r="C4487" s="98"/>
      <c r="D4487" s="98"/>
      <c r="E4487" s="98"/>
      <c r="F4487" s="102"/>
      <c r="G4487" s="103"/>
    </row>
    <row r="4488" spans="1:7" x14ac:dyDescent="0.25">
      <c r="A4488" s="101"/>
      <c r="B4488" s="36"/>
      <c r="C4488" s="98"/>
      <c r="D4488" s="98"/>
      <c r="E4488" s="98"/>
      <c r="F4488" s="102"/>
      <c r="G4488" s="103"/>
    </row>
    <row r="4489" spans="1:7" x14ac:dyDescent="0.25">
      <c r="A4489" s="101"/>
      <c r="B4489" s="36"/>
      <c r="C4489" s="98"/>
      <c r="D4489" s="98"/>
      <c r="E4489" s="98"/>
      <c r="F4489" s="102"/>
      <c r="G4489" s="103"/>
    </row>
    <row r="4490" spans="1:7" x14ac:dyDescent="0.25">
      <c r="A4490" s="101"/>
      <c r="B4490" s="36"/>
      <c r="C4490" s="98"/>
      <c r="D4490" s="98"/>
      <c r="E4490" s="98"/>
      <c r="F4490" s="102"/>
      <c r="G4490" s="103"/>
    </row>
    <row r="4491" spans="1:7" x14ac:dyDescent="0.25">
      <c r="A4491" s="101"/>
      <c r="B4491" s="36"/>
      <c r="C4491" s="98"/>
      <c r="D4491" s="98"/>
      <c r="E4491" s="98"/>
      <c r="F4491" s="102"/>
      <c r="G4491" s="103"/>
    </row>
    <row r="4492" spans="1:7" x14ac:dyDescent="0.25">
      <c r="A4492" s="101"/>
      <c r="B4492" s="36"/>
      <c r="C4492" s="98"/>
      <c r="D4492" s="98"/>
      <c r="E4492" s="98"/>
      <c r="F4492" s="102"/>
      <c r="G4492" s="103"/>
    </row>
    <row r="4493" spans="1:7" x14ac:dyDescent="0.25">
      <c r="A4493" s="101"/>
      <c r="B4493" s="36"/>
      <c r="C4493" s="98"/>
      <c r="D4493" s="98"/>
      <c r="E4493" s="98"/>
      <c r="F4493" s="102"/>
      <c r="G4493" s="103"/>
    </row>
    <row r="4494" spans="1:7" x14ac:dyDescent="0.25">
      <c r="A4494" s="101"/>
      <c r="B4494" s="36"/>
      <c r="C4494" s="98"/>
      <c r="D4494" s="98"/>
      <c r="E4494" s="98"/>
      <c r="F4494" s="102"/>
      <c r="G4494" s="103"/>
    </row>
    <row r="4495" spans="1:7" x14ac:dyDescent="0.25">
      <c r="A4495" s="101"/>
      <c r="B4495" s="36"/>
      <c r="C4495" s="98"/>
      <c r="D4495" s="98"/>
      <c r="E4495" s="98"/>
      <c r="F4495" s="102"/>
      <c r="G4495" s="103"/>
    </row>
    <row r="4496" spans="1:7" x14ac:dyDescent="0.25">
      <c r="A4496" s="101"/>
      <c r="B4496" s="36"/>
      <c r="C4496" s="98"/>
      <c r="D4496" s="98"/>
      <c r="E4496" s="98"/>
      <c r="F4496" s="102"/>
      <c r="G4496" s="103"/>
    </row>
    <row r="4497" spans="1:7" x14ac:dyDescent="0.25">
      <c r="A4497" s="101"/>
      <c r="B4497" s="67"/>
      <c r="C4497" s="98"/>
      <c r="D4497" s="98"/>
      <c r="E4497" s="98"/>
      <c r="F4497" s="102"/>
      <c r="G4497" s="103"/>
    </row>
    <row r="4498" spans="1:7" x14ac:dyDescent="0.25">
      <c r="A4498" s="101"/>
      <c r="B4498" s="36"/>
      <c r="C4498" s="98"/>
      <c r="D4498" s="98"/>
      <c r="E4498" s="98"/>
      <c r="F4498" s="102"/>
      <c r="G4498" s="103"/>
    </row>
    <row r="4499" spans="1:7" x14ac:dyDescent="0.25">
      <c r="A4499" s="101"/>
      <c r="B4499" s="36"/>
      <c r="C4499" s="98"/>
      <c r="D4499" s="98"/>
      <c r="E4499" s="98"/>
      <c r="F4499" s="102"/>
      <c r="G4499" s="103"/>
    </row>
    <row r="4500" spans="1:7" x14ac:dyDescent="0.25">
      <c r="A4500" s="101"/>
      <c r="B4500" s="36"/>
      <c r="C4500" s="98"/>
      <c r="D4500" s="98"/>
      <c r="E4500" s="98"/>
      <c r="F4500" s="102"/>
      <c r="G4500" s="103"/>
    </row>
    <row r="4501" spans="1:7" x14ac:dyDescent="0.25">
      <c r="A4501" s="101"/>
      <c r="B4501" s="36"/>
      <c r="C4501" s="98"/>
      <c r="D4501" s="98"/>
      <c r="E4501" s="98"/>
      <c r="F4501" s="102"/>
      <c r="G4501" s="103"/>
    </row>
    <row r="4502" spans="1:7" x14ac:dyDescent="0.25">
      <c r="A4502" s="101"/>
      <c r="B4502" s="36"/>
      <c r="C4502" s="98"/>
      <c r="D4502" s="98"/>
      <c r="E4502" s="98"/>
      <c r="F4502" s="102"/>
      <c r="G4502" s="103"/>
    </row>
    <row r="4503" spans="1:7" x14ac:dyDescent="0.25">
      <c r="A4503" s="101"/>
      <c r="B4503" s="36"/>
      <c r="C4503" s="98"/>
      <c r="D4503" s="98"/>
      <c r="E4503" s="98"/>
      <c r="F4503" s="102"/>
      <c r="G4503" s="103"/>
    </row>
    <row r="4504" spans="1:7" x14ac:dyDescent="0.25">
      <c r="A4504" s="101"/>
      <c r="B4504" s="36"/>
      <c r="C4504" s="98"/>
      <c r="D4504" s="98"/>
      <c r="E4504" s="98"/>
      <c r="F4504" s="102"/>
      <c r="G4504" s="103"/>
    </row>
    <row r="4505" spans="1:7" x14ac:dyDescent="0.25">
      <c r="A4505" s="101"/>
      <c r="B4505" s="36"/>
      <c r="C4505" s="98"/>
      <c r="D4505" s="98"/>
      <c r="E4505" s="98"/>
      <c r="F4505" s="102"/>
      <c r="G4505" s="103"/>
    </row>
    <row r="4506" spans="1:7" x14ac:dyDescent="0.25">
      <c r="A4506" s="101"/>
      <c r="B4506" s="36"/>
      <c r="C4506" s="98"/>
      <c r="D4506" s="98"/>
      <c r="E4506" s="98"/>
      <c r="F4506" s="102"/>
      <c r="G4506" s="103"/>
    </row>
    <row r="4507" spans="1:7" x14ac:dyDescent="0.25">
      <c r="A4507" s="101"/>
      <c r="B4507" s="36"/>
      <c r="C4507" s="98"/>
      <c r="D4507" s="98"/>
      <c r="E4507" s="98"/>
      <c r="F4507" s="102"/>
      <c r="G4507" s="103"/>
    </row>
    <row r="4508" spans="1:7" x14ac:dyDescent="0.25">
      <c r="A4508" s="101"/>
      <c r="B4508" s="36"/>
      <c r="C4508" s="98"/>
      <c r="D4508" s="98"/>
      <c r="E4508" s="98"/>
      <c r="F4508" s="102"/>
      <c r="G4508" s="103"/>
    </row>
    <row r="4509" spans="1:7" x14ac:dyDescent="0.25">
      <c r="A4509" s="101"/>
      <c r="B4509" s="36"/>
      <c r="C4509" s="98"/>
      <c r="D4509" s="98"/>
      <c r="E4509" s="98"/>
      <c r="F4509" s="102"/>
      <c r="G4509" s="103"/>
    </row>
    <row r="4510" spans="1:7" x14ac:dyDescent="0.25">
      <c r="A4510" s="101"/>
      <c r="B4510" s="36"/>
      <c r="C4510" s="98"/>
      <c r="D4510" s="98"/>
      <c r="E4510" s="98"/>
      <c r="F4510" s="102"/>
      <c r="G4510" s="103"/>
    </row>
    <row r="4511" spans="1:7" x14ac:dyDescent="0.25">
      <c r="A4511" s="101"/>
      <c r="B4511" s="36"/>
      <c r="C4511" s="98"/>
      <c r="D4511" s="98"/>
      <c r="E4511" s="98"/>
      <c r="F4511" s="102"/>
      <c r="G4511" s="103"/>
    </row>
    <row r="4512" spans="1:7" x14ac:dyDescent="0.25">
      <c r="A4512" s="101"/>
      <c r="B4512" s="36"/>
      <c r="C4512" s="98"/>
      <c r="D4512" s="98"/>
      <c r="E4512" s="98"/>
      <c r="F4512" s="102"/>
      <c r="G4512" s="103"/>
    </row>
    <row r="4513" spans="1:7" x14ac:dyDescent="0.25">
      <c r="A4513" s="101"/>
      <c r="B4513" s="36"/>
      <c r="C4513" s="98"/>
      <c r="D4513" s="98"/>
      <c r="E4513" s="98"/>
      <c r="F4513" s="102"/>
      <c r="G4513" s="103"/>
    </row>
    <row r="4514" spans="1:7" x14ac:dyDescent="0.25">
      <c r="A4514" s="101"/>
      <c r="B4514" s="36"/>
      <c r="C4514" s="98"/>
      <c r="D4514" s="98"/>
      <c r="E4514" s="98"/>
      <c r="F4514" s="102"/>
      <c r="G4514" s="103"/>
    </row>
    <row r="4515" spans="1:7" x14ac:dyDescent="0.25">
      <c r="A4515" s="101"/>
      <c r="B4515" s="36"/>
      <c r="C4515" s="98"/>
      <c r="D4515" s="98"/>
      <c r="E4515" s="98"/>
      <c r="F4515" s="102"/>
      <c r="G4515" s="103"/>
    </row>
    <row r="4516" spans="1:7" x14ac:dyDescent="0.25">
      <c r="A4516" s="101"/>
      <c r="B4516" s="36"/>
      <c r="C4516" s="98"/>
      <c r="D4516" s="98"/>
      <c r="E4516" s="98"/>
      <c r="F4516" s="102"/>
      <c r="G4516" s="103"/>
    </row>
    <row r="4517" spans="1:7" x14ac:dyDescent="0.25">
      <c r="A4517" s="101"/>
      <c r="B4517" s="36"/>
      <c r="C4517" s="98"/>
      <c r="D4517" s="98"/>
      <c r="E4517" s="98"/>
      <c r="F4517" s="102"/>
      <c r="G4517" s="103"/>
    </row>
    <row r="4518" spans="1:7" x14ac:dyDescent="0.25">
      <c r="A4518" s="101"/>
      <c r="B4518" s="36"/>
      <c r="C4518" s="98"/>
      <c r="D4518" s="98"/>
      <c r="E4518" s="98"/>
      <c r="F4518" s="102"/>
      <c r="G4518" s="103"/>
    </row>
    <row r="4519" spans="1:7" x14ac:dyDescent="0.25">
      <c r="A4519" s="101"/>
      <c r="B4519" s="36"/>
      <c r="C4519" s="98"/>
      <c r="D4519" s="98"/>
      <c r="E4519" s="98"/>
      <c r="F4519" s="102"/>
      <c r="G4519" s="103"/>
    </row>
    <row r="4520" spans="1:7" x14ac:dyDescent="0.25">
      <c r="A4520" s="101"/>
      <c r="B4520" s="36"/>
      <c r="C4520" s="98"/>
      <c r="D4520" s="98"/>
      <c r="E4520" s="98"/>
      <c r="F4520" s="102"/>
      <c r="G4520" s="103"/>
    </row>
    <row r="4521" spans="1:7" x14ac:dyDescent="0.25">
      <c r="A4521" s="101"/>
      <c r="B4521" s="36"/>
      <c r="C4521" s="98"/>
      <c r="D4521" s="98"/>
      <c r="E4521" s="98"/>
      <c r="F4521" s="102"/>
      <c r="G4521" s="103"/>
    </row>
    <row r="4522" spans="1:7" x14ac:dyDescent="0.25">
      <c r="A4522" s="101"/>
      <c r="B4522" s="36"/>
      <c r="C4522" s="98"/>
      <c r="D4522" s="98"/>
      <c r="E4522" s="98"/>
      <c r="F4522" s="102"/>
      <c r="G4522" s="103"/>
    </row>
    <row r="4523" spans="1:7" x14ac:dyDescent="0.25">
      <c r="A4523" s="101"/>
      <c r="B4523" s="36"/>
      <c r="C4523" s="98"/>
      <c r="D4523" s="98"/>
      <c r="E4523" s="98"/>
      <c r="F4523" s="102"/>
      <c r="G4523" s="103"/>
    </row>
    <row r="4524" spans="1:7" x14ac:dyDescent="0.25">
      <c r="A4524" s="101"/>
      <c r="B4524" s="36"/>
      <c r="C4524" s="98"/>
      <c r="D4524" s="98"/>
      <c r="E4524" s="98"/>
      <c r="F4524" s="102"/>
      <c r="G4524" s="103"/>
    </row>
    <row r="4525" spans="1:7" x14ac:dyDescent="0.25">
      <c r="A4525" s="101"/>
      <c r="B4525" s="36"/>
      <c r="C4525" s="98"/>
      <c r="D4525" s="98"/>
      <c r="E4525" s="98"/>
      <c r="F4525" s="102"/>
      <c r="G4525" s="103"/>
    </row>
    <row r="4526" spans="1:7" x14ac:dyDescent="0.25">
      <c r="A4526" s="101"/>
      <c r="B4526" s="36"/>
      <c r="C4526" s="98"/>
      <c r="D4526" s="98"/>
      <c r="E4526" s="98"/>
      <c r="F4526" s="102"/>
      <c r="G4526" s="103"/>
    </row>
    <row r="4527" spans="1:7" x14ac:dyDescent="0.25">
      <c r="A4527" s="101"/>
      <c r="B4527" s="36"/>
      <c r="C4527" s="98"/>
      <c r="D4527" s="98"/>
      <c r="E4527" s="98"/>
      <c r="F4527" s="102"/>
      <c r="G4527" s="103"/>
    </row>
    <row r="4528" spans="1:7" x14ac:dyDescent="0.25">
      <c r="A4528" s="101"/>
      <c r="B4528" s="36"/>
      <c r="C4528" s="98"/>
      <c r="D4528" s="98"/>
      <c r="E4528" s="98"/>
      <c r="F4528" s="102"/>
      <c r="G4528" s="103"/>
    </row>
    <row r="4529" spans="1:7" x14ac:dyDescent="0.25">
      <c r="A4529" s="101"/>
      <c r="B4529" s="36"/>
      <c r="C4529" s="98"/>
      <c r="D4529" s="98"/>
      <c r="E4529" s="98"/>
      <c r="F4529" s="102"/>
      <c r="G4529" s="103"/>
    </row>
    <row r="4530" spans="1:7" x14ac:dyDescent="0.25">
      <c r="A4530" s="101"/>
      <c r="B4530" s="36"/>
      <c r="C4530" s="98"/>
      <c r="D4530" s="98"/>
      <c r="E4530" s="98"/>
      <c r="F4530" s="102"/>
      <c r="G4530" s="103"/>
    </row>
    <row r="4531" spans="1:7" x14ac:dyDescent="0.25">
      <c r="A4531" s="101"/>
      <c r="B4531" s="36"/>
      <c r="C4531" s="98"/>
      <c r="D4531" s="98"/>
      <c r="E4531" s="98"/>
      <c r="F4531" s="102"/>
      <c r="G4531" s="103"/>
    </row>
    <row r="4532" spans="1:7" x14ac:dyDescent="0.25">
      <c r="A4532" s="101"/>
      <c r="B4532" s="36"/>
      <c r="C4532" s="98"/>
      <c r="D4532" s="98"/>
      <c r="E4532" s="98"/>
      <c r="F4532" s="102"/>
      <c r="G4532" s="103"/>
    </row>
    <row r="4533" spans="1:7" x14ac:dyDescent="0.25">
      <c r="A4533" s="101"/>
      <c r="B4533" s="36"/>
      <c r="C4533" s="98"/>
      <c r="D4533" s="98"/>
      <c r="E4533" s="98"/>
      <c r="F4533" s="102"/>
      <c r="G4533" s="103"/>
    </row>
    <row r="4534" spans="1:7" x14ac:dyDescent="0.25">
      <c r="A4534" s="101"/>
      <c r="B4534" s="36"/>
      <c r="C4534" s="98"/>
      <c r="D4534" s="98"/>
      <c r="E4534" s="98"/>
      <c r="F4534" s="102"/>
      <c r="G4534" s="103"/>
    </row>
    <row r="4535" spans="1:7" x14ac:dyDescent="0.25">
      <c r="A4535" s="101"/>
      <c r="B4535" s="66"/>
      <c r="C4535" s="98"/>
      <c r="D4535" s="98"/>
      <c r="E4535" s="98"/>
      <c r="F4535" s="102"/>
      <c r="G4535" s="103"/>
    </row>
    <row r="4536" spans="1:7" x14ac:dyDescent="0.25">
      <c r="A4536" s="101"/>
      <c r="B4536" s="36"/>
      <c r="C4536" s="98"/>
      <c r="D4536" s="98"/>
      <c r="E4536" s="98"/>
      <c r="F4536" s="102"/>
      <c r="G4536" s="103"/>
    </row>
    <row r="4537" spans="1:7" x14ac:dyDescent="0.25">
      <c r="A4537" s="101"/>
      <c r="B4537" s="36"/>
      <c r="C4537" s="98"/>
      <c r="D4537" s="98"/>
      <c r="E4537" s="98"/>
      <c r="F4537" s="102"/>
      <c r="G4537" s="103"/>
    </row>
    <row r="4538" spans="1:7" x14ac:dyDescent="0.25">
      <c r="A4538" s="101"/>
      <c r="B4538" s="36"/>
      <c r="C4538" s="98"/>
      <c r="D4538" s="98"/>
      <c r="E4538" s="98"/>
      <c r="F4538" s="102"/>
      <c r="G4538" s="103"/>
    </row>
    <row r="4539" spans="1:7" x14ac:dyDescent="0.25">
      <c r="A4539" s="101"/>
      <c r="B4539" s="36"/>
      <c r="C4539" s="98"/>
      <c r="D4539" s="98"/>
      <c r="E4539" s="98"/>
      <c r="F4539" s="102"/>
      <c r="G4539" s="103"/>
    </row>
    <row r="4540" spans="1:7" x14ac:dyDescent="0.25">
      <c r="A4540" s="101"/>
      <c r="B4540" s="36"/>
      <c r="C4540" s="98"/>
      <c r="D4540" s="98"/>
      <c r="E4540" s="98"/>
      <c r="F4540" s="102"/>
      <c r="G4540" s="103"/>
    </row>
    <row r="4541" spans="1:7" x14ac:dyDescent="0.25">
      <c r="A4541" s="101"/>
      <c r="B4541" s="36"/>
      <c r="C4541" s="98"/>
      <c r="D4541" s="98"/>
      <c r="E4541" s="98"/>
      <c r="F4541" s="102"/>
      <c r="G4541" s="103"/>
    </row>
    <row r="4542" spans="1:7" x14ac:dyDescent="0.25">
      <c r="A4542" s="101"/>
      <c r="B4542" s="36"/>
      <c r="C4542" s="98"/>
      <c r="D4542" s="98"/>
      <c r="E4542" s="98"/>
      <c r="F4542" s="102"/>
      <c r="G4542" s="103"/>
    </row>
    <row r="4543" spans="1:7" x14ac:dyDescent="0.25">
      <c r="A4543" s="101"/>
      <c r="B4543" s="36"/>
      <c r="C4543" s="98"/>
      <c r="D4543" s="98"/>
      <c r="E4543" s="98"/>
      <c r="F4543" s="102"/>
      <c r="G4543" s="103"/>
    </row>
    <row r="4544" spans="1:7" x14ac:dyDescent="0.25">
      <c r="A4544" s="101"/>
      <c r="B4544" s="36"/>
      <c r="C4544" s="98"/>
      <c r="D4544" s="98"/>
      <c r="E4544" s="98"/>
      <c r="F4544" s="102"/>
      <c r="G4544" s="103"/>
    </row>
    <row r="4545" spans="1:7" x14ac:dyDescent="0.25">
      <c r="A4545" s="101"/>
      <c r="B4545" s="36"/>
      <c r="C4545" s="98"/>
      <c r="D4545" s="98"/>
      <c r="E4545" s="98"/>
      <c r="F4545" s="102"/>
      <c r="G4545" s="103"/>
    </row>
    <row r="4546" spans="1:7" x14ac:dyDescent="0.25">
      <c r="A4546" s="101"/>
      <c r="B4546" s="36"/>
      <c r="C4546" s="98"/>
      <c r="D4546" s="98"/>
      <c r="E4546" s="98"/>
      <c r="F4546" s="102"/>
      <c r="G4546" s="103"/>
    </row>
    <row r="4547" spans="1:7" x14ac:dyDescent="0.25">
      <c r="A4547" s="101"/>
      <c r="B4547" s="36"/>
      <c r="C4547" s="98"/>
      <c r="D4547" s="98"/>
      <c r="E4547" s="98"/>
      <c r="F4547" s="102"/>
      <c r="G4547" s="103"/>
    </row>
    <row r="4548" spans="1:7" x14ac:dyDescent="0.25">
      <c r="A4548" s="101"/>
      <c r="B4548" s="36"/>
      <c r="C4548" s="98"/>
      <c r="D4548" s="98"/>
      <c r="E4548" s="98"/>
      <c r="F4548" s="102"/>
      <c r="G4548" s="103"/>
    </row>
    <row r="4549" spans="1:7" x14ac:dyDescent="0.25">
      <c r="A4549" s="101"/>
      <c r="B4549" s="36"/>
      <c r="C4549" s="98"/>
      <c r="D4549" s="98"/>
      <c r="E4549" s="98"/>
      <c r="F4549" s="102"/>
      <c r="G4549" s="103"/>
    </row>
    <row r="4550" spans="1:7" x14ac:dyDescent="0.25">
      <c r="A4550" s="101"/>
      <c r="B4550" s="36"/>
      <c r="C4550" s="98"/>
      <c r="D4550" s="98"/>
      <c r="E4550" s="98"/>
      <c r="F4550" s="102"/>
      <c r="G4550" s="103"/>
    </row>
    <row r="4551" spans="1:7" x14ac:dyDescent="0.25">
      <c r="A4551" s="101"/>
      <c r="B4551" s="36"/>
      <c r="C4551" s="98"/>
      <c r="D4551" s="98"/>
      <c r="E4551" s="98"/>
      <c r="F4551" s="102"/>
      <c r="G4551" s="103"/>
    </row>
    <row r="4552" spans="1:7" x14ac:dyDescent="0.25">
      <c r="A4552" s="101"/>
      <c r="B4552" s="36"/>
      <c r="C4552" s="98"/>
      <c r="D4552" s="98"/>
      <c r="E4552" s="98"/>
      <c r="F4552" s="102"/>
      <c r="G4552" s="103"/>
    </row>
    <row r="4553" spans="1:7" x14ac:dyDescent="0.25">
      <c r="A4553" s="101"/>
      <c r="B4553" s="36"/>
      <c r="C4553" s="98"/>
      <c r="D4553" s="98"/>
      <c r="E4553" s="98"/>
      <c r="F4553" s="102"/>
      <c r="G4553" s="103"/>
    </row>
    <row r="4554" spans="1:7" x14ac:dyDescent="0.25">
      <c r="A4554" s="101"/>
      <c r="B4554" s="36"/>
      <c r="C4554" s="98"/>
      <c r="D4554" s="98"/>
      <c r="E4554" s="98"/>
      <c r="F4554" s="102"/>
      <c r="G4554" s="103"/>
    </row>
    <row r="4555" spans="1:7" x14ac:dyDescent="0.25">
      <c r="A4555" s="101"/>
      <c r="B4555" s="36"/>
      <c r="C4555" s="98"/>
      <c r="D4555" s="98"/>
      <c r="E4555" s="98"/>
      <c r="F4555" s="102"/>
      <c r="G4555" s="103"/>
    </row>
    <row r="4556" spans="1:7" x14ac:dyDescent="0.25">
      <c r="A4556" s="101"/>
      <c r="B4556" s="36"/>
      <c r="C4556" s="98"/>
      <c r="D4556" s="98"/>
      <c r="E4556" s="98"/>
      <c r="F4556" s="102"/>
      <c r="G4556" s="103"/>
    </row>
    <row r="4557" spans="1:7" x14ac:dyDescent="0.25">
      <c r="A4557" s="101"/>
      <c r="B4557" s="36"/>
      <c r="C4557" s="98"/>
      <c r="D4557" s="98"/>
      <c r="E4557" s="98"/>
      <c r="F4557" s="102"/>
      <c r="G4557" s="103"/>
    </row>
    <row r="4558" spans="1:7" x14ac:dyDescent="0.25">
      <c r="A4558" s="101"/>
      <c r="B4558" s="36"/>
      <c r="C4558" s="98"/>
      <c r="D4558" s="98"/>
      <c r="E4558" s="98"/>
      <c r="F4558" s="102"/>
      <c r="G4558" s="103"/>
    </row>
    <row r="4559" spans="1:7" x14ac:dyDescent="0.25">
      <c r="A4559" s="101"/>
      <c r="B4559" s="36"/>
      <c r="C4559" s="98"/>
      <c r="D4559" s="98"/>
      <c r="E4559" s="98"/>
      <c r="F4559" s="102"/>
      <c r="G4559" s="103"/>
    </row>
    <row r="4560" spans="1:7" x14ac:dyDescent="0.25">
      <c r="A4560" s="101"/>
      <c r="B4560" s="36"/>
      <c r="C4560" s="98"/>
      <c r="D4560" s="98"/>
      <c r="E4560" s="98"/>
      <c r="F4560" s="102"/>
      <c r="G4560" s="103"/>
    </row>
    <row r="4561" spans="1:7" x14ac:dyDescent="0.25">
      <c r="A4561" s="101"/>
      <c r="B4561" s="36"/>
      <c r="C4561" s="98"/>
      <c r="D4561" s="98"/>
      <c r="E4561" s="98"/>
      <c r="F4561" s="102"/>
      <c r="G4561" s="103"/>
    </row>
    <row r="4562" spans="1:7" x14ac:dyDescent="0.25">
      <c r="A4562" s="101"/>
      <c r="B4562" s="36"/>
      <c r="C4562" s="98"/>
      <c r="D4562" s="98"/>
      <c r="E4562" s="98"/>
      <c r="F4562" s="102"/>
      <c r="G4562" s="103"/>
    </row>
    <row r="4563" spans="1:7" x14ac:dyDescent="0.25">
      <c r="A4563" s="101"/>
      <c r="B4563" s="36"/>
      <c r="C4563" s="98"/>
      <c r="D4563" s="98"/>
      <c r="E4563" s="98"/>
      <c r="F4563" s="102"/>
      <c r="G4563" s="103"/>
    </row>
    <row r="4564" spans="1:7" x14ac:dyDescent="0.25">
      <c r="A4564" s="101"/>
      <c r="B4564" s="36"/>
      <c r="C4564" s="98"/>
      <c r="D4564" s="98"/>
      <c r="E4564" s="98"/>
      <c r="F4564" s="102"/>
      <c r="G4564" s="103"/>
    </row>
    <row r="4565" spans="1:7" x14ac:dyDescent="0.25">
      <c r="A4565" s="101"/>
      <c r="B4565" s="36"/>
      <c r="C4565" s="98"/>
      <c r="D4565" s="98"/>
      <c r="E4565" s="98"/>
      <c r="F4565" s="102"/>
      <c r="G4565" s="103"/>
    </row>
    <row r="4566" spans="1:7" x14ac:dyDescent="0.25">
      <c r="A4566" s="101"/>
      <c r="B4566" s="36"/>
      <c r="C4566" s="98"/>
      <c r="D4566" s="98"/>
      <c r="E4566" s="98"/>
      <c r="F4566" s="102"/>
      <c r="G4566" s="103"/>
    </row>
    <row r="4567" spans="1:7" x14ac:dyDescent="0.25">
      <c r="A4567" s="101"/>
      <c r="B4567" s="36"/>
      <c r="C4567" s="98"/>
      <c r="D4567" s="98"/>
      <c r="E4567" s="98"/>
      <c r="F4567" s="102"/>
      <c r="G4567" s="103"/>
    </row>
    <row r="4568" spans="1:7" x14ac:dyDescent="0.25">
      <c r="A4568" s="101"/>
      <c r="B4568" s="66"/>
      <c r="C4568" s="98"/>
      <c r="D4568" s="98"/>
      <c r="E4568" s="98"/>
      <c r="F4568" s="102"/>
      <c r="G4568" s="103"/>
    </row>
    <row r="4569" spans="1:7" x14ac:dyDescent="0.25">
      <c r="A4569" s="101"/>
      <c r="B4569" s="36"/>
      <c r="C4569" s="98"/>
      <c r="D4569" s="98"/>
      <c r="E4569" s="98"/>
      <c r="F4569" s="102"/>
      <c r="G4569" s="103"/>
    </row>
    <row r="4570" spans="1:7" x14ac:dyDescent="0.25">
      <c r="A4570" s="101"/>
      <c r="B4570" s="36"/>
      <c r="C4570" s="98"/>
      <c r="D4570" s="98"/>
      <c r="E4570" s="98"/>
      <c r="F4570" s="102"/>
      <c r="G4570" s="103"/>
    </row>
    <row r="4571" spans="1:7" x14ac:dyDescent="0.25">
      <c r="A4571" s="101"/>
      <c r="B4571" s="36"/>
      <c r="C4571" s="98"/>
      <c r="D4571" s="98"/>
      <c r="E4571" s="98"/>
      <c r="F4571" s="102"/>
      <c r="G4571" s="103"/>
    </row>
    <row r="4572" spans="1:7" x14ac:dyDescent="0.25">
      <c r="A4572" s="101"/>
      <c r="B4572" s="36"/>
      <c r="C4572" s="98"/>
      <c r="D4572" s="98"/>
      <c r="E4572" s="98"/>
      <c r="F4572" s="102"/>
      <c r="G4572" s="103"/>
    </row>
    <row r="4573" spans="1:7" x14ac:dyDescent="0.25">
      <c r="A4573" s="101"/>
      <c r="B4573" s="36"/>
      <c r="C4573" s="98"/>
      <c r="D4573" s="98"/>
      <c r="E4573" s="98"/>
      <c r="F4573" s="102"/>
      <c r="G4573" s="103"/>
    </row>
    <row r="4574" spans="1:7" x14ac:dyDescent="0.25">
      <c r="A4574" s="101"/>
      <c r="B4574" s="36"/>
      <c r="C4574" s="98"/>
      <c r="D4574" s="98"/>
      <c r="E4574" s="98"/>
      <c r="F4574" s="102"/>
      <c r="G4574" s="103"/>
    </row>
    <row r="4575" spans="1:7" x14ac:dyDescent="0.25">
      <c r="A4575" s="101"/>
      <c r="B4575" s="36"/>
      <c r="C4575" s="98"/>
      <c r="D4575" s="98"/>
      <c r="E4575" s="98"/>
      <c r="F4575" s="102"/>
      <c r="G4575" s="103"/>
    </row>
    <row r="4576" spans="1:7" x14ac:dyDescent="0.25">
      <c r="A4576" s="101"/>
      <c r="B4576" s="36"/>
      <c r="C4576" s="98"/>
      <c r="D4576" s="98"/>
      <c r="E4576" s="98"/>
      <c r="F4576" s="102"/>
      <c r="G4576" s="103"/>
    </row>
    <row r="4577" spans="1:7" x14ac:dyDescent="0.25">
      <c r="A4577" s="101"/>
      <c r="B4577" s="36"/>
      <c r="C4577" s="98"/>
      <c r="D4577" s="98"/>
      <c r="E4577" s="98"/>
      <c r="F4577" s="102"/>
      <c r="G4577" s="103"/>
    </row>
    <row r="4578" spans="1:7" x14ac:dyDescent="0.25">
      <c r="A4578" s="101"/>
      <c r="B4578" s="36"/>
      <c r="C4578" s="98"/>
      <c r="D4578" s="98"/>
      <c r="E4578" s="98"/>
      <c r="F4578" s="102"/>
      <c r="G4578" s="103"/>
    </row>
    <row r="4579" spans="1:7" x14ac:dyDescent="0.25">
      <c r="A4579" s="101"/>
      <c r="B4579" s="36"/>
      <c r="C4579" s="98"/>
      <c r="D4579" s="98"/>
      <c r="E4579" s="98"/>
      <c r="F4579" s="102"/>
      <c r="G4579" s="103"/>
    </row>
    <row r="4580" spans="1:7" x14ac:dyDescent="0.25">
      <c r="A4580" s="101"/>
      <c r="B4580" s="36"/>
      <c r="C4580" s="98"/>
      <c r="D4580" s="98"/>
      <c r="E4580" s="98"/>
      <c r="F4580" s="102"/>
      <c r="G4580" s="103"/>
    </row>
    <row r="4581" spans="1:7" x14ac:dyDescent="0.25">
      <c r="A4581" s="101"/>
      <c r="B4581" s="36"/>
      <c r="C4581" s="98"/>
      <c r="D4581" s="98"/>
      <c r="E4581" s="98"/>
      <c r="F4581" s="102"/>
      <c r="G4581" s="103"/>
    </row>
    <row r="4582" spans="1:7" x14ac:dyDescent="0.25">
      <c r="A4582" s="101"/>
      <c r="B4582" s="36"/>
      <c r="C4582" s="98"/>
      <c r="D4582" s="98"/>
      <c r="E4582" s="98"/>
      <c r="F4582" s="102"/>
      <c r="G4582" s="103"/>
    </row>
    <row r="4583" spans="1:7" x14ac:dyDescent="0.25">
      <c r="A4583" s="101"/>
      <c r="B4583" s="66"/>
      <c r="C4583" s="98"/>
      <c r="D4583" s="98"/>
      <c r="E4583" s="98"/>
      <c r="F4583" s="102"/>
      <c r="G4583" s="103"/>
    </row>
    <row r="4584" spans="1:7" x14ac:dyDescent="0.25">
      <c r="A4584" s="101"/>
      <c r="B4584" s="66"/>
      <c r="C4584" s="98"/>
      <c r="D4584" s="98"/>
      <c r="E4584" s="98"/>
      <c r="F4584" s="102"/>
      <c r="G4584" s="103"/>
    </row>
    <row r="4585" spans="1:7" x14ac:dyDescent="0.25">
      <c r="A4585" s="101"/>
      <c r="B4585" s="36"/>
      <c r="C4585" s="98"/>
      <c r="D4585" s="98"/>
      <c r="E4585" s="98"/>
      <c r="F4585" s="102"/>
      <c r="G4585" s="103"/>
    </row>
    <row r="4586" spans="1:7" x14ac:dyDescent="0.25">
      <c r="A4586" s="101"/>
      <c r="B4586" s="36"/>
      <c r="C4586" s="98"/>
      <c r="D4586" s="98"/>
      <c r="E4586" s="98"/>
      <c r="F4586" s="102"/>
      <c r="G4586" s="103"/>
    </row>
    <row r="4587" spans="1:7" x14ac:dyDescent="0.25">
      <c r="A4587" s="101"/>
      <c r="B4587" s="36"/>
      <c r="C4587" s="98"/>
      <c r="D4587" s="98"/>
      <c r="E4587" s="98"/>
      <c r="F4587" s="102"/>
      <c r="G4587" s="103"/>
    </row>
    <row r="4588" spans="1:7" x14ac:dyDescent="0.25">
      <c r="A4588" s="101"/>
      <c r="B4588" s="36"/>
      <c r="C4588" s="98"/>
      <c r="D4588" s="98"/>
      <c r="E4588" s="98"/>
      <c r="F4588" s="102"/>
      <c r="G4588" s="103"/>
    </row>
    <row r="4589" spans="1:7" x14ac:dyDescent="0.25">
      <c r="A4589" s="101"/>
      <c r="B4589" s="36"/>
      <c r="C4589" s="98"/>
      <c r="D4589" s="98"/>
      <c r="E4589" s="98"/>
      <c r="F4589" s="102"/>
      <c r="G4589" s="103"/>
    </row>
    <row r="4590" spans="1:7" x14ac:dyDescent="0.25">
      <c r="A4590" s="101"/>
      <c r="B4590" s="36"/>
      <c r="C4590" s="98"/>
      <c r="D4590" s="98"/>
      <c r="E4590" s="98"/>
      <c r="F4590" s="102"/>
      <c r="G4590" s="103"/>
    </row>
    <row r="4591" spans="1:7" x14ac:dyDescent="0.25">
      <c r="A4591" s="101"/>
      <c r="B4591" s="36"/>
      <c r="C4591" s="98"/>
      <c r="D4591" s="98"/>
      <c r="E4591" s="98"/>
      <c r="F4591" s="102"/>
      <c r="G4591" s="103"/>
    </row>
    <row r="4592" spans="1:7" x14ac:dyDescent="0.25">
      <c r="A4592" s="101"/>
      <c r="B4592" s="36"/>
      <c r="C4592" s="98"/>
      <c r="D4592" s="98"/>
      <c r="E4592" s="98"/>
      <c r="F4592" s="102"/>
      <c r="G4592" s="103"/>
    </row>
    <row r="4593" spans="1:7" x14ac:dyDescent="0.25">
      <c r="A4593" s="101"/>
      <c r="B4593" s="67"/>
      <c r="C4593" s="98"/>
      <c r="D4593" s="98"/>
      <c r="E4593" s="98"/>
      <c r="F4593" s="102"/>
      <c r="G4593" s="103"/>
    </row>
    <row r="4594" spans="1:7" x14ac:dyDescent="0.25">
      <c r="A4594" s="101"/>
      <c r="B4594" s="36"/>
      <c r="C4594" s="98"/>
      <c r="D4594" s="98"/>
      <c r="E4594" s="98"/>
      <c r="F4594" s="102"/>
      <c r="G4594" s="103"/>
    </row>
    <row r="4595" spans="1:7" x14ac:dyDescent="0.25">
      <c r="A4595" s="101"/>
      <c r="B4595" s="36"/>
      <c r="C4595" s="98"/>
      <c r="D4595" s="98"/>
      <c r="E4595" s="98"/>
      <c r="F4595" s="102"/>
      <c r="G4595" s="103"/>
    </row>
    <row r="4596" spans="1:7" x14ac:dyDescent="0.25">
      <c r="A4596" s="101"/>
      <c r="B4596" s="36"/>
      <c r="C4596" s="98"/>
      <c r="D4596" s="98"/>
      <c r="E4596" s="98"/>
      <c r="F4596" s="102"/>
      <c r="G4596" s="103"/>
    </row>
    <row r="4597" spans="1:7" x14ac:dyDescent="0.25">
      <c r="A4597" s="101"/>
      <c r="B4597" s="36"/>
      <c r="C4597" s="98"/>
      <c r="D4597" s="98"/>
      <c r="E4597" s="98"/>
      <c r="F4597" s="102"/>
      <c r="G4597" s="103"/>
    </row>
    <row r="4598" spans="1:7" x14ac:dyDescent="0.25">
      <c r="A4598" s="101"/>
      <c r="B4598" s="36"/>
      <c r="C4598" s="98"/>
      <c r="D4598" s="98"/>
      <c r="E4598" s="98"/>
      <c r="F4598" s="102"/>
      <c r="G4598" s="103"/>
    </row>
    <row r="4599" spans="1:7" x14ac:dyDescent="0.25">
      <c r="A4599" s="101"/>
      <c r="B4599" s="36"/>
      <c r="C4599" s="98"/>
      <c r="D4599" s="98"/>
      <c r="E4599" s="98"/>
      <c r="F4599" s="102"/>
      <c r="G4599" s="103"/>
    </row>
    <row r="4600" spans="1:7" x14ac:dyDescent="0.25">
      <c r="A4600" s="101"/>
      <c r="B4600" s="36"/>
      <c r="C4600" s="98"/>
      <c r="D4600" s="98"/>
      <c r="E4600" s="98"/>
      <c r="F4600" s="102"/>
      <c r="G4600" s="103"/>
    </row>
    <row r="4601" spans="1:7" x14ac:dyDescent="0.25">
      <c r="A4601" s="101"/>
      <c r="B4601" s="36"/>
      <c r="C4601" s="98"/>
      <c r="D4601" s="98"/>
      <c r="E4601" s="98"/>
      <c r="F4601" s="102"/>
      <c r="G4601" s="103"/>
    </row>
    <row r="4602" spans="1:7" x14ac:dyDescent="0.25">
      <c r="A4602" s="101"/>
      <c r="B4602" s="36"/>
      <c r="C4602" s="98"/>
      <c r="D4602" s="98"/>
      <c r="E4602" s="98"/>
      <c r="F4602" s="102"/>
      <c r="G4602" s="103"/>
    </row>
    <row r="4603" spans="1:7" x14ac:dyDescent="0.25">
      <c r="A4603" s="101"/>
      <c r="B4603" s="36"/>
      <c r="C4603" s="98"/>
      <c r="D4603" s="98"/>
      <c r="E4603" s="98"/>
      <c r="F4603" s="102"/>
      <c r="G4603" s="103"/>
    </row>
    <row r="4604" spans="1:7" x14ac:dyDescent="0.25">
      <c r="A4604" s="101"/>
      <c r="B4604" s="36"/>
      <c r="C4604" s="98"/>
      <c r="D4604" s="98"/>
      <c r="E4604" s="98"/>
      <c r="F4604" s="102"/>
      <c r="G4604" s="103"/>
    </row>
    <row r="4605" spans="1:7" x14ac:dyDescent="0.25">
      <c r="A4605" s="101"/>
      <c r="B4605" s="36"/>
      <c r="C4605" s="98"/>
      <c r="D4605" s="98"/>
      <c r="E4605" s="98"/>
      <c r="F4605" s="102"/>
      <c r="G4605" s="103"/>
    </row>
    <row r="4606" spans="1:7" x14ac:dyDescent="0.25">
      <c r="A4606" s="101"/>
      <c r="B4606" s="36"/>
      <c r="C4606" s="98"/>
      <c r="D4606" s="98"/>
      <c r="E4606" s="98"/>
      <c r="F4606" s="102"/>
      <c r="G4606" s="103"/>
    </row>
    <row r="4607" spans="1:7" x14ac:dyDescent="0.25">
      <c r="A4607" s="101"/>
      <c r="B4607" s="36"/>
      <c r="C4607" s="98"/>
      <c r="D4607" s="98"/>
      <c r="E4607" s="98"/>
      <c r="F4607" s="102"/>
      <c r="G4607" s="103"/>
    </row>
    <row r="4608" spans="1:7" x14ac:dyDescent="0.25">
      <c r="A4608" s="101"/>
      <c r="B4608" s="36"/>
      <c r="C4608" s="98"/>
      <c r="D4608" s="98"/>
      <c r="E4608" s="98"/>
      <c r="F4608" s="102"/>
      <c r="G4608" s="103"/>
    </row>
    <row r="4609" spans="1:7" x14ac:dyDescent="0.25">
      <c r="A4609" s="101"/>
      <c r="B4609" s="66"/>
      <c r="C4609" s="98"/>
      <c r="D4609" s="98"/>
      <c r="E4609" s="98"/>
      <c r="F4609" s="102"/>
      <c r="G4609" s="103"/>
    </row>
    <row r="4610" spans="1:7" x14ac:dyDescent="0.25">
      <c r="A4610" s="101"/>
      <c r="B4610" s="36"/>
      <c r="C4610" s="98"/>
      <c r="D4610" s="98"/>
      <c r="E4610" s="98"/>
      <c r="F4610" s="102"/>
      <c r="G4610" s="103"/>
    </row>
    <row r="4611" spans="1:7" x14ac:dyDescent="0.25">
      <c r="A4611" s="101"/>
      <c r="B4611" s="36"/>
      <c r="C4611" s="98"/>
      <c r="D4611" s="98"/>
      <c r="E4611" s="98"/>
      <c r="F4611" s="102"/>
      <c r="G4611" s="103"/>
    </row>
    <row r="4612" spans="1:7" x14ac:dyDescent="0.25">
      <c r="A4612" s="101"/>
      <c r="B4612" s="36"/>
      <c r="C4612" s="98"/>
      <c r="D4612" s="98"/>
      <c r="E4612" s="98"/>
      <c r="F4612" s="102"/>
      <c r="G4612" s="103"/>
    </row>
    <row r="4613" spans="1:7" x14ac:dyDescent="0.25">
      <c r="A4613" s="101"/>
      <c r="B4613" s="36"/>
      <c r="C4613" s="98"/>
      <c r="D4613" s="98"/>
      <c r="E4613" s="98"/>
      <c r="F4613" s="102"/>
      <c r="G4613" s="103"/>
    </row>
    <row r="4614" spans="1:7" x14ac:dyDescent="0.25">
      <c r="A4614" s="101"/>
      <c r="B4614" s="36"/>
      <c r="C4614" s="98"/>
      <c r="D4614" s="98"/>
      <c r="E4614" s="98"/>
      <c r="F4614" s="102"/>
      <c r="G4614" s="103"/>
    </row>
    <row r="4615" spans="1:7" x14ac:dyDescent="0.25">
      <c r="A4615" s="101"/>
      <c r="B4615" s="36"/>
      <c r="C4615" s="98"/>
      <c r="D4615" s="98"/>
      <c r="E4615" s="98"/>
      <c r="F4615" s="102"/>
      <c r="G4615" s="103"/>
    </row>
    <row r="4616" spans="1:7" x14ac:dyDescent="0.25">
      <c r="A4616" s="101"/>
      <c r="B4616" s="36"/>
      <c r="C4616" s="98"/>
      <c r="D4616" s="98"/>
      <c r="E4616" s="98"/>
      <c r="F4616" s="102"/>
      <c r="G4616" s="103"/>
    </row>
    <row r="4617" spans="1:7" x14ac:dyDescent="0.25">
      <c r="A4617" s="101"/>
      <c r="B4617" s="36"/>
      <c r="C4617" s="98"/>
      <c r="D4617" s="98"/>
      <c r="E4617" s="98"/>
      <c r="F4617" s="102"/>
      <c r="G4617" s="103"/>
    </row>
    <row r="4618" spans="1:7" x14ac:dyDescent="0.25">
      <c r="A4618" s="101"/>
      <c r="B4618" s="36"/>
      <c r="C4618" s="98"/>
      <c r="D4618" s="98"/>
      <c r="E4618" s="98"/>
      <c r="F4618" s="102"/>
      <c r="G4618" s="103"/>
    </row>
    <row r="4619" spans="1:7" x14ac:dyDescent="0.25">
      <c r="A4619" s="101"/>
      <c r="B4619" s="36"/>
      <c r="C4619" s="98"/>
      <c r="D4619" s="98"/>
      <c r="E4619" s="98"/>
      <c r="F4619" s="102"/>
      <c r="G4619" s="103"/>
    </row>
    <row r="4620" spans="1:7" x14ac:dyDescent="0.25">
      <c r="A4620" s="101"/>
      <c r="B4620" s="36"/>
      <c r="C4620" s="98"/>
      <c r="D4620" s="98"/>
      <c r="E4620" s="98"/>
      <c r="F4620" s="102"/>
      <c r="G4620" s="103"/>
    </row>
    <row r="4621" spans="1:7" x14ac:dyDescent="0.25">
      <c r="A4621" s="101"/>
      <c r="B4621" s="36"/>
      <c r="C4621" s="98"/>
      <c r="D4621" s="98"/>
      <c r="E4621" s="98"/>
      <c r="F4621" s="102"/>
      <c r="G4621" s="103"/>
    </row>
    <row r="4622" spans="1:7" x14ac:dyDescent="0.25">
      <c r="A4622" s="101"/>
      <c r="B4622" s="36"/>
      <c r="C4622" s="98"/>
      <c r="D4622" s="98"/>
      <c r="E4622" s="98"/>
      <c r="F4622" s="102"/>
      <c r="G4622" s="103"/>
    </row>
    <row r="4623" spans="1:7" x14ac:dyDescent="0.25">
      <c r="A4623" s="101"/>
      <c r="B4623" s="36"/>
      <c r="C4623" s="98"/>
      <c r="D4623" s="98"/>
      <c r="E4623" s="98"/>
      <c r="F4623" s="102"/>
      <c r="G4623" s="103"/>
    </row>
    <row r="4624" spans="1:7" x14ac:dyDescent="0.25">
      <c r="A4624" s="101"/>
      <c r="B4624" s="66"/>
      <c r="C4624" s="98"/>
      <c r="D4624" s="98"/>
      <c r="E4624" s="98"/>
      <c r="F4624" s="102"/>
      <c r="G4624" s="103"/>
    </row>
    <row r="4625" spans="1:7" x14ac:dyDescent="0.25">
      <c r="A4625" s="101"/>
      <c r="B4625" s="36"/>
      <c r="C4625" s="98"/>
      <c r="D4625" s="98"/>
      <c r="E4625" s="98"/>
      <c r="F4625" s="102"/>
      <c r="G4625" s="103"/>
    </row>
    <row r="4626" spans="1:7" x14ac:dyDescent="0.25">
      <c r="A4626" s="101"/>
      <c r="B4626" s="36"/>
      <c r="C4626" s="98"/>
      <c r="D4626" s="98"/>
      <c r="E4626" s="98"/>
      <c r="F4626" s="102"/>
      <c r="G4626" s="103"/>
    </row>
    <row r="4627" spans="1:7" x14ac:dyDescent="0.25">
      <c r="A4627" s="101"/>
      <c r="B4627" s="36"/>
      <c r="C4627" s="98"/>
      <c r="D4627" s="98"/>
      <c r="E4627" s="98"/>
      <c r="F4627" s="102"/>
      <c r="G4627" s="103"/>
    </row>
    <row r="4628" spans="1:7" x14ac:dyDescent="0.25">
      <c r="A4628" s="101"/>
      <c r="B4628" s="36"/>
      <c r="C4628" s="98"/>
      <c r="D4628" s="98"/>
      <c r="E4628" s="98"/>
      <c r="F4628" s="102"/>
      <c r="G4628" s="103"/>
    </row>
    <row r="4629" spans="1:7" x14ac:dyDescent="0.25">
      <c r="A4629" s="101"/>
      <c r="B4629" s="36"/>
      <c r="C4629" s="98"/>
      <c r="D4629" s="98"/>
      <c r="E4629" s="98"/>
      <c r="F4629" s="102"/>
      <c r="G4629" s="103"/>
    </row>
    <row r="4630" spans="1:7" x14ac:dyDescent="0.25">
      <c r="A4630" s="101"/>
      <c r="B4630" s="66"/>
      <c r="C4630" s="98"/>
      <c r="D4630" s="98"/>
      <c r="E4630" s="98"/>
      <c r="F4630" s="102"/>
      <c r="G4630" s="103"/>
    </row>
    <row r="4631" spans="1:7" x14ac:dyDescent="0.25">
      <c r="A4631" s="101"/>
      <c r="B4631" s="36"/>
      <c r="C4631" s="98"/>
      <c r="D4631" s="98"/>
      <c r="E4631" s="98"/>
      <c r="F4631" s="102"/>
      <c r="G4631" s="103"/>
    </row>
    <row r="4632" spans="1:7" x14ac:dyDescent="0.25">
      <c r="A4632" s="101"/>
      <c r="B4632" s="36"/>
      <c r="C4632" s="98"/>
      <c r="D4632" s="98"/>
      <c r="E4632" s="98"/>
      <c r="F4632" s="102"/>
      <c r="G4632" s="103"/>
    </row>
    <row r="4633" spans="1:7" x14ac:dyDescent="0.25">
      <c r="A4633" s="101"/>
      <c r="B4633" s="36"/>
      <c r="C4633" s="98"/>
      <c r="D4633" s="98"/>
      <c r="E4633" s="98"/>
      <c r="F4633" s="102"/>
      <c r="G4633" s="103"/>
    </row>
    <row r="4634" spans="1:7" x14ac:dyDescent="0.25">
      <c r="A4634" s="101"/>
      <c r="B4634" s="36"/>
      <c r="C4634" s="98"/>
      <c r="D4634" s="98"/>
      <c r="E4634" s="98"/>
      <c r="F4634" s="102"/>
      <c r="G4634" s="103"/>
    </row>
    <row r="4635" spans="1:7" x14ac:dyDescent="0.25">
      <c r="A4635" s="101"/>
      <c r="B4635" s="36"/>
      <c r="C4635" s="98"/>
      <c r="D4635" s="98"/>
      <c r="E4635" s="98"/>
      <c r="F4635" s="102"/>
      <c r="G4635" s="103"/>
    </row>
    <row r="4636" spans="1:7" x14ac:dyDescent="0.25">
      <c r="A4636" s="101"/>
      <c r="B4636" s="36"/>
      <c r="C4636" s="98"/>
      <c r="D4636" s="98"/>
      <c r="E4636" s="98"/>
      <c r="F4636" s="102"/>
      <c r="G4636" s="103"/>
    </row>
    <row r="4637" spans="1:7" x14ac:dyDescent="0.25">
      <c r="A4637" s="101"/>
      <c r="B4637" s="36"/>
      <c r="C4637" s="98"/>
      <c r="D4637" s="98"/>
      <c r="E4637" s="98"/>
      <c r="F4637" s="102"/>
      <c r="G4637" s="103"/>
    </row>
    <row r="4638" spans="1:7" x14ac:dyDescent="0.25">
      <c r="A4638" s="101"/>
      <c r="B4638" s="36"/>
      <c r="C4638" s="98"/>
      <c r="D4638" s="98"/>
      <c r="E4638" s="98"/>
      <c r="F4638" s="102"/>
      <c r="G4638" s="103"/>
    </row>
    <row r="4639" spans="1:7" x14ac:dyDescent="0.25">
      <c r="A4639" s="101"/>
      <c r="B4639" s="36"/>
      <c r="C4639" s="98"/>
      <c r="D4639" s="98"/>
      <c r="E4639" s="98"/>
      <c r="F4639" s="102"/>
      <c r="G4639" s="103"/>
    </row>
    <row r="4640" spans="1:7" x14ac:dyDescent="0.25">
      <c r="A4640" s="101"/>
      <c r="B4640" s="36"/>
      <c r="C4640" s="98"/>
      <c r="D4640" s="98"/>
      <c r="E4640" s="98"/>
      <c r="F4640" s="102"/>
      <c r="G4640" s="103"/>
    </row>
    <row r="4641" spans="1:7" x14ac:dyDescent="0.25">
      <c r="A4641" s="101"/>
      <c r="B4641" s="36"/>
      <c r="C4641" s="98"/>
      <c r="D4641" s="98"/>
      <c r="E4641" s="98"/>
      <c r="F4641" s="102"/>
      <c r="G4641" s="103"/>
    </row>
    <row r="4642" spans="1:7" x14ac:dyDescent="0.25">
      <c r="A4642" s="101"/>
      <c r="B4642" s="36"/>
      <c r="C4642" s="98"/>
      <c r="D4642" s="98"/>
      <c r="E4642" s="98"/>
      <c r="F4642" s="102"/>
      <c r="G4642" s="103"/>
    </row>
    <row r="4643" spans="1:7" x14ac:dyDescent="0.25">
      <c r="A4643" s="101"/>
      <c r="B4643" s="36"/>
      <c r="C4643" s="98"/>
      <c r="D4643" s="98"/>
      <c r="E4643" s="98"/>
      <c r="F4643" s="102"/>
      <c r="G4643" s="103"/>
    </row>
    <row r="4644" spans="1:7" x14ac:dyDescent="0.25">
      <c r="A4644" s="101"/>
      <c r="B4644" s="36"/>
      <c r="C4644" s="98"/>
      <c r="D4644" s="98"/>
      <c r="E4644" s="98"/>
      <c r="F4644" s="102"/>
      <c r="G4644" s="103"/>
    </row>
    <row r="4645" spans="1:7" x14ac:dyDescent="0.25">
      <c r="A4645" s="101"/>
      <c r="B4645" s="36"/>
      <c r="C4645" s="98"/>
      <c r="D4645" s="98"/>
      <c r="E4645" s="98"/>
      <c r="F4645" s="102"/>
      <c r="G4645" s="103"/>
    </row>
    <row r="4646" spans="1:7" x14ac:dyDescent="0.25">
      <c r="A4646" s="101"/>
      <c r="B4646" s="36"/>
      <c r="C4646" s="98"/>
      <c r="D4646" s="98"/>
      <c r="E4646" s="98"/>
      <c r="F4646" s="102"/>
      <c r="G4646" s="103"/>
    </row>
    <row r="4647" spans="1:7" x14ac:dyDescent="0.25">
      <c r="A4647" s="101"/>
      <c r="B4647" s="66"/>
      <c r="C4647" s="98"/>
      <c r="D4647" s="98"/>
      <c r="E4647" s="98"/>
      <c r="F4647" s="102"/>
      <c r="G4647" s="103"/>
    </row>
    <row r="4648" spans="1:7" x14ac:dyDescent="0.25">
      <c r="A4648" s="101"/>
      <c r="B4648" s="36"/>
      <c r="C4648" s="98"/>
      <c r="D4648" s="98"/>
      <c r="E4648" s="98"/>
      <c r="F4648" s="102"/>
      <c r="G4648" s="103"/>
    </row>
    <row r="4649" spans="1:7" x14ac:dyDescent="0.25">
      <c r="A4649" s="101"/>
      <c r="B4649" s="36"/>
      <c r="C4649" s="98"/>
      <c r="D4649" s="98"/>
      <c r="E4649" s="98"/>
      <c r="F4649" s="102"/>
      <c r="G4649" s="103"/>
    </row>
    <row r="4650" spans="1:7" x14ac:dyDescent="0.25">
      <c r="A4650" s="101"/>
      <c r="B4650" s="36"/>
      <c r="C4650" s="98"/>
      <c r="D4650" s="98"/>
      <c r="E4650" s="98"/>
      <c r="F4650" s="102"/>
      <c r="G4650" s="103"/>
    </row>
    <row r="4651" spans="1:7" x14ac:dyDescent="0.25">
      <c r="A4651" s="101"/>
      <c r="B4651" s="36"/>
      <c r="C4651" s="98"/>
      <c r="D4651" s="98"/>
      <c r="E4651" s="98"/>
      <c r="F4651" s="102"/>
      <c r="G4651" s="103"/>
    </row>
    <row r="4652" spans="1:7" x14ac:dyDescent="0.25">
      <c r="A4652" s="101"/>
      <c r="B4652" s="36"/>
      <c r="C4652" s="98"/>
      <c r="D4652" s="98"/>
      <c r="E4652" s="98"/>
      <c r="F4652" s="102"/>
      <c r="G4652" s="103"/>
    </row>
    <row r="4653" spans="1:7" x14ac:dyDescent="0.25">
      <c r="A4653" s="101"/>
      <c r="B4653" s="36"/>
      <c r="C4653" s="98"/>
      <c r="D4653" s="98"/>
      <c r="E4653" s="98"/>
      <c r="F4653" s="102"/>
      <c r="G4653" s="103"/>
    </row>
    <row r="4654" spans="1:7" x14ac:dyDescent="0.25">
      <c r="A4654" s="101"/>
      <c r="B4654" s="36"/>
      <c r="C4654" s="98"/>
      <c r="D4654" s="98"/>
      <c r="E4654" s="98"/>
      <c r="F4654" s="102"/>
      <c r="G4654" s="103"/>
    </row>
    <row r="4655" spans="1:7" x14ac:dyDescent="0.25">
      <c r="A4655" s="101"/>
      <c r="B4655" s="36"/>
      <c r="C4655" s="98"/>
      <c r="D4655" s="98"/>
      <c r="E4655" s="98"/>
      <c r="F4655" s="102"/>
      <c r="G4655" s="103"/>
    </row>
    <row r="4656" spans="1:7" x14ac:dyDescent="0.25">
      <c r="A4656" s="101"/>
      <c r="B4656" s="36"/>
      <c r="C4656" s="98"/>
      <c r="D4656" s="98"/>
      <c r="E4656" s="98"/>
      <c r="F4656" s="102"/>
      <c r="G4656" s="103"/>
    </row>
    <row r="4657" spans="1:7" x14ac:dyDescent="0.25">
      <c r="A4657" s="101"/>
      <c r="B4657" s="36"/>
      <c r="C4657" s="98"/>
      <c r="D4657" s="98"/>
      <c r="E4657" s="98"/>
      <c r="F4657" s="102"/>
      <c r="G4657" s="103"/>
    </row>
    <row r="4658" spans="1:7" x14ac:dyDescent="0.25">
      <c r="A4658" s="101"/>
      <c r="B4658" s="36"/>
      <c r="C4658" s="98"/>
      <c r="D4658" s="98"/>
      <c r="E4658" s="98"/>
      <c r="F4658" s="102"/>
      <c r="G4658" s="103"/>
    </row>
    <row r="4659" spans="1:7" x14ac:dyDescent="0.25">
      <c r="A4659" s="101"/>
      <c r="B4659" s="36"/>
      <c r="C4659" s="98"/>
      <c r="D4659" s="98"/>
      <c r="E4659" s="98"/>
      <c r="F4659" s="102"/>
      <c r="G4659" s="103"/>
    </row>
    <row r="4660" spans="1:7" x14ac:dyDescent="0.25">
      <c r="A4660" s="101"/>
      <c r="B4660" s="36"/>
      <c r="C4660" s="98"/>
      <c r="D4660" s="98"/>
      <c r="E4660" s="98"/>
      <c r="F4660" s="102"/>
      <c r="G4660" s="103"/>
    </row>
    <row r="4661" spans="1:7" x14ac:dyDescent="0.25">
      <c r="A4661" s="101"/>
      <c r="B4661" s="36"/>
      <c r="C4661" s="98"/>
      <c r="D4661" s="98"/>
      <c r="E4661" s="98"/>
      <c r="F4661" s="102"/>
      <c r="G4661" s="103"/>
    </row>
    <row r="4662" spans="1:7" x14ac:dyDescent="0.25">
      <c r="A4662" s="101"/>
      <c r="B4662" s="36"/>
      <c r="C4662" s="98"/>
      <c r="D4662" s="98"/>
      <c r="E4662" s="98"/>
      <c r="F4662" s="102"/>
      <c r="G4662" s="103"/>
    </row>
    <row r="4663" spans="1:7" x14ac:dyDescent="0.25">
      <c r="A4663" s="101"/>
      <c r="B4663" s="36"/>
      <c r="C4663" s="98"/>
      <c r="D4663" s="98"/>
      <c r="E4663" s="98"/>
      <c r="F4663" s="102"/>
      <c r="G4663" s="103"/>
    </row>
    <row r="4664" spans="1:7" x14ac:dyDescent="0.25">
      <c r="A4664" s="101"/>
      <c r="B4664" s="36"/>
      <c r="C4664" s="98"/>
      <c r="D4664" s="98"/>
      <c r="E4664" s="98"/>
      <c r="F4664" s="102"/>
      <c r="G4664" s="103"/>
    </row>
    <row r="4665" spans="1:7" x14ac:dyDescent="0.25">
      <c r="A4665" s="101"/>
      <c r="B4665" s="36"/>
      <c r="C4665" s="98"/>
      <c r="D4665" s="98"/>
      <c r="E4665" s="98"/>
      <c r="F4665" s="102"/>
      <c r="G4665" s="103"/>
    </row>
    <row r="4666" spans="1:7" x14ac:dyDescent="0.25">
      <c r="A4666" s="101"/>
      <c r="B4666" s="66"/>
      <c r="C4666" s="98"/>
      <c r="D4666" s="98"/>
      <c r="E4666" s="98"/>
      <c r="F4666" s="102"/>
      <c r="G4666" s="103"/>
    </row>
    <row r="4667" spans="1:7" x14ac:dyDescent="0.25">
      <c r="A4667" s="101"/>
      <c r="B4667" s="36"/>
      <c r="C4667" s="98"/>
      <c r="D4667" s="98"/>
      <c r="E4667" s="98"/>
      <c r="F4667" s="102"/>
      <c r="G4667" s="103"/>
    </row>
    <row r="4668" spans="1:7" x14ac:dyDescent="0.25">
      <c r="A4668" s="101"/>
      <c r="B4668" s="36"/>
      <c r="C4668" s="98"/>
      <c r="D4668" s="98"/>
      <c r="E4668" s="98"/>
      <c r="F4668" s="102"/>
      <c r="G4668" s="103"/>
    </row>
    <row r="4669" spans="1:7" x14ac:dyDescent="0.25">
      <c r="A4669" s="101"/>
      <c r="B4669" s="36"/>
      <c r="C4669" s="98"/>
      <c r="D4669" s="98"/>
      <c r="E4669" s="98"/>
      <c r="F4669" s="102"/>
      <c r="G4669" s="103"/>
    </row>
    <row r="4670" spans="1:7" x14ac:dyDescent="0.25">
      <c r="A4670" s="101"/>
      <c r="B4670" s="36"/>
      <c r="C4670" s="98"/>
      <c r="D4670" s="98"/>
      <c r="E4670" s="98"/>
      <c r="F4670" s="102"/>
      <c r="G4670" s="103"/>
    </row>
    <row r="4671" spans="1:7" x14ac:dyDescent="0.25">
      <c r="A4671" s="101"/>
      <c r="B4671" s="36"/>
      <c r="C4671" s="98"/>
      <c r="D4671" s="98"/>
      <c r="E4671" s="98"/>
      <c r="F4671" s="102"/>
      <c r="G4671" s="103"/>
    </row>
    <row r="4672" spans="1:7" x14ac:dyDescent="0.25">
      <c r="A4672" s="101"/>
      <c r="B4672" s="36"/>
      <c r="C4672" s="98"/>
      <c r="D4672" s="98"/>
      <c r="E4672" s="98"/>
      <c r="F4672" s="102"/>
      <c r="G4672" s="103"/>
    </row>
    <row r="4673" spans="1:7" x14ac:dyDescent="0.25">
      <c r="A4673" s="101"/>
      <c r="B4673" s="36"/>
      <c r="C4673" s="98"/>
      <c r="D4673" s="98"/>
      <c r="E4673" s="98"/>
      <c r="F4673" s="102"/>
      <c r="G4673" s="103"/>
    </row>
    <row r="4674" spans="1:7" x14ac:dyDescent="0.25">
      <c r="A4674" s="101"/>
      <c r="B4674" s="36"/>
      <c r="C4674" s="98"/>
      <c r="D4674" s="98"/>
      <c r="E4674" s="98"/>
      <c r="F4674" s="102"/>
      <c r="G4674" s="103"/>
    </row>
    <row r="4675" spans="1:7" x14ac:dyDescent="0.25">
      <c r="A4675" s="101"/>
      <c r="B4675" s="36"/>
      <c r="C4675" s="98"/>
      <c r="D4675" s="98"/>
      <c r="E4675" s="98"/>
      <c r="F4675" s="102"/>
      <c r="G4675" s="103"/>
    </row>
    <row r="4676" spans="1:7" x14ac:dyDescent="0.25">
      <c r="A4676" s="101"/>
      <c r="B4676" s="66"/>
      <c r="C4676" s="98"/>
      <c r="D4676" s="98"/>
      <c r="E4676" s="98"/>
      <c r="F4676" s="102"/>
      <c r="G4676" s="103"/>
    </row>
    <row r="4677" spans="1:7" x14ac:dyDescent="0.25">
      <c r="A4677" s="101"/>
      <c r="B4677" s="36"/>
      <c r="C4677" s="98"/>
      <c r="D4677" s="98"/>
      <c r="E4677" s="98"/>
      <c r="F4677" s="102"/>
      <c r="G4677" s="103"/>
    </row>
    <row r="4678" spans="1:7" x14ac:dyDescent="0.25">
      <c r="A4678" s="101"/>
      <c r="B4678" s="36"/>
      <c r="C4678" s="98"/>
      <c r="D4678" s="98"/>
      <c r="E4678" s="98"/>
      <c r="F4678" s="102"/>
      <c r="G4678" s="103"/>
    </row>
    <row r="4679" spans="1:7" x14ac:dyDescent="0.25">
      <c r="A4679" s="101"/>
      <c r="B4679" s="36"/>
      <c r="C4679" s="98"/>
      <c r="D4679" s="98"/>
      <c r="E4679" s="98"/>
      <c r="F4679" s="102"/>
      <c r="G4679" s="103"/>
    </row>
    <row r="4680" spans="1:7" x14ac:dyDescent="0.25">
      <c r="A4680" s="101"/>
      <c r="B4680" s="36"/>
      <c r="C4680" s="98"/>
      <c r="D4680" s="98"/>
      <c r="E4680" s="98"/>
      <c r="F4680" s="102"/>
      <c r="G4680" s="103"/>
    </row>
    <row r="4681" spans="1:7" x14ac:dyDescent="0.25">
      <c r="A4681" s="101"/>
      <c r="B4681" s="36"/>
      <c r="C4681" s="98"/>
      <c r="D4681" s="98"/>
      <c r="E4681" s="98"/>
      <c r="F4681" s="102"/>
      <c r="G4681" s="103"/>
    </row>
    <row r="4682" spans="1:7" x14ac:dyDescent="0.25">
      <c r="A4682" s="101"/>
      <c r="B4682" s="36"/>
      <c r="C4682" s="98"/>
      <c r="D4682" s="98"/>
      <c r="E4682" s="98"/>
      <c r="F4682" s="102"/>
      <c r="G4682" s="103"/>
    </row>
    <row r="4683" spans="1:7" x14ac:dyDescent="0.25">
      <c r="A4683" s="101"/>
      <c r="B4683" s="36"/>
      <c r="C4683" s="98"/>
      <c r="D4683" s="98"/>
      <c r="E4683" s="98"/>
      <c r="F4683" s="102"/>
      <c r="G4683" s="103"/>
    </row>
    <row r="4684" spans="1:7" x14ac:dyDescent="0.25">
      <c r="A4684" s="101"/>
      <c r="B4684" s="36"/>
      <c r="C4684" s="98"/>
      <c r="D4684" s="98"/>
      <c r="E4684" s="98"/>
      <c r="F4684" s="102"/>
      <c r="G4684" s="103"/>
    </row>
    <row r="4685" spans="1:7" x14ac:dyDescent="0.25">
      <c r="A4685" s="101"/>
      <c r="B4685" s="36"/>
      <c r="C4685" s="98"/>
      <c r="D4685" s="98"/>
      <c r="E4685" s="98"/>
      <c r="F4685" s="102"/>
      <c r="G4685" s="103"/>
    </row>
    <row r="4686" spans="1:7" x14ac:dyDescent="0.25">
      <c r="A4686" s="101"/>
      <c r="B4686" s="36"/>
      <c r="C4686" s="98"/>
      <c r="D4686" s="98"/>
      <c r="E4686" s="98"/>
      <c r="F4686" s="102"/>
      <c r="G4686" s="103"/>
    </row>
    <row r="4687" spans="1:7" x14ac:dyDescent="0.25">
      <c r="A4687" s="101"/>
      <c r="B4687" s="36"/>
      <c r="C4687" s="98"/>
      <c r="D4687" s="98"/>
      <c r="E4687" s="98"/>
      <c r="F4687" s="102"/>
      <c r="G4687" s="103"/>
    </row>
    <row r="4688" spans="1:7" x14ac:dyDescent="0.25">
      <c r="A4688" s="101"/>
      <c r="B4688" s="36"/>
      <c r="C4688" s="98"/>
      <c r="D4688" s="98"/>
      <c r="E4688" s="98"/>
      <c r="F4688" s="102"/>
      <c r="G4688" s="103"/>
    </row>
    <row r="4689" spans="1:7" x14ac:dyDescent="0.25">
      <c r="A4689" s="101"/>
      <c r="B4689" s="36"/>
      <c r="C4689" s="98"/>
      <c r="D4689" s="98"/>
      <c r="E4689" s="98"/>
      <c r="F4689" s="102"/>
      <c r="G4689" s="103"/>
    </row>
    <row r="4690" spans="1:7" x14ac:dyDescent="0.25">
      <c r="A4690" s="101"/>
      <c r="B4690" s="36"/>
      <c r="C4690" s="98"/>
      <c r="D4690" s="98"/>
      <c r="E4690" s="98"/>
      <c r="F4690" s="102"/>
      <c r="G4690" s="103"/>
    </row>
    <row r="4691" spans="1:7" x14ac:dyDescent="0.25">
      <c r="A4691" s="101"/>
      <c r="B4691" s="36"/>
      <c r="C4691" s="98"/>
      <c r="D4691" s="98"/>
      <c r="E4691" s="98"/>
      <c r="F4691" s="102"/>
      <c r="G4691" s="103"/>
    </row>
    <row r="4692" spans="1:7" x14ac:dyDescent="0.25">
      <c r="A4692" s="101"/>
      <c r="B4692" s="36"/>
      <c r="C4692" s="98"/>
      <c r="D4692" s="98"/>
      <c r="E4692" s="98"/>
      <c r="F4692" s="102"/>
      <c r="G4692" s="103"/>
    </row>
    <row r="4693" spans="1:7" x14ac:dyDescent="0.25">
      <c r="A4693" s="101"/>
      <c r="B4693" s="36"/>
      <c r="C4693" s="98"/>
      <c r="D4693" s="98"/>
      <c r="E4693" s="98"/>
      <c r="F4693" s="102"/>
      <c r="G4693" s="103"/>
    </row>
    <row r="4694" spans="1:7" x14ac:dyDescent="0.25">
      <c r="A4694" s="101"/>
      <c r="B4694" s="36"/>
      <c r="C4694" s="98"/>
      <c r="D4694" s="98"/>
      <c r="E4694" s="98"/>
      <c r="F4694" s="102"/>
      <c r="G4694" s="103"/>
    </row>
    <row r="4695" spans="1:7" x14ac:dyDescent="0.25">
      <c r="A4695" s="101"/>
      <c r="B4695" s="36"/>
      <c r="C4695" s="98"/>
      <c r="D4695" s="98"/>
      <c r="E4695" s="98"/>
      <c r="F4695" s="102"/>
      <c r="G4695" s="103"/>
    </row>
    <row r="4696" spans="1:7" x14ac:dyDescent="0.25">
      <c r="A4696" s="101"/>
      <c r="B4696" s="36"/>
      <c r="C4696" s="98"/>
      <c r="D4696" s="98"/>
      <c r="E4696" s="98"/>
      <c r="F4696" s="102"/>
      <c r="G4696" s="103"/>
    </row>
    <row r="4697" spans="1:7" x14ac:dyDescent="0.25">
      <c r="A4697" s="101"/>
      <c r="B4697" s="36"/>
      <c r="C4697" s="98"/>
      <c r="D4697" s="98"/>
      <c r="E4697" s="98"/>
      <c r="F4697" s="102"/>
      <c r="G4697" s="103"/>
    </row>
    <row r="4698" spans="1:7" x14ac:dyDescent="0.25">
      <c r="A4698" s="101"/>
      <c r="B4698" s="36"/>
      <c r="C4698" s="98"/>
      <c r="D4698" s="98"/>
      <c r="E4698" s="98"/>
      <c r="F4698" s="102"/>
      <c r="G4698" s="103"/>
    </row>
    <row r="4699" spans="1:7" x14ac:dyDescent="0.25">
      <c r="A4699" s="101"/>
      <c r="B4699" s="36"/>
      <c r="C4699" s="98"/>
      <c r="D4699" s="98"/>
      <c r="E4699" s="98"/>
      <c r="F4699" s="102"/>
      <c r="G4699" s="103"/>
    </row>
    <row r="4700" spans="1:7" x14ac:dyDescent="0.25">
      <c r="A4700" s="101"/>
      <c r="B4700" s="36"/>
      <c r="C4700" s="98"/>
      <c r="D4700" s="98"/>
      <c r="E4700" s="98"/>
      <c r="F4700" s="102"/>
      <c r="G4700" s="103"/>
    </row>
    <row r="4701" spans="1:7" x14ac:dyDescent="0.25">
      <c r="A4701" s="101"/>
      <c r="B4701" s="36"/>
      <c r="C4701" s="98"/>
      <c r="D4701" s="98"/>
      <c r="E4701" s="98"/>
      <c r="F4701" s="102"/>
      <c r="G4701" s="103"/>
    </row>
    <row r="4702" spans="1:7" x14ac:dyDescent="0.25">
      <c r="A4702" s="101"/>
      <c r="B4702" s="66"/>
      <c r="C4702" s="98"/>
      <c r="D4702" s="98"/>
      <c r="E4702" s="98"/>
      <c r="F4702" s="102"/>
      <c r="G4702" s="103"/>
    </row>
    <row r="4703" spans="1:7" x14ac:dyDescent="0.25">
      <c r="A4703" s="101"/>
      <c r="B4703" s="36"/>
      <c r="C4703" s="98"/>
      <c r="D4703" s="98"/>
      <c r="E4703" s="98"/>
      <c r="F4703" s="102"/>
      <c r="G4703" s="103"/>
    </row>
    <row r="4704" spans="1:7" x14ac:dyDescent="0.25">
      <c r="A4704" s="101"/>
      <c r="B4704" s="36"/>
      <c r="C4704" s="98"/>
      <c r="D4704" s="98"/>
      <c r="E4704" s="98"/>
      <c r="F4704" s="102"/>
      <c r="G4704" s="103"/>
    </row>
    <row r="4705" spans="1:7" x14ac:dyDescent="0.25">
      <c r="A4705" s="101"/>
      <c r="B4705" s="36"/>
      <c r="C4705" s="98"/>
      <c r="D4705" s="98"/>
      <c r="E4705" s="98"/>
      <c r="F4705" s="102"/>
      <c r="G4705" s="103"/>
    </row>
    <row r="4706" spans="1:7" x14ac:dyDescent="0.25">
      <c r="A4706" s="101"/>
      <c r="B4706" s="36"/>
      <c r="C4706" s="98"/>
      <c r="D4706" s="98"/>
      <c r="E4706" s="98"/>
      <c r="F4706" s="102"/>
      <c r="G4706" s="103"/>
    </row>
    <row r="4707" spans="1:7" x14ac:dyDescent="0.25">
      <c r="A4707" s="101"/>
      <c r="B4707" s="36"/>
      <c r="C4707" s="98"/>
      <c r="D4707" s="98"/>
      <c r="E4707" s="98"/>
      <c r="F4707" s="102"/>
      <c r="G4707" s="103"/>
    </row>
    <row r="4708" spans="1:7" x14ac:dyDescent="0.25">
      <c r="A4708" s="101"/>
      <c r="B4708" s="36"/>
      <c r="C4708" s="98"/>
      <c r="D4708" s="98"/>
      <c r="E4708" s="98"/>
      <c r="F4708" s="102"/>
      <c r="G4708" s="103"/>
    </row>
    <row r="4709" spans="1:7" x14ac:dyDescent="0.25">
      <c r="A4709" s="101"/>
      <c r="B4709" s="36"/>
      <c r="C4709" s="98"/>
      <c r="D4709" s="98"/>
      <c r="E4709" s="98"/>
      <c r="F4709" s="102"/>
      <c r="G4709" s="103"/>
    </row>
    <row r="4710" spans="1:7" x14ac:dyDescent="0.25">
      <c r="A4710" s="101"/>
      <c r="B4710" s="36"/>
      <c r="C4710" s="98"/>
      <c r="D4710" s="98"/>
      <c r="E4710" s="98"/>
      <c r="F4710" s="102"/>
      <c r="G4710" s="103"/>
    </row>
    <row r="4711" spans="1:7" x14ac:dyDescent="0.25">
      <c r="A4711" s="101"/>
      <c r="B4711" s="36"/>
      <c r="C4711" s="98"/>
      <c r="D4711" s="98"/>
      <c r="E4711" s="98"/>
      <c r="F4711" s="102"/>
      <c r="G4711" s="103"/>
    </row>
    <row r="4712" spans="1:7" x14ac:dyDescent="0.25">
      <c r="A4712" s="101"/>
      <c r="B4712" s="36"/>
      <c r="C4712" s="98"/>
      <c r="D4712" s="98"/>
      <c r="E4712" s="98"/>
      <c r="F4712" s="102"/>
      <c r="G4712" s="103"/>
    </row>
    <row r="4713" spans="1:7" x14ac:dyDescent="0.25">
      <c r="A4713" s="101"/>
      <c r="B4713" s="36"/>
      <c r="C4713" s="98"/>
      <c r="D4713" s="98"/>
      <c r="E4713" s="98"/>
      <c r="F4713" s="102"/>
      <c r="G4713" s="103"/>
    </row>
    <row r="4714" spans="1:7" x14ac:dyDescent="0.25">
      <c r="A4714" s="101"/>
      <c r="B4714" s="36"/>
      <c r="C4714" s="98"/>
      <c r="D4714" s="98"/>
      <c r="E4714" s="98"/>
      <c r="F4714" s="102"/>
      <c r="G4714" s="103"/>
    </row>
    <row r="4715" spans="1:7" x14ac:dyDescent="0.25">
      <c r="A4715" s="101"/>
      <c r="B4715" s="36"/>
      <c r="C4715" s="98"/>
      <c r="D4715" s="98"/>
      <c r="E4715" s="98"/>
      <c r="F4715" s="102"/>
      <c r="G4715" s="103"/>
    </row>
    <row r="4716" spans="1:7" x14ac:dyDescent="0.25">
      <c r="A4716" s="101"/>
      <c r="B4716" s="36"/>
      <c r="C4716" s="98"/>
      <c r="D4716" s="98"/>
      <c r="E4716" s="98"/>
      <c r="F4716" s="102"/>
      <c r="G4716" s="103"/>
    </row>
    <row r="4717" spans="1:7" x14ac:dyDescent="0.25">
      <c r="A4717" s="101"/>
      <c r="B4717" s="36"/>
      <c r="C4717" s="98"/>
      <c r="D4717" s="98"/>
      <c r="E4717" s="98"/>
      <c r="F4717" s="102"/>
      <c r="G4717" s="103"/>
    </row>
    <row r="4718" spans="1:7" x14ac:dyDescent="0.25">
      <c r="A4718" s="101"/>
      <c r="B4718" s="36"/>
      <c r="C4718" s="98"/>
      <c r="D4718" s="98"/>
      <c r="E4718" s="98"/>
      <c r="F4718" s="102"/>
      <c r="G4718" s="103"/>
    </row>
    <row r="4719" spans="1:7" x14ac:dyDescent="0.25">
      <c r="A4719" s="101"/>
      <c r="B4719" s="36"/>
      <c r="C4719" s="98"/>
      <c r="D4719" s="98"/>
      <c r="E4719" s="98"/>
      <c r="F4719" s="102"/>
      <c r="G4719" s="103"/>
    </row>
    <row r="4720" spans="1:7" x14ac:dyDescent="0.25">
      <c r="A4720" s="101"/>
      <c r="B4720" s="36"/>
      <c r="C4720" s="98"/>
      <c r="D4720" s="98"/>
      <c r="E4720" s="98"/>
      <c r="F4720" s="102"/>
      <c r="G4720" s="103"/>
    </row>
    <row r="4721" spans="1:7" x14ac:dyDescent="0.25">
      <c r="A4721" s="101"/>
      <c r="B4721" s="36"/>
      <c r="C4721" s="98"/>
      <c r="D4721" s="98"/>
      <c r="E4721" s="98"/>
      <c r="F4721" s="102"/>
      <c r="G4721" s="103"/>
    </row>
    <row r="4722" spans="1:7" x14ac:dyDescent="0.25">
      <c r="A4722" s="101"/>
      <c r="B4722" s="36"/>
      <c r="C4722" s="98"/>
      <c r="D4722" s="98"/>
      <c r="E4722" s="98"/>
      <c r="F4722" s="102"/>
      <c r="G4722" s="103"/>
    </row>
    <row r="4723" spans="1:7" x14ac:dyDescent="0.25">
      <c r="A4723" s="101"/>
      <c r="B4723" s="36"/>
      <c r="C4723" s="98"/>
      <c r="D4723" s="98"/>
      <c r="E4723" s="98"/>
      <c r="F4723" s="102"/>
      <c r="G4723" s="103"/>
    </row>
    <row r="4724" spans="1:7" x14ac:dyDescent="0.25">
      <c r="A4724" s="101"/>
      <c r="B4724" s="36"/>
      <c r="C4724" s="98"/>
      <c r="D4724" s="98"/>
      <c r="E4724" s="98"/>
      <c r="F4724" s="102"/>
      <c r="G4724" s="103"/>
    </row>
    <row r="4725" spans="1:7" x14ac:dyDescent="0.25">
      <c r="A4725" s="101"/>
      <c r="B4725" s="36"/>
      <c r="C4725" s="98"/>
      <c r="D4725" s="98"/>
      <c r="E4725" s="98"/>
      <c r="F4725" s="102"/>
      <c r="G4725" s="103"/>
    </row>
    <row r="4726" spans="1:7" x14ac:dyDescent="0.25">
      <c r="A4726" s="101"/>
      <c r="B4726" s="36"/>
      <c r="C4726" s="98"/>
      <c r="D4726" s="98"/>
      <c r="E4726" s="98"/>
      <c r="F4726" s="102"/>
      <c r="G4726" s="103"/>
    </row>
    <row r="4727" spans="1:7" x14ac:dyDescent="0.25">
      <c r="A4727" s="101"/>
      <c r="B4727" s="36"/>
      <c r="C4727" s="98"/>
      <c r="D4727" s="98"/>
      <c r="E4727" s="98"/>
      <c r="F4727" s="102"/>
      <c r="G4727" s="103"/>
    </row>
    <row r="4728" spans="1:7" x14ac:dyDescent="0.25">
      <c r="A4728" s="101"/>
      <c r="B4728" s="36"/>
      <c r="C4728" s="98"/>
      <c r="D4728" s="98"/>
      <c r="E4728" s="98"/>
      <c r="F4728" s="102"/>
      <c r="G4728" s="103"/>
    </row>
    <row r="4729" spans="1:7" x14ac:dyDescent="0.25">
      <c r="A4729" s="101"/>
      <c r="B4729" s="36"/>
      <c r="C4729" s="98"/>
      <c r="D4729" s="98"/>
      <c r="E4729" s="98"/>
      <c r="F4729" s="102"/>
      <c r="G4729" s="103"/>
    </row>
    <row r="4730" spans="1:7" x14ac:dyDescent="0.25">
      <c r="A4730" s="101"/>
      <c r="B4730" s="36"/>
      <c r="C4730" s="98"/>
      <c r="D4730" s="98"/>
      <c r="E4730" s="98"/>
      <c r="F4730" s="102"/>
      <c r="G4730" s="103"/>
    </row>
    <row r="4731" spans="1:7" x14ac:dyDescent="0.25">
      <c r="A4731" s="101"/>
      <c r="B4731" s="36"/>
      <c r="C4731" s="98"/>
      <c r="D4731" s="98"/>
      <c r="E4731" s="98"/>
      <c r="F4731" s="102"/>
      <c r="G4731" s="103"/>
    </row>
    <row r="4732" spans="1:7" x14ac:dyDescent="0.25">
      <c r="A4732" s="101"/>
      <c r="B4732" s="36"/>
      <c r="C4732" s="98"/>
      <c r="D4732" s="98"/>
      <c r="E4732" s="98"/>
      <c r="F4732" s="102"/>
      <c r="G4732" s="103"/>
    </row>
    <row r="4733" spans="1:7" x14ac:dyDescent="0.25">
      <c r="A4733" s="101"/>
      <c r="B4733" s="36"/>
      <c r="C4733" s="98"/>
      <c r="D4733" s="98"/>
      <c r="E4733" s="98"/>
      <c r="F4733" s="102"/>
      <c r="G4733" s="103"/>
    </row>
    <row r="4734" spans="1:7" x14ac:dyDescent="0.25">
      <c r="A4734" s="101"/>
      <c r="B4734" s="36"/>
      <c r="C4734" s="98"/>
      <c r="D4734" s="98"/>
      <c r="E4734" s="98"/>
      <c r="F4734" s="102"/>
      <c r="G4734" s="103"/>
    </row>
    <row r="4735" spans="1:7" x14ac:dyDescent="0.25">
      <c r="A4735" s="101"/>
      <c r="B4735" s="66"/>
      <c r="C4735" s="98"/>
      <c r="D4735" s="98"/>
      <c r="E4735" s="98"/>
      <c r="F4735" s="102"/>
      <c r="G4735" s="103"/>
    </row>
    <row r="4736" spans="1:7" x14ac:dyDescent="0.25">
      <c r="A4736" s="101"/>
      <c r="B4736" s="36"/>
      <c r="C4736" s="98"/>
      <c r="D4736" s="98"/>
      <c r="E4736" s="98"/>
      <c r="F4736" s="102"/>
      <c r="G4736" s="103"/>
    </row>
    <row r="4737" spans="1:7" x14ac:dyDescent="0.25">
      <c r="A4737" s="101"/>
      <c r="B4737" s="36"/>
      <c r="C4737" s="98"/>
      <c r="D4737" s="98"/>
      <c r="E4737" s="98"/>
      <c r="F4737" s="102"/>
      <c r="G4737" s="103"/>
    </row>
    <row r="4738" spans="1:7" x14ac:dyDescent="0.25">
      <c r="A4738" s="101"/>
      <c r="B4738" s="36"/>
      <c r="C4738" s="98"/>
      <c r="D4738" s="98"/>
      <c r="E4738" s="98"/>
      <c r="F4738" s="102"/>
      <c r="G4738" s="103"/>
    </row>
    <row r="4739" spans="1:7" x14ac:dyDescent="0.25">
      <c r="A4739" s="101"/>
      <c r="B4739" s="36"/>
      <c r="C4739" s="98"/>
      <c r="D4739" s="98"/>
      <c r="E4739" s="98"/>
      <c r="F4739" s="102"/>
      <c r="G4739" s="103"/>
    </row>
    <row r="4740" spans="1:7" x14ac:dyDescent="0.25">
      <c r="A4740" s="101"/>
      <c r="B4740" s="36"/>
      <c r="C4740" s="98"/>
      <c r="D4740" s="98"/>
      <c r="E4740" s="98"/>
      <c r="F4740" s="102"/>
      <c r="G4740" s="103"/>
    </row>
    <row r="4741" spans="1:7" x14ac:dyDescent="0.25">
      <c r="A4741" s="101"/>
      <c r="B4741" s="36"/>
      <c r="C4741" s="98"/>
      <c r="D4741" s="98"/>
      <c r="E4741" s="98"/>
      <c r="F4741" s="102"/>
      <c r="G4741" s="103"/>
    </row>
    <row r="4742" spans="1:7" x14ac:dyDescent="0.25">
      <c r="A4742" s="101"/>
      <c r="B4742" s="36"/>
      <c r="C4742" s="98"/>
      <c r="D4742" s="98"/>
      <c r="E4742" s="98"/>
      <c r="F4742" s="102"/>
      <c r="G4742" s="103"/>
    </row>
    <row r="4743" spans="1:7" x14ac:dyDescent="0.25">
      <c r="A4743" s="101"/>
      <c r="B4743" s="36"/>
      <c r="C4743" s="98"/>
      <c r="D4743" s="98"/>
      <c r="E4743" s="98"/>
      <c r="F4743" s="102"/>
      <c r="G4743" s="103"/>
    </row>
    <row r="4744" spans="1:7" x14ac:dyDescent="0.25">
      <c r="A4744" s="101"/>
      <c r="B4744" s="36"/>
      <c r="C4744" s="98"/>
      <c r="D4744" s="98"/>
      <c r="E4744" s="98"/>
      <c r="F4744" s="102"/>
      <c r="G4744" s="103"/>
    </row>
    <row r="4745" spans="1:7" x14ac:dyDescent="0.25">
      <c r="A4745" s="101"/>
      <c r="B4745" s="36"/>
      <c r="C4745" s="98"/>
      <c r="D4745" s="98"/>
      <c r="E4745" s="98"/>
      <c r="F4745" s="102"/>
      <c r="G4745" s="103"/>
    </row>
    <row r="4746" spans="1:7" x14ac:dyDescent="0.25">
      <c r="A4746" s="101"/>
      <c r="B4746" s="36"/>
      <c r="C4746" s="98"/>
      <c r="D4746" s="98"/>
      <c r="E4746" s="98"/>
      <c r="F4746" s="102"/>
      <c r="G4746" s="103"/>
    </row>
    <row r="4747" spans="1:7" x14ac:dyDescent="0.25">
      <c r="A4747" s="101"/>
      <c r="B4747" s="66"/>
      <c r="C4747" s="98"/>
      <c r="D4747" s="98"/>
      <c r="E4747" s="98"/>
      <c r="F4747" s="102"/>
      <c r="G4747" s="103"/>
    </row>
    <row r="4748" spans="1:7" x14ac:dyDescent="0.25">
      <c r="A4748" s="101"/>
      <c r="B4748" s="36"/>
      <c r="C4748" s="98"/>
      <c r="D4748" s="98"/>
      <c r="E4748" s="98"/>
      <c r="F4748" s="102"/>
      <c r="G4748" s="103"/>
    </row>
    <row r="4749" spans="1:7" x14ac:dyDescent="0.25">
      <c r="A4749" s="101"/>
      <c r="B4749" s="36"/>
      <c r="C4749" s="98"/>
      <c r="D4749" s="98"/>
      <c r="E4749" s="98"/>
      <c r="F4749" s="102"/>
      <c r="G4749" s="103"/>
    </row>
    <row r="4750" spans="1:7" x14ac:dyDescent="0.25">
      <c r="A4750" s="101"/>
      <c r="B4750" s="36"/>
      <c r="C4750" s="98"/>
      <c r="D4750" s="98"/>
      <c r="E4750" s="98"/>
      <c r="F4750" s="102"/>
      <c r="G4750" s="103"/>
    </row>
    <row r="4751" spans="1:7" x14ac:dyDescent="0.25">
      <c r="A4751" s="101"/>
      <c r="B4751" s="36"/>
      <c r="C4751" s="98"/>
      <c r="D4751" s="98"/>
      <c r="E4751" s="98"/>
      <c r="F4751" s="102"/>
      <c r="G4751" s="103"/>
    </row>
    <row r="4752" spans="1:7" x14ac:dyDescent="0.25">
      <c r="A4752" s="101"/>
      <c r="B4752" s="36"/>
      <c r="C4752" s="98"/>
      <c r="D4752" s="98"/>
      <c r="E4752" s="98"/>
      <c r="F4752" s="102"/>
      <c r="G4752" s="103"/>
    </row>
    <row r="4753" spans="1:7" x14ac:dyDescent="0.25">
      <c r="A4753" s="101"/>
      <c r="B4753" s="36"/>
      <c r="C4753" s="98"/>
      <c r="D4753" s="98"/>
      <c r="E4753" s="98"/>
      <c r="F4753" s="102"/>
      <c r="G4753" s="103"/>
    </row>
    <row r="4754" spans="1:7" x14ac:dyDescent="0.25">
      <c r="A4754" s="101"/>
      <c r="B4754" s="36"/>
      <c r="C4754" s="98"/>
      <c r="D4754" s="98"/>
      <c r="E4754" s="98"/>
      <c r="F4754" s="102"/>
      <c r="G4754" s="103"/>
    </row>
    <row r="4755" spans="1:7" x14ac:dyDescent="0.25">
      <c r="A4755" s="101"/>
      <c r="B4755" s="36"/>
      <c r="C4755" s="98"/>
      <c r="D4755" s="98"/>
      <c r="E4755" s="98"/>
      <c r="F4755" s="102"/>
      <c r="G4755" s="103"/>
    </row>
    <row r="4756" spans="1:7" x14ac:dyDescent="0.25">
      <c r="A4756" s="101"/>
      <c r="B4756" s="36"/>
      <c r="C4756" s="98"/>
      <c r="D4756" s="98"/>
      <c r="E4756" s="98"/>
      <c r="F4756" s="102"/>
      <c r="G4756" s="103"/>
    </row>
    <row r="4757" spans="1:7" x14ac:dyDescent="0.25">
      <c r="A4757" s="101"/>
      <c r="B4757" s="36"/>
      <c r="C4757" s="98"/>
      <c r="D4757" s="98"/>
      <c r="E4757" s="98"/>
      <c r="F4757" s="102"/>
      <c r="G4757" s="103"/>
    </row>
    <row r="4758" spans="1:7" x14ac:dyDescent="0.25">
      <c r="A4758" s="101"/>
      <c r="B4758" s="36"/>
      <c r="C4758" s="98"/>
      <c r="D4758" s="98"/>
      <c r="E4758" s="98"/>
      <c r="F4758" s="102"/>
      <c r="G4758" s="103"/>
    </row>
    <row r="4759" spans="1:7" x14ac:dyDescent="0.25">
      <c r="A4759" s="101"/>
      <c r="B4759" s="36"/>
      <c r="C4759" s="98"/>
      <c r="D4759" s="98"/>
      <c r="E4759" s="98"/>
      <c r="F4759" s="102"/>
      <c r="G4759" s="103"/>
    </row>
    <row r="4760" spans="1:7" x14ac:dyDescent="0.25">
      <c r="A4760" s="101"/>
      <c r="B4760" s="36"/>
      <c r="C4760" s="98"/>
      <c r="D4760" s="98"/>
      <c r="E4760" s="98"/>
      <c r="F4760" s="102"/>
      <c r="G4760" s="103"/>
    </row>
    <row r="4761" spans="1:7" x14ac:dyDescent="0.25">
      <c r="A4761" s="101"/>
      <c r="B4761" s="66"/>
      <c r="C4761" s="98"/>
      <c r="D4761" s="98"/>
      <c r="E4761" s="98"/>
      <c r="F4761" s="102"/>
      <c r="G4761" s="103"/>
    </row>
    <row r="4762" spans="1:7" x14ac:dyDescent="0.25">
      <c r="A4762" s="101"/>
      <c r="B4762" s="66"/>
      <c r="C4762" s="98"/>
      <c r="D4762" s="98"/>
      <c r="E4762" s="98"/>
      <c r="F4762" s="102"/>
      <c r="G4762" s="103"/>
    </row>
    <row r="4763" spans="1:7" x14ac:dyDescent="0.25">
      <c r="A4763" s="101"/>
      <c r="B4763" s="36"/>
      <c r="C4763" s="98"/>
      <c r="D4763" s="98"/>
      <c r="E4763" s="98"/>
      <c r="F4763" s="102"/>
      <c r="G4763" s="103"/>
    </row>
    <row r="4764" spans="1:7" x14ac:dyDescent="0.25">
      <c r="A4764" s="101"/>
      <c r="B4764" s="36"/>
      <c r="C4764" s="98"/>
      <c r="D4764" s="98"/>
      <c r="E4764" s="98"/>
      <c r="F4764" s="102"/>
      <c r="G4764" s="103"/>
    </row>
    <row r="4765" spans="1:7" x14ac:dyDescent="0.25">
      <c r="A4765" s="101"/>
      <c r="B4765" s="36"/>
      <c r="C4765" s="98"/>
      <c r="D4765" s="98"/>
      <c r="E4765" s="98"/>
      <c r="F4765" s="102"/>
      <c r="G4765" s="103"/>
    </row>
    <row r="4766" spans="1:7" x14ac:dyDescent="0.25">
      <c r="A4766" s="101"/>
      <c r="B4766" s="36"/>
      <c r="C4766" s="98"/>
      <c r="D4766" s="98"/>
      <c r="E4766" s="98"/>
      <c r="F4766" s="102"/>
      <c r="G4766" s="103"/>
    </row>
    <row r="4767" spans="1:7" x14ac:dyDescent="0.25">
      <c r="A4767" s="101"/>
      <c r="B4767" s="36"/>
      <c r="C4767" s="98"/>
      <c r="D4767" s="98"/>
      <c r="E4767" s="98"/>
      <c r="F4767" s="102"/>
      <c r="G4767" s="103"/>
    </row>
    <row r="4768" spans="1:7" x14ac:dyDescent="0.25">
      <c r="A4768" s="101"/>
      <c r="B4768" s="36"/>
      <c r="C4768" s="98"/>
      <c r="D4768" s="98"/>
      <c r="E4768" s="98"/>
      <c r="F4768" s="102"/>
      <c r="G4768" s="103"/>
    </row>
    <row r="4769" spans="1:7" x14ac:dyDescent="0.25">
      <c r="A4769" s="101"/>
      <c r="B4769" s="36"/>
      <c r="C4769" s="98"/>
      <c r="D4769" s="98"/>
      <c r="E4769" s="98"/>
      <c r="F4769" s="102"/>
      <c r="G4769" s="103"/>
    </row>
    <row r="4770" spans="1:7" x14ac:dyDescent="0.25">
      <c r="A4770" s="101"/>
      <c r="B4770" s="36"/>
      <c r="C4770" s="98"/>
      <c r="D4770" s="98"/>
      <c r="E4770" s="98"/>
      <c r="F4770" s="102"/>
      <c r="G4770" s="103"/>
    </row>
    <row r="4771" spans="1:7" x14ac:dyDescent="0.25">
      <c r="A4771" s="101"/>
      <c r="B4771" s="36"/>
      <c r="C4771" s="98"/>
      <c r="D4771" s="98"/>
      <c r="E4771" s="98"/>
      <c r="F4771" s="102"/>
      <c r="G4771" s="103"/>
    </row>
    <row r="4772" spans="1:7" x14ac:dyDescent="0.25">
      <c r="A4772" s="101"/>
      <c r="B4772" s="66"/>
      <c r="C4772" s="98"/>
      <c r="D4772" s="98"/>
      <c r="E4772" s="98"/>
      <c r="F4772" s="102"/>
      <c r="G4772" s="103"/>
    </row>
    <row r="4773" spans="1:7" x14ac:dyDescent="0.25">
      <c r="A4773" s="101"/>
      <c r="B4773" s="66"/>
      <c r="C4773" s="98"/>
      <c r="D4773" s="98"/>
      <c r="E4773" s="98"/>
      <c r="F4773" s="102"/>
      <c r="G4773" s="103"/>
    </row>
    <row r="4774" spans="1:7" x14ac:dyDescent="0.25">
      <c r="A4774" s="101"/>
      <c r="B4774" s="66"/>
      <c r="C4774" s="98"/>
      <c r="D4774" s="98"/>
      <c r="E4774" s="98"/>
      <c r="F4774" s="102"/>
      <c r="G4774" s="103"/>
    </row>
    <row r="4775" spans="1:7" x14ac:dyDescent="0.25">
      <c r="A4775" s="101"/>
      <c r="B4775" s="36"/>
      <c r="C4775" s="98"/>
      <c r="D4775" s="98"/>
      <c r="E4775" s="98"/>
      <c r="F4775" s="102"/>
      <c r="G4775" s="103"/>
    </row>
    <row r="4776" spans="1:7" x14ac:dyDescent="0.25">
      <c r="A4776" s="101"/>
      <c r="B4776" s="36"/>
      <c r="C4776" s="98"/>
      <c r="D4776" s="98"/>
      <c r="E4776" s="98"/>
      <c r="F4776" s="102"/>
      <c r="G4776" s="103"/>
    </row>
    <row r="4777" spans="1:7" x14ac:dyDescent="0.25">
      <c r="A4777" s="101"/>
      <c r="B4777" s="36"/>
      <c r="C4777" s="98"/>
      <c r="D4777" s="98"/>
      <c r="E4777" s="98"/>
      <c r="F4777" s="102"/>
      <c r="G4777" s="103"/>
    </row>
    <row r="4778" spans="1:7" x14ac:dyDescent="0.25">
      <c r="A4778" s="101"/>
      <c r="B4778" s="36"/>
      <c r="C4778" s="98"/>
      <c r="D4778" s="98"/>
      <c r="E4778" s="98"/>
      <c r="F4778" s="102"/>
      <c r="G4778" s="103"/>
    </row>
    <row r="4779" spans="1:7" x14ac:dyDescent="0.25">
      <c r="A4779" s="101"/>
      <c r="B4779" s="36"/>
      <c r="C4779" s="98"/>
      <c r="D4779" s="98"/>
      <c r="E4779" s="98"/>
      <c r="F4779" s="102"/>
      <c r="G4779" s="103"/>
    </row>
    <row r="4780" spans="1:7" x14ac:dyDescent="0.25">
      <c r="A4780" s="101"/>
      <c r="B4780" s="36"/>
      <c r="C4780" s="98"/>
      <c r="D4780" s="98"/>
      <c r="E4780" s="98"/>
      <c r="F4780" s="102"/>
      <c r="G4780" s="103"/>
    </row>
    <row r="4781" spans="1:7" x14ac:dyDescent="0.25">
      <c r="A4781" s="101"/>
      <c r="B4781" s="36"/>
      <c r="C4781" s="98"/>
      <c r="D4781" s="98"/>
      <c r="E4781" s="98"/>
      <c r="F4781" s="102"/>
      <c r="G4781" s="103"/>
    </row>
    <row r="4782" spans="1:7" x14ac:dyDescent="0.25">
      <c r="A4782" s="101"/>
      <c r="B4782" s="36"/>
      <c r="C4782" s="98"/>
      <c r="D4782" s="98"/>
      <c r="E4782" s="98"/>
      <c r="F4782" s="102"/>
      <c r="G4782" s="103"/>
    </row>
    <row r="4783" spans="1:7" x14ac:dyDescent="0.25">
      <c r="A4783" s="101"/>
      <c r="B4783" s="36"/>
      <c r="C4783" s="98"/>
      <c r="D4783" s="98"/>
      <c r="E4783" s="98"/>
      <c r="F4783" s="102"/>
      <c r="G4783" s="103"/>
    </row>
    <row r="4784" spans="1:7" x14ac:dyDescent="0.25">
      <c r="A4784" s="101"/>
      <c r="B4784" s="36"/>
      <c r="C4784" s="98"/>
      <c r="D4784" s="98"/>
      <c r="E4784" s="98"/>
      <c r="F4784" s="102"/>
      <c r="G4784" s="103"/>
    </row>
    <row r="4785" spans="1:7" x14ac:dyDescent="0.25">
      <c r="A4785" s="101"/>
      <c r="B4785" s="36"/>
      <c r="C4785" s="98"/>
      <c r="D4785" s="98"/>
      <c r="E4785" s="98"/>
      <c r="F4785" s="102"/>
      <c r="G4785" s="103"/>
    </row>
    <row r="4786" spans="1:7" x14ac:dyDescent="0.25">
      <c r="A4786" s="101"/>
      <c r="B4786" s="66"/>
      <c r="C4786" s="98"/>
      <c r="D4786" s="98"/>
      <c r="E4786" s="98"/>
      <c r="F4786" s="102"/>
      <c r="G4786" s="103"/>
    </row>
    <row r="4787" spans="1:7" x14ac:dyDescent="0.25">
      <c r="A4787" s="101"/>
      <c r="B4787" s="36"/>
      <c r="C4787" s="98"/>
      <c r="D4787" s="98"/>
      <c r="E4787" s="98"/>
      <c r="F4787" s="102"/>
      <c r="G4787" s="103"/>
    </row>
    <row r="4788" spans="1:7" x14ac:dyDescent="0.25">
      <c r="A4788" s="101"/>
      <c r="B4788" s="36"/>
      <c r="C4788" s="98"/>
      <c r="D4788" s="98"/>
      <c r="E4788" s="98"/>
      <c r="F4788" s="102"/>
      <c r="G4788" s="103"/>
    </row>
    <row r="4789" spans="1:7" x14ac:dyDescent="0.25">
      <c r="A4789" s="101"/>
      <c r="B4789" s="36"/>
      <c r="C4789" s="98"/>
      <c r="D4789" s="98"/>
      <c r="E4789" s="98"/>
      <c r="F4789" s="102"/>
      <c r="G4789" s="103"/>
    </row>
    <row r="4790" spans="1:7" x14ac:dyDescent="0.25">
      <c r="A4790" s="101"/>
      <c r="B4790" s="36"/>
      <c r="C4790" s="98"/>
      <c r="D4790" s="98"/>
      <c r="E4790" s="98"/>
      <c r="F4790" s="102"/>
      <c r="G4790" s="103"/>
    </row>
    <row r="4791" spans="1:7" x14ac:dyDescent="0.25">
      <c r="A4791" s="101"/>
      <c r="B4791" s="36"/>
      <c r="C4791" s="98"/>
      <c r="D4791" s="98"/>
      <c r="E4791" s="98"/>
      <c r="F4791" s="102"/>
      <c r="G4791" s="103"/>
    </row>
    <row r="4792" spans="1:7" x14ac:dyDescent="0.25">
      <c r="A4792" s="101"/>
      <c r="B4792" s="36"/>
      <c r="C4792" s="98"/>
      <c r="D4792" s="98"/>
      <c r="E4792" s="98"/>
      <c r="F4792" s="102"/>
      <c r="G4792" s="103"/>
    </row>
    <row r="4793" spans="1:7" x14ac:dyDescent="0.25">
      <c r="A4793" s="101"/>
      <c r="B4793" s="36"/>
      <c r="C4793" s="98"/>
      <c r="D4793" s="98"/>
      <c r="E4793" s="98"/>
      <c r="F4793" s="102"/>
      <c r="G4793" s="103"/>
    </row>
    <row r="4794" spans="1:7" x14ac:dyDescent="0.25">
      <c r="A4794" s="101"/>
      <c r="B4794" s="36"/>
      <c r="C4794" s="98"/>
      <c r="D4794" s="98"/>
      <c r="E4794" s="98"/>
      <c r="F4794" s="102"/>
      <c r="G4794" s="103"/>
    </row>
    <row r="4795" spans="1:7" x14ac:dyDescent="0.25">
      <c r="A4795" s="101"/>
      <c r="B4795" s="36"/>
      <c r="C4795" s="98"/>
      <c r="D4795" s="98"/>
      <c r="E4795" s="98"/>
      <c r="F4795" s="102"/>
      <c r="G4795" s="103"/>
    </row>
    <row r="4796" spans="1:7" x14ac:dyDescent="0.25">
      <c r="A4796" s="101"/>
      <c r="B4796" s="36"/>
      <c r="C4796" s="98"/>
      <c r="D4796" s="98"/>
      <c r="E4796" s="98"/>
      <c r="F4796" s="102"/>
      <c r="G4796" s="103"/>
    </row>
    <row r="4797" spans="1:7" x14ac:dyDescent="0.25">
      <c r="A4797" s="101"/>
      <c r="B4797" s="36"/>
      <c r="C4797" s="98"/>
      <c r="D4797" s="98"/>
      <c r="E4797" s="98"/>
      <c r="F4797" s="102"/>
      <c r="G4797" s="103"/>
    </row>
    <row r="4798" spans="1:7" x14ac:dyDescent="0.25">
      <c r="A4798" s="101"/>
      <c r="B4798" s="67"/>
      <c r="C4798" s="98"/>
      <c r="D4798" s="98"/>
      <c r="E4798" s="98"/>
      <c r="F4798" s="102"/>
      <c r="G4798" s="103"/>
    </row>
    <row r="4799" spans="1:7" x14ac:dyDescent="0.25">
      <c r="A4799" s="101"/>
      <c r="B4799" s="36"/>
      <c r="C4799" s="98"/>
      <c r="D4799" s="98"/>
      <c r="E4799" s="98"/>
      <c r="F4799" s="102"/>
      <c r="G4799" s="103"/>
    </row>
    <row r="4800" spans="1:7" x14ac:dyDescent="0.25">
      <c r="A4800" s="101"/>
      <c r="B4800" s="36"/>
      <c r="C4800" s="98"/>
      <c r="D4800" s="98"/>
      <c r="E4800" s="98"/>
      <c r="F4800" s="102"/>
      <c r="G4800" s="103"/>
    </row>
    <row r="4801" spans="1:7" x14ac:dyDescent="0.25">
      <c r="A4801" s="101"/>
      <c r="B4801" s="36"/>
      <c r="C4801" s="98"/>
      <c r="D4801" s="98"/>
      <c r="E4801" s="98"/>
      <c r="F4801" s="102"/>
      <c r="G4801" s="103"/>
    </row>
    <row r="4802" spans="1:7" x14ac:dyDescent="0.25">
      <c r="A4802" s="101"/>
      <c r="B4802" s="36"/>
      <c r="C4802" s="98"/>
      <c r="D4802" s="98"/>
      <c r="E4802" s="98"/>
      <c r="F4802" s="102"/>
      <c r="G4802" s="103"/>
    </row>
    <row r="4803" spans="1:7" x14ac:dyDescent="0.25">
      <c r="A4803" s="101"/>
      <c r="B4803" s="36"/>
      <c r="C4803" s="98"/>
      <c r="D4803" s="98"/>
      <c r="E4803" s="98"/>
      <c r="F4803" s="102"/>
      <c r="G4803" s="103"/>
    </row>
    <row r="4804" spans="1:7" x14ac:dyDescent="0.25">
      <c r="A4804" s="101"/>
      <c r="B4804" s="66"/>
      <c r="C4804" s="98"/>
      <c r="D4804" s="98"/>
      <c r="E4804" s="98"/>
      <c r="F4804" s="102"/>
      <c r="G4804" s="103"/>
    </row>
    <row r="4805" spans="1:7" x14ac:dyDescent="0.25">
      <c r="A4805" s="101"/>
      <c r="B4805" s="36"/>
      <c r="C4805" s="98"/>
      <c r="D4805" s="98"/>
      <c r="E4805" s="98"/>
      <c r="F4805" s="102"/>
      <c r="G4805" s="103"/>
    </row>
    <row r="4806" spans="1:7" x14ac:dyDescent="0.25">
      <c r="A4806" s="101"/>
      <c r="B4806" s="36"/>
      <c r="C4806" s="98"/>
      <c r="D4806" s="98"/>
      <c r="E4806" s="98"/>
      <c r="F4806" s="102"/>
      <c r="G4806" s="103"/>
    </row>
    <row r="4807" spans="1:7" x14ac:dyDescent="0.25">
      <c r="A4807" s="101"/>
      <c r="B4807" s="36"/>
      <c r="C4807" s="98"/>
      <c r="D4807" s="98"/>
      <c r="E4807" s="98"/>
      <c r="F4807" s="102"/>
      <c r="G4807" s="103"/>
    </row>
    <row r="4808" spans="1:7" x14ac:dyDescent="0.25">
      <c r="A4808" s="101"/>
      <c r="B4808" s="36"/>
      <c r="C4808" s="98"/>
      <c r="D4808" s="98"/>
      <c r="E4808" s="98"/>
      <c r="F4808" s="102"/>
      <c r="G4808" s="103"/>
    </row>
    <row r="4809" spans="1:7" x14ac:dyDescent="0.25">
      <c r="A4809" s="101"/>
      <c r="B4809" s="36"/>
      <c r="C4809" s="98"/>
      <c r="D4809" s="98"/>
      <c r="E4809" s="98"/>
      <c r="F4809" s="102"/>
      <c r="G4809" s="103"/>
    </row>
    <row r="4810" spans="1:7" x14ac:dyDescent="0.25">
      <c r="A4810" s="101"/>
      <c r="B4810" s="36"/>
      <c r="C4810" s="98"/>
      <c r="D4810" s="98"/>
      <c r="E4810" s="98"/>
      <c r="F4810" s="102"/>
      <c r="G4810" s="103"/>
    </row>
    <row r="4811" spans="1:7" x14ac:dyDescent="0.25">
      <c r="A4811" s="101"/>
      <c r="B4811" s="36"/>
      <c r="C4811" s="98"/>
      <c r="D4811" s="98"/>
      <c r="E4811" s="98"/>
      <c r="F4811" s="102"/>
      <c r="G4811" s="103"/>
    </row>
    <row r="4812" spans="1:7" x14ac:dyDescent="0.25">
      <c r="A4812" s="101"/>
      <c r="B4812" s="36"/>
      <c r="C4812" s="98"/>
      <c r="D4812" s="98"/>
      <c r="E4812" s="98"/>
      <c r="F4812" s="102"/>
      <c r="G4812" s="103"/>
    </row>
    <row r="4813" spans="1:7" x14ac:dyDescent="0.25">
      <c r="A4813" s="101"/>
      <c r="B4813" s="36"/>
      <c r="C4813" s="98"/>
      <c r="D4813" s="98"/>
      <c r="E4813" s="98"/>
      <c r="F4813" s="102"/>
      <c r="G4813" s="103"/>
    </row>
    <row r="4814" spans="1:7" x14ac:dyDescent="0.25">
      <c r="A4814" s="101"/>
      <c r="B4814" s="66"/>
      <c r="C4814" s="98"/>
      <c r="D4814" s="98"/>
      <c r="E4814" s="98"/>
      <c r="F4814" s="102"/>
      <c r="G4814" s="103"/>
    </row>
    <row r="4815" spans="1:7" x14ac:dyDescent="0.25">
      <c r="A4815" s="101"/>
      <c r="B4815" s="66"/>
      <c r="C4815" s="98"/>
      <c r="D4815" s="98"/>
      <c r="E4815" s="98"/>
      <c r="F4815" s="102"/>
      <c r="G4815" s="103"/>
    </row>
    <row r="4816" spans="1:7" x14ac:dyDescent="0.25">
      <c r="A4816" s="101"/>
      <c r="B4816" s="36"/>
      <c r="C4816" s="98"/>
      <c r="D4816" s="98"/>
      <c r="E4816" s="98"/>
      <c r="F4816" s="102"/>
      <c r="G4816" s="103"/>
    </row>
    <row r="4817" spans="1:7" x14ac:dyDescent="0.25">
      <c r="A4817" s="101"/>
      <c r="B4817" s="36"/>
      <c r="C4817" s="98"/>
      <c r="D4817" s="98"/>
      <c r="E4817" s="98"/>
      <c r="F4817" s="102"/>
      <c r="G4817" s="103"/>
    </row>
    <row r="4818" spans="1:7" x14ac:dyDescent="0.25">
      <c r="A4818" s="101"/>
      <c r="B4818" s="36"/>
      <c r="C4818" s="98"/>
      <c r="D4818" s="98"/>
      <c r="E4818" s="98"/>
      <c r="F4818" s="102"/>
      <c r="G4818" s="103"/>
    </row>
    <row r="4819" spans="1:7" x14ac:dyDescent="0.25">
      <c r="A4819" s="101"/>
      <c r="B4819" s="36"/>
      <c r="C4819" s="98"/>
      <c r="D4819" s="98"/>
      <c r="E4819" s="98"/>
      <c r="F4819" s="102"/>
      <c r="G4819" s="103"/>
    </row>
    <row r="4820" spans="1:7" x14ac:dyDescent="0.25">
      <c r="A4820" s="101"/>
      <c r="B4820" s="36"/>
      <c r="C4820" s="98"/>
      <c r="D4820" s="98"/>
      <c r="E4820" s="98"/>
      <c r="F4820" s="102"/>
      <c r="G4820" s="103"/>
    </row>
    <row r="4821" spans="1:7" x14ac:dyDescent="0.25">
      <c r="A4821" s="101"/>
      <c r="B4821" s="36"/>
      <c r="C4821" s="98"/>
      <c r="D4821" s="98"/>
      <c r="E4821" s="98"/>
      <c r="F4821" s="102"/>
      <c r="G4821" s="103"/>
    </row>
    <row r="4822" spans="1:7" x14ac:dyDescent="0.25">
      <c r="A4822" s="101"/>
      <c r="B4822" s="36"/>
      <c r="C4822" s="98"/>
      <c r="D4822" s="98"/>
      <c r="E4822" s="98"/>
      <c r="F4822" s="102"/>
      <c r="G4822" s="103"/>
    </row>
    <row r="4823" spans="1:7" x14ac:dyDescent="0.25">
      <c r="A4823" s="101"/>
      <c r="B4823" s="36"/>
      <c r="C4823" s="98"/>
      <c r="D4823" s="98"/>
      <c r="E4823" s="98"/>
      <c r="F4823" s="102"/>
      <c r="G4823" s="103"/>
    </row>
    <row r="4824" spans="1:7" x14ac:dyDescent="0.25">
      <c r="A4824" s="101"/>
      <c r="B4824" s="36"/>
      <c r="C4824" s="98"/>
      <c r="D4824" s="98"/>
      <c r="E4824" s="98"/>
      <c r="F4824" s="102"/>
      <c r="G4824" s="103"/>
    </row>
    <row r="4825" spans="1:7" x14ac:dyDescent="0.25">
      <c r="A4825" s="101"/>
      <c r="B4825" s="36"/>
      <c r="C4825" s="98"/>
      <c r="D4825" s="98"/>
      <c r="E4825" s="98"/>
      <c r="F4825" s="102"/>
      <c r="G4825" s="103"/>
    </row>
    <row r="4826" spans="1:7" x14ac:dyDescent="0.25">
      <c r="A4826" s="101"/>
      <c r="B4826" s="36"/>
      <c r="C4826" s="98"/>
      <c r="D4826" s="98"/>
      <c r="E4826" s="98"/>
      <c r="F4826" s="102"/>
      <c r="G4826" s="103"/>
    </row>
    <row r="4827" spans="1:7" x14ac:dyDescent="0.25">
      <c r="A4827" s="101"/>
      <c r="B4827" s="36"/>
      <c r="C4827" s="98"/>
      <c r="D4827" s="98"/>
      <c r="E4827" s="98"/>
      <c r="F4827" s="102"/>
      <c r="G4827" s="103"/>
    </row>
    <row r="4828" spans="1:7" x14ac:dyDescent="0.25">
      <c r="A4828" s="101"/>
      <c r="B4828" s="36"/>
      <c r="C4828" s="98"/>
      <c r="D4828" s="98"/>
      <c r="E4828" s="98"/>
      <c r="F4828" s="102"/>
      <c r="G4828" s="103"/>
    </row>
    <row r="4829" spans="1:7" x14ac:dyDescent="0.25">
      <c r="A4829" s="101"/>
      <c r="B4829" s="36"/>
      <c r="C4829" s="98"/>
      <c r="D4829" s="98"/>
      <c r="E4829" s="98"/>
      <c r="F4829" s="102"/>
      <c r="G4829" s="103"/>
    </row>
    <row r="4830" spans="1:7" x14ac:dyDescent="0.25">
      <c r="A4830" s="101"/>
      <c r="B4830" s="36"/>
      <c r="C4830" s="98"/>
      <c r="D4830" s="98"/>
      <c r="E4830" s="98"/>
      <c r="F4830" s="102"/>
      <c r="G4830" s="103"/>
    </row>
    <row r="4831" spans="1:7" x14ac:dyDescent="0.25">
      <c r="A4831" s="101"/>
      <c r="B4831" s="66"/>
      <c r="C4831" s="98"/>
      <c r="D4831" s="98"/>
      <c r="E4831" s="98"/>
      <c r="F4831" s="102"/>
      <c r="G4831" s="103"/>
    </row>
    <row r="4832" spans="1:7" x14ac:dyDescent="0.25">
      <c r="A4832" s="101"/>
      <c r="B4832" s="36"/>
      <c r="C4832" s="98"/>
      <c r="D4832" s="98"/>
      <c r="E4832" s="98"/>
      <c r="F4832" s="102"/>
      <c r="G4832" s="103"/>
    </row>
    <row r="4833" spans="1:7" x14ac:dyDescent="0.25">
      <c r="A4833" s="101"/>
      <c r="B4833" s="36"/>
      <c r="C4833" s="98"/>
      <c r="D4833" s="98"/>
      <c r="E4833" s="98"/>
      <c r="F4833" s="102"/>
      <c r="G4833" s="103"/>
    </row>
    <row r="4834" spans="1:7" x14ac:dyDescent="0.25">
      <c r="A4834" s="101"/>
      <c r="B4834" s="36"/>
      <c r="C4834" s="98"/>
      <c r="D4834" s="98"/>
      <c r="E4834" s="98"/>
      <c r="F4834" s="102"/>
      <c r="G4834" s="103"/>
    </row>
    <row r="4835" spans="1:7" x14ac:dyDescent="0.25">
      <c r="A4835" s="101"/>
      <c r="B4835" s="66"/>
      <c r="C4835" s="98"/>
      <c r="D4835" s="98"/>
      <c r="E4835" s="98"/>
      <c r="F4835" s="102"/>
      <c r="G4835" s="103"/>
    </row>
    <row r="4836" spans="1:7" x14ac:dyDescent="0.25">
      <c r="A4836" s="101"/>
      <c r="B4836" s="36"/>
      <c r="C4836" s="98"/>
      <c r="D4836" s="98"/>
      <c r="E4836" s="98"/>
      <c r="F4836" s="102"/>
      <c r="G4836" s="103"/>
    </row>
    <row r="4837" spans="1:7" x14ac:dyDescent="0.25">
      <c r="A4837" s="101"/>
      <c r="B4837" s="36"/>
      <c r="C4837" s="98"/>
      <c r="D4837" s="98"/>
      <c r="E4837" s="98"/>
      <c r="F4837" s="102"/>
      <c r="G4837" s="103"/>
    </row>
    <row r="4838" spans="1:7" x14ac:dyDescent="0.25">
      <c r="A4838" s="101"/>
      <c r="B4838" s="36"/>
      <c r="C4838" s="98"/>
      <c r="D4838" s="98"/>
      <c r="E4838" s="98"/>
      <c r="F4838" s="102"/>
      <c r="G4838" s="103"/>
    </row>
    <row r="4839" spans="1:7" x14ac:dyDescent="0.25">
      <c r="A4839" s="101"/>
      <c r="B4839" s="36"/>
      <c r="C4839" s="98"/>
      <c r="D4839" s="98"/>
      <c r="E4839" s="98"/>
      <c r="F4839" s="102"/>
      <c r="G4839" s="103"/>
    </row>
    <row r="4840" spans="1:7" x14ac:dyDescent="0.25">
      <c r="A4840" s="101"/>
      <c r="B4840" s="36"/>
      <c r="C4840" s="98"/>
      <c r="D4840" s="98"/>
      <c r="E4840" s="98"/>
      <c r="F4840" s="102"/>
      <c r="G4840" s="103"/>
    </row>
    <row r="4841" spans="1:7" x14ac:dyDescent="0.25">
      <c r="A4841" s="101"/>
      <c r="B4841" s="36"/>
      <c r="C4841" s="98"/>
      <c r="D4841" s="98"/>
      <c r="E4841" s="98"/>
      <c r="F4841" s="102"/>
      <c r="G4841" s="103"/>
    </row>
    <row r="4842" spans="1:7" x14ac:dyDescent="0.25">
      <c r="A4842" s="101"/>
      <c r="B4842" s="36"/>
      <c r="C4842" s="98"/>
      <c r="D4842" s="98"/>
      <c r="E4842" s="98"/>
      <c r="F4842" s="102"/>
      <c r="G4842" s="103"/>
    </row>
    <row r="4843" spans="1:7" x14ac:dyDescent="0.25">
      <c r="A4843" s="101"/>
      <c r="B4843" s="36"/>
      <c r="C4843" s="98"/>
      <c r="D4843" s="98"/>
      <c r="E4843" s="98"/>
      <c r="F4843" s="102"/>
      <c r="G4843" s="103"/>
    </row>
    <row r="4844" spans="1:7" x14ac:dyDescent="0.25">
      <c r="A4844" s="101"/>
      <c r="B4844" s="36"/>
      <c r="C4844" s="98"/>
      <c r="D4844" s="98"/>
      <c r="E4844" s="98"/>
      <c r="F4844" s="102"/>
      <c r="G4844" s="103"/>
    </row>
    <row r="4845" spans="1:7" x14ac:dyDescent="0.25">
      <c r="A4845" s="101"/>
      <c r="B4845" s="36"/>
      <c r="C4845" s="98"/>
      <c r="D4845" s="98"/>
      <c r="E4845" s="98"/>
      <c r="F4845" s="102"/>
      <c r="G4845" s="103"/>
    </row>
    <row r="4846" spans="1:7" x14ac:dyDescent="0.25">
      <c r="A4846" s="101"/>
      <c r="B4846" s="66"/>
      <c r="C4846" s="98"/>
      <c r="D4846" s="98"/>
      <c r="E4846" s="98"/>
      <c r="F4846" s="102"/>
      <c r="G4846" s="103"/>
    </row>
    <row r="4847" spans="1:7" x14ac:dyDescent="0.25">
      <c r="A4847" s="101"/>
      <c r="B4847" s="36"/>
      <c r="C4847" s="98"/>
      <c r="D4847" s="98"/>
      <c r="E4847" s="98"/>
      <c r="F4847" s="102"/>
      <c r="G4847" s="103"/>
    </row>
    <row r="4848" spans="1:7" x14ac:dyDescent="0.25">
      <c r="A4848" s="101"/>
      <c r="B4848" s="36"/>
      <c r="C4848" s="98"/>
      <c r="D4848" s="98"/>
      <c r="E4848" s="98"/>
      <c r="F4848" s="102"/>
      <c r="G4848" s="103"/>
    </row>
    <row r="4849" spans="1:7" x14ac:dyDescent="0.25">
      <c r="A4849" s="101"/>
      <c r="B4849" s="36"/>
      <c r="C4849" s="98"/>
      <c r="D4849" s="98"/>
      <c r="E4849" s="98"/>
      <c r="F4849" s="102"/>
      <c r="G4849" s="103"/>
    </row>
    <row r="4850" spans="1:7" x14ac:dyDescent="0.25">
      <c r="A4850" s="101"/>
      <c r="B4850" s="36"/>
      <c r="C4850" s="98"/>
      <c r="D4850" s="98"/>
      <c r="E4850" s="98"/>
      <c r="F4850" s="102"/>
      <c r="G4850" s="103"/>
    </row>
    <row r="4851" spans="1:7" x14ac:dyDescent="0.25">
      <c r="A4851" s="101"/>
      <c r="B4851" s="36"/>
      <c r="C4851" s="98"/>
      <c r="D4851" s="98"/>
      <c r="E4851" s="98"/>
      <c r="F4851" s="102"/>
      <c r="G4851" s="103"/>
    </row>
    <row r="4852" spans="1:7" x14ac:dyDescent="0.25">
      <c r="A4852" s="101"/>
      <c r="B4852" s="36"/>
      <c r="C4852" s="98"/>
      <c r="D4852" s="98"/>
      <c r="E4852" s="98"/>
      <c r="F4852" s="102"/>
      <c r="G4852" s="103"/>
    </row>
    <row r="4853" spans="1:7" x14ac:dyDescent="0.25">
      <c r="A4853" s="101"/>
      <c r="B4853" s="36"/>
      <c r="C4853" s="98"/>
      <c r="D4853" s="98"/>
      <c r="E4853" s="98"/>
      <c r="F4853" s="102"/>
      <c r="G4853" s="103"/>
    </row>
    <row r="4854" spans="1:7" x14ac:dyDescent="0.25">
      <c r="A4854" s="101"/>
      <c r="B4854" s="36"/>
      <c r="C4854" s="98"/>
      <c r="D4854" s="98"/>
      <c r="E4854" s="98"/>
      <c r="F4854" s="102"/>
      <c r="G4854" s="103"/>
    </row>
    <row r="4855" spans="1:7" x14ac:dyDescent="0.25">
      <c r="A4855" s="101"/>
      <c r="B4855" s="36"/>
      <c r="C4855" s="98"/>
      <c r="D4855" s="98"/>
      <c r="E4855" s="98"/>
      <c r="F4855" s="102"/>
      <c r="G4855" s="103"/>
    </row>
    <row r="4856" spans="1:7" x14ac:dyDescent="0.25">
      <c r="A4856" s="101"/>
      <c r="B4856" s="36"/>
      <c r="C4856" s="98"/>
      <c r="D4856" s="98"/>
      <c r="E4856" s="98"/>
      <c r="F4856" s="102"/>
      <c r="G4856" s="103"/>
    </row>
    <row r="4857" spans="1:7" x14ac:dyDescent="0.25">
      <c r="A4857" s="101"/>
      <c r="B4857" s="36"/>
      <c r="C4857" s="98"/>
      <c r="D4857" s="98"/>
      <c r="E4857" s="98"/>
      <c r="F4857" s="102"/>
      <c r="G4857" s="103"/>
    </row>
    <row r="4858" spans="1:7" x14ac:dyDescent="0.25">
      <c r="A4858" s="101"/>
      <c r="B4858" s="36"/>
      <c r="C4858" s="98"/>
      <c r="D4858" s="98"/>
      <c r="E4858" s="98"/>
      <c r="F4858" s="102"/>
      <c r="G4858" s="103"/>
    </row>
    <row r="4859" spans="1:7" x14ac:dyDescent="0.25">
      <c r="A4859" s="101"/>
      <c r="B4859" s="36"/>
      <c r="C4859" s="98"/>
      <c r="D4859" s="98"/>
      <c r="E4859" s="98"/>
      <c r="F4859" s="102"/>
      <c r="G4859" s="103"/>
    </row>
    <row r="4860" spans="1:7" x14ac:dyDescent="0.25">
      <c r="A4860" s="101"/>
      <c r="B4860" s="36"/>
      <c r="C4860" s="98"/>
      <c r="D4860" s="98"/>
      <c r="E4860" s="98"/>
      <c r="F4860" s="102"/>
      <c r="G4860" s="103"/>
    </row>
    <row r="4861" spans="1:7" x14ac:dyDescent="0.25">
      <c r="A4861" s="101"/>
      <c r="B4861" s="66"/>
      <c r="C4861" s="98"/>
      <c r="D4861" s="98"/>
      <c r="E4861" s="98"/>
      <c r="F4861" s="102"/>
      <c r="G4861" s="103"/>
    </row>
    <row r="4862" spans="1:7" x14ac:dyDescent="0.25">
      <c r="A4862" s="101"/>
      <c r="B4862" s="66"/>
      <c r="C4862" s="98"/>
      <c r="D4862" s="98"/>
      <c r="E4862" s="98"/>
      <c r="F4862" s="102"/>
      <c r="G4862" s="103"/>
    </row>
    <row r="4863" spans="1:7" x14ac:dyDescent="0.25">
      <c r="A4863" s="101"/>
      <c r="B4863" s="36"/>
      <c r="C4863" s="98"/>
      <c r="D4863" s="98"/>
      <c r="E4863" s="98"/>
      <c r="F4863" s="102"/>
      <c r="G4863" s="103"/>
    </row>
    <row r="4864" spans="1:7" x14ac:dyDescent="0.25">
      <c r="A4864" s="101"/>
      <c r="B4864" s="36"/>
      <c r="C4864" s="98"/>
      <c r="D4864" s="98"/>
      <c r="E4864" s="98"/>
      <c r="F4864" s="102"/>
      <c r="G4864" s="103"/>
    </row>
    <row r="4865" spans="1:7" x14ac:dyDescent="0.25">
      <c r="A4865" s="101"/>
      <c r="B4865" s="66"/>
      <c r="C4865" s="98"/>
      <c r="D4865" s="98"/>
      <c r="E4865" s="98"/>
      <c r="F4865" s="102"/>
      <c r="G4865" s="103"/>
    </row>
    <row r="4866" spans="1:7" x14ac:dyDescent="0.25">
      <c r="A4866" s="101"/>
      <c r="B4866" s="36"/>
      <c r="C4866" s="98"/>
      <c r="D4866" s="98"/>
      <c r="E4866" s="98"/>
      <c r="F4866" s="102"/>
      <c r="G4866" s="103"/>
    </row>
    <row r="4867" spans="1:7" x14ac:dyDescent="0.25">
      <c r="A4867" s="101"/>
      <c r="B4867" s="36"/>
      <c r="C4867" s="98"/>
      <c r="D4867" s="98"/>
      <c r="E4867" s="98"/>
      <c r="F4867" s="102"/>
      <c r="G4867" s="103"/>
    </row>
    <row r="4868" spans="1:7" x14ac:dyDescent="0.25">
      <c r="A4868" s="101"/>
      <c r="B4868" s="36"/>
      <c r="C4868" s="98"/>
      <c r="D4868" s="98"/>
      <c r="E4868" s="98"/>
      <c r="F4868" s="102"/>
      <c r="G4868" s="103"/>
    </row>
    <row r="4869" spans="1:7" x14ac:dyDescent="0.25">
      <c r="A4869" s="101"/>
      <c r="B4869" s="36"/>
      <c r="C4869" s="98"/>
      <c r="D4869" s="98"/>
      <c r="E4869" s="98"/>
      <c r="F4869" s="102"/>
      <c r="G4869" s="103"/>
    </row>
    <row r="4870" spans="1:7" x14ac:dyDescent="0.25">
      <c r="A4870" s="101"/>
      <c r="B4870" s="36"/>
      <c r="C4870" s="98"/>
      <c r="D4870" s="98"/>
      <c r="E4870" s="98"/>
      <c r="F4870" s="102"/>
      <c r="G4870" s="103"/>
    </row>
    <row r="4871" spans="1:7" x14ac:dyDescent="0.25">
      <c r="A4871" s="101"/>
      <c r="B4871" s="36"/>
      <c r="C4871" s="98"/>
      <c r="D4871" s="98"/>
      <c r="E4871" s="98"/>
      <c r="F4871" s="102"/>
      <c r="G4871" s="103"/>
    </row>
    <row r="4872" spans="1:7" x14ac:dyDescent="0.25">
      <c r="A4872" s="101"/>
      <c r="B4872" s="36"/>
      <c r="C4872" s="98"/>
      <c r="D4872" s="98"/>
      <c r="E4872" s="98"/>
      <c r="F4872" s="102"/>
      <c r="G4872" s="103"/>
    </row>
    <row r="4873" spans="1:7" x14ac:dyDescent="0.25">
      <c r="A4873" s="101"/>
      <c r="B4873" s="36"/>
      <c r="C4873" s="98"/>
      <c r="D4873" s="98"/>
      <c r="E4873" s="98"/>
      <c r="F4873" s="102"/>
      <c r="G4873" s="103"/>
    </row>
    <row r="4874" spans="1:7" x14ac:dyDescent="0.25">
      <c r="A4874" s="101"/>
      <c r="B4874" s="36"/>
      <c r="C4874" s="98"/>
      <c r="D4874" s="98"/>
      <c r="E4874" s="98"/>
      <c r="F4874" s="102"/>
      <c r="G4874" s="103"/>
    </row>
    <row r="4875" spans="1:7" x14ac:dyDescent="0.25">
      <c r="A4875" s="101"/>
      <c r="B4875" s="36"/>
      <c r="C4875" s="98"/>
      <c r="D4875" s="98"/>
      <c r="E4875" s="98"/>
      <c r="F4875" s="102"/>
      <c r="G4875" s="103"/>
    </row>
    <row r="4876" spans="1:7" x14ac:dyDescent="0.25">
      <c r="A4876" s="101"/>
      <c r="B4876" s="66"/>
      <c r="C4876" s="98"/>
      <c r="D4876" s="98"/>
      <c r="E4876" s="98"/>
      <c r="F4876" s="102"/>
      <c r="G4876" s="103"/>
    </row>
    <row r="4877" spans="1:7" x14ac:dyDescent="0.25">
      <c r="A4877" s="101"/>
      <c r="B4877" s="66"/>
      <c r="C4877" s="98"/>
      <c r="D4877" s="98"/>
      <c r="E4877" s="98"/>
      <c r="F4877" s="102"/>
      <c r="G4877" s="103"/>
    </row>
    <row r="4878" spans="1:7" x14ac:dyDescent="0.25">
      <c r="A4878" s="101"/>
      <c r="B4878" s="36"/>
      <c r="C4878" s="98"/>
      <c r="D4878" s="98"/>
      <c r="E4878" s="98"/>
      <c r="F4878" s="102"/>
      <c r="G4878" s="103"/>
    </row>
    <row r="4879" spans="1:7" x14ac:dyDescent="0.25">
      <c r="A4879" s="101"/>
      <c r="B4879" s="36"/>
      <c r="C4879" s="98"/>
      <c r="D4879" s="98"/>
      <c r="E4879" s="98"/>
      <c r="F4879" s="102"/>
      <c r="G4879" s="103"/>
    </row>
    <row r="4880" spans="1:7" x14ac:dyDescent="0.25">
      <c r="A4880" s="101"/>
      <c r="B4880" s="36"/>
      <c r="C4880" s="98"/>
      <c r="D4880" s="98"/>
      <c r="E4880" s="98"/>
      <c r="F4880" s="102"/>
      <c r="G4880" s="103"/>
    </row>
    <row r="4881" spans="1:7" x14ac:dyDescent="0.25">
      <c r="A4881" s="101"/>
      <c r="B4881" s="36"/>
      <c r="C4881" s="98"/>
      <c r="D4881" s="98"/>
      <c r="E4881" s="98"/>
      <c r="F4881" s="102"/>
      <c r="G4881" s="103"/>
    </row>
    <row r="4882" spans="1:7" x14ac:dyDescent="0.25">
      <c r="A4882" s="101"/>
      <c r="B4882" s="36"/>
      <c r="C4882" s="98"/>
      <c r="D4882" s="98"/>
      <c r="E4882" s="98"/>
      <c r="F4882" s="102"/>
      <c r="G4882" s="103"/>
    </row>
    <row r="4883" spans="1:7" x14ac:dyDescent="0.25">
      <c r="A4883" s="101"/>
      <c r="B4883" s="36"/>
      <c r="C4883" s="98"/>
      <c r="D4883" s="98"/>
      <c r="E4883" s="98"/>
      <c r="F4883" s="102"/>
      <c r="G4883" s="103"/>
    </row>
    <row r="4884" spans="1:7" x14ac:dyDescent="0.25">
      <c r="A4884" s="101"/>
      <c r="B4884" s="36"/>
      <c r="C4884" s="98"/>
      <c r="D4884" s="98"/>
      <c r="E4884" s="98"/>
      <c r="F4884" s="102"/>
      <c r="G4884" s="103"/>
    </row>
    <row r="4885" spans="1:7" x14ac:dyDescent="0.25">
      <c r="A4885" s="101"/>
      <c r="B4885" s="36"/>
      <c r="C4885" s="98"/>
      <c r="D4885" s="98"/>
      <c r="E4885" s="98"/>
      <c r="F4885" s="102"/>
      <c r="G4885" s="103"/>
    </row>
    <row r="4886" spans="1:7" x14ac:dyDescent="0.25">
      <c r="A4886" s="101"/>
      <c r="B4886" s="36"/>
      <c r="C4886" s="98"/>
      <c r="D4886" s="98"/>
      <c r="E4886" s="98"/>
      <c r="F4886" s="102"/>
      <c r="G4886" s="103"/>
    </row>
    <row r="4887" spans="1:7" x14ac:dyDescent="0.25">
      <c r="A4887" s="101"/>
      <c r="B4887" s="36"/>
      <c r="C4887" s="98"/>
      <c r="D4887" s="98"/>
      <c r="E4887" s="98"/>
      <c r="F4887" s="102"/>
      <c r="G4887" s="103"/>
    </row>
    <row r="4888" spans="1:7" x14ac:dyDescent="0.25">
      <c r="A4888" s="101"/>
      <c r="B4888" s="36"/>
      <c r="C4888" s="98"/>
      <c r="D4888" s="98"/>
      <c r="E4888" s="98"/>
      <c r="F4888" s="102"/>
      <c r="G4888" s="103"/>
    </row>
    <row r="4889" spans="1:7" x14ac:dyDescent="0.25">
      <c r="A4889" s="101"/>
      <c r="B4889" s="36"/>
      <c r="C4889" s="98"/>
      <c r="D4889" s="98"/>
      <c r="E4889" s="98"/>
      <c r="F4889" s="102"/>
      <c r="G4889" s="103"/>
    </row>
    <row r="4890" spans="1:7" x14ac:dyDescent="0.25">
      <c r="A4890" s="101"/>
      <c r="B4890" s="36"/>
      <c r="C4890" s="98"/>
      <c r="D4890" s="98"/>
      <c r="E4890" s="98"/>
      <c r="F4890" s="102"/>
      <c r="G4890" s="103"/>
    </row>
    <row r="4891" spans="1:7" x14ac:dyDescent="0.25">
      <c r="A4891" s="101"/>
      <c r="B4891" s="36"/>
      <c r="C4891" s="98"/>
      <c r="D4891" s="98"/>
      <c r="E4891" s="98"/>
      <c r="F4891" s="102"/>
      <c r="G4891" s="103"/>
    </row>
    <row r="4892" spans="1:7" x14ac:dyDescent="0.25">
      <c r="A4892" s="101"/>
      <c r="B4892" s="36"/>
      <c r="C4892" s="98"/>
      <c r="D4892" s="98"/>
      <c r="E4892" s="98"/>
      <c r="F4892" s="102"/>
      <c r="G4892" s="103"/>
    </row>
    <row r="4893" spans="1:7" x14ac:dyDescent="0.25">
      <c r="A4893" s="101"/>
      <c r="B4893" s="36"/>
      <c r="C4893" s="98"/>
      <c r="D4893" s="98"/>
      <c r="E4893" s="98"/>
      <c r="F4893" s="102"/>
      <c r="G4893" s="103"/>
    </row>
    <row r="4894" spans="1:7" x14ac:dyDescent="0.25">
      <c r="A4894" s="101"/>
      <c r="B4894" s="36"/>
      <c r="C4894" s="98"/>
      <c r="D4894" s="98"/>
      <c r="E4894" s="98"/>
      <c r="F4894" s="102"/>
      <c r="G4894" s="103"/>
    </row>
    <row r="4895" spans="1:7" x14ac:dyDescent="0.25">
      <c r="A4895" s="101"/>
      <c r="B4895" s="36"/>
      <c r="C4895" s="98"/>
      <c r="D4895" s="98"/>
      <c r="E4895" s="98"/>
      <c r="F4895" s="102"/>
      <c r="G4895" s="103"/>
    </row>
    <row r="4896" spans="1:7" x14ac:dyDescent="0.25">
      <c r="A4896" s="101"/>
      <c r="B4896" s="36"/>
      <c r="C4896" s="98"/>
      <c r="D4896" s="98"/>
      <c r="E4896" s="98"/>
      <c r="F4896" s="102"/>
      <c r="G4896" s="103"/>
    </row>
    <row r="4897" spans="1:7" x14ac:dyDescent="0.25">
      <c r="A4897" s="101"/>
      <c r="B4897" s="36"/>
      <c r="C4897" s="98"/>
      <c r="D4897" s="98"/>
      <c r="E4897" s="98"/>
      <c r="F4897" s="102"/>
      <c r="G4897" s="103"/>
    </row>
    <row r="4898" spans="1:7" x14ac:dyDescent="0.25">
      <c r="A4898" s="101"/>
      <c r="B4898" s="36"/>
      <c r="C4898" s="98"/>
      <c r="D4898" s="98"/>
      <c r="E4898" s="98"/>
      <c r="F4898" s="102"/>
      <c r="G4898" s="103"/>
    </row>
    <row r="4899" spans="1:7" x14ac:dyDescent="0.25">
      <c r="A4899" s="101"/>
      <c r="B4899" s="36"/>
      <c r="C4899" s="98"/>
      <c r="D4899" s="98"/>
      <c r="E4899" s="98"/>
      <c r="F4899" s="102"/>
      <c r="G4899" s="103"/>
    </row>
    <row r="4900" spans="1:7" x14ac:dyDescent="0.25">
      <c r="A4900" s="101"/>
      <c r="B4900" s="66"/>
      <c r="C4900" s="98"/>
      <c r="D4900" s="98"/>
      <c r="E4900" s="98"/>
      <c r="F4900" s="102"/>
      <c r="G4900" s="103"/>
    </row>
    <row r="4901" spans="1:7" x14ac:dyDescent="0.25">
      <c r="A4901" s="101"/>
      <c r="B4901" s="36"/>
      <c r="C4901" s="98"/>
      <c r="D4901" s="98"/>
      <c r="E4901" s="98"/>
      <c r="F4901" s="102"/>
      <c r="G4901" s="103"/>
    </row>
    <row r="4902" spans="1:7" x14ac:dyDescent="0.25">
      <c r="A4902" s="101"/>
      <c r="B4902" s="36"/>
      <c r="C4902" s="98"/>
      <c r="D4902" s="98"/>
      <c r="E4902" s="98"/>
      <c r="F4902" s="102"/>
      <c r="G4902" s="103"/>
    </row>
    <row r="4903" spans="1:7" x14ac:dyDescent="0.25">
      <c r="A4903" s="101"/>
      <c r="B4903" s="36"/>
      <c r="C4903" s="98"/>
      <c r="D4903" s="98"/>
      <c r="E4903" s="98"/>
      <c r="F4903" s="102"/>
      <c r="G4903" s="103"/>
    </row>
    <row r="4904" spans="1:7" x14ac:dyDescent="0.25">
      <c r="A4904" s="101"/>
      <c r="B4904" s="36"/>
      <c r="C4904" s="98"/>
      <c r="D4904" s="98"/>
      <c r="E4904" s="98"/>
      <c r="F4904" s="102"/>
      <c r="G4904" s="103"/>
    </row>
    <row r="4905" spans="1:7" x14ac:dyDescent="0.25">
      <c r="A4905" s="101"/>
      <c r="B4905" s="36"/>
      <c r="C4905" s="98"/>
      <c r="D4905" s="98"/>
      <c r="E4905" s="98"/>
      <c r="F4905" s="102"/>
      <c r="G4905" s="103"/>
    </row>
    <row r="4906" spans="1:7" x14ac:dyDescent="0.25">
      <c r="A4906" s="101"/>
      <c r="B4906" s="36"/>
      <c r="C4906" s="98"/>
      <c r="D4906" s="98"/>
      <c r="E4906" s="98"/>
      <c r="F4906" s="102"/>
      <c r="G4906" s="103"/>
    </row>
    <row r="4907" spans="1:7" x14ac:dyDescent="0.25">
      <c r="A4907" s="101"/>
      <c r="B4907" s="36"/>
      <c r="C4907" s="98"/>
      <c r="D4907" s="98"/>
      <c r="E4907" s="98"/>
      <c r="F4907" s="102"/>
      <c r="G4907" s="103"/>
    </row>
    <row r="4908" spans="1:7" x14ac:dyDescent="0.25">
      <c r="A4908" s="101"/>
      <c r="B4908" s="36"/>
      <c r="C4908" s="98"/>
      <c r="D4908" s="98"/>
      <c r="E4908" s="98"/>
      <c r="F4908" s="102"/>
      <c r="G4908" s="103"/>
    </row>
    <row r="4909" spans="1:7" x14ac:dyDescent="0.25">
      <c r="A4909" s="101"/>
      <c r="B4909" s="36"/>
      <c r="C4909" s="98"/>
      <c r="D4909" s="98"/>
      <c r="E4909" s="98"/>
      <c r="F4909" s="102"/>
      <c r="G4909" s="103"/>
    </row>
    <row r="4910" spans="1:7" x14ac:dyDescent="0.25">
      <c r="A4910" s="101"/>
      <c r="B4910" s="36"/>
      <c r="C4910" s="98"/>
      <c r="D4910" s="98"/>
      <c r="E4910" s="98"/>
      <c r="F4910" s="102"/>
      <c r="G4910" s="103"/>
    </row>
    <row r="4911" spans="1:7" x14ac:dyDescent="0.25">
      <c r="A4911" s="101"/>
      <c r="B4911" s="66"/>
      <c r="C4911" s="98"/>
      <c r="D4911" s="98"/>
      <c r="E4911" s="98"/>
      <c r="F4911" s="102"/>
      <c r="G4911" s="103"/>
    </row>
    <row r="4912" spans="1:7" x14ac:dyDescent="0.25">
      <c r="A4912" s="101"/>
      <c r="B4912" s="66"/>
      <c r="C4912" s="98"/>
      <c r="D4912" s="98"/>
      <c r="E4912" s="98"/>
      <c r="F4912" s="102"/>
      <c r="G4912" s="103"/>
    </row>
    <row r="4913" spans="1:7" x14ac:dyDescent="0.25">
      <c r="A4913" s="101"/>
      <c r="B4913" s="36"/>
      <c r="C4913" s="98"/>
      <c r="D4913" s="98"/>
      <c r="E4913" s="98"/>
      <c r="F4913" s="102"/>
      <c r="G4913" s="103"/>
    </row>
    <row r="4914" spans="1:7" x14ac:dyDescent="0.25">
      <c r="A4914" s="101"/>
      <c r="B4914" s="36"/>
      <c r="C4914" s="98"/>
      <c r="D4914" s="98"/>
      <c r="E4914" s="98"/>
      <c r="F4914" s="102"/>
      <c r="G4914" s="103"/>
    </row>
    <row r="4915" spans="1:7" x14ac:dyDescent="0.25">
      <c r="A4915" s="101"/>
      <c r="B4915" s="36"/>
      <c r="C4915" s="98"/>
      <c r="D4915" s="98"/>
      <c r="E4915" s="98"/>
      <c r="F4915" s="102"/>
      <c r="G4915" s="103"/>
    </row>
    <row r="4916" spans="1:7" x14ac:dyDescent="0.25">
      <c r="A4916" s="101"/>
      <c r="B4916" s="36"/>
      <c r="C4916" s="98"/>
      <c r="D4916" s="98"/>
      <c r="E4916" s="98"/>
      <c r="F4916" s="102"/>
      <c r="G4916" s="103"/>
    </row>
    <row r="4917" spans="1:7" x14ac:dyDescent="0.25">
      <c r="A4917" s="101"/>
      <c r="B4917" s="36"/>
      <c r="C4917" s="98"/>
      <c r="D4917" s="98"/>
      <c r="E4917" s="98"/>
      <c r="F4917" s="102"/>
      <c r="G4917" s="103"/>
    </row>
    <row r="4918" spans="1:7" x14ac:dyDescent="0.25">
      <c r="A4918" s="101"/>
      <c r="B4918" s="36"/>
      <c r="C4918" s="98"/>
      <c r="D4918" s="98"/>
      <c r="E4918" s="98"/>
      <c r="F4918" s="102"/>
      <c r="G4918" s="103"/>
    </row>
    <row r="4919" spans="1:7" x14ac:dyDescent="0.25">
      <c r="A4919" s="101"/>
      <c r="B4919" s="36"/>
      <c r="C4919" s="98"/>
      <c r="D4919" s="98"/>
      <c r="E4919" s="98"/>
      <c r="F4919" s="102"/>
      <c r="G4919" s="103"/>
    </row>
    <row r="4920" spans="1:7" x14ac:dyDescent="0.25">
      <c r="A4920" s="101"/>
      <c r="B4920" s="36"/>
      <c r="C4920" s="98"/>
      <c r="D4920" s="98"/>
      <c r="E4920" s="98"/>
      <c r="F4920" s="102"/>
      <c r="G4920" s="103"/>
    </row>
    <row r="4921" spans="1:7" x14ac:dyDescent="0.25">
      <c r="A4921" s="101"/>
      <c r="B4921" s="36"/>
      <c r="C4921" s="98"/>
      <c r="D4921" s="98"/>
      <c r="E4921" s="98"/>
      <c r="F4921" s="102"/>
      <c r="G4921" s="103"/>
    </row>
    <row r="4922" spans="1:7" x14ac:dyDescent="0.25">
      <c r="A4922" s="101"/>
      <c r="B4922" s="36"/>
      <c r="C4922" s="98"/>
      <c r="D4922" s="98"/>
      <c r="E4922" s="98"/>
      <c r="F4922" s="102"/>
      <c r="G4922" s="103"/>
    </row>
    <row r="4923" spans="1:7" x14ac:dyDescent="0.25">
      <c r="A4923" s="101"/>
      <c r="B4923" s="36"/>
      <c r="C4923" s="98"/>
      <c r="D4923" s="98"/>
      <c r="E4923" s="98"/>
      <c r="F4923" s="102"/>
      <c r="G4923" s="103"/>
    </row>
    <row r="4924" spans="1:7" x14ac:dyDescent="0.25">
      <c r="A4924" s="101"/>
      <c r="B4924" s="36"/>
      <c r="C4924" s="98"/>
      <c r="D4924" s="98"/>
      <c r="E4924" s="98"/>
      <c r="F4924" s="102"/>
      <c r="G4924" s="103"/>
    </row>
    <row r="4925" spans="1:7" x14ac:dyDescent="0.25">
      <c r="A4925" s="101"/>
      <c r="B4925" s="36"/>
      <c r="C4925" s="98"/>
      <c r="D4925" s="98"/>
      <c r="E4925" s="98"/>
      <c r="F4925" s="102"/>
      <c r="G4925" s="103"/>
    </row>
    <row r="4926" spans="1:7" x14ac:dyDescent="0.25">
      <c r="A4926" s="101"/>
      <c r="B4926" s="36"/>
      <c r="C4926" s="98"/>
      <c r="D4926" s="98"/>
      <c r="E4926" s="98"/>
      <c r="F4926" s="102"/>
      <c r="G4926" s="103"/>
    </row>
    <row r="4927" spans="1:7" x14ac:dyDescent="0.25">
      <c r="A4927" s="101"/>
      <c r="B4927" s="36"/>
      <c r="C4927" s="98"/>
      <c r="D4927" s="98"/>
      <c r="E4927" s="98"/>
      <c r="F4927" s="102"/>
      <c r="G4927" s="103"/>
    </row>
    <row r="4928" spans="1:7" x14ac:dyDescent="0.25">
      <c r="A4928" s="101"/>
      <c r="B4928" s="36"/>
      <c r="C4928" s="98"/>
      <c r="D4928" s="98"/>
      <c r="E4928" s="98"/>
      <c r="F4928" s="102"/>
      <c r="G4928" s="103"/>
    </row>
    <row r="4929" spans="1:7" x14ac:dyDescent="0.25">
      <c r="A4929" s="101"/>
      <c r="B4929" s="36"/>
      <c r="C4929" s="98"/>
      <c r="D4929" s="98"/>
      <c r="E4929" s="98"/>
      <c r="F4929" s="102"/>
      <c r="G4929" s="103"/>
    </row>
    <row r="4930" spans="1:7" x14ac:dyDescent="0.25">
      <c r="A4930" s="101"/>
      <c r="B4930" s="66"/>
      <c r="C4930" s="98"/>
      <c r="D4930" s="98"/>
      <c r="E4930" s="98"/>
      <c r="F4930" s="102"/>
      <c r="G4930" s="103"/>
    </row>
    <row r="4931" spans="1:7" x14ac:dyDescent="0.25">
      <c r="A4931" s="101"/>
      <c r="B4931" s="36"/>
      <c r="C4931" s="98"/>
      <c r="D4931" s="98"/>
      <c r="E4931" s="98"/>
      <c r="F4931" s="102"/>
      <c r="G4931" s="103"/>
    </row>
    <row r="4932" spans="1:7" x14ac:dyDescent="0.25">
      <c r="A4932" s="101"/>
      <c r="B4932" s="36"/>
      <c r="C4932" s="98"/>
      <c r="D4932" s="98"/>
      <c r="E4932" s="98"/>
      <c r="F4932" s="102"/>
      <c r="G4932" s="103"/>
    </row>
    <row r="4933" spans="1:7" x14ac:dyDescent="0.25">
      <c r="A4933" s="101"/>
      <c r="B4933" s="36"/>
      <c r="C4933" s="98"/>
      <c r="D4933" s="98"/>
      <c r="E4933" s="98"/>
      <c r="F4933" s="102"/>
      <c r="G4933" s="103"/>
    </row>
    <row r="4934" spans="1:7" x14ac:dyDescent="0.25">
      <c r="A4934" s="101"/>
      <c r="B4934" s="36"/>
      <c r="C4934" s="98"/>
      <c r="D4934" s="98"/>
      <c r="E4934" s="98"/>
      <c r="F4934" s="102"/>
      <c r="G4934" s="103"/>
    </row>
    <row r="4935" spans="1:7" x14ac:dyDescent="0.25">
      <c r="A4935" s="101"/>
      <c r="B4935" s="36"/>
      <c r="C4935" s="98"/>
      <c r="D4935" s="98"/>
      <c r="E4935" s="98"/>
      <c r="F4935" s="102"/>
      <c r="G4935" s="103"/>
    </row>
    <row r="4936" spans="1:7" x14ac:dyDescent="0.25">
      <c r="A4936" s="101"/>
      <c r="B4936" s="36"/>
      <c r="C4936" s="98"/>
      <c r="D4936" s="98"/>
      <c r="E4936" s="98"/>
      <c r="F4936" s="102"/>
      <c r="G4936" s="103"/>
    </row>
    <row r="4937" spans="1:7" x14ac:dyDescent="0.25">
      <c r="A4937" s="101"/>
      <c r="B4937" s="66"/>
      <c r="C4937" s="98"/>
      <c r="D4937" s="98"/>
      <c r="E4937" s="98"/>
      <c r="F4937" s="102"/>
      <c r="G4937" s="103"/>
    </row>
    <row r="4938" spans="1:7" x14ac:dyDescent="0.25">
      <c r="A4938" s="101"/>
      <c r="B4938" s="36"/>
      <c r="C4938" s="98"/>
      <c r="D4938" s="98"/>
      <c r="E4938" s="98"/>
      <c r="F4938" s="102"/>
      <c r="G4938" s="103"/>
    </row>
    <row r="4939" spans="1:7" x14ac:dyDescent="0.25">
      <c r="A4939" s="101"/>
      <c r="B4939" s="36"/>
      <c r="C4939" s="98"/>
      <c r="D4939" s="98"/>
      <c r="E4939" s="98"/>
      <c r="F4939" s="102"/>
      <c r="G4939" s="103"/>
    </row>
    <row r="4940" spans="1:7" x14ac:dyDescent="0.25">
      <c r="A4940" s="101"/>
      <c r="B4940" s="36"/>
      <c r="C4940" s="98"/>
      <c r="D4940" s="98"/>
      <c r="E4940" s="98"/>
      <c r="F4940" s="102"/>
      <c r="G4940" s="103"/>
    </row>
    <row r="4941" spans="1:7" x14ac:dyDescent="0.25">
      <c r="A4941" s="101"/>
      <c r="B4941" s="36"/>
      <c r="C4941" s="98"/>
      <c r="D4941" s="98"/>
      <c r="E4941" s="98"/>
      <c r="F4941" s="102"/>
      <c r="G4941" s="103"/>
    </row>
    <row r="4942" spans="1:7" x14ac:dyDescent="0.25">
      <c r="A4942" s="101"/>
      <c r="B4942" s="36"/>
      <c r="C4942" s="98"/>
      <c r="D4942" s="98"/>
      <c r="E4942" s="98"/>
      <c r="F4942" s="102"/>
      <c r="G4942" s="103"/>
    </row>
    <row r="4943" spans="1:7" x14ac:dyDescent="0.25">
      <c r="A4943" s="101"/>
      <c r="B4943" s="36"/>
      <c r="C4943" s="98"/>
      <c r="D4943" s="98"/>
      <c r="E4943" s="98"/>
      <c r="F4943" s="102"/>
      <c r="G4943" s="103"/>
    </row>
    <row r="4944" spans="1:7" x14ac:dyDescent="0.25">
      <c r="A4944" s="101"/>
      <c r="B4944" s="36"/>
      <c r="C4944" s="98"/>
      <c r="D4944" s="98"/>
      <c r="E4944" s="98"/>
      <c r="F4944" s="102"/>
      <c r="G4944" s="103"/>
    </row>
    <row r="4945" spans="1:7" x14ac:dyDescent="0.25">
      <c r="A4945" s="101"/>
      <c r="B4945" s="36"/>
      <c r="C4945" s="98"/>
      <c r="D4945" s="98"/>
      <c r="E4945" s="98"/>
      <c r="F4945" s="102"/>
      <c r="G4945" s="103"/>
    </row>
    <row r="4946" spans="1:7" x14ac:dyDescent="0.25">
      <c r="A4946" s="101"/>
      <c r="B4946" s="36"/>
      <c r="C4946" s="98"/>
      <c r="D4946" s="98"/>
      <c r="E4946" s="98"/>
      <c r="F4946" s="102"/>
      <c r="G4946" s="103"/>
    </row>
    <row r="4947" spans="1:7" x14ac:dyDescent="0.25">
      <c r="A4947" s="101"/>
      <c r="B4947" s="36"/>
      <c r="C4947" s="98"/>
      <c r="D4947" s="98"/>
      <c r="E4947" s="98"/>
      <c r="F4947" s="102"/>
      <c r="G4947" s="103"/>
    </row>
    <row r="4948" spans="1:7" x14ac:dyDescent="0.25">
      <c r="A4948" s="101"/>
      <c r="B4948" s="36"/>
      <c r="C4948" s="98"/>
      <c r="D4948" s="98"/>
      <c r="E4948" s="98"/>
      <c r="F4948" s="102"/>
      <c r="G4948" s="103"/>
    </row>
    <row r="4949" spans="1:7" x14ac:dyDescent="0.25">
      <c r="A4949" s="101"/>
      <c r="B4949" s="36"/>
      <c r="C4949" s="98"/>
      <c r="D4949" s="98"/>
      <c r="E4949" s="98"/>
      <c r="F4949" s="102"/>
      <c r="G4949" s="103"/>
    </row>
    <row r="4950" spans="1:7" x14ac:dyDescent="0.25">
      <c r="A4950" s="101"/>
      <c r="B4950" s="66"/>
      <c r="C4950" s="98"/>
      <c r="D4950" s="98"/>
      <c r="E4950" s="98"/>
      <c r="F4950" s="102"/>
      <c r="G4950" s="103"/>
    </row>
    <row r="4951" spans="1:7" x14ac:dyDescent="0.25">
      <c r="A4951" s="101"/>
      <c r="B4951" s="36"/>
      <c r="C4951" s="98"/>
      <c r="D4951" s="98"/>
      <c r="E4951" s="98"/>
      <c r="F4951" s="102"/>
      <c r="G4951" s="103"/>
    </row>
    <row r="4952" spans="1:7" x14ac:dyDescent="0.25">
      <c r="A4952" s="101"/>
      <c r="B4952" s="36"/>
      <c r="C4952" s="98"/>
      <c r="D4952" s="98"/>
      <c r="E4952" s="98"/>
      <c r="F4952" s="102"/>
      <c r="G4952" s="103"/>
    </row>
    <row r="4953" spans="1:7" x14ac:dyDescent="0.25">
      <c r="A4953" s="101"/>
      <c r="B4953" s="36"/>
      <c r="C4953" s="98"/>
      <c r="D4953" s="98"/>
      <c r="E4953" s="98"/>
      <c r="F4953" s="102"/>
      <c r="G4953" s="103"/>
    </row>
    <row r="4954" spans="1:7" x14ac:dyDescent="0.25">
      <c r="A4954" s="101"/>
      <c r="B4954" s="36"/>
      <c r="C4954" s="98"/>
      <c r="D4954" s="98"/>
      <c r="E4954" s="98"/>
      <c r="F4954" s="102"/>
      <c r="G4954" s="103"/>
    </row>
    <row r="4955" spans="1:7" x14ac:dyDescent="0.25">
      <c r="A4955" s="101"/>
      <c r="B4955" s="36"/>
      <c r="C4955" s="98"/>
      <c r="D4955" s="98"/>
      <c r="E4955" s="98"/>
      <c r="F4955" s="102"/>
      <c r="G4955" s="103"/>
    </row>
    <row r="4956" spans="1:7" x14ac:dyDescent="0.25">
      <c r="A4956" s="101"/>
      <c r="B4956" s="36"/>
      <c r="C4956" s="98"/>
      <c r="D4956" s="98"/>
      <c r="E4956" s="98"/>
      <c r="F4956" s="102"/>
      <c r="G4956" s="103"/>
    </row>
    <row r="4957" spans="1:7" x14ac:dyDescent="0.25">
      <c r="A4957" s="101"/>
      <c r="B4957" s="36"/>
      <c r="C4957" s="98"/>
      <c r="D4957" s="98"/>
      <c r="E4957" s="98"/>
      <c r="F4957" s="102"/>
      <c r="G4957" s="103"/>
    </row>
    <row r="4958" spans="1:7" x14ac:dyDescent="0.25">
      <c r="A4958" s="101"/>
      <c r="B4958" s="36"/>
      <c r="C4958" s="98"/>
      <c r="D4958" s="98"/>
      <c r="E4958" s="98"/>
      <c r="F4958" s="102"/>
      <c r="G4958" s="103"/>
    </row>
    <row r="4959" spans="1:7" x14ac:dyDescent="0.25">
      <c r="A4959" s="101"/>
      <c r="B4959" s="36"/>
      <c r="C4959" s="98"/>
      <c r="D4959" s="98"/>
      <c r="E4959" s="98"/>
      <c r="F4959" s="102"/>
      <c r="G4959" s="103"/>
    </row>
    <row r="4960" spans="1:7" x14ac:dyDescent="0.25">
      <c r="A4960" s="101"/>
      <c r="B4960" s="36"/>
      <c r="C4960" s="98"/>
      <c r="D4960" s="98"/>
      <c r="E4960" s="98"/>
      <c r="F4960" s="102"/>
      <c r="G4960" s="103"/>
    </row>
    <row r="4961" spans="1:7" x14ac:dyDescent="0.25">
      <c r="A4961" s="101"/>
      <c r="B4961" s="36"/>
      <c r="C4961" s="98"/>
      <c r="D4961" s="98"/>
      <c r="E4961" s="98"/>
      <c r="F4961" s="102"/>
      <c r="G4961" s="103"/>
    </row>
    <row r="4962" spans="1:7" x14ac:dyDescent="0.25">
      <c r="A4962" s="101"/>
      <c r="B4962" s="36"/>
      <c r="C4962" s="98"/>
      <c r="D4962" s="98"/>
      <c r="E4962" s="98"/>
      <c r="F4962" s="102"/>
      <c r="G4962" s="103"/>
    </row>
    <row r="4963" spans="1:7" x14ac:dyDescent="0.25">
      <c r="A4963" s="101"/>
      <c r="B4963" s="36"/>
      <c r="C4963" s="98"/>
      <c r="D4963" s="98"/>
      <c r="E4963" s="98"/>
      <c r="F4963" s="102"/>
      <c r="G4963" s="103"/>
    </row>
    <row r="4964" spans="1:7" x14ac:dyDescent="0.25">
      <c r="A4964" s="101"/>
      <c r="B4964" s="36"/>
      <c r="C4964" s="98"/>
      <c r="D4964" s="98"/>
      <c r="E4964" s="98"/>
      <c r="F4964" s="102"/>
      <c r="G4964" s="103"/>
    </row>
    <row r="4965" spans="1:7" x14ac:dyDescent="0.25">
      <c r="A4965" s="101"/>
      <c r="B4965" s="36"/>
      <c r="C4965" s="98"/>
      <c r="D4965" s="98"/>
      <c r="E4965" s="98"/>
      <c r="F4965" s="102"/>
      <c r="G4965" s="103"/>
    </row>
    <row r="4966" spans="1:7" x14ac:dyDescent="0.25">
      <c r="A4966" s="101"/>
      <c r="B4966" s="66"/>
      <c r="C4966" s="98"/>
      <c r="D4966" s="98"/>
      <c r="E4966" s="98"/>
      <c r="F4966" s="102"/>
      <c r="G4966" s="103"/>
    </row>
    <row r="4967" spans="1:7" x14ac:dyDescent="0.25">
      <c r="A4967" s="101"/>
      <c r="B4967" s="66"/>
      <c r="C4967" s="98"/>
      <c r="D4967" s="98"/>
      <c r="E4967" s="98"/>
      <c r="F4967" s="102"/>
      <c r="G4967" s="103"/>
    </row>
    <row r="4968" spans="1:7" x14ac:dyDescent="0.25">
      <c r="A4968" s="101"/>
      <c r="B4968" s="36"/>
      <c r="C4968" s="98"/>
      <c r="D4968" s="98"/>
      <c r="E4968" s="98"/>
      <c r="F4968" s="102"/>
      <c r="G4968" s="103"/>
    </row>
    <row r="4969" spans="1:7" x14ac:dyDescent="0.25">
      <c r="A4969" s="101"/>
      <c r="B4969" s="36"/>
      <c r="C4969" s="98"/>
      <c r="D4969" s="98"/>
      <c r="E4969" s="98"/>
      <c r="F4969" s="102"/>
      <c r="G4969" s="103"/>
    </row>
    <row r="4970" spans="1:7" x14ac:dyDescent="0.25">
      <c r="A4970" s="101"/>
      <c r="B4970" s="36"/>
      <c r="C4970" s="98"/>
      <c r="D4970" s="98"/>
      <c r="E4970" s="98"/>
      <c r="F4970" s="102"/>
      <c r="G4970" s="103"/>
    </row>
    <row r="4971" spans="1:7" x14ac:dyDescent="0.25">
      <c r="A4971" s="101"/>
      <c r="B4971" s="36"/>
      <c r="C4971" s="98"/>
      <c r="D4971" s="98"/>
      <c r="E4971" s="98"/>
      <c r="F4971" s="102"/>
      <c r="G4971" s="103"/>
    </row>
    <row r="4972" spans="1:7" x14ac:dyDescent="0.25">
      <c r="A4972" s="101"/>
      <c r="B4972" s="36"/>
      <c r="C4972" s="98"/>
      <c r="D4972" s="98"/>
      <c r="E4972" s="98"/>
      <c r="F4972" s="102"/>
      <c r="G4972" s="103"/>
    </row>
    <row r="4973" spans="1:7" x14ac:dyDescent="0.25">
      <c r="A4973" s="101"/>
      <c r="B4973" s="36"/>
      <c r="C4973" s="98"/>
      <c r="D4973" s="98"/>
      <c r="E4973" s="98"/>
      <c r="F4973" s="102"/>
      <c r="G4973" s="103"/>
    </row>
    <row r="4974" spans="1:7" x14ac:dyDescent="0.25">
      <c r="A4974" s="101"/>
      <c r="B4974" s="36"/>
      <c r="C4974" s="98"/>
      <c r="D4974" s="98"/>
      <c r="E4974" s="98"/>
      <c r="F4974" s="102"/>
      <c r="G4974" s="103"/>
    </row>
    <row r="4975" spans="1:7" x14ac:dyDescent="0.25">
      <c r="A4975" s="101"/>
      <c r="B4975" s="36"/>
      <c r="C4975" s="98"/>
      <c r="D4975" s="98"/>
      <c r="E4975" s="98"/>
      <c r="F4975" s="102"/>
      <c r="G4975" s="103"/>
    </row>
    <row r="4976" spans="1:7" x14ac:dyDescent="0.25">
      <c r="A4976" s="101"/>
      <c r="B4976" s="36"/>
      <c r="C4976" s="98"/>
      <c r="D4976" s="98"/>
      <c r="E4976" s="98"/>
      <c r="F4976" s="102"/>
      <c r="G4976" s="103"/>
    </row>
    <row r="4977" spans="1:7" x14ac:dyDescent="0.25">
      <c r="A4977" s="101"/>
      <c r="B4977" s="36"/>
      <c r="C4977" s="98"/>
      <c r="D4977" s="98"/>
      <c r="E4977" s="98"/>
      <c r="F4977" s="102"/>
      <c r="G4977" s="103"/>
    </row>
    <row r="4978" spans="1:7" x14ac:dyDescent="0.25">
      <c r="A4978" s="101"/>
      <c r="B4978" s="36"/>
      <c r="C4978" s="98"/>
      <c r="D4978" s="98"/>
      <c r="E4978" s="98"/>
      <c r="F4978" s="102"/>
      <c r="G4978" s="103"/>
    </row>
    <row r="4979" spans="1:7" x14ac:dyDescent="0.25">
      <c r="A4979" s="101"/>
      <c r="B4979" s="36"/>
      <c r="C4979" s="98"/>
      <c r="D4979" s="98"/>
      <c r="E4979" s="98"/>
      <c r="F4979" s="102"/>
      <c r="G4979" s="103"/>
    </row>
    <row r="4980" spans="1:7" x14ac:dyDescent="0.25">
      <c r="A4980" s="101"/>
      <c r="B4980" s="36"/>
      <c r="C4980" s="98"/>
      <c r="D4980" s="98"/>
      <c r="E4980" s="98"/>
      <c r="F4980" s="102"/>
      <c r="G4980" s="103"/>
    </row>
    <row r="4981" spans="1:7" x14ac:dyDescent="0.25">
      <c r="A4981" s="101"/>
      <c r="B4981" s="36"/>
      <c r="C4981" s="98"/>
      <c r="D4981" s="98"/>
      <c r="E4981" s="98"/>
      <c r="F4981" s="102"/>
      <c r="G4981" s="103"/>
    </row>
    <row r="4982" spans="1:7" x14ac:dyDescent="0.25">
      <c r="A4982" s="101"/>
      <c r="B4982" s="36"/>
      <c r="C4982" s="98"/>
      <c r="D4982" s="98"/>
      <c r="E4982" s="98"/>
      <c r="F4982" s="102"/>
      <c r="G4982" s="103"/>
    </row>
    <row r="4983" spans="1:7" x14ac:dyDescent="0.25">
      <c r="A4983" s="101"/>
      <c r="B4983" s="36"/>
      <c r="C4983" s="98"/>
      <c r="D4983" s="98"/>
      <c r="E4983" s="98"/>
      <c r="F4983" s="102"/>
      <c r="G4983" s="103"/>
    </row>
    <row r="4984" spans="1:7" x14ac:dyDescent="0.25">
      <c r="A4984" s="101"/>
      <c r="B4984" s="36"/>
      <c r="C4984" s="98"/>
      <c r="D4984" s="98"/>
      <c r="E4984" s="98"/>
      <c r="F4984" s="102"/>
      <c r="G4984" s="103"/>
    </row>
    <row r="4985" spans="1:7" x14ac:dyDescent="0.25">
      <c r="A4985" s="101"/>
      <c r="B4985" s="36"/>
      <c r="C4985" s="98"/>
      <c r="D4985" s="98"/>
      <c r="E4985" s="98"/>
      <c r="F4985" s="102"/>
      <c r="G4985" s="103"/>
    </row>
    <row r="4986" spans="1:7" x14ac:dyDescent="0.25">
      <c r="A4986" s="101"/>
      <c r="B4986" s="36"/>
      <c r="C4986" s="98"/>
      <c r="D4986" s="98"/>
      <c r="E4986" s="98"/>
      <c r="F4986" s="102"/>
      <c r="G4986" s="103"/>
    </row>
    <row r="4987" spans="1:7" x14ac:dyDescent="0.25">
      <c r="A4987" s="101"/>
      <c r="B4987" s="36"/>
      <c r="C4987" s="98"/>
      <c r="D4987" s="98"/>
      <c r="E4987" s="98"/>
      <c r="F4987" s="102"/>
      <c r="G4987" s="103"/>
    </row>
    <row r="4988" spans="1:7" x14ac:dyDescent="0.25">
      <c r="A4988" s="101"/>
      <c r="B4988" s="36"/>
      <c r="C4988" s="98"/>
      <c r="D4988" s="98"/>
      <c r="E4988" s="98"/>
      <c r="F4988" s="102"/>
      <c r="G4988" s="103"/>
    </row>
    <row r="4989" spans="1:7" x14ac:dyDescent="0.25">
      <c r="A4989" s="101"/>
      <c r="B4989" s="36"/>
      <c r="C4989" s="98"/>
      <c r="D4989" s="98"/>
      <c r="E4989" s="98"/>
      <c r="F4989" s="102"/>
      <c r="G4989" s="103"/>
    </row>
    <row r="4990" spans="1:7" x14ac:dyDescent="0.25">
      <c r="A4990" s="101"/>
      <c r="B4990" s="36"/>
      <c r="C4990" s="98"/>
      <c r="D4990" s="98"/>
      <c r="E4990" s="98"/>
      <c r="F4990" s="102"/>
      <c r="G4990" s="103"/>
    </row>
    <row r="4991" spans="1:7" x14ac:dyDescent="0.25">
      <c r="A4991" s="101"/>
      <c r="B4991" s="36"/>
      <c r="C4991" s="98"/>
      <c r="D4991" s="98"/>
      <c r="E4991" s="98"/>
      <c r="F4991" s="102"/>
      <c r="G4991" s="103"/>
    </row>
    <row r="4992" spans="1:7" x14ac:dyDescent="0.25">
      <c r="A4992" s="101"/>
      <c r="B4992" s="36"/>
      <c r="C4992" s="98"/>
      <c r="D4992" s="98"/>
      <c r="E4992" s="98"/>
      <c r="F4992" s="102"/>
      <c r="G4992" s="103"/>
    </row>
    <row r="4993" spans="1:7" x14ac:dyDescent="0.25">
      <c r="A4993" s="101"/>
      <c r="B4993" s="36"/>
      <c r="C4993" s="98"/>
      <c r="D4993" s="98"/>
      <c r="E4993" s="98"/>
      <c r="F4993" s="102"/>
      <c r="G4993" s="103"/>
    </row>
    <row r="4994" spans="1:7" x14ac:dyDescent="0.25">
      <c r="A4994" s="101"/>
      <c r="B4994" s="66"/>
      <c r="C4994" s="98"/>
      <c r="D4994" s="98"/>
      <c r="E4994" s="98"/>
      <c r="F4994" s="102"/>
      <c r="G4994" s="103"/>
    </row>
    <row r="4995" spans="1:7" x14ac:dyDescent="0.25">
      <c r="A4995" s="101"/>
      <c r="B4995" s="66"/>
      <c r="C4995" s="98"/>
      <c r="D4995" s="98"/>
      <c r="E4995" s="98"/>
      <c r="F4995" s="102"/>
      <c r="G4995" s="103"/>
    </row>
    <row r="4996" spans="1:7" x14ac:dyDescent="0.25">
      <c r="A4996" s="101"/>
      <c r="B4996" s="36"/>
      <c r="C4996" s="98"/>
      <c r="D4996" s="98"/>
      <c r="E4996" s="98"/>
      <c r="F4996" s="102"/>
      <c r="G4996" s="103"/>
    </row>
    <row r="4997" spans="1:7" x14ac:dyDescent="0.25">
      <c r="A4997" s="101"/>
      <c r="B4997" s="36"/>
      <c r="C4997" s="98"/>
      <c r="D4997" s="98"/>
      <c r="E4997" s="98"/>
      <c r="F4997" s="102"/>
      <c r="G4997" s="103"/>
    </row>
    <row r="4998" spans="1:7" x14ac:dyDescent="0.25">
      <c r="A4998" s="101"/>
      <c r="B4998" s="36"/>
      <c r="C4998" s="98"/>
      <c r="D4998" s="98"/>
      <c r="E4998" s="98"/>
      <c r="F4998" s="102"/>
      <c r="G4998" s="103"/>
    </row>
    <row r="4999" spans="1:7" x14ac:dyDescent="0.25">
      <c r="A4999" s="101"/>
      <c r="B4999" s="36"/>
      <c r="C4999" s="98"/>
      <c r="D4999" s="98"/>
      <c r="E4999" s="98"/>
      <c r="F4999" s="102"/>
      <c r="G4999" s="103"/>
    </row>
    <row r="5000" spans="1:7" x14ac:dyDescent="0.25">
      <c r="A5000" s="101"/>
      <c r="B5000" s="36"/>
      <c r="C5000" s="98"/>
      <c r="D5000" s="98"/>
      <c r="E5000" s="98"/>
      <c r="F5000" s="102"/>
      <c r="G5000" s="103"/>
    </row>
    <row r="5001" spans="1:7" x14ac:dyDescent="0.25">
      <c r="A5001" s="101"/>
      <c r="B5001" s="36"/>
      <c r="C5001" s="98"/>
      <c r="D5001" s="98"/>
      <c r="E5001" s="98"/>
      <c r="F5001" s="102"/>
      <c r="G5001" s="103"/>
    </row>
    <row r="5002" spans="1:7" x14ac:dyDescent="0.25">
      <c r="A5002" s="101"/>
      <c r="B5002" s="36"/>
      <c r="C5002" s="98"/>
      <c r="D5002" s="98"/>
      <c r="E5002" s="98"/>
      <c r="F5002" s="102"/>
      <c r="G5002" s="103"/>
    </row>
    <row r="5003" spans="1:7" x14ac:dyDescent="0.25">
      <c r="A5003" s="101"/>
      <c r="B5003" s="36"/>
      <c r="C5003" s="98"/>
      <c r="D5003" s="98"/>
      <c r="E5003" s="98"/>
      <c r="F5003" s="102"/>
      <c r="G5003" s="103"/>
    </row>
    <row r="5004" spans="1:7" x14ac:dyDescent="0.25">
      <c r="A5004" s="101"/>
      <c r="B5004" s="36"/>
      <c r="C5004" s="98"/>
      <c r="D5004" s="98"/>
      <c r="E5004" s="98"/>
      <c r="F5004" s="102"/>
      <c r="G5004" s="103"/>
    </row>
    <row r="5005" spans="1:7" x14ac:dyDescent="0.25">
      <c r="A5005" s="101"/>
      <c r="B5005" s="36"/>
      <c r="C5005" s="98"/>
      <c r="D5005" s="98"/>
      <c r="E5005" s="98"/>
      <c r="F5005" s="102"/>
      <c r="G5005" s="103"/>
    </row>
    <row r="5006" spans="1:7" x14ac:dyDescent="0.25">
      <c r="A5006" s="101"/>
      <c r="B5006" s="36"/>
      <c r="C5006" s="98"/>
      <c r="D5006" s="98"/>
      <c r="E5006" s="98"/>
      <c r="F5006" s="102"/>
      <c r="G5006" s="103"/>
    </row>
    <row r="5007" spans="1:7" x14ac:dyDescent="0.25">
      <c r="A5007" s="101"/>
      <c r="B5007" s="36"/>
      <c r="C5007" s="98"/>
      <c r="D5007" s="98"/>
      <c r="E5007" s="98"/>
      <c r="F5007" s="102"/>
      <c r="G5007" s="103"/>
    </row>
    <row r="5008" spans="1:7" x14ac:dyDescent="0.25">
      <c r="A5008" s="101"/>
      <c r="B5008" s="36"/>
      <c r="C5008" s="98"/>
      <c r="D5008" s="98"/>
      <c r="E5008" s="98"/>
      <c r="F5008" s="102"/>
      <c r="G5008" s="103"/>
    </row>
    <row r="5009" spans="1:7" x14ac:dyDescent="0.25">
      <c r="A5009" s="101"/>
      <c r="B5009" s="36"/>
      <c r="C5009" s="98"/>
      <c r="D5009" s="98"/>
      <c r="E5009" s="98"/>
      <c r="F5009" s="102"/>
      <c r="G5009" s="103"/>
    </row>
    <row r="5010" spans="1:7" x14ac:dyDescent="0.25">
      <c r="A5010" s="101"/>
      <c r="B5010" s="66"/>
      <c r="C5010" s="98"/>
      <c r="D5010" s="98"/>
      <c r="E5010" s="98"/>
      <c r="F5010" s="102"/>
      <c r="G5010" s="103"/>
    </row>
    <row r="5011" spans="1:7" x14ac:dyDescent="0.25">
      <c r="A5011" s="101"/>
      <c r="B5011" s="36"/>
      <c r="C5011" s="98"/>
      <c r="D5011" s="98"/>
      <c r="E5011" s="98"/>
      <c r="F5011" s="102"/>
      <c r="G5011" s="103"/>
    </row>
    <row r="5012" spans="1:7" x14ac:dyDescent="0.25">
      <c r="A5012" s="101"/>
      <c r="B5012" s="36"/>
      <c r="C5012" s="98"/>
      <c r="D5012" s="98"/>
      <c r="E5012" s="98"/>
      <c r="F5012" s="102"/>
      <c r="G5012" s="103"/>
    </row>
    <row r="5013" spans="1:7" x14ac:dyDescent="0.25">
      <c r="A5013" s="101"/>
      <c r="B5013" s="36"/>
      <c r="C5013" s="98"/>
      <c r="D5013" s="98"/>
      <c r="E5013" s="98"/>
      <c r="F5013" s="102"/>
      <c r="G5013" s="103"/>
    </row>
    <row r="5014" spans="1:7" x14ac:dyDescent="0.25">
      <c r="A5014" s="101"/>
      <c r="B5014" s="36"/>
      <c r="C5014" s="98"/>
      <c r="D5014" s="98"/>
      <c r="E5014" s="98"/>
      <c r="F5014" s="102"/>
      <c r="G5014" s="103"/>
    </row>
    <row r="5015" spans="1:7" x14ac:dyDescent="0.25">
      <c r="A5015" s="101"/>
      <c r="B5015" s="36"/>
      <c r="C5015" s="98"/>
      <c r="D5015" s="98"/>
      <c r="E5015" s="98"/>
      <c r="F5015" s="102"/>
      <c r="G5015" s="103"/>
    </row>
    <row r="5016" spans="1:7" x14ac:dyDescent="0.25">
      <c r="A5016" s="101"/>
      <c r="B5016" s="36"/>
      <c r="C5016" s="98"/>
      <c r="D5016" s="98"/>
      <c r="E5016" s="98"/>
      <c r="F5016" s="102"/>
      <c r="G5016" s="103"/>
    </row>
    <row r="5017" spans="1:7" x14ac:dyDescent="0.25">
      <c r="A5017" s="101"/>
      <c r="B5017" s="36"/>
      <c r="C5017" s="98"/>
      <c r="D5017" s="98"/>
      <c r="E5017" s="98"/>
      <c r="F5017" s="102"/>
      <c r="G5017" s="103"/>
    </row>
    <row r="5018" spans="1:7" x14ac:dyDescent="0.25">
      <c r="A5018" s="101"/>
      <c r="B5018" s="36"/>
      <c r="C5018" s="98"/>
      <c r="D5018" s="98"/>
      <c r="E5018" s="98"/>
      <c r="F5018" s="102"/>
      <c r="G5018" s="103"/>
    </row>
    <row r="5019" spans="1:7" x14ac:dyDescent="0.25">
      <c r="A5019" s="101"/>
      <c r="B5019" s="66"/>
      <c r="C5019" s="98"/>
      <c r="D5019" s="98"/>
      <c r="E5019" s="98"/>
      <c r="F5019" s="102"/>
      <c r="G5019" s="103"/>
    </row>
    <row r="5020" spans="1:7" x14ac:dyDescent="0.25">
      <c r="A5020" s="101"/>
      <c r="B5020" s="66"/>
      <c r="C5020" s="98"/>
      <c r="D5020" s="98"/>
      <c r="E5020" s="98"/>
      <c r="F5020" s="102"/>
      <c r="G5020" s="103"/>
    </row>
    <row r="5021" spans="1:7" x14ac:dyDescent="0.25">
      <c r="A5021" s="101"/>
      <c r="B5021" s="36"/>
      <c r="C5021" s="98"/>
      <c r="D5021" s="98"/>
      <c r="E5021" s="98"/>
      <c r="F5021" s="102"/>
      <c r="G5021" s="103"/>
    </row>
    <row r="5022" spans="1:7" x14ac:dyDescent="0.25">
      <c r="A5022" s="101"/>
      <c r="B5022" s="36"/>
      <c r="C5022" s="98"/>
      <c r="D5022" s="98"/>
      <c r="E5022" s="98"/>
      <c r="F5022" s="102"/>
      <c r="G5022" s="103"/>
    </row>
    <row r="5023" spans="1:7" x14ac:dyDescent="0.25">
      <c r="A5023" s="101"/>
      <c r="B5023" s="36"/>
      <c r="C5023" s="98"/>
      <c r="D5023" s="98"/>
      <c r="E5023" s="98"/>
      <c r="F5023" s="102"/>
      <c r="G5023" s="103"/>
    </row>
    <row r="5024" spans="1:7" x14ac:dyDescent="0.25">
      <c r="A5024" s="101"/>
      <c r="B5024" s="36"/>
      <c r="C5024" s="98"/>
      <c r="D5024" s="98"/>
      <c r="E5024" s="98"/>
      <c r="F5024" s="102"/>
      <c r="G5024" s="103"/>
    </row>
    <row r="5025" spans="1:7" x14ac:dyDescent="0.25">
      <c r="A5025" s="101"/>
      <c r="B5025" s="36"/>
      <c r="C5025" s="98"/>
      <c r="D5025" s="98"/>
      <c r="E5025" s="98"/>
      <c r="F5025" s="102"/>
      <c r="G5025" s="103"/>
    </row>
    <row r="5026" spans="1:7" x14ac:dyDescent="0.25">
      <c r="A5026" s="101"/>
      <c r="B5026" s="36"/>
      <c r="C5026" s="98"/>
      <c r="D5026" s="98"/>
      <c r="E5026" s="98"/>
      <c r="F5026" s="102"/>
      <c r="G5026" s="103"/>
    </row>
    <row r="5027" spans="1:7" x14ac:dyDescent="0.25">
      <c r="A5027" s="101"/>
      <c r="B5027" s="36"/>
      <c r="C5027" s="98"/>
      <c r="D5027" s="98"/>
      <c r="E5027" s="98"/>
      <c r="F5027" s="102"/>
      <c r="G5027" s="103"/>
    </row>
    <row r="5028" spans="1:7" x14ac:dyDescent="0.25">
      <c r="A5028" s="101"/>
      <c r="B5028" s="36"/>
      <c r="C5028" s="98"/>
      <c r="D5028" s="98"/>
      <c r="E5028" s="98"/>
      <c r="F5028" s="102"/>
      <c r="G5028" s="103"/>
    </row>
    <row r="5029" spans="1:7" x14ac:dyDescent="0.25">
      <c r="A5029" s="101"/>
      <c r="B5029" s="36"/>
      <c r="C5029" s="98"/>
      <c r="D5029" s="98"/>
      <c r="E5029" s="98"/>
      <c r="F5029" s="102"/>
      <c r="G5029" s="103"/>
    </row>
    <row r="5030" spans="1:7" x14ac:dyDescent="0.25">
      <c r="A5030" s="101"/>
      <c r="B5030" s="66"/>
      <c r="C5030" s="98"/>
      <c r="D5030" s="98"/>
      <c r="E5030" s="98"/>
      <c r="F5030" s="102"/>
      <c r="G5030" s="103"/>
    </row>
    <row r="5031" spans="1:7" x14ac:dyDescent="0.25">
      <c r="A5031" s="101"/>
      <c r="B5031" s="66"/>
      <c r="C5031" s="98"/>
      <c r="D5031" s="98"/>
      <c r="E5031" s="98"/>
      <c r="F5031" s="102"/>
      <c r="G5031" s="103"/>
    </row>
    <row r="5032" spans="1:7" x14ac:dyDescent="0.25">
      <c r="A5032" s="101"/>
      <c r="B5032" s="36"/>
      <c r="C5032" s="98"/>
      <c r="D5032" s="98"/>
      <c r="E5032" s="98"/>
      <c r="F5032" s="102"/>
      <c r="G5032" s="103"/>
    </row>
    <row r="5033" spans="1:7" x14ac:dyDescent="0.25">
      <c r="A5033" s="101"/>
      <c r="B5033" s="36"/>
      <c r="C5033" s="98"/>
      <c r="D5033" s="98"/>
      <c r="E5033" s="98"/>
      <c r="F5033" s="102"/>
      <c r="G5033" s="103"/>
    </row>
    <row r="5034" spans="1:7" x14ac:dyDescent="0.25">
      <c r="A5034" s="101"/>
      <c r="B5034" s="66"/>
      <c r="C5034" s="98"/>
      <c r="D5034" s="98"/>
      <c r="E5034" s="98"/>
      <c r="F5034" s="102"/>
      <c r="G5034" s="103"/>
    </row>
    <row r="5035" spans="1:7" x14ac:dyDescent="0.25">
      <c r="A5035" s="101"/>
      <c r="B5035" s="36"/>
      <c r="C5035" s="98"/>
      <c r="D5035" s="98"/>
      <c r="E5035" s="98"/>
      <c r="F5035" s="102"/>
      <c r="G5035" s="103"/>
    </row>
    <row r="5036" spans="1:7" x14ac:dyDescent="0.25">
      <c r="A5036" s="101"/>
      <c r="B5036" s="36"/>
      <c r="C5036" s="98"/>
      <c r="D5036" s="98"/>
      <c r="E5036" s="98"/>
      <c r="F5036" s="102"/>
      <c r="G5036" s="103"/>
    </row>
    <row r="5037" spans="1:7" x14ac:dyDescent="0.25">
      <c r="A5037" s="101"/>
      <c r="B5037" s="36"/>
      <c r="C5037" s="98"/>
      <c r="D5037" s="98"/>
      <c r="E5037" s="98"/>
      <c r="F5037" s="102"/>
      <c r="G5037" s="103"/>
    </row>
    <row r="5038" spans="1:7" x14ac:dyDescent="0.25">
      <c r="A5038" s="101"/>
      <c r="B5038" s="36"/>
      <c r="C5038" s="98"/>
      <c r="D5038" s="98"/>
      <c r="E5038" s="98"/>
      <c r="F5038" s="102"/>
      <c r="G5038" s="103"/>
    </row>
    <row r="5039" spans="1:7" x14ac:dyDescent="0.25">
      <c r="A5039" s="101"/>
      <c r="B5039" s="36"/>
      <c r="C5039" s="98"/>
      <c r="D5039" s="98"/>
      <c r="E5039" s="98"/>
      <c r="F5039" s="102"/>
      <c r="G5039" s="103"/>
    </row>
    <row r="5040" spans="1:7" x14ac:dyDescent="0.25">
      <c r="A5040" s="101"/>
      <c r="B5040" s="36"/>
      <c r="C5040" s="98"/>
      <c r="D5040" s="98"/>
      <c r="E5040" s="98"/>
      <c r="F5040" s="102"/>
      <c r="G5040" s="103"/>
    </row>
    <row r="5041" spans="1:7" x14ac:dyDescent="0.25">
      <c r="A5041" s="101"/>
      <c r="B5041" s="36"/>
      <c r="C5041" s="98"/>
      <c r="D5041" s="98"/>
      <c r="E5041" s="98"/>
      <c r="F5041" s="102"/>
      <c r="G5041" s="103"/>
    </row>
    <row r="5042" spans="1:7" x14ac:dyDescent="0.25">
      <c r="A5042" s="101"/>
      <c r="B5042" s="36"/>
      <c r="C5042" s="98"/>
      <c r="D5042" s="98"/>
      <c r="E5042" s="98"/>
      <c r="F5042" s="102"/>
      <c r="G5042" s="103"/>
    </row>
    <row r="5043" spans="1:7" x14ac:dyDescent="0.25">
      <c r="A5043" s="101"/>
      <c r="B5043" s="36"/>
      <c r="C5043" s="98"/>
      <c r="D5043" s="98"/>
      <c r="E5043" s="98"/>
      <c r="F5043" s="102"/>
      <c r="G5043" s="103"/>
    </row>
    <row r="5044" spans="1:7" x14ac:dyDescent="0.25">
      <c r="A5044" s="101"/>
      <c r="B5044" s="36"/>
      <c r="C5044" s="98"/>
      <c r="D5044" s="98"/>
      <c r="E5044" s="98"/>
      <c r="F5044" s="102"/>
      <c r="G5044" s="103"/>
    </row>
    <row r="5045" spans="1:7" x14ac:dyDescent="0.25">
      <c r="A5045" s="101"/>
      <c r="B5045" s="36"/>
      <c r="C5045" s="98"/>
      <c r="D5045" s="98"/>
      <c r="E5045" s="98"/>
      <c r="F5045" s="102"/>
      <c r="G5045" s="103"/>
    </row>
    <row r="5046" spans="1:7" x14ac:dyDescent="0.25">
      <c r="A5046" s="101"/>
      <c r="B5046" s="36"/>
      <c r="C5046" s="98"/>
      <c r="D5046" s="98"/>
      <c r="E5046" s="98"/>
      <c r="F5046" s="102"/>
      <c r="G5046" s="103"/>
    </row>
    <row r="5047" spans="1:7" x14ac:dyDescent="0.25">
      <c r="A5047" s="101"/>
      <c r="B5047" s="36"/>
      <c r="C5047" s="98"/>
      <c r="D5047" s="98"/>
      <c r="E5047" s="98"/>
      <c r="F5047" s="102"/>
      <c r="G5047" s="103"/>
    </row>
    <row r="5048" spans="1:7" x14ac:dyDescent="0.25">
      <c r="A5048" s="101"/>
      <c r="B5048" s="36"/>
      <c r="C5048" s="98"/>
      <c r="D5048" s="98"/>
      <c r="E5048" s="98"/>
      <c r="F5048" s="102"/>
      <c r="G5048" s="103"/>
    </row>
    <row r="5049" spans="1:7" x14ac:dyDescent="0.25">
      <c r="A5049" s="101"/>
      <c r="B5049" s="66"/>
      <c r="C5049" s="98"/>
      <c r="D5049" s="98"/>
      <c r="E5049" s="98"/>
      <c r="F5049" s="102"/>
      <c r="G5049" s="103"/>
    </row>
    <row r="5050" spans="1:7" x14ac:dyDescent="0.25">
      <c r="A5050" s="101"/>
      <c r="B5050" s="66"/>
      <c r="C5050" s="98"/>
      <c r="D5050" s="98"/>
      <c r="E5050" s="98"/>
      <c r="F5050" s="102"/>
      <c r="G5050" s="103"/>
    </row>
    <row r="5051" spans="1:7" x14ac:dyDescent="0.25">
      <c r="A5051" s="101"/>
      <c r="B5051" s="36"/>
      <c r="C5051" s="98"/>
      <c r="D5051" s="98"/>
      <c r="E5051" s="98"/>
      <c r="F5051" s="102"/>
      <c r="G5051" s="103"/>
    </row>
    <row r="5052" spans="1:7" x14ac:dyDescent="0.25">
      <c r="A5052" s="101"/>
      <c r="B5052" s="36"/>
      <c r="C5052" s="98"/>
      <c r="D5052" s="98"/>
      <c r="E5052" s="98"/>
      <c r="F5052" s="102"/>
      <c r="G5052" s="103"/>
    </row>
    <row r="5053" spans="1:7" x14ac:dyDescent="0.25">
      <c r="A5053" s="101"/>
      <c r="B5053" s="36"/>
      <c r="C5053" s="98"/>
      <c r="D5053" s="98"/>
      <c r="E5053" s="98"/>
      <c r="F5053" s="102"/>
      <c r="G5053" s="103"/>
    </row>
    <row r="5054" spans="1:7" x14ac:dyDescent="0.25">
      <c r="A5054" s="101"/>
      <c r="B5054" s="36"/>
      <c r="C5054" s="98"/>
      <c r="D5054" s="98"/>
      <c r="E5054" s="98"/>
      <c r="F5054" s="102"/>
      <c r="G5054" s="103"/>
    </row>
    <row r="5055" spans="1:7" x14ac:dyDescent="0.25">
      <c r="A5055" s="101"/>
      <c r="B5055" s="36"/>
      <c r="C5055" s="98"/>
      <c r="D5055" s="98"/>
      <c r="E5055" s="98"/>
      <c r="F5055" s="102"/>
      <c r="G5055" s="103"/>
    </row>
    <row r="5056" spans="1:7" x14ac:dyDescent="0.25">
      <c r="A5056" s="101"/>
      <c r="B5056" s="36"/>
      <c r="C5056" s="98"/>
      <c r="D5056" s="98"/>
      <c r="E5056" s="98"/>
      <c r="F5056" s="102"/>
      <c r="G5056" s="103"/>
    </row>
    <row r="5057" spans="1:7" x14ac:dyDescent="0.25">
      <c r="A5057" s="101"/>
      <c r="B5057" s="36"/>
      <c r="C5057" s="98"/>
      <c r="D5057" s="98"/>
      <c r="E5057" s="98"/>
      <c r="F5057" s="102"/>
      <c r="G5057" s="103"/>
    </row>
    <row r="5058" spans="1:7" x14ac:dyDescent="0.25">
      <c r="A5058" s="101"/>
      <c r="B5058" s="36"/>
      <c r="C5058" s="98"/>
      <c r="D5058" s="98"/>
      <c r="E5058" s="98"/>
      <c r="F5058" s="102"/>
      <c r="G5058" s="103"/>
    </row>
    <row r="5059" spans="1:7" x14ac:dyDescent="0.25">
      <c r="A5059" s="101"/>
      <c r="B5059" s="36"/>
      <c r="C5059" s="98"/>
      <c r="D5059" s="98"/>
      <c r="E5059" s="98"/>
      <c r="F5059" s="102"/>
      <c r="G5059" s="103"/>
    </row>
    <row r="5060" spans="1:7" x14ac:dyDescent="0.25">
      <c r="A5060" s="101"/>
      <c r="B5060" s="36"/>
      <c r="C5060" s="98"/>
      <c r="D5060" s="98"/>
      <c r="E5060" s="98"/>
      <c r="F5060" s="102"/>
      <c r="G5060" s="103"/>
    </row>
    <row r="5061" spans="1:7" x14ac:dyDescent="0.25">
      <c r="A5061" s="101"/>
      <c r="B5061" s="36"/>
      <c r="C5061" s="98"/>
      <c r="D5061" s="98"/>
      <c r="E5061" s="98"/>
      <c r="F5061" s="102"/>
      <c r="G5061" s="103"/>
    </row>
    <row r="5062" spans="1:7" x14ac:dyDescent="0.25">
      <c r="A5062" s="101"/>
      <c r="B5062" s="36"/>
      <c r="C5062" s="98"/>
      <c r="D5062" s="98"/>
      <c r="E5062" s="98"/>
      <c r="F5062" s="102"/>
      <c r="G5062" s="103"/>
    </row>
    <row r="5063" spans="1:7" x14ac:dyDescent="0.25">
      <c r="A5063" s="101"/>
      <c r="B5063" s="36"/>
      <c r="C5063" s="98"/>
      <c r="D5063" s="98"/>
      <c r="E5063" s="98"/>
      <c r="F5063" s="102"/>
      <c r="G5063" s="103"/>
    </row>
    <row r="5064" spans="1:7" x14ac:dyDescent="0.25">
      <c r="A5064" s="101"/>
      <c r="B5064" s="36"/>
      <c r="C5064" s="98"/>
      <c r="D5064" s="98"/>
      <c r="E5064" s="98"/>
      <c r="F5064" s="102"/>
      <c r="G5064" s="103"/>
    </row>
    <row r="5065" spans="1:7" x14ac:dyDescent="0.25">
      <c r="A5065" s="101"/>
      <c r="B5065" s="36"/>
      <c r="C5065" s="98"/>
      <c r="D5065" s="98"/>
      <c r="E5065" s="98"/>
      <c r="F5065" s="102"/>
      <c r="G5065" s="103"/>
    </row>
    <row r="5066" spans="1:7" x14ac:dyDescent="0.25">
      <c r="A5066" s="101"/>
      <c r="B5066" s="36"/>
      <c r="C5066" s="98"/>
      <c r="D5066" s="98"/>
      <c r="E5066" s="98"/>
      <c r="F5066" s="102"/>
      <c r="G5066" s="103"/>
    </row>
    <row r="5067" spans="1:7" x14ac:dyDescent="0.25">
      <c r="A5067" s="101"/>
      <c r="B5067" s="36"/>
      <c r="C5067" s="98"/>
      <c r="D5067" s="98"/>
      <c r="E5067" s="98"/>
      <c r="F5067" s="102"/>
      <c r="G5067" s="103"/>
    </row>
    <row r="5068" spans="1:7" x14ac:dyDescent="0.25">
      <c r="A5068" s="101"/>
      <c r="B5068" s="36"/>
      <c r="C5068" s="98"/>
      <c r="D5068" s="98"/>
      <c r="E5068" s="98"/>
      <c r="F5068" s="102"/>
      <c r="G5068" s="103"/>
    </row>
    <row r="5069" spans="1:7" x14ac:dyDescent="0.25">
      <c r="A5069" s="101"/>
      <c r="B5069" s="36"/>
      <c r="C5069" s="98"/>
      <c r="D5069" s="98"/>
      <c r="E5069" s="98"/>
      <c r="F5069" s="102"/>
      <c r="G5069" s="103"/>
    </row>
    <row r="5070" spans="1:7" x14ac:dyDescent="0.25">
      <c r="A5070" s="101"/>
      <c r="B5070" s="66"/>
      <c r="C5070" s="98"/>
      <c r="D5070" s="98"/>
      <c r="E5070" s="98"/>
      <c r="F5070" s="102"/>
      <c r="G5070" s="103"/>
    </row>
    <row r="5071" spans="1:7" x14ac:dyDescent="0.25">
      <c r="A5071" s="101"/>
      <c r="B5071" s="36"/>
      <c r="C5071" s="98"/>
      <c r="D5071" s="98"/>
      <c r="E5071" s="98"/>
      <c r="F5071" s="102"/>
      <c r="G5071" s="103"/>
    </row>
    <row r="5072" spans="1:7" x14ac:dyDescent="0.25">
      <c r="A5072" s="101"/>
      <c r="B5072" s="36"/>
      <c r="C5072" s="98"/>
      <c r="D5072" s="98"/>
      <c r="E5072" s="98"/>
      <c r="F5072" s="102"/>
      <c r="G5072" s="103"/>
    </row>
    <row r="5073" spans="1:7" x14ac:dyDescent="0.25">
      <c r="A5073" s="101"/>
      <c r="B5073" s="36"/>
      <c r="C5073" s="98"/>
      <c r="D5073" s="98"/>
      <c r="E5073" s="98"/>
      <c r="F5073" s="102"/>
      <c r="G5073" s="103"/>
    </row>
    <row r="5074" spans="1:7" x14ac:dyDescent="0.25">
      <c r="A5074" s="101"/>
      <c r="B5074" s="36"/>
      <c r="C5074" s="98"/>
      <c r="D5074" s="98"/>
      <c r="E5074" s="98"/>
      <c r="F5074" s="102"/>
      <c r="G5074" s="103"/>
    </row>
    <row r="5075" spans="1:7" x14ac:dyDescent="0.25">
      <c r="A5075" s="101"/>
      <c r="B5075" s="36"/>
      <c r="C5075" s="98"/>
      <c r="D5075" s="98"/>
      <c r="E5075" s="98"/>
      <c r="F5075" s="102"/>
      <c r="G5075" s="103"/>
    </row>
    <row r="5076" spans="1:7" x14ac:dyDescent="0.25">
      <c r="A5076" s="101"/>
      <c r="B5076" s="36"/>
      <c r="C5076" s="98"/>
      <c r="D5076" s="98"/>
      <c r="E5076" s="98"/>
      <c r="F5076" s="102"/>
      <c r="G5076" s="103"/>
    </row>
    <row r="5077" spans="1:7" x14ac:dyDescent="0.25">
      <c r="A5077" s="101"/>
      <c r="B5077" s="36"/>
      <c r="C5077" s="98"/>
      <c r="D5077" s="98"/>
      <c r="E5077" s="98"/>
      <c r="F5077" s="102"/>
      <c r="G5077" s="103"/>
    </row>
    <row r="5078" spans="1:7" x14ac:dyDescent="0.25">
      <c r="A5078" s="101"/>
      <c r="B5078" s="36"/>
      <c r="C5078" s="98"/>
      <c r="D5078" s="98"/>
      <c r="E5078" s="98"/>
      <c r="F5078" s="102"/>
      <c r="G5078" s="103"/>
    </row>
    <row r="5079" spans="1:7" x14ac:dyDescent="0.25">
      <c r="A5079" s="101"/>
      <c r="B5079" s="36"/>
      <c r="C5079" s="98"/>
      <c r="D5079" s="98"/>
      <c r="E5079" s="98"/>
      <c r="F5079" s="102"/>
      <c r="G5079" s="103"/>
    </row>
    <row r="5080" spans="1:7" x14ac:dyDescent="0.25">
      <c r="A5080" s="101"/>
      <c r="B5080" s="36"/>
      <c r="C5080" s="98"/>
      <c r="D5080" s="98"/>
      <c r="E5080" s="98"/>
      <c r="F5080" s="102"/>
      <c r="G5080" s="103"/>
    </row>
    <row r="5081" spans="1:7" x14ac:dyDescent="0.25">
      <c r="A5081" s="101"/>
      <c r="B5081" s="36"/>
      <c r="C5081" s="98"/>
      <c r="D5081" s="98"/>
      <c r="E5081" s="98"/>
      <c r="F5081" s="102"/>
      <c r="G5081" s="103"/>
    </row>
    <row r="5082" spans="1:7" x14ac:dyDescent="0.25">
      <c r="A5082" s="101"/>
      <c r="B5082" s="66"/>
      <c r="C5082" s="98"/>
      <c r="D5082" s="98"/>
      <c r="E5082" s="98"/>
      <c r="F5082" s="102"/>
      <c r="G5082" s="103"/>
    </row>
    <row r="5083" spans="1:7" x14ac:dyDescent="0.25">
      <c r="A5083" s="101"/>
      <c r="B5083" s="36"/>
      <c r="C5083" s="98"/>
      <c r="D5083" s="98"/>
      <c r="E5083" s="98"/>
      <c r="F5083" s="102"/>
      <c r="G5083" s="103"/>
    </row>
    <row r="5084" spans="1:7" x14ac:dyDescent="0.25">
      <c r="A5084" s="101"/>
      <c r="B5084" s="36"/>
      <c r="C5084" s="98"/>
      <c r="D5084" s="98"/>
      <c r="E5084" s="98"/>
      <c r="F5084" s="102"/>
      <c r="G5084" s="103"/>
    </row>
    <row r="5085" spans="1:7" x14ac:dyDescent="0.25">
      <c r="A5085" s="101"/>
      <c r="B5085" s="36"/>
      <c r="C5085" s="98"/>
      <c r="D5085" s="98"/>
      <c r="E5085" s="98"/>
      <c r="F5085" s="102"/>
      <c r="G5085" s="103"/>
    </row>
    <row r="5086" spans="1:7" x14ac:dyDescent="0.25">
      <c r="A5086" s="101"/>
      <c r="B5086" s="36"/>
      <c r="C5086" s="98"/>
      <c r="D5086" s="98"/>
      <c r="E5086" s="98"/>
      <c r="F5086" s="102"/>
      <c r="G5086" s="103"/>
    </row>
    <row r="5087" spans="1:7" x14ac:dyDescent="0.25">
      <c r="A5087" s="101"/>
      <c r="B5087" s="36"/>
      <c r="C5087" s="98"/>
      <c r="D5087" s="98"/>
      <c r="E5087" s="98"/>
      <c r="F5087" s="102"/>
      <c r="G5087" s="103"/>
    </row>
    <row r="5088" spans="1:7" x14ac:dyDescent="0.25">
      <c r="A5088" s="101"/>
      <c r="B5088" s="36"/>
      <c r="C5088" s="98"/>
      <c r="D5088" s="98"/>
      <c r="E5088" s="98"/>
      <c r="F5088" s="102"/>
      <c r="G5088" s="103"/>
    </row>
    <row r="5089" spans="1:7" x14ac:dyDescent="0.25">
      <c r="A5089" s="101"/>
      <c r="B5089" s="36"/>
      <c r="C5089" s="98"/>
      <c r="D5089" s="98"/>
      <c r="E5089" s="98"/>
      <c r="F5089" s="102"/>
      <c r="G5089" s="103"/>
    </row>
    <row r="5090" spans="1:7" x14ac:dyDescent="0.25">
      <c r="A5090" s="101"/>
      <c r="B5090" s="36"/>
      <c r="C5090" s="98"/>
      <c r="D5090" s="98"/>
      <c r="E5090" s="98"/>
      <c r="F5090" s="102"/>
      <c r="G5090" s="103"/>
    </row>
    <row r="5091" spans="1:7" x14ac:dyDescent="0.25">
      <c r="A5091" s="101"/>
      <c r="B5091" s="66"/>
      <c r="C5091" s="98"/>
      <c r="D5091" s="98"/>
      <c r="E5091" s="98"/>
      <c r="F5091" s="102"/>
      <c r="G5091" s="103"/>
    </row>
    <row r="5092" spans="1:7" x14ac:dyDescent="0.25">
      <c r="A5092" s="101"/>
      <c r="B5092" s="36"/>
      <c r="C5092" s="98"/>
      <c r="D5092" s="98"/>
      <c r="E5092" s="98"/>
      <c r="F5092" s="102"/>
      <c r="G5092" s="103"/>
    </row>
    <row r="5093" spans="1:7" x14ac:dyDescent="0.25">
      <c r="A5093" s="101"/>
      <c r="B5093" s="36"/>
      <c r="C5093" s="98"/>
      <c r="D5093" s="98"/>
      <c r="E5093" s="98"/>
      <c r="F5093" s="102"/>
      <c r="G5093" s="103"/>
    </row>
    <row r="5094" spans="1:7" x14ac:dyDescent="0.25">
      <c r="A5094" s="101"/>
      <c r="B5094" s="36"/>
      <c r="C5094" s="98"/>
      <c r="D5094" s="98"/>
      <c r="E5094" s="98"/>
      <c r="F5094" s="102"/>
      <c r="G5094" s="103"/>
    </row>
    <row r="5095" spans="1:7" x14ac:dyDescent="0.25">
      <c r="A5095" s="101"/>
      <c r="B5095" s="36"/>
      <c r="C5095" s="98"/>
      <c r="D5095" s="98"/>
      <c r="E5095" s="98"/>
      <c r="F5095" s="102"/>
      <c r="G5095" s="103"/>
    </row>
    <row r="5096" spans="1:7" x14ac:dyDescent="0.25">
      <c r="A5096" s="101"/>
      <c r="B5096" s="36"/>
      <c r="C5096" s="98"/>
      <c r="D5096" s="98"/>
      <c r="E5096" s="98"/>
      <c r="F5096" s="102"/>
      <c r="G5096" s="103"/>
    </row>
    <row r="5097" spans="1:7" x14ac:dyDescent="0.25">
      <c r="A5097" s="101"/>
      <c r="B5097" s="66"/>
      <c r="C5097" s="98"/>
      <c r="D5097" s="98"/>
      <c r="E5097" s="98"/>
      <c r="F5097" s="102"/>
      <c r="G5097" s="103"/>
    </row>
    <row r="5098" spans="1:7" x14ac:dyDescent="0.25">
      <c r="A5098" s="101"/>
      <c r="B5098" s="36"/>
      <c r="C5098" s="98"/>
      <c r="D5098" s="98"/>
      <c r="E5098" s="98"/>
      <c r="F5098" s="102"/>
      <c r="G5098" s="103"/>
    </row>
    <row r="5099" spans="1:7" x14ac:dyDescent="0.25">
      <c r="A5099" s="101"/>
      <c r="B5099" s="36"/>
      <c r="C5099" s="98"/>
      <c r="D5099" s="98"/>
      <c r="E5099" s="98"/>
      <c r="F5099" s="102"/>
      <c r="G5099" s="103"/>
    </row>
    <row r="5100" spans="1:7" x14ac:dyDescent="0.25">
      <c r="A5100" s="101"/>
      <c r="B5100" s="36"/>
      <c r="C5100" s="98"/>
      <c r="D5100" s="98"/>
      <c r="E5100" s="98"/>
      <c r="F5100" s="102"/>
      <c r="G5100" s="103"/>
    </row>
    <row r="5101" spans="1:7" x14ac:dyDescent="0.25">
      <c r="A5101" s="101"/>
      <c r="B5101" s="36"/>
      <c r="C5101" s="98"/>
      <c r="D5101" s="98"/>
      <c r="E5101" s="98"/>
      <c r="F5101" s="102"/>
      <c r="G5101" s="103"/>
    </row>
    <row r="5102" spans="1:7" x14ac:dyDescent="0.25">
      <c r="A5102" s="101"/>
      <c r="B5102" s="36"/>
      <c r="C5102" s="98"/>
      <c r="D5102" s="98"/>
      <c r="E5102" s="98"/>
      <c r="F5102" s="102"/>
      <c r="G5102" s="103"/>
    </row>
    <row r="5103" spans="1:7" x14ac:dyDescent="0.25">
      <c r="A5103" s="101"/>
      <c r="B5103" s="36"/>
      <c r="C5103" s="98"/>
      <c r="D5103" s="98"/>
      <c r="E5103" s="98"/>
      <c r="F5103" s="102"/>
      <c r="G5103" s="103"/>
    </row>
    <row r="5104" spans="1:7" x14ac:dyDescent="0.25">
      <c r="A5104" s="101"/>
      <c r="B5104" s="36"/>
      <c r="C5104" s="98"/>
      <c r="D5104" s="98"/>
      <c r="E5104" s="98"/>
      <c r="F5104" s="102"/>
      <c r="G5104" s="103"/>
    </row>
    <row r="5105" spans="1:7" x14ac:dyDescent="0.25">
      <c r="A5105" s="101"/>
      <c r="B5105" s="36"/>
      <c r="C5105" s="98"/>
      <c r="D5105" s="98"/>
      <c r="E5105" s="98"/>
      <c r="F5105" s="102"/>
      <c r="G5105" s="103"/>
    </row>
    <row r="5106" spans="1:7" x14ac:dyDescent="0.25">
      <c r="A5106" s="101"/>
      <c r="B5106" s="36"/>
      <c r="C5106" s="98"/>
      <c r="D5106" s="98"/>
      <c r="E5106" s="98"/>
      <c r="F5106" s="102"/>
      <c r="G5106" s="103"/>
    </row>
    <row r="5107" spans="1:7" x14ac:dyDescent="0.25">
      <c r="A5107" s="101"/>
      <c r="B5107" s="36"/>
      <c r="C5107" s="98"/>
      <c r="D5107" s="98"/>
      <c r="E5107" s="98"/>
      <c r="F5107" s="102"/>
      <c r="G5107" s="103"/>
    </row>
    <row r="5108" spans="1:7" x14ac:dyDescent="0.25">
      <c r="A5108" s="101"/>
      <c r="B5108" s="36"/>
      <c r="C5108" s="98"/>
      <c r="D5108" s="98"/>
      <c r="E5108" s="98"/>
      <c r="F5108" s="102"/>
      <c r="G5108" s="103"/>
    </row>
    <row r="5109" spans="1:7" x14ac:dyDescent="0.25">
      <c r="A5109" s="101"/>
      <c r="B5109" s="36"/>
      <c r="C5109" s="98"/>
      <c r="D5109" s="98"/>
      <c r="E5109" s="98"/>
      <c r="F5109" s="102"/>
      <c r="G5109" s="103"/>
    </row>
    <row r="5110" spans="1:7" x14ac:dyDescent="0.25">
      <c r="A5110" s="101"/>
      <c r="B5110" s="36"/>
      <c r="C5110" s="98"/>
      <c r="D5110" s="98"/>
      <c r="E5110" s="98"/>
      <c r="F5110" s="102"/>
      <c r="G5110" s="103"/>
    </row>
    <row r="5111" spans="1:7" x14ac:dyDescent="0.25">
      <c r="A5111" s="101"/>
      <c r="B5111" s="36"/>
      <c r="C5111" s="98"/>
      <c r="D5111" s="98"/>
      <c r="E5111" s="98"/>
      <c r="F5111" s="102"/>
      <c r="G5111" s="103"/>
    </row>
    <row r="5112" spans="1:7" x14ac:dyDescent="0.25">
      <c r="A5112" s="101"/>
      <c r="B5112" s="36"/>
      <c r="C5112" s="98"/>
      <c r="D5112" s="98"/>
      <c r="E5112" s="98"/>
      <c r="F5112" s="102"/>
      <c r="G5112" s="103"/>
    </row>
    <row r="5113" spans="1:7" x14ac:dyDescent="0.25">
      <c r="A5113" s="101"/>
      <c r="B5113" s="36"/>
      <c r="C5113" s="98"/>
      <c r="D5113" s="98"/>
      <c r="E5113" s="98"/>
      <c r="F5113" s="102"/>
      <c r="G5113" s="103"/>
    </row>
    <row r="5114" spans="1:7" x14ac:dyDescent="0.25">
      <c r="A5114" s="101"/>
      <c r="B5114" s="36"/>
      <c r="C5114" s="98"/>
      <c r="D5114" s="98"/>
      <c r="E5114" s="98"/>
      <c r="F5114" s="102"/>
      <c r="G5114" s="103"/>
    </row>
    <row r="5115" spans="1:7" x14ac:dyDescent="0.25">
      <c r="A5115" s="101"/>
      <c r="B5115" s="36"/>
      <c r="C5115" s="98"/>
      <c r="D5115" s="98"/>
      <c r="E5115" s="98"/>
      <c r="F5115" s="102"/>
      <c r="G5115" s="103"/>
    </row>
    <row r="5116" spans="1:7" x14ac:dyDescent="0.25">
      <c r="A5116" s="101"/>
      <c r="B5116" s="36"/>
      <c r="C5116" s="98"/>
      <c r="D5116" s="98"/>
      <c r="E5116" s="98"/>
      <c r="F5116" s="102"/>
      <c r="G5116" s="103"/>
    </row>
    <row r="5117" spans="1:7" x14ac:dyDescent="0.25">
      <c r="A5117" s="101"/>
      <c r="B5117" s="66"/>
      <c r="C5117" s="98"/>
      <c r="D5117" s="98"/>
      <c r="E5117" s="98"/>
      <c r="F5117" s="102"/>
      <c r="G5117" s="103"/>
    </row>
    <row r="5118" spans="1:7" x14ac:dyDescent="0.25">
      <c r="A5118" s="101"/>
      <c r="B5118" s="36"/>
      <c r="C5118" s="98"/>
      <c r="D5118" s="98"/>
      <c r="E5118" s="98"/>
      <c r="F5118" s="102"/>
      <c r="G5118" s="103"/>
    </row>
    <row r="5119" spans="1:7" x14ac:dyDescent="0.25">
      <c r="A5119" s="101"/>
      <c r="B5119" s="36"/>
      <c r="C5119" s="98"/>
      <c r="D5119" s="98"/>
      <c r="E5119" s="98"/>
      <c r="F5119" s="102"/>
      <c r="G5119" s="103"/>
    </row>
    <row r="5120" spans="1:7" x14ac:dyDescent="0.25">
      <c r="A5120" s="101"/>
      <c r="B5120" s="36"/>
      <c r="C5120" s="98"/>
      <c r="D5120" s="98"/>
      <c r="E5120" s="98"/>
      <c r="F5120" s="102"/>
      <c r="G5120" s="103"/>
    </row>
    <row r="5121" spans="1:7" x14ac:dyDescent="0.25">
      <c r="A5121" s="101"/>
      <c r="B5121" s="36"/>
      <c r="C5121" s="98"/>
      <c r="D5121" s="98"/>
      <c r="E5121" s="98"/>
      <c r="F5121" s="102"/>
      <c r="G5121" s="103"/>
    </row>
    <row r="5122" spans="1:7" x14ac:dyDescent="0.25">
      <c r="A5122" s="101"/>
      <c r="B5122" s="36"/>
      <c r="C5122" s="98"/>
      <c r="D5122" s="98"/>
      <c r="E5122" s="98"/>
      <c r="F5122" s="102"/>
      <c r="G5122" s="103"/>
    </row>
    <row r="5123" spans="1:7" x14ac:dyDescent="0.25">
      <c r="A5123" s="101"/>
      <c r="B5123" s="36"/>
      <c r="C5123" s="98"/>
      <c r="D5123" s="98"/>
      <c r="E5123" s="98"/>
      <c r="F5123" s="102"/>
      <c r="G5123" s="103"/>
    </row>
    <row r="5124" spans="1:7" x14ac:dyDescent="0.25">
      <c r="A5124" s="101"/>
      <c r="B5124" s="36"/>
      <c r="C5124" s="98"/>
      <c r="D5124" s="98"/>
      <c r="E5124" s="98"/>
      <c r="F5124" s="102"/>
      <c r="G5124" s="103"/>
    </row>
    <row r="5125" spans="1:7" x14ac:dyDescent="0.25">
      <c r="A5125" s="101"/>
      <c r="B5125" s="36"/>
      <c r="C5125" s="98"/>
      <c r="D5125" s="98"/>
      <c r="E5125" s="98"/>
      <c r="F5125" s="102"/>
      <c r="G5125" s="103"/>
    </row>
    <row r="5126" spans="1:7" x14ac:dyDescent="0.25">
      <c r="A5126" s="101"/>
      <c r="B5126" s="66"/>
      <c r="C5126" s="98"/>
      <c r="D5126" s="98"/>
      <c r="E5126" s="98"/>
      <c r="F5126" s="102"/>
      <c r="G5126" s="103"/>
    </row>
    <row r="5127" spans="1:7" x14ac:dyDescent="0.25">
      <c r="A5127" s="101"/>
      <c r="B5127" s="66"/>
      <c r="C5127" s="98"/>
      <c r="D5127" s="98"/>
      <c r="E5127" s="98"/>
      <c r="F5127" s="102"/>
      <c r="G5127" s="103"/>
    </row>
    <row r="5128" spans="1:7" x14ac:dyDescent="0.25">
      <c r="A5128" s="101"/>
      <c r="B5128" s="36"/>
      <c r="C5128" s="98"/>
      <c r="D5128" s="98"/>
      <c r="E5128" s="98"/>
      <c r="F5128" s="102"/>
      <c r="G5128" s="103"/>
    </row>
    <row r="5129" spans="1:7" x14ac:dyDescent="0.25">
      <c r="A5129" s="101"/>
      <c r="B5129" s="36"/>
      <c r="C5129" s="98"/>
      <c r="D5129" s="98"/>
      <c r="E5129" s="98"/>
      <c r="F5129" s="102"/>
      <c r="G5129" s="103"/>
    </row>
    <row r="5130" spans="1:7" x14ac:dyDescent="0.25">
      <c r="A5130" s="101"/>
      <c r="B5130" s="36"/>
      <c r="C5130" s="98"/>
      <c r="D5130" s="98"/>
      <c r="E5130" s="98"/>
      <c r="F5130" s="102"/>
      <c r="G5130" s="103"/>
    </row>
    <row r="5131" spans="1:7" x14ac:dyDescent="0.25">
      <c r="A5131" s="101"/>
      <c r="B5131" s="36"/>
      <c r="C5131" s="98"/>
      <c r="D5131" s="98"/>
      <c r="E5131" s="98"/>
      <c r="F5131" s="102"/>
      <c r="G5131" s="103"/>
    </row>
    <row r="5132" spans="1:7" x14ac:dyDescent="0.25">
      <c r="A5132" s="101"/>
      <c r="B5132" s="36"/>
      <c r="C5132" s="98"/>
      <c r="D5132" s="98"/>
      <c r="E5132" s="98"/>
      <c r="F5132" s="102"/>
      <c r="G5132" s="103"/>
    </row>
    <row r="5133" spans="1:7" x14ac:dyDescent="0.25">
      <c r="A5133" s="101"/>
      <c r="B5133" s="36"/>
      <c r="C5133" s="98"/>
      <c r="D5133" s="98"/>
      <c r="E5133" s="98"/>
      <c r="F5133" s="102"/>
      <c r="G5133" s="103"/>
    </row>
    <row r="5134" spans="1:7" x14ac:dyDescent="0.25">
      <c r="A5134" s="101"/>
      <c r="B5134" s="36"/>
      <c r="C5134" s="98"/>
      <c r="D5134" s="98"/>
      <c r="E5134" s="98"/>
      <c r="F5134" s="102"/>
      <c r="G5134" s="103"/>
    </row>
    <row r="5135" spans="1:7" x14ac:dyDescent="0.25">
      <c r="A5135" s="101"/>
      <c r="B5135" s="36"/>
      <c r="C5135" s="98"/>
      <c r="D5135" s="98"/>
      <c r="E5135" s="98"/>
      <c r="F5135" s="102"/>
      <c r="G5135" s="103"/>
    </row>
    <row r="5136" spans="1:7" x14ac:dyDescent="0.25">
      <c r="A5136" s="101"/>
      <c r="B5136" s="36"/>
      <c r="C5136" s="98"/>
      <c r="D5136" s="98"/>
      <c r="E5136" s="98"/>
      <c r="F5136" s="102"/>
      <c r="G5136" s="103"/>
    </row>
    <row r="5137" spans="1:7" x14ac:dyDescent="0.25">
      <c r="A5137" s="101"/>
      <c r="B5137" s="36"/>
      <c r="C5137" s="98"/>
      <c r="D5137" s="98"/>
      <c r="E5137" s="98"/>
      <c r="F5137" s="102"/>
      <c r="G5137" s="103"/>
    </row>
    <row r="5138" spans="1:7" x14ac:dyDescent="0.25">
      <c r="A5138" s="101"/>
      <c r="B5138" s="36"/>
      <c r="C5138" s="98"/>
      <c r="D5138" s="98"/>
      <c r="E5138" s="98"/>
      <c r="F5138" s="102"/>
      <c r="G5138" s="103"/>
    </row>
    <row r="5139" spans="1:7" x14ac:dyDescent="0.25">
      <c r="A5139" s="101"/>
      <c r="B5139" s="36"/>
      <c r="C5139" s="98"/>
      <c r="D5139" s="98"/>
      <c r="E5139" s="98"/>
      <c r="F5139" s="102"/>
      <c r="G5139" s="103"/>
    </row>
    <row r="5140" spans="1:7" x14ac:dyDescent="0.25">
      <c r="A5140" s="101"/>
      <c r="B5140" s="36"/>
      <c r="C5140" s="98"/>
      <c r="D5140" s="98"/>
      <c r="E5140" s="98"/>
      <c r="F5140" s="102"/>
      <c r="G5140" s="103"/>
    </row>
    <row r="5141" spans="1:7" x14ac:dyDescent="0.25">
      <c r="A5141" s="101"/>
      <c r="B5141" s="36"/>
      <c r="C5141" s="98"/>
      <c r="D5141" s="98"/>
      <c r="E5141" s="98"/>
      <c r="F5141" s="102"/>
      <c r="G5141" s="103"/>
    </row>
    <row r="5142" spans="1:7" x14ac:dyDescent="0.25">
      <c r="A5142" s="101"/>
      <c r="B5142" s="36"/>
      <c r="C5142" s="98"/>
      <c r="D5142" s="98"/>
      <c r="E5142" s="98"/>
      <c r="F5142" s="102"/>
      <c r="G5142" s="103"/>
    </row>
    <row r="5143" spans="1:7" x14ac:dyDescent="0.25">
      <c r="A5143" s="101"/>
      <c r="B5143" s="36"/>
      <c r="C5143" s="98"/>
      <c r="D5143" s="98"/>
      <c r="E5143" s="98"/>
      <c r="F5143" s="102"/>
      <c r="G5143" s="103"/>
    </row>
    <row r="5144" spans="1:7" x14ac:dyDescent="0.25">
      <c r="A5144" s="101"/>
      <c r="B5144" s="36"/>
      <c r="C5144" s="98"/>
      <c r="D5144" s="98"/>
      <c r="E5144" s="98"/>
      <c r="F5144" s="102"/>
      <c r="G5144" s="103"/>
    </row>
    <row r="5145" spans="1:7" x14ac:dyDescent="0.25">
      <c r="A5145" s="101"/>
      <c r="B5145" s="36"/>
      <c r="C5145" s="98"/>
      <c r="D5145" s="98"/>
      <c r="E5145" s="98"/>
      <c r="F5145" s="102"/>
      <c r="G5145" s="103"/>
    </row>
    <row r="5146" spans="1:7" x14ac:dyDescent="0.25">
      <c r="A5146" s="101"/>
      <c r="B5146" s="36"/>
      <c r="C5146" s="98"/>
      <c r="D5146" s="98"/>
      <c r="E5146" s="98"/>
      <c r="F5146" s="102"/>
      <c r="G5146" s="103"/>
    </row>
    <row r="5147" spans="1:7" x14ac:dyDescent="0.25">
      <c r="A5147" s="101"/>
      <c r="B5147" s="36"/>
      <c r="C5147" s="98"/>
      <c r="D5147" s="98"/>
      <c r="E5147" s="98"/>
      <c r="F5147" s="102"/>
      <c r="G5147" s="103"/>
    </row>
    <row r="5148" spans="1:7" x14ac:dyDescent="0.25">
      <c r="A5148" s="101"/>
      <c r="B5148" s="36"/>
      <c r="C5148" s="98"/>
      <c r="D5148" s="98"/>
      <c r="E5148" s="98"/>
      <c r="F5148" s="102"/>
      <c r="G5148" s="103"/>
    </row>
    <row r="5149" spans="1:7" x14ac:dyDescent="0.25">
      <c r="A5149" s="101"/>
      <c r="B5149" s="36"/>
      <c r="C5149" s="98"/>
      <c r="D5149" s="98"/>
      <c r="E5149" s="98"/>
      <c r="F5149" s="102"/>
      <c r="G5149" s="103"/>
    </row>
    <row r="5150" spans="1:7" x14ac:dyDescent="0.25">
      <c r="A5150" s="101"/>
      <c r="B5150" s="66"/>
      <c r="C5150" s="98"/>
      <c r="D5150" s="98"/>
      <c r="E5150" s="98"/>
      <c r="F5150" s="102"/>
      <c r="G5150" s="103"/>
    </row>
    <row r="5151" spans="1:7" x14ac:dyDescent="0.25">
      <c r="A5151" s="101"/>
      <c r="B5151" s="67"/>
      <c r="C5151" s="98"/>
      <c r="D5151" s="98"/>
      <c r="E5151" s="98"/>
      <c r="F5151" s="102"/>
      <c r="G5151" s="103"/>
    </row>
    <row r="5152" spans="1:7" x14ac:dyDescent="0.25">
      <c r="A5152" s="101"/>
      <c r="B5152" s="36"/>
      <c r="C5152" s="98"/>
      <c r="D5152" s="98"/>
      <c r="E5152" s="98"/>
      <c r="F5152" s="102"/>
      <c r="G5152" s="103"/>
    </row>
    <row r="5153" spans="1:7" x14ac:dyDescent="0.25">
      <c r="A5153" s="101"/>
      <c r="B5153" s="66"/>
      <c r="C5153" s="98"/>
      <c r="D5153" s="98"/>
      <c r="E5153" s="98"/>
      <c r="F5153" s="102"/>
      <c r="G5153" s="103"/>
    </row>
    <row r="5154" spans="1:7" x14ac:dyDescent="0.25">
      <c r="A5154" s="101"/>
      <c r="B5154" s="36"/>
      <c r="C5154" s="98"/>
      <c r="D5154" s="98"/>
      <c r="E5154" s="98"/>
      <c r="F5154" s="102"/>
      <c r="G5154" s="103"/>
    </row>
    <row r="5155" spans="1:7" x14ac:dyDescent="0.25">
      <c r="A5155" s="101"/>
      <c r="B5155" s="66"/>
      <c r="C5155" s="98"/>
      <c r="D5155" s="98"/>
      <c r="E5155" s="98"/>
      <c r="F5155" s="102"/>
      <c r="G5155" s="103"/>
    </row>
    <row r="5156" spans="1:7" x14ac:dyDescent="0.25">
      <c r="A5156" s="101"/>
      <c r="B5156" s="36"/>
      <c r="C5156" s="98"/>
      <c r="D5156" s="98"/>
      <c r="E5156" s="98"/>
      <c r="F5156" s="102"/>
      <c r="G5156" s="103"/>
    </row>
    <row r="5157" spans="1:7" x14ac:dyDescent="0.25">
      <c r="A5157" s="101"/>
      <c r="B5157" s="36"/>
      <c r="C5157" s="98"/>
      <c r="D5157" s="98"/>
      <c r="E5157" s="98"/>
      <c r="F5157" s="102"/>
      <c r="G5157" s="103"/>
    </row>
    <row r="5158" spans="1:7" x14ac:dyDescent="0.25">
      <c r="A5158" s="101"/>
      <c r="B5158" s="36"/>
      <c r="C5158" s="98"/>
      <c r="D5158" s="98"/>
      <c r="E5158" s="98"/>
      <c r="F5158" s="102"/>
      <c r="G5158" s="103"/>
    </row>
    <row r="5159" spans="1:7" x14ac:dyDescent="0.25">
      <c r="A5159" s="101"/>
      <c r="B5159" s="36"/>
      <c r="C5159" s="98"/>
      <c r="D5159" s="98"/>
      <c r="E5159" s="98"/>
      <c r="F5159" s="102"/>
      <c r="G5159" s="103"/>
    </row>
    <row r="5160" spans="1:7" x14ac:dyDescent="0.25">
      <c r="A5160" s="101"/>
      <c r="B5160" s="36"/>
      <c r="C5160" s="98"/>
      <c r="D5160" s="98"/>
      <c r="E5160" s="98"/>
      <c r="F5160" s="102"/>
      <c r="G5160" s="103"/>
    </row>
    <row r="5161" spans="1:7" x14ac:dyDescent="0.25">
      <c r="A5161" s="101"/>
      <c r="B5161" s="36"/>
      <c r="C5161" s="98"/>
      <c r="D5161" s="98"/>
      <c r="E5161" s="98"/>
      <c r="F5161" s="102"/>
      <c r="G5161" s="103"/>
    </row>
    <row r="5162" spans="1:7" x14ac:dyDescent="0.25">
      <c r="A5162" s="101"/>
      <c r="B5162" s="36"/>
      <c r="C5162" s="98"/>
      <c r="D5162" s="98"/>
      <c r="E5162" s="98"/>
      <c r="F5162" s="102"/>
      <c r="G5162" s="103"/>
    </row>
    <row r="5163" spans="1:7" x14ac:dyDescent="0.25">
      <c r="A5163" s="101"/>
      <c r="B5163" s="36"/>
      <c r="C5163" s="98"/>
      <c r="D5163" s="98"/>
      <c r="E5163" s="98"/>
      <c r="F5163" s="102"/>
      <c r="G5163" s="103"/>
    </row>
    <row r="5164" spans="1:7" x14ac:dyDescent="0.25">
      <c r="A5164" s="101"/>
      <c r="B5164" s="36"/>
      <c r="C5164" s="98"/>
      <c r="D5164" s="98"/>
      <c r="E5164" s="98"/>
      <c r="F5164" s="102"/>
      <c r="G5164" s="103"/>
    </row>
    <row r="5165" spans="1:7" x14ac:dyDescent="0.25">
      <c r="A5165" s="101"/>
      <c r="B5165" s="36"/>
      <c r="C5165" s="98"/>
      <c r="D5165" s="98"/>
      <c r="E5165" s="98"/>
      <c r="F5165" s="102"/>
      <c r="G5165" s="103"/>
    </row>
    <row r="5166" spans="1:7" x14ac:dyDescent="0.25">
      <c r="A5166" s="101"/>
      <c r="B5166" s="36"/>
      <c r="C5166" s="98"/>
      <c r="D5166" s="98"/>
      <c r="E5166" s="98"/>
      <c r="F5166" s="102"/>
      <c r="G5166" s="103"/>
    </row>
    <row r="5167" spans="1:7" x14ac:dyDescent="0.25">
      <c r="A5167" s="101"/>
      <c r="B5167" s="36"/>
      <c r="C5167" s="98"/>
      <c r="D5167" s="98"/>
      <c r="E5167" s="98"/>
      <c r="F5167" s="102"/>
      <c r="G5167" s="103"/>
    </row>
    <row r="5168" spans="1:7" x14ac:dyDescent="0.25">
      <c r="A5168" s="101"/>
      <c r="B5168" s="36"/>
      <c r="C5168" s="98"/>
      <c r="D5168" s="98"/>
      <c r="E5168" s="98"/>
      <c r="F5168" s="102"/>
      <c r="G5168" s="103"/>
    </row>
    <row r="5169" spans="1:7" x14ac:dyDescent="0.25">
      <c r="A5169" s="101"/>
      <c r="B5169" s="36"/>
      <c r="C5169" s="98"/>
      <c r="D5169" s="98"/>
      <c r="E5169" s="98"/>
      <c r="F5169" s="102"/>
      <c r="G5169" s="103"/>
    </row>
    <row r="5170" spans="1:7" x14ac:dyDescent="0.25">
      <c r="A5170" s="101"/>
      <c r="B5170" s="67"/>
      <c r="C5170" s="98"/>
      <c r="D5170" s="98"/>
      <c r="E5170" s="98"/>
      <c r="F5170" s="102"/>
      <c r="G5170" s="103"/>
    </row>
    <row r="5171" spans="1:7" x14ac:dyDescent="0.25">
      <c r="A5171" s="101"/>
      <c r="B5171" s="36"/>
      <c r="C5171" s="98"/>
      <c r="D5171" s="98"/>
      <c r="E5171" s="98"/>
      <c r="F5171" s="102"/>
      <c r="G5171" s="103"/>
    </row>
    <row r="5172" spans="1:7" x14ac:dyDescent="0.25">
      <c r="A5172" s="101"/>
      <c r="B5172" s="36"/>
      <c r="C5172" s="98"/>
      <c r="D5172" s="98"/>
      <c r="E5172" s="98"/>
      <c r="F5172" s="102"/>
      <c r="G5172" s="103"/>
    </row>
    <row r="5173" spans="1:7" x14ac:dyDescent="0.25">
      <c r="A5173" s="101"/>
      <c r="B5173" s="36"/>
      <c r="C5173" s="98"/>
      <c r="D5173" s="98"/>
      <c r="E5173" s="98"/>
      <c r="F5173" s="102"/>
      <c r="G5173" s="103"/>
    </row>
    <row r="5174" spans="1:7" x14ac:dyDescent="0.25">
      <c r="A5174" s="101"/>
      <c r="B5174" s="36"/>
      <c r="C5174" s="98"/>
      <c r="D5174" s="98"/>
      <c r="E5174" s="98"/>
      <c r="F5174" s="102"/>
      <c r="G5174" s="103"/>
    </row>
    <row r="5175" spans="1:7" x14ac:dyDescent="0.25">
      <c r="A5175" s="101"/>
      <c r="B5175" s="36"/>
      <c r="C5175" s="98"/>
      <c r="D5175" s="98"/>
      <c r="E5175" s="98"/>
      <c r="F5175" s="102"/>
      <c r="G5175" s="103"/>
    </row>
    <row r="5176" spans="1:7" x14ac:dyDescent="0.25">
      <c r="A5176" s="101"/>
      <c r="B5176" s="36"/>
      <c r="C5176" s="98"/>
      <c r="D5176" s="98"/>
      <c r="E5176" s="98"/>
      <c r="F5176" s="102"/>
      <c r="G5176" s="103"/>
    </row>
    <row r="5177" spans="1:7" x14ac:dyDescent="0.25">
      <c r="A5177" s="101"/>
      <c r="B5177" s="36"/>
      <c r="C5177" s="98"/>
      <c r="D5177" s="98"/>
      <c r="E5177" s="98"/>
      <c r="F5177" s="102"/>
      <c r="G5177" s="103"/>
    </row>
    <row r="5178" spans="1:7" x14ac:dyDescent="0.25">
      <c r="A5178" s="101"/>
      <c r="B5178" s="36"/>
      <c r="C5178" s="98"/>
      <c r="D5178" s="98"/>
      <c r="E5178" s="98"/>
      <c r="F5178" s="102"/>
      <c r="G5178" s="103"/>
    </row>
    <row r="5179" spans="1:7" x14ac:dyDescent="0.25">
      <c r="A5179" s="101"/>
      <c r="B5179" s="36"/>
      <c r="C5179" s="98"/>
      <c r="D5179" s="98"/>
      <c r="E5179" s="98"/>
      <c r="F5179" s="102"/>
      <c r="G5179" s="103"/>
    </row>
    <row r="5180" spans="1:7" x14ac:dyDescent="0.25">
      <c r="A5180" s="101"/>
      <c r="B5180" s="36"/>
      <c r="C5180" s="98"/>
      <c r="D5180" s="98"/>
      <c r="E5180" s="98"/>
      <c r="F5180" s="102"/>
      <c r="G5180" s="103"/>
    </row>
    <row r="5181" spans="1:7" x14ac:dyDescent="0.25">
      <c r="A5181" s="101"/>
      <c r="B5181" s="36"/>
      <c r="C5181" s="98"/>
      <c r="D5181" s="98"/>
      <c r="E5181" s="98"/>
      <c r="F5181" s="102"/>
      <c r="G5181" s="103"/>
    </row>
    <row r="5182" spans="1:7" x14ac:dyDescent="0.25">
      <c r="A5182" s="101"/>
      <c r="B5182" s="36"/>
      <c r="C5182" s="98"/>
      <c r="D5182" s="98"/>
      <c r="E5182" s="98"/>
      <c r="F5182" s="102"/>
      <c r="G5182" s="103"/>
    </row>
    <row r="5183" spans="1:7" x14ac:dyDescent="0.25">
      <c r="A5183" s="101"/>
      <c r="B5183" s="36"/>
      <c r="C5183" s="98"/>
      <c r="D5183" s="98"/>
      <c r="E5183" s="98"/>
      <c r="F5183" s="102"/>
      <c r="G5183" s="103"/>
    </row>
    <row r="5184" spans="1:7" x14ac:dyDescent="0.25">
      <c r="A5184" s="101"/>
      <c r="B5184" s="36"/>
      <c r="C5184" s="98"/>
      <c r="D5184" s="98"/>
      <c r="E5184" s="98"/>
      <c r="F5184" s="102"/>
      <c r="G5184" s="103"/>
    </row>
    <row r="5185" spans="1:7" x14ac:dyDescent="0.25">
      <c r="A5185" s="101"/>
      <c r="B5185" s="36"/>
      <c r="C5185" s="98"/>
      <c r="D5185" s="98"/>
      <c r="E5185" s="98"/>
      <c r="F5185" s="102"/>
      <c r="G5185" s="103"/>
    </row>
    <row r="5186" spans="1:7" x14ac:dyDescent="0.25">
      <c r="A5186" s="101"/>
      <c r="B5186" s="36"/>
      <c r="C5186" s="98"/>
      <c r="D5186" s="98"/>
      <c r="E5186" s="98"/>
      <c r="F5186" s="102"/>
      <c r="G5186" s="103"/>
    </row>
    <row r="5187" spans="1:7" x14ac:dyDescent="0.25">
      <c r="A5187" s="101"/>
      <c r="B5187" s="36"/>
      <c r="C5187" s="98"/>
      <c r="D5187" s="98"/>
      <c r="E5187" s="98"/>
      <c r="F5187" s="102"/>
      <c r="G5187" s="103"/>
    </row>
    <row r="5188" spans="1:7" x14ac:dyDescent="0.25">
      <c r="A5188" s="101"/>
      <c r="B5188" s="36"/>
      <c r="C5188" s="98"/>
      <c r="D5188" s="98"/>
      <c r="E5188" s="98"/>
      <c r="F5188" s="102"/>
      <c r="G5188" s="103"/>
    </row>
    <row r="5189" spans="1:7" x14ac:dyDescent="0.25">
      <c r="A5189" s="101"/>
      <c r="B5189" s="36"/>
      <c r="C5189" s="98"/>
      <c r="D5189" s="98"/>
      <c r="E5189" s="98"/>
      <c r="F5189" s="102"/>
      <c r="G5189" s="103"/>
    </row>
    <row r="5190" spans="1:7" x14ac:dyDescent="0.25">
      <c r="A5190" s="101"/>
      <c r="B5190" s="36"/>
      <c r="C5190" s="98"/>
      <c r="D5190" s="98"/>
      <c r="E5190" s="98"/>
      <c r="F5190" s="102"/>
      <c r="G5190" s="103"/>
    </row>
    <row r="5191" spans="1:7" x14ac:dyDescent="0.25">
      <c r="A5191" s="101"/>
      <c r="B5191" s="67"/>
      <c r="C5191" s="98"/>
      <c r="D5191" s="98"/>
      <c r="E5191" s="98"/>
      <c r="F5191" s="102"/>
      <c r="G5191" s="103"/>
    </row>
    <row r="5192" spans="1:7" x14ac:dyDescent="0.25">
      <c r="A5192" s="101"/>
      <c r="B5192" s="36"/>
      <c r="C5192" s="98"/>
      <c r="D5192" s="98"/>
      <c r="E5192" s="98"/>
      <c r="F5192" s="102"/>
      <c r="G5192" s="103"/>
    </row>
    <row r="5193" spans="1:7" x14ac:dyDescent="0.25">
      <c r="A5193" s="101"/>
      <c r="B5193" s="36"/>
      <c r="C5193" s="98"/>
      <c r="D5193" s="98"/>
      <c r="E5193" s="98"/>
      <c r="F5193" s="102"/>
      <c r="G5193" s="103"/>
    </row>
    <row r="5194" spans="1:7" x14ac:dyDescent="0.25">
      <c r="A5194" s="101"/>
      <c r="B5194" s="36"/>
      <c r="C5194" s="98"/>
      <c r="D5194" s="98"/>
      <c r="E5194" s="98"/>
      <c r="F5194" s="102"/>
      <c r="G5194" s="103"/>
    </row>
    <row r="5195" spans="1:7" x14ac:dyDescent="0.25">
      <c r="A5195" s="101"/>
      <c r="B5195" s="36"/>
      <c r="C5195" s="98"/>
      <c r="D5195" s="98"/>
      <c r="E5195" s="98"/>
      <c r="F5195" s="102"/>
      <c r="G5195" s="103"/>
    </row>
    <row r="5196" spans="1:7" x14ac:dyDescent="0.25">
      <c r="A5196" s="101"/>
      <c r="B5196" s="36"/>
      <c r="C5196" s="98"/>
      <c r="D5196" s="98"/>
      <c r="E5196" s="98"/>
      <c r="F5196" s="102"/>
      <c r="G5196" s="103"/>
    </row>
    <row r="5197" spans="1:7" x14ac:dyDescent="0.25">
      <c r="A5197" s="101"/>
      <c r="B5197" s="36"/>
      <c r="C5197" s="98"/>
      <c r="D5197" s="98"/>
      <c r="E5197" s="98"/>
      <c r="F5197" s="102"/>
      <c r="G5197" s="103"/>
    </row>
    <row r="5198" spans="1:7" x14ac:dyDescent="0.25">
      <c r="A5198" s="101"/>
      <c r="B5198" s="36"/>
      <c r="C5198" s="98"/>
      <c r="D5198" s="98"/>
      <c r="E5198" s="98"/>
      <c r="F5198" s="102"/>
      <c r="G5198" s="103"/>
    </row>
    <row r="5199" spans="1:7" x14ac:dyDescent="0.25">
      <c r="A5199" s="101"/>
      <c r="B5199" s="68"/>
      <c r="C5199" s="98"/>
      <c r="D5199" s="98"/>
      <c r="E5199" s="98"/>
      <c r="F5199" s="102"/>
      <c r="G5199" s="103"/>
    </row>
    <row r="5200" spans="1:7" x14ac:dyDescent="0.25">
      <c r="A5200" s="101"/>
      <c r="B5200" s="36"/>
      <c r="C5200" s="98"/>
      <c r="D5200" s="98"/>
      <c r="E5200" s="98"/>
      <c r="F5200" s="102"/>
      <c r="G5200" s="103"/>
    </row>
    <row r="5201" spans="1:7" x14ac:dyDescent="0.25">
      <c r="A5201" s="101"/>
      <c r="B5201" s="36"/>
      <c r="C5201" s="98"/>
      <c r="D5201" s="98"/>
      <c r="E5201" s="98"/>
      <c r="F5201" s="102"/>
      <c r="G5201" s="103"/>
    </row>
    <row r="5202" spans="1:7" x14ac:dyDescent="0.25">
      <c r="A5202" s="101"/>
      <c r="B5202" s="66"/>
      <c r="C5202" s="98"/>
      <c r="D5202" s="98"/>
      <c r="E5202" s="98"/>
      <c r="F5202" s="102"/>
      <c r="G5202" s="103"/>
    </row>
    <row r="5203" spans="1:7" x14ac:dyDescent="0.25">
      <c r="A5203" s="101"/>
      <c r="B5203" s="66"/>
      <c r="C5203" s="98"/>
      <c r="D5203" s="98"/>
      <c r="E5203" s="98"/>
      <c r="F5203" s="102"/>
      <c r="G5203" s="103"/>
    </row>
    <row r="5204" spans="1:7" x14ac:dyDescent="0.25">
      <c r="A5204" s="101"/>
      <c r="B5204" s="36"/>
      <c r="C5204" s="98"/>
      <c r="D5204" s="98"/>
      <c r="E5204" s="98"/>
      <c r="F5204" s="102"/>
      <c r="G5204" s="103"/>
    </row>
    <row r="5205" spans="1:7" x14ac:dyDescent="0.25">
      <c r="A5205" s="101"/>
      <c r="B5205" s="36"/>
      <c r="C5205" s="98"/>
      <c r="D5205" s="98"/>
      <c r="E5205" s="98"/>
      <c r="F5205" s="102"/>
      <c r="G5205" s="103"/>
    </row>
    <row r="5206" spans="1:7" x14ac:dyDescent="0.25">
      <c r="A5206" s="101"/>
      <c r="B5206" s="36"/>
      <c r="C5206" s="98"/>
      <c r="D5206" s="98"/>
      <c r="E5206" s="98"/>
      <c r="F5206" s="102"/>
      <c r="G5206" s="103"/>
    </row>
    <row r="5207" spans="1:7" x14ac:dyDescent="0.25">
      <c r="A5207" s="101"/>
      <c r="B5207" s="36"/>
      <c r="C5207" s="98"/>
      <c r="D5207" s="98"/>
      <c r="E5207" s="98"/>
      <c r="F5207" s="102"/>
      <c r="G5207" s="103"/>
    </row>
    <row r="5208" spans="1:7" x14ac:dyDescent="0.25">
      <c r="A5208" s="101"/>
      <c r="B5208" s="36"/>
      <c r="C5208" s="98"/>
      <c r="D5208" s="98"/>
      <c r="E5208" s="98"/>
      <c r="F5208" s="102"/>
      <c r="G5208" s="103"/>
    </row>
    <row r="5209" spans="1:7" x14ac:dyDescent="0.25">
      <c r="A5209" s="101"/>
      <c r="B5209" s="36"/>
      <c r="C5209" s="98"/>
      <c r="D5209" s="98"/>
      <c r="E5209" s="98"/>
      <c r="F5209" s="102"/>
      <c r="G5209" s="103"/>
    </row>
    <row r="5210" spans="1:7" x14ac:dyDescent="0.25">
      <c r="A5210" s="101"/>
      <c r="B5210" s="36"/>
      <c r="C5210" s="98"/>
      <c r="D5210" s="98"/>
      <c r="E5210" s="98"/>
      <c r="F5210" s="102"/>
      <c r="G5210" s="103"/>
    </row>
    <row r="5211" spans="1:7" x14ac:dyDescent="0.25">
      <c r="A5211" s="101"/>
      <c r="B5211" s="36"/>
      <c r="C5211" s="98"/>
      <c r="D5211" s="98"/>
      <c r="E5211" s="98"/>
      <c r="F5211" s="102"/>
      <c r="G5211" s="103"/>
    </row>
    <row r="5212" spans="1:7" x14ac:dyDescent="0.25">
      <c r="A5212" s="101"/>
      <c r="B5212" s="66"/>
      <c r="C5212" s="98"/>
      <c r="D5212" s="98"/>
      <c r="E5212" s="98"/>
      <c r="F5212" s="102"/>
      <c r="G5212" s="103"/>
    </row>
    <row r="5213" spans="1:7" x14ac:dyDescent="0.25">
      <c r="A5213" s="101"/>
      <c r="B5213" s="36"/>
      <c r="C5213" s="98"/>
      <c r="D5213" s="98"/>
      <c r="E5213" s="98"/>
      <c r="F5213" s="102"/>
      <c r="G5213" s="103"/>
    </row>
    <row r="5214" spans="1:7" x14ac:dyDescent="0.25">
      <c r="A5214" s="101"/>
      <c r="B5214" s="36"/>
      <c r="C5214" s="98"/>
      <c r="D5214" s="98"/>
      <c r="E5214" s="98"/>
      <c r="F5214" s="102"/>
      <c r="G5214" s="103"/>
    </row>
    <row r="5215" spans="1:7" x14ac:dyDescent="0.25">
      <c r="A5215" s="101"/>
      <c r="B5215" s="36"/>
      <c r="C5215" s="98"/>
      <c r="D5215" s="98"/>
      <c r="E5215" s="98"/>
      <c r="F5215" s="102"/>
      <c r="G5215" s="103"/>
    </row>
    <row r="5216" spans="1:7" x14ac:dyDescent="0.25">
      <c r="A5216" s="101"/>
      <c r="B5216" s="36"/>
      <c r="C5216" s="98"/>
      <c r="D5216" s="98"/>
      <c r="E5216" s="98"/>
      <c r="F5216" s="102"/>
      <c r="G5216" s="103"/>
    </row>
    <row r="5217" spans="1:7" x14ac:dyDescent="0.25">
      <c r="A5217" s="101"/>
      <c r="B5217" s="36"/>
      <c r="C5217" s="98"/>
      <c r="D5217" s="98"/>
      <c r="E5217" s="98"/>
      <c r="F5217" s="102"/>
      <c r="G5217" s="103"/>
    </row>
    <row r="5218" spans="1:7" x14ac:dyDescent="0.25">
      <c r="A5218" s="101"/>
      <c r="B5218" s="36"/>
      <c r="C5218" s="98"/>
      <c r="D5218" s="98"/>
      <c r="E5218" s="98"/>
      <c r="F5218" s="102"/>
      <c r="G5218" s="103"/>
    </row>
    <row r="5219" spans="1:7" x14ac:dyDescent="0.25">
      <c r="A5219" s="101"/>
      <c r="B5219" s="36"/>
      <c r="C5219" s="98"/>
      <c r="D5219" s="98"/>
      <c r="E5219" s="98"/>
      <c r="F5219" s="102"/>
      <c r="G5219" s="103"/>
    </row>
    <row r="5220" spans="1:7" x14ac:dyDescent="0.25">
      <c r="A5220" s="101"/>
      <c r="B5220" s="36"/>
      <c r="C5220" s="98"/>
      <c r="D5220" s="98"/>
      <c r="E5220" s="98"/>
      <c r="F5220" s="102"/>
      <c r="G5220" s="103"/>
    </row>
    <row r="5221" spans="1:7" x14ac:dyDescent="0.25">
      <c r="A5221" s="101"/>
      <c r="B5221" s="36"/>
      <c r="C5221" s="98"/>
      <c r="D5221" s="98"/>
      <c r="E5221" s="98"/>
      <c r="F5221" s="102"/>
      <c r="G5221" s="103"/>
    </row>
    <row r="5222" spans="1:7" x14ac:dyDescent="0.25">
      <c r="A5222" s="101"/>
      <c r="B5222" s="36"/>
      <c r="C5222" s="98"/>
      <c r="D5222" s="98"/>
      <c r="E5222" s="98"/>
      <c r="F5222" s="102"/>
      <c r="G5222" s="103"/>
    </row>
    <row r="5223" spans="1:7" x14ac:dyDescent="0.25">
      <c r="A5223" s="101"/>
      <c r="B5223" s="36"/>
      <c r="C5223" s="98"/>
      <c r="D5223" s="98"/>
      <c r="E5223" s="98"/>
      <c r="F5223" s="102"/>
      <c r="G5223" s="103"/>
    </row>
    <row r="5224" spans="1:7" x14ac:dyDescent="0.25">
      <c r="A5224" s="101"/>
      <c r="B5224" s="36"/>
      <c r="C5224" s="98"/>
      <c r="D5224" s="98"/>
      <c r="E5224" s="98"/>
      <c r="F5224" s="102"/>
      <c r="G5224" s="103"/>
    </row>
    <row r="5225" spans="1:7" x14ac:dyDescent="0.25">
      <c r="A5225" s="101"/>
      <c r="B5225" s="36"/>
      <c r="C5225" s="98"/>
      <c r="D5225" s="98"/>
      <c r="E5225" s="98"/>
      <c r="F5225" s="102"/>
      <c r="G5225" s="103"/>
    </row>
    <row r="5226" spans="1:7" x14ac:dyDescent="0.25">
      <c r="A5226" s="101"/>
      <c r="B5226" s="36"/>
      <c r="C5226" s="98"/>
      <c r="D5226" s="98"/>
      <c r="E5226" s="98"/>
      <c r="F5226" s="102"/>
      <c r="G5226" s="103"/>
    </row>
    <row r="5227" spans="1:7" x14ac:dyDescent="0.25">
      <c r="A5227" s="101"/>
      <c r="B5227" s="36"/>
      <c r="C5227" s="98"/>
      <c r="D5227" s="98"/>
      <c r="E5227" s="98"/>
      <c r="F5227" s="102"/>
      <c r="G5227" s="103"/>
    </row>
    <row r="5228" spans="1:7" x14ac:dyDescent="0.25">
      <c r="A5228" s="101"/>
      <c r="B5228" s="66"/>
      <c r="C5228" s="98"/>
      <c r="D5228" s="98"/>
      <c r="E5228" s="98"/>
      <c r="F5228" s="102"/>
      <c r="G5228" s="103"/>
    </row>
    <row r="5229" spans="1:7" x14ac:dyDescent="0.25">
      <c r="A5229" s="101"/>
      <c r="B5229" s="36"/>
      <c r="C5229" s="98"/>
      <c r="D5229" s="98"/>
      <c r="E5229" s="98"/>
      <c r="F5229" s="102"/>
      <c r="G5229" s="103"/>
    </row>
    <row r="5230" spans="1:7" x14ac:dyDescent="0.25">
      <c r="A5230" s="101"/>
      <c r="B5230" s="36"/>
      <c r="C5230" s="98"/>
      <c r="D5230" s="98"/>
      <c r="E5230" s="98"/>
      <c r="F5230" s="102"/>
      <c r="G5230" s="103"/>
    </row>
    <row r="5231" spans="1:7" x14ac:dyDescent="0.25">
      <c r="A5231" s="101"/>
      <c r="B5231" s="36"/>
      <c r="C5231" s="98"/>
      <c r="D5231" s="98"/>
      <c r="E5231" s="98"/>
      <c r="F5231" s="102"/>
      <c r="G5231" s="103"/>
    </row>
    <row r="5232" spans="1:7" x14ac:dyDescent="0.25">
      <c r="A5232" s="101"/>
      <c r="B5232" s="36"/>
      <c r="C5232" s="98"/>
      <c r="D5232" s="98"/>
      <c r="E5232" s="98"/>
      <c r="F5232" s="102"/>
      <c r="G5232" s="103"/>
    </row>
    <row r="5233" spans="1:7" x14ac:dyDescent="0.25">
      <c r="A5233" s="101"/>
      <c r="B5233" s="36"/>
      <c r="C5233" s="98"/>
      <c r="D5233" s="98"/>
      <c r="E5233" s="98"/>
      <c r="F5233" s="102"/>
      <c r="G5233" s="103"/>
    </row>
    <row r="5234" spans="1:7" x14ac:dyDescent="0.25">
      <c r="A5234" s="101"/>
      <c r="B5234" s="36"/>
      <c r="C5234" s="98"/>
      <c r="D5234" s="98"/>
      <c r="E5234" s="98"/>
      <c r="F5234" s="102"/>
      <c r="G5234" s="103"/>
    </row>
    <row r="5235" spans="1:7" x14ac:dyDescent="0.25">
      <c r="A5235" s="101"/>
      <c r="B5235" s="36"/>
      <c r="C5235" s="98"/>
      <c r="D5235" s="98"/>
      <c r="E5235" s="98"/>
      <c r="F5235" s="102"/>
      <c r="G5235" s="103"/>
    </row>
    <row r="5236" spans="1:7" x14ac:dyDescent="0.25">
      <c r="A5236" s="101"/>
      <c r="B5236" s="66"/>
      <c r="C5236" s="98"/>
      <c r="D5236" s="98"/>
      <c r="E5236" s="98"/>
      <c r="F5236" s="102"/>
      <c r="G5236" s="103"/>
    </row>
    <row r="5237" spans="1:7" x14ac:dyDescent="0.25">
      <c r="A5237" s="101"/>
      <c r="B5237" s="66"/>
      <c r="C5237" s="98"/>
      <c r="D5237" s="98"/>
      <c r="E5237" s="98"/>
      <c r="F5237" s="102"/>
      <c r="G5237" s="103"/>
    </row>
    <row r="5238" spans="1:7" x14ac:dyDescent="0.25">
      <c r="A5238" s="101"/>
      <c r="B5238" s="36"/>
      <c r="C5238" s="98"/>
      <c r="D5238" s="98"/>
      <c r="E5238" s="98"/>
      <c r="F5238" s="102"/>
      <c r="G5238" s="103"/>
    </row>
    <row r="5239" spans="1:7" x14ac:dyDescent="0.25">
      <c r="A5239" s="101"/>
      <c r="B5239" s="67"/>
      <c r="C5239" s="98"/>
      <c r="D5239" s="98"/>
      <c r="E5239" s="98"/>
      <c r="F5239" s="102"/>
      <c r="G5239" s="103"/>
    </row>
    <row r="5240" spans="1:7" x14ac:dyDescent="0.25">
      <c r="A5240" s="101"/>
      <c r="B5240" s="36"/>
      <c r="C5240" s="98"/>
      <c r="D5240" s="98"/>
      <c r="E5240" s="98"/>
      <c r="F5240" s="102"/>
      <c r="G5240" s="103"/>
    </row>
    <row r="5241" spans="1:7" x14ac:dyDescent="0.25">
      <c r="A5241" s="101"/>
      <c r="B5241" s="36"/>
      <c r="C5241" s="98"/>
      <c r="D5241" s="98"/>
      <c r="E5241" s="98"/>
      <c r="F5241" s="102"/>
      <c r="G5241" s="103"/>
    </row>
    <row r="5242" spans="1:7" x14ac:dyDescent="0.25">
      <c r="A5242" s="101"/>
      <c r="B5242" s="36"/>
      <c r="C5242" s="98"/>
      <c r="D5242" s="98"/>
      <c r="E5242" s="98"/>
      <c r="F5242" s="102"/>
      <c r="G5242" s="103"/>
    </row>
    <row r="5243" spans="1:7" x14ac:dyDescent="0.25">
      <c r="A5243" s="101"/>
      <c r="B5243" s="36"/>
      <c r="C5243" s="98"/>
      <c r="D5243" s="98"/>
      <c r="E5243" s="98"/>
      <c r="F5243" s="102"/>
      <c r="G5243" s="103"/>
    </row>
    <row r="5244" spans="1:7" x14ac:dyDescent="0.25">
      <c r="A5244" s="101"/>
      <c r="B5244" s="36"/>
      <c r="C5244" s="98"/>
      <c r="D5244" s="98"/>
      <c r="E5244" s="98"/>
      <c r="F5244" s="102"/>
      <c r="G5244" s="103"/>
    </row>
    <row r="5245" spans="1:7" x14ac:dyDescent="0.25">
      <c r="A5245" s="101"/>
      <c r="B5245" s="36"/>
      <c r="C5245" s="98"/>
      <c r="D5245" s="98"/>
      <c r="E5245" s="98"/>
      <c r="F5245" s="102"/>
      <c r="G5245" s="103"/>
    </row>
    <row r="5246" spans="1:7" x14ac:dyDescent="0.25">
      <c r="A5246" s="101"/>
      <c r="B5246" s="36"/>
      <c r="C5246" s="98"/>
      <c r="D5246" s="98"/>
      <c r="E5246" s="98"/>
      <c r="F5246" s="102"/>
      <c r="G5246" s="103"/>
    </row>
    <row r="5247" spans="1:7" x14ac:dyDescent="0.25">
      <c r="A5247" s="101"/>
      <c r="B5247" s="36"/>
      <c r="C5247" s="98"/>
      <c r="D5247" s="98"/>
      <c r="E5247" s="98"/>
      <c r="F5247" s="102"/>
      <c r="G5247" s="103"/>
    </row>
    <row r="5248" spans="1:7" x14ac:dyDescent="0.25">
      <c r="A5248" s="101"/>
      <c r="B5248" s="36"/>
      <c r="C5248" s="98"/>
      <c r="D5248" s="98"/>
      <c r="E5248" s="98"/>
      <c r="F5248" s="102"/>
      <c r="G5248" s="103"/>
    </row>
    <row r="5249" spans="1:7" x14ac:dyDescent="0.25">
      <c r="A5249" s="101"/>
      <c r="B5249" s="36"/>
      <c r="C5249" s="98"/>
      <c r="D5249" s="98"/>
      <c r="E5249" s="98"/>
      <c r="F5249" s="102"/>
      <c r="G5249" s="103"/>
    </row>
    <row r="5250" spans="1:7" x14ac:dyDescent="0.25">
      <c r="A5250" s="101"/>
      <c r="B5250" s="36"/>
      <c r="C5250" s="98"/>
      <c r="D5250" s="98"/>
      <c r="E5250" s="98"/>
      <c r="F5250" s="102"/>
      <c r="G5250" s="103"/>
    </row>
    <row r="5251" spans="1:7" x14ac:dyDescent="0.25">
      <c r="A5251" s="101"/>
      <c r="B5251" s="36"/>
      <c r="C5251" s="98"/>
      <c r="D5251" s="98"/>
      <c r="E5251" s="98"/>
      <c r="F5251" s="102"/>
      <c r="G5251" s="103"/>
    </row>
    <row r="5252" spans="1:7" x14ac:dyDescent="0.25">
      <c r="A5252" s="101"/>
      <c r="B5252" s="36"/>
      <c r="C5252" s="98"/>
      <c r="D5252" s="98"/>
      <c r="E5252" s="98"/>
      <c r="F5252" s="102"/>
      <c r="G5252" s="103"/>
    </row>
    <row r="5253" spans="1:7" x14ac:dyDescent="0.25">
      <c r="A5253" s="101"/>
      <c r="B5253" s="36"/>
      <c r="C5253" s="98"/>
      <c r="D5253" s="98"/>
      <c r="E5253" s="98"/>
      <c r="F5253" s="102"/>
      <c r="G5253" s="103"/>
    </row>
    <row r="5254" spans="1:7" x14ac:dyDescent="0.25">
      <c r="A5254" s="101"/>
      <c r="B5254" s="36"/>
      <c r="C5254" s="98"/>
      <c r="D5254" s="98"/>
      <c r="E5254" s="98"/>
      <c r="F5254" s="102"/>
      <c r="G5254" s="103"/>
    </row>
    <row r="5255" spans="1:7" x14ac:dyDescent="0.25">
      <c r="A5255" s="101"/>
      <c r="B5255" s="36"/>
      <c r="C5255" s="98"/>
      <c r="D5255" s="98"/>
      <c r="E5255" s="98"/>
      <c r="F5255" s="102"/>
      <c r="G5255" s="103"/>
    </row>
    <row r="5256" spans="1:7" x14ac:dyDescent="0.25">
      <c r="A5256" s="101"/>
      <c r="B5256" s="36"/>
      <c r="C5256" s="98"/>
      <c r="D5256" s="98"/>
      <c r="E5256" s="98"/>
      <c r="F5256" s="102"/>
      <c r="G5256" s="103"/>
    </row>
    <row r="5257" spans="1:7" x14ac:dyDescent="0.25">
      <c r="A5257" s="101"/>
      <c r="B5257" s="36"/>
      <c r="C5257" s="98"/>
      <c r="D5257" s="98"/>
      <c r="E5257" s="98"/>
      <c r="F5257" s="102"/>
      <c r="G5257" s="103"/>
    </row>
    <row r="5258" spans="1:7" x14ac:dyDescent="0.25">
      <c r="A5258" s="101"/>
      <c r="B5258" s="36"/>
      <c r="C5258" s="98"/>
      <c r="D5258" s="98"/>
      <c r="E5258" s="98"/>
      <c r="F5258" s="102"/>
      <c r="G5258" s="103"/>
    </row>
    <row r="5259" spans="1:7" x14ac:dyDescent="0.25">
      <c r="A5259" s="101"/>
      <c r="B5259" s="36"/>
      <c r="C5259" s="98"/>
      <c r="D5259" s="98"/>
      <c r="E5259" s="98"/>
      <c r="F5259" s="102"/>
      <c r="G5259" s="103"/>
    </row>
    <row r="5260" spans="1:7" x14ac:dyDescent="0.25">
      <c r="A5260" s="101"/>
      <c r="B5260" s="36"/>
      <c r="C5260" s="98"/>
      <c r="D5260" s="98"/>
      <c r="E5260" s="98"/>
      <c r="F5260" s="102"/>
      <c r="G5260" s="103"/>
    </row>
    <row r="5261" spans="1:7" x14ac:dyDescent="0.25">
      <c r="A5261" s="101"/>
      <c r="B5261" s="36"/>
      <c r="C5261" s="98"/>
      <c r="D5261" s="98"/>
      <c r="E5261" s="98"/>
      <c r="F5261" s="102"/>
      <c r="G5261" s="103"/>
    </row>
    <row r="5262" spans="1:7" x14ac:dyDescent="0.25">
      <c r="A5262" s="101"/>
      <c r="B5262" s="36"/>
      <c r="C5262" s="98"/>
      <c r="D5262" s="98"/>
      <c r="E5262" s="98"/>
      <c r="F5262" s="102"/>
      <c r="G5262" s="103"/>
    </row>
    <row r="5263" spans="1:7" x14ac:dyDescent="0.25">
      <c r="A5263" s="101"/>
      <c r="B5263" s="36"/>
      <c r="C5263" s="98"/>
      <c r="D5263" s="98"/>
      <c r="E5263" s="98"/>
      <c r="F5263" s="102"/>
      <c r="G5263" s="103"/>
    </row>
    <row r="5264" spans="1:7" x14ac:dyDescent="0.25">
      <c r="A5264" s="101"/>
      <c r="B5264" s="36"/>
      <c r="C5264" s="98"/>
      <c r="D5264" s="98"/>
      <c r="E5264" s="98"/>
      <c r="F5264" s="102"/>
      <c r="G5264" s="103"/>
    </row>
    <row r="5265" spans="1:7" x14ac:dyDescent="0.25">
      <c r="A5265" s="101"/>
      <c r="B5265" s="66"/>
      <c r="C5265" s="98"/>
      <c r="D5265" s="98"/>
      <c r="E5265" s="98"/>
      <c r="F5265" s="102"/>
      <c r="G5265" s="103"/>
    </row>
    <row r="5266" spans="1:7" x14ac:dyDescent="0.25">
      <c r="A5266" s="101"/>
      <c r="B5266" s="66"/>
      <c r="C5266" s="98"/>
      <c r="D5266" s="98"/>
      <c r="E5266" s="98"/>
      <c r="F5266" s="102"/>
      <c r="G5266" s="103"/>
    </row>
    <row r="5267" spans="1:7" x14ac:dyDescent="0.25">
      <c r="A5267" s="101"/>
      <c r="B5267" s="66"/>
      <c r="C5267" s="98"/>
      <c r="D5267" s="98"/>
      <c r="E5267" s="98"/>
      <c r="F5267" s="102"/>
      <c r="G5267" s="103"/>
    </row>
    <row r="5268" spans="1:7" x14ac:dyDescent="0.25">
      <c r="A5268" s="101"/>
      <c r="B5268" s="66"/>
      <c r="C5268" s="98"/>
      <c r="D5268" s="98"/>
      <c r="E5268" s="98"/>
      <c r="F5268" s="102"/>
      <c r="G5268" s="103"/>
    </row>
    <row r="5269" spans="1:7" x14ac:dyDescent="0.25">
      <c r="A5269" s="101"/>
      <c r="B5269" s="36"/>
      <c r="C5269" s="98"/>
      <c r="D5269" s="98"/>
      <c r="E5269" s="98"/>
      <c r="F5269" s="102"/>
      <c r="G5269" s="103"/>
    </row>
    <row r="5270" spans="1:7" x14ac:dyDescent="0.25">
      <c r="A5270" s="101"/>
      <c r="B5270" s="36"/>
      <c r="C5270" s="98"/>
      <c r="D5270" s="98"/>
      <c r="E5270" s="98"/>
      <c r="F5270" s="102"/>
      <c r="G5270" s="103"/>
    </row>
    <row r="5271" spans="1:7" x14ac:dyDescent="0.25">
      <c r="A5271" s="101"/>
      <c r="B5271" s="36"/>
      <c r="C5271" s="98"/>
      <c r="D5271" s="98"/>
      <c r="E5271" s="98"/>
      <c r="F5271" s="102"/>
      <c r="G5271" s="103"/>
    </row>
    <row r="5272" spans="1:7" x14ac:dyDescent="0.25">
      <c r="A5272" s="101"/>
      <c r="B5272" s="36"/>
      <c r="C5272" s="98"/>
      <c r="D5272" s="98"/>
      <c r="E5272" s="98"/>
      <c r="F5272" s="102"/>
      <c r="G5272" s="103"/>
    </row>
    <row r="5273" spans="1:7" x14ac:dyDescent="0.25">
      <c r="A5273" s="101"/>
      <c r="B5273" s="36"/>
      <c r="C5273" s="98"/>
      <c r="D5273" s="98"/>
      <c r="E5273" s="98"/>
      <c r="F5273" s="102"/>
      <c r="G5273" s="103"/>
    </row>
    <row r="5274" spans="1:7" x14ac:dyDescent="0.25">
      <c r="A5274" s="101"/>
      <c r="B5274" s="36"/>
      <c r="C5274" s="98"/>
      <c r="D5274" s="98"/>
      <c r="E5274" s="98"/>
      <c r="F5274" s="102"/>
      <c r="G5274" s="103"/>
    </row>
    <row r="5275" spans="1:7" x14ac:dyDescent="0.25">
      <c r="A5275" s="101"/>
      <c r="B5275" s="36"/>
      <c r="C5275" s="98"/>
      <c r="D5275" s="98"/>
      <c r="E5275" s="98"/>
      <c r="F5275" s="102"/>
      <c r="G5275" s="103"/>
    </row>
    <row r="5276" spans="1:7" x14ac:dyDescent="0.25">
      <c r="A5276" s="101"/>
      <c r="B5276" s="36"/>
      <c r="C5276" s="98"/>
      <c r="D5276" s="98"/>
      <c r="E5276" s="98"/>
      <c r="F5276" s="102"/>
      <c r="G5276" s="103"/>
    </row>
    <row r="5277" spans="1:7" x14ac:dyDescent="0.25">
      <c r="A5277" s="101"/>
      <c r="B5277" s="36"/>
      <c r="C5277" s="98"/>
      <c r="D5277" s="98"/>
      <c r="E5277" s="98"/>
      <c r="F5277" s="102"/>
      <c r="G5277" s="103"/>
    </row>
    <row r="5278" spans="1:7" x14ac:dyDescent="0.25">
      <c r="A5278" s="101"/>
      <c r="B5278" s="36"/>
      <c r="C5278" s="98"/>
      <c r="D5278" s="98"/>
      <c r="E5278" s="98"/>
      <c r="F5278" s="102"/>
      <c r="G5278" s="103"/>
    </row>
    <row r="5279" spans="1:7" x14ac:dyDescent="0.25">
      <c r="A5279" s="101"/>
      <c r="B5279" s="36"/>
      <c r="C5279" s="98"/>
      <c r="D5279" s="98"/>
      <c r="E5279" s="98"/>
      <c r="F5279" s="102"/>
      <c r="G5279" s="103"/>
    </row>
    <row r="5280" spans="1:7" x14ac:dyDescent="0.25">
      <c r="A5280" s="101"/>
      <c r="B5280" s="36"/>
      <c r="C5280" s="98"/>
      <c r="D5280" s="98"/>
      <c r="E5280" s="98"/>
      <c r="F5280" s="102"/>
      <c r="G5280" s="103"/>
    </row>
    <row r="5281" spans="1:7" x14ac:dyDescent="0.25">
      <c r="A5281" s="101"/>
      <c r="B5281" s="36"/>
      <c r="C5281" s="98"/>
      <c r="D5281" s="98"/>
      <c r="E5281" s="98"/>
      <c r="F5281" s="102"/>
      <c r="G5281" s="103"/>
    </row>
    <row r="5282" spans="1:7" x14ac:dyDescent="0.25">
      <c r="A5282" s="101"/>
      <c r="B5282" s="36"/>
      <c r="C5282" s="98"/>
      <c r="D5282" s="98"/>
      <c r="E5282" s="98"/>
      <c r="F5282" s="102"/>
      <c r="G5282" s="103"/>
    </row>
    <row r="5283" spans="1:7" x14ac:dyDescent="0.25">
      <c r="A5283" s="101"/>
      <c r="B5283" s="36"/>
      <c r="C5283" s="98"/>
      <c r="D5283" s="98"/>
      <c r="E5283" s="98"/>
      <c r="F5283" s="102"/>
      <c r="G5283" s="103"/>
    </row>
    <row r="5284" spans="1:7" x14ac:dyDescent="0.25">
      <c r="A5284" s="101"/>
      <c r="B5284" s="36"/>
      <c r="C5284" s="98"/>
      <c r="D5284" s="98"/>
      <c r="E5284" s="98"/>
      <c r="F5284" s="102"/>
      <c r="G5284" s="103"/>
    </row>
    <row r="5285" spans="1:7" x14ac:dyDescent="0.25">
      <c r="A5285" s="101"/>
      <c r="B5285" s="36"/>
      <c r="C5285" s="98"/>
      <c r="D5285" s="98"/>
      <c r="E5285" s="98"/>
      <c r="F5285" s="102"/>
      <c r="G5285" s="103"/>
    </row>
    <row r="5286" spans="1:7" x14ac:dyDescent="0.25">
      <c r="A5286" s="101"/>
      <c r="B5286" s="36"/>
      <c r="C5286" s="98"/>
      <c r="D5286" s="98"/>
      <c r="E5286" s="98"/>
      <c r="F5286" s="102"/>
      <c r="G5286" s="103"/>
    </row>
    <row r="5287" spans="1:7" x14ac:dyDescent="0.25">
      <c r="A5287" s="101"/>
      <c r="B5287" s="67"/>
      <c r="C5287" s="98"/>
      <c r="D5287" s="98"/>
      <c r="E5287" s="98"/>
      <c r="F5287" s="102"/>
      <c r="G5287" s="103"/>
    </row>
    <row r="5288" spans="1:7" x14ac:dyDescent="0.25">
      <c r="A5288" s="101"/>
      <c r="B5288" s="36"/>
      <c r="C5288" s="98"/>
      <c r="D5288" s="98"/>
      <c r="E5288" s="98"/>
      <c r="F5288" s="102"/>
      <c r="G5288" s="103"/>
    </row>
    <row r="5289" spans="1:7" x14ac:dyDescent="0.25">
      <c r="A5289" s="101"/>
      <c r="B5289" s="36"/>
      <c r="C5289" s="98"/>
      <c r="D5289" s="98"/>
      <c r="E5289" s="98"/>
      <c r="F5289" s="102"/>
      <c r="G5289" s="103"/>
    </row>
    <row r="5290" spans="1:7" x14ac:dyDescent="0.25">
      <c r="A5290" s="101"/>
      <c r="B5290" s="36"/>
      <c r="C5290" s="98"/>
      <c r="D5290" s="98"/>
      <c r="E5290" s="98"/>
      <c r="F5290" s="102"/>
      <c r="G5290" s="103"/>
    </row>
    <row r="5291" spans="1:7" x14ac:dyDescent="0.25">
      <c r="A5291" s="101"/>
      <c r="B5291" s="36"/>
      <c r="C5291" s="98"/>
      <c r="D5291" s="98"/>
      <c r="E5291" s="98"/>
      <c r="F5291" s="102"/>
      <c r="G5291" s="103"/>
    </row>
    <row r="5292" spans="1:7" x14ac:dyDescent="0.25">
      <c r="A5292" s="101"/>
      <c r="B5292" s="36"/>
      <c r="C5292" s="98"/>
      <c r="D5292" s="98"/>
      <c r="E5292" s="98"/>
      <c r="F5292" s="102"/>
      <c r="G5292" s="103"/>
    </row>
    <row r="5293" spans="1:7" x14ac:dyDescent="0.25">
      <c r="A5293" s="101"/>
      <c r="B5293" s="36"/>
      <c r="C5293" s="98"/>
      <c r="D5293" s="98"/>
      <c r="E5293" s="98"/>
      <c r="F5293" s="102"/>
      <c r="G5293" s="103"/>
    </row>
    <row r="5294" spans="1:7" x14ac:dyDescent="0.25">
      <c r="A5294" s="101"/>
      <c r="B5294" s="67"/>
      <c r="C5294" s="98"/>
      <c r="D5294" s="98"/>
      <c r="E5294" s="98"/>
      <c r="F5294" s="102"/>
      <c r="G5294" s="103"/>
    </row>
    <row r="5295" spans="1:7" x14ac:dyDescent="0.25">
      <c r="A5295" s="101"/>
      <c r="B5295" s="36"/>
      <c r="C5295" s="98"/>
      <c r="D5295" s="98"/>
      <c r="E5295" s="98"/>
      <c r="F5295" s="102"/>
      <c r="G5295" s="103"/>
    </row>
    <row r="5296" spans="1:7" x14ac:dyDescent="0.25">
      <c r="A5296" s="101"/>
      <c r="B5296" s="36"/>
      <c r="C5296" s="98"/>
      <c r="D5296" s="98"/>
      <c r="E5296" s="98"/>
      <c r="F5296" s="102"/>
      <c r="G5296" s="103"/>
    </row>
    <row r="5297" spans="1:7" x14ac:dyDescent="0.25">
      <c r="A5297" s="101"/>
      <c r="B5297" s="36"/>
      <c r="C5297" s="98"/>
      <c r="D5297" s="98"/>
      <c r="E5297" s="98"/>
      <c r="F5297" s="102"/>
      <c r="G5297" s="103"/>
    </row>
    <row r="5298" spans="1:7" x14ac:dyDescent="0.25">
      <c r="A5298" s="101"/>
      <c r="B5298" s="36"/>
      <c r="C5298" s="98"/>
      <c r="D5298" s="98"/>
      <c r="E5298" s="98"/>
      <c r="F5298" s="102"/>
      <c r="G5298" s="103"/>
    </row>
    <row r="5299" spans="1:7" x14ac:dyDescent="0.25">
      <c r="A5299" s="101"/>
      <c r="B5299" s="36"/>
      <c r="C5299" s="98"/>
      <c r="D5299" s="98"/>
      <c r="E5299" s="98"/>
      <c r="F5299" s="102"/>
      <c r="G5299" s="103"/>
    </row>
    <row r="5300" spans="1:7" x14ac:dyDescent="0.25">
      <c r="A5300" s="101"/>
      <c r="B5300" s="36"/>
      <c r="C5300" s="98"/>
      <c r="D5300" s="98"/>
      <c r="E5300" s="98"/>
      <c r="F5300" s="102"/>
      <c r="G5300" s="103"/>
    </row>
    <row r="5301" spans="1:7" x14ac:dyDescent="0.25">
      <c r="A5301" s="101"/>
      <c r="B5301" s="36"/>
      <c r="C5301" s="98"/>
      <c r="D5301" s="98"/>
      <c r="E5301" s="98"/>
      <c r="F5301" s="102"/>
      <c r="G5301" s="103"/>
    </row>
    <row r="5302" spans="1:7" x14ac:dyDescent="0.25">
      <c r="A5302" s="101"/>
      <c r="B5302" s="36"/>
      <c r="C5302" s="98"/>
      <c r="D5302" s="98"/>
      <c r="E5302" s="98"/>
      <c r="F5302" s="102"/>
      <c r="G5302" s="103"/>
    </row>
    <row r="5303" spans="1:7" x14ac:dyDescent="0.25">
      <c r="A5303" s="101"/>
      <c r="B5303" s="36"/>
      <c r="C5303" s="98"/>
      <c r="D5303" s="98"/>
      <c r="E5303" s="98"/>
      <c r="F5303" s="102"/>
      <c r="G5303" s="103"/>
    </row>
    <row r="5304" spans="1:7" x14ac:dyDescent="0.25">
      <c r="A5304" s="101"/>
      <c r="B5304" s="36"/>
      <c r="C5304" s="98"/>
      <c r="D5304" s="98"/>
      <c r="E5304" s="98"/>
      <c r="F5304" s="102"/>
      <c r="G5304" s="103"/>
    </row>
    <row r="5305" spans="1:7" x14ac:dyDescent="0.25">
      <c r="A5305" s="101"/>
      <c r="B5305" s="36"/>
      <c r="C5305" s="98"/>
      <c r="D5305" s="98"/>
      <c r="E5305" s="98"/>
      <c r="F5305" s="102"/>
      <c r="G5305" s="103"/>
    </row>
    <row r="5306" spans="1:7" x14ac:dyDescent="0.25">
      <c r="A5306" s="101"/>
      <c r="B5306" s="36"/>
      <c r="C5306" s="98"/>
      <c r="D5306" s="98"/>
      <c r="E5306" s="98"/>
      <c r="F5306" s="102"/>
      <c r="G5306" s="103"/>
    </row>
    <row r="5307" spans="1:7" x14ac:dyDescent="0.25">
      <c r="A5307" s="101"/>
      <c r="B5307" s="36"/>
      <c r="C5307" s="98"/>
      <c r="D5307" s="98"/>
      <c r="E5307" s="98"/>
      <c r="F5307" s="102"/>
      <c r="G5307" s="103"/>
    </row>
    <row r="5308" spans="1:7" x14ac:dyDescent="0.25">
      <c r="A5308" s="101"/>
      <c r="B5308" s="36"/>
      <c r="C5308" s="98"/>
      <c r="D5308" s="98"/>
      <c r="E5308" s="98"/>
      <c r="F5308" s="102"/>
      <c r="G5308" s="103"/>
    </row>
    <row r="5309" spans="1:7" x14ac:dyDescent="0.25">
      <c r="A5309" s="101"/>
      <c r="B5309" s="36"/>
      <c r="C5309" s="98"/>
      <c r="D5309" s="98"/>
      <c r="E5309" s="98"/>
      <c r="F5309" s="102"/>
      <c r="G5309" s="103"/>
    </row>
    <row r="5310" spans="1:7" x14ac:dyDescent="0.25">
      <c r="A5310" s="101"/>
      <c r="B5310" s="36"/>
      <c r="C5310" s="98"/>
      <c r="D5310" s="98"/>
      <c r="E5310" s="98"/>
      <c r="F5310" s="102"/>
      <c r="G5310" s="103"/>
    </row>
    <row r="5311" spans="1:7" x14ac:dyDescent="0.25">
      <c r="A5311" s="101"/>
      <c r="B5311" s="36"/>
      <c r="C5311" s="98"/>
      <c r="D5311" s="98"/>
      <c r="E5311" s="98"/>
      <c r="F5311" s="102"/>
      <c r="G5311" s="103"/>
    </row>
    <row r="5312" spans="1:7" x14ac:dyDescent="0.25">
      <c r="A5312" s="101"/>
      <c r="B5312" s="36"/>
      <c r="C5312" s="98"/>
      <c r="D5312" s="98"/>
      <c r="E5312" s="98"/>
      <c r="F5312" s="102"/>
      <c r="G5312" s="103"/>
    </row>
    <row r="5313" spans="1:7" x14ac:dyDescent="0.25">
      <c r="A5313" s="101"/>
      <c r="B5313" s="36"/>
      <c r="C5313" s="98"/>
      <c r="D5313" s="98"/>
      <c r="E5313" s="98"/>
      <c r="F5313" s="102"/>
      <c r="G5313" s="103"/>
    </row>
    <row r="5314" spans="1:7" x14ac:dyDescent="0.25">
      <c r="A5314" s="101"/>
      <c r="B5314" s="66"/>
      <c r="C5314" s="98"/>
      <c r="D5314" s="98"/>
      <c r="E5314" s="98"/>
      <c r="F5314" s="102"/>
      <c r="G5314" s="103"/>
    </row>
    <row r="5315" spans="1:7" x14ac:dyDescent="0.25">
      <c r="A5315" s="101"/>
      <c r="B5315" s="36"/>
      <c r="C5315" s="98"/>
      <c r="D5315" s="98"/>
      <c r="E5315" s="98"/>
      <c r="F5315" s="102"/>
      <c r="G5315" s="103"/>
    </row>
    <row r="5316" spans="1:7" x14ac:dyDescent="0.25">
      <c r="A5316" s="101"/>
      <c r="B5316" s="36"/>
      <c r="C5316" s="98"/>
      <c r="D5316" s="98"/>
      <c r="E5316" s="98"/>
      <c r="F5316" s="102"/>
      <c r="G5316" s="103"/>
    </row>
    <row r="5317" spans="1:7" x14ac:dyDescent="0.25">
      <c r="A5317" s="101"/>
      <c r="B5317" s="36"/>
      <c r="C5317" s="98"/>
      <c r="D5317" s="98"/>
      <c r="E5317" s="98"/>
      <c r="F5317" s="102"/>
      <c r="G5317" s="103"/>
    </row>
    <row r="5318" spans="1:7" x14ac:dyDescent="0.25">
      <c r="A5318" s="101"/>
      <c r="B5318" s="36"/>
      <c r="C5318" s="98"/>
      <c r="D5318" s="98"/>
      <c r="E5318" s="98"/>
      <c r="F5318" s="102"/>
      <c r="G5318" s="103"/>
    </row>
    <row r="5319" spans="1:7" x14ac:dyDescent="0.25">
      <c r="A5319" s="101"/>
      <c r="B5319" s="36"/>
      <c r="C5319" s="98"/>
      <c r="D5319" s="98"/>
      <c r="E5319" s="98"/>
      <c r="F5319" s="102"/>
      <c r="G5319" s="103"/>
    </row>
    <row r="5320" spans="1:7" x14ac:dyDescent="0.25">
      <c r="A5320" s="101"/>
      <c r="B5320" s="36"/>
      <c r="C5320" s="98"/>
      <c r="D5320" s="98"/>
      <c r="E5320" s="98"/>
      <c r="F5320" s="102"/>
      <c r="G5320" s="103"/>
    </row>
    <row r="5321" spans="1:7" x14ac:dyDescent="0.25">
      <c r="A5321" s="101"/>
      <c r="B5321" s="36"/>
      <c r="C5321" s="98"/>
      <c r="D5321" s="98"/>
      <c r="E5321" s="98"/>
      <c r="F5321" s="102"/>
      <c r="G5321" s="103"/>
    </row>
    <row r="5322" spans="1:7" x14ac:dyDescent="0.25">
      <c r="A5322" s="101"/>
      <c r="B5322" s="36"/>
      <c r="C5322" s="98"/>
      <c r="D5322" s="98"/>
      <c r="E5322" s="98"/>
      <c r="F5322" s="102"/>
      <c r="G5322" s="103"/>
    </row>
    <row r="5323" spans="1:7" x14ac:dyDescent="0.25">
      <c r="A5323" s="101"/>
      <c r="B5323" s="36"/>
      <c r="C5323" s="98"/>
      <c r="D5323" s="98"/>
      <c r="E5323" s="98"/>
      <c r="F5323" s="102"/>
      <c r="G5323" s="103"/>
    </row>
    <row r="5324" spans="1:7" x14ac:dyDescent="0.25">
      <c r="A5324" s="101"/>
      <c r="B5324" s="36"/>
      <c r="C5324" s="98"/>
      <c r="D5324" s="98"/>
      <c r="E5324" s="98"/>
      <c r="F5324" s="102"/>
      <c r="G5324" s="103"/>
    </row>
    <row r="5325" spans="1:7" x14ac:dyDescent="0.25">
      <c r="A5325" s="101"/>
      <c r="B5325" s="36"/>
      <c r="C5325" s="98"/>
      <c r="D5325" s="98"/>
      <c r="E5325" s="98"/>
      <c r="F5325" s="102"/>
      <c r="G5325" s="103"/>
    </row>
    <row r="5326" spans="1:7" x14ac:dyDescent="0.25">
      <c r="A5326" s="101"/>
      <c r="B5326" s="36"/>
      <c r="C5326" s="98"/>
      <c r="D5326" s="98"/>
      <c r="E5326" s="98"/>
      <c r="F5326" s="102"/>
      <c r="G5326" s="103"/>
    </row>
    <row r="5327" spans="1:7" x14ac:dyDescent="0.25">
      <c r="A5327" s="101"/>
      <c r="B5327" s="36"/>
      <c r="C5327" s="98"/>
      <c r="D5327" s="98"/>
      <c r="E5327" s="98"/>
      <c r="F5327" s="102"/>
      <c r="G5327" s="103"/>
    </row>
    <row r="5328" spans="1:7" x14ac:dyDescent="0.25">
      <c r="A5328" s="101"/>
      <c r="B5328" s="36"/>
      <c r="C5328" s="98"/>
      <c r="D5328" s="98"/>
      <c r="E5328" s="98"/>
      <c r="F5328" s="102"/>
      <c r="G5328" s="103"/>
    </row>
    <row r="5329" spans="1:7" x14ac:dyDescent="0.25">
      <c r="A5329" s="101"/>
      <c r="B5329" s="36"/>
      <c r="C5329" s="98"/>
      <c r="D5329" s="98"/>
      <c r="E5329" s="98"/>
      <c r="F5329" s="102"/>
      <c r="G5329" s="103"/>
    </row>
    <row r="5330" spans="1:7" x14ac:dyDescent="0.25">
      <c r="A5330" s="101"/>
      <c r="B5330" s="36"/>
      <c r="C5330" s="98"/>
      <c r="D5330" s="98"/>
      <c r="E5330" s="98"/>
      <c r="F5330" s="102"/>
      <c r="G5330" s="103"/>
    </row>
    <row r="5331" spans="1:7" x14ac:dyDescent="0.25">
      <c r="A5331" s="101"/>
      <c r="B5331" s="36"/>
      <c r="C5331" s="98"/>
      <c r="D5331" s="98"/>
      <c r="E5331" s="98"/>
      <c r="F5331" s="102"/>
      <c r="G5331" s="103"/>
    </row>
    <row r="5332" spans="1:7" x14ac:dyDescent="0.25">
      <c r="A5332" s="101"/>
      <c r="B5332" s="36"/>
      <c r="C5332" s="98"/>
      <c r="D5332" s="98"/>
      <c r="E5332" s="98"/>
      <c r="F5332" s="102"/>
      <c r="G5332" s="103"/>
    </row>
    <row r="5333" spans="1:7" x14ac:dyDescent="0.25">
      <c r="A5333" s="101"/>
      <c r="B5333" s="36"/>
      <c r="C5333" s="98"/>
      <c r="D5333" s="98"/>
      <c r="E5333" s="98"/>
      <c r="F5333" s="102"/>
      <c r="G5333" s="103"/>
    </row>
    <row r="5334" spans="1:7" x14ac:dyDescent="0.25">
      <c r="A5334" s="101"/>
      <c r="B5334" s="36"/>
      <c r="C5334" s="98"/>
      <c r="D5334" s="98"/>
      <c r="E5334" s="98"/>
      <c r="F5334" s="102"/>
      <c r="G5334" s="103"/>
    </row>
    <row r="5335" spans="1:7" x14ac:dyDescent="0.25">
      <c r="A5335" s="101"/>
      <c r="B5335" s="36"/>
      <c r="C5335" s="98"/>
      <c r="D5335" s="98"/>
      <c r="E5335" s="98"/>
      <c r="F5335" s="102"/>
      <c r="G5335" s="103"/>
    </row>
    <row r="5336" spans="1:7" x14ac:dyDescent="0.25">
      <c r="A5336" s="101"/>
      <c r="B5336" s="36"/>
      <c r="C5336" s="98"/>
      <c r="D5336" s="98"/>
      <c r="E5336" s="98"/>
      <c r="F5336" s="102"/>
      <c r="G5336" s="103"/>
    </row>
    <row r="5337" spans="1:7" x14ac:dyDescent="0.25">
      <c r="A5337" s="101"/>
      <c r="B5337" s="36"/>
      <c r="C5337" s="98"/>
      <c r="D5337" s="98"/>
      <c r="E5337" s="98"/>
      <c r="F5337" s="102"/>
      <c r="G5337" s="103"/>
    </row>
    <row r="5338" spans="1:7" x14ac:dyDescent="0.25">
      <c r="A5338" s="101"/>
      <c r="B5338" s="36"/>
      <c r="C5338" s="98"/>
      <c r="D5338" s="98"/>
      <c r="E5338" s="98"/>
      <c r="F5338" s="102"/>
      <c r="G5338" s="103"/>
    </row>
    <row r="5339" spans="1:7" x14ac:dyDescent="0.25">
      <c r="A5339" s="101"/>
      <c r="B5339" s="36"/>
      <c r="C5339" s="98"/>
      <c r="D5339" s="98"/>
      <c r="E5339" s="98"/>
      <c r="F5339" s="102"/>
      <c r="G5339" s="103"/>
    </row>
    <row r="5340" spans="1:7" x14ac:dyDescent="0.25">
      <c r="A5340" s="101"/>
      <c r="B5340" s="66"/>
      <c r="C5340" s="98"/>
      <c r="D5340" s="98"/>
      <c r="E5340" s="98"/>
      <c r="F5340" s="102"/>
      <c r="G5340" s="103"/>
    </row>
    <row r="5341" spans="1:7" x14ac:dyDescent="0.25">
      <c r="A5341" s="101"/>
      <c r="B5341" s="36"/>
      <c r="C5341" s="98"/>
      <c r="D5341" s="98"/>
      <c r="E5341" s="98"/>
      <c r="F5341" s="102"/>
      <c r="G5341" s="103"/>
    </row>
    <row r="5342" spans="1:7" x14ac:dyDescent="0.25">
      <c r="A5342" s="101"/>
      <c r="B5342" s="66"/>
      <c r="C5342" s="98"/>
      <c r="D5342" s="98"/>
      <c r="E5342" s="98"/>
      <c r="F5342" s="102"/>
      <c r="G5342" s="103"/>
    </row>
    <row r="5343" spans="1:7" x14ac:dyDescent="0.25">
      <c r="A5343" s="101"/>
      <c r="B5343" s="66"/>
      <c r="C5343" s="98"/>
      <c r="D5343" s="98"/>
      <c r="E5343" s="98"/>
      <c r="F5343" s="102"/>
      <c r="G5343" s="103"/>
    </row>
    <row r="5344" spans="1:7" x14ac:dyDescent="0.25">
      <c r="A5344" s="101"/>
      <c r="B5344" s="36"/>
      <c r="C5344" s="98"/>
      <c r="D5344" s="98"/>
      <c r="E5344" s="98"/>
      <c r="F5344" s="102"/>
      <c r="G5344" s="103"/>
    </row>
    <row r="5345" spans="1:7" x14ac:dyDescent="0.25">
      <c r="A5345" s="101"/>
      <c r="B5345" s="36"/>
      <c r="C5345" s="98"/>
      <c r="D5345" s="98"/>
      <c r="E5345" s="98"/>
      <c r="F5345" s="102"/>
      <c r="G5345" s="103"/>
    </row>
    <row r="5346" spans="1:7" x14ac:dyDescent="0.25">
      <c r="A5346" s="101"/>
      <c r="B5346" s="36"/>
      <c r="C5346" s="98"/>
      <c r="D5346" s="98"/>
      <c r="E5346" s="98"/>
      <c r="F5346" s="102"/>
      <c r="G5346" s="103"/>
    </row>
    <row r="5347" spans="1:7" x14ac:dyDescent="0.25">
      <c r="A5347" s="101"/>
      <c r="B5347" s="36"/>
      <c r="C5347" s="98"/>
      <c r="D5347" s="98"/>
      <c r="E5347" s="98"/>
      <c r="F5347" s="102"/>
      <c r="G5347" s="103"/>
    </row>
    <row r="5348" spans="1:7" x14ac:dyDescent="0.25">
      <c r="A5348" s="101"/>
      <c r="B5348" s="36"/>
      <c r="C5348" s="98"/>
      <c r="D5348" s="98"/>
      <c r="E5348" s="98"/>
      <c r="F5348" s="102"/>
      <c r="G5348" s="103"/>
    </row>
    <row r="5349" spans="1:7" x14ac:dyDescent="0.25">
      <c r="A5349" s="101"/>
      <c r="B5349" s="36"/>
      <c r="C5349" s="98"/>
      <c r="D5349" s="98"/>
      <c r="E5349" s="98"/>
      <c r="F5349" s="102"/>
      <c r="G5349" s="103"/>
    </row>
    <row r="5350" spans="1:7" x14ac:dyDescent="0.25">
      <c r="A5350" s="101"/>
      <c r="B5350" s="36"/>
      <c r="C5350" s="98"/>
      <c r="D5350" s="98"/>
      <c r="E5350" s="98"/>
      <c r="F5350" s="102"/>
      <c r="G5350" s="103"/>
    </row>
    <row r="5351" spans="1:7" x14ac:dyDescent="0.25">
      <c r="A5351" s="101"/>
      <c r="B5351" s="36"/>
      <c r="C5351" s="98"/>
      <c r="D5351" s="98"/>
      <c r="E5351" s="98"/>
      <c r="F5351" s="102"/>
      <c r="G5351" s="103"/>
    </row>
    <row r="5352" spans="1:7" x14ac:dyDescent="0.25">
      <c r="A5352" s="101"/>
      <c r="B5352" s="36"/>
      <c r="C5352" s="98"/>
      <c r="D5352" s="98"/>
      <c r="E5352" s="98"/>
      <c r="F5352" s="102"/>
      <c r="G5352" s="103"/>
    </row>
    <row r="5353" spans="1:7" x14ac:dyDescent="0.25">
      <c r="A5353" s="101"/>
      <c r="B5353" s="36"/>
      <c r="C5353" s="98"/>
      <c r="D5353" s="98"/>
      <c r="E5353" s="98"/>
      <c r="F5353" s="102"/>
      <c r="G5353" s="103"/>
    </row>
    <row r="5354" spans="1:7" x14ac:dyDescent="0.25">
      <c r="A5354" s="101"/>
      <c r="B5354" s="36"/>
      <c r="C5354" s="98"/>
      <c r="D5354" s="98"/>
      <c r="E5354" s="98"/>
      <c r="F5354" s="102"/>
      <c r="G5354" s="103"/>
    </row>
    <row r="5355" spans="1:7" x14ac:dyDescent="0.25">
      <c r="A5355" s="101"/>
      <c r="B5355" s="36"/>
      <c r="C5355" s="98"/>
      <c r="D5355" s="98"/>
      <c r="E5355" s="98"/>
      <c r="F5355" s="102"/>
      <c r="G5355" s="103"/>
    </row>
    <row r="5356" spans="1:7" x14ac:dyDescent="0.25">
      <c r="A5356" s="101"/>
      <c r="B5356" s="36"/>
      <c r="C5356" s="98"/>
      <c r="D5356" s="98"/>
      <c r="E5356" s="98"/>
      <c r="F5356" s="102"/>
      <c r="G5356" s="103"/>
    </row>
    <row r="5357" spans="1:7" x14ac:dyDescent="0.25">
      <c r="A5357" s="101"/>
      <c r="B5357" s="36"/>
      <c r="C5357" s="98"/>
      <c r="D5357" s="98"/>
      <c r="E5357" s="98"/>
      <c r="F5357" s="102"/>
      <c r="G5357" s="103"/>
    </row>
    <row r="5358" spans="1:7" x14ac:dyDescent="0.25">
      <c r="A5358" s="101"/>
      <c r="B5358" s="36"/>
      <c r="C5358" s="98"/>
      <c r="D5358" s="98"/>
      <c r="E5358" s="98"/>
      <c r="F5358" s="102"/>
      <c r="G5358" s="103"/>
    </row>
    <row r="5359" spans="1:7" x14ac:dyDescent="0.25">
      <c r="A5359" s="101"/>
      <c r="B5359" s="36"/>
      <c r="C5359" s="98"/>
      <c r="D5359" s="98"/>
      <c r="E5359" s="98"/>
      <c r="F5359" s="102"/>
      <c r="G5359" s="103"/>
    </row>
    <row r="5360" spans="1:7" x14ac:dyDescent="0.25">
      <c r="A5360" s="101"/>
      <c r="B5360" s="36"/>
      <c r="C5360" s="98"/>
      <c r="D5360" s="98"/>
      <c r="E5360" s="98"/>
      <c r="F5360" s="102"/>
      <c r="G5360" s="103"/>
    </row>
    <row r="5361" spans="1:7" x14ac:dyDescent="0.25">
      <c r="A5361" s="101"/>
      <c r="B5361" s="36"/>
      <c r="C5361" s="98"/>
      <c r="D5361" s="98"/>
      <c r="E5361" s="98"/>
      <c r="F5361" s="102"/>
      <c r="G5361" s="103"/>
    </row>
    <row r="5362" spans="1:7" x14ac:dyDescent="0.25">
      <c r="A5362" s="101"/>
      <c r="B5362" s="66"/>
      <c r="C5362" s="98"/>
      <c r="D5362" s="98"/>
      <c r="E5362" s="98"/>
      <c r="F5362" s="102"/>
      <c r="G5362" s="103"/>
    </row>
    <row r="5363" spans="1:7" x14ac:dyDescent="0.25">
      <c r="A5363" s="101"/>
      <c r="B5363" s="66"/>
      <c r="C5363" s="98"/>
      <c r="D5363" s="98"/>
      <c r="E5363" s="98"/>
      <c r="F5363" s="102"/>
      <c r="G5363" s="103"/>
    </row>
    <row r="5364" spans="1:7" x14ac:dyDescent="0.25">
      <c r="A5364" s="101"/>
      <c r="B5364" s="66"/>
      <c r="C5364" s="98"/>
      <c r="D5364" s="98"/>
      <c r="E5364" s="98"/>
      <c r="F5364" s="102"/>
      <c r="G5364" s="103"/>
    </row>
    <row r="5365" spans="1:7" x14ac:dyDescent="0.25">
      <c r="A5365" s="101"/>
      <c r="B5365" s="36"/>
      <c r="C5365" s="98"/>
      <c r="D5365" s="98"/>
      <c r="E5365" s="98"/>
      <c r="F5365" s="102"/>
      <c r="G5365" s="103"/>
    </row>
    <row r="5366" spans="1:7" x14ac:dyDescent="0.25">
      <c r="A5366" s="101"/>
      <c r="B5366" s="66"/>
      <c r="C5366" s="98"/>
      <c r="D5366" s="98"/>
      <c r="E5366" s="98"/>
      <c r="F5366" s="102"/>
      <c r="G5366" s="103"/>
    </row>
    <row r="5367" spans="1:7" x14ac:dyDescent="0.25">
      <c r="A5367" s="101"/>
      <c r="B5367" s="36"/>
      <c r="C5367" s="98"/>
      <c r="D5367" s="98"/>
      <c r="E5367" s="98"/>
      <c r="F5367" s="102"/>
      <c r="G5367" s="103"/>
    </row>
    <row r="5368" spans="1:7" x14ac:dyDescent="0.25">
      <c r="A5368" s="101"/>
      <c r="B5368" s="36"/>
      <c r="C5368" s="98"/>
      <c r="D5368" s="98"/>
      <c r="E5368" s="98"/>
      <c r="F5368" s="102"/>
      <c r="G5368" s="103"/>
    </row>
    <row r="5369" spans="1:7" x14ac:dyDescent="0.25">
      <c r="A5369" s="101"/>
      <c r="B5369" s="36"/>
      <c r="C5369" s="98"/>
      <c r="D5369" s="98"/>
      <c r="E5369" s="98"/>
      <c r="F5369" s="102"/>
      <c r="G5369" s="103"/>
    </row>
    <row r="5370" spans="1:7" x14ac:dyDescent="0.25">
      <c r="A5370" s="101"/>
      <c r="B5370" s="36"/>
      <c r="C5370" s="98"/>
      <c r="D5370" s="98"/>
      <c r="E5370" s="98"/>
      <c r="F5370" s="102"/>
      <c r="G5370" s="103"/>
    </row>
    <row r="5371" spans="1:7" x14ac:dyDescent="0.25">
      <c r="A5371" s="101"/>
      <c r="B5371" s="36"/>
      <c r="C5371" s="98"/>
      <c r="D5371" s="98"/>
      <c r="E5371" s="98"/>
      <c r="F5371" s="102"/>
      <c r="G5371" s="103"/>
    </row>
    <row r="5372" spans="1:7" x14ac:dyDescent="0.25">
      <c r="A5372" s="101"/>
      <c r="B5372" s="36"/>
      <c r="C5372" s="98"/>
      <c r="D5372" s="98"/>
      <c r="E5372" s="98"/>
      <c r="F5372" s="102"/>
      <c r="G5372" s="103"/>
    </row>
    <row r="5373" spans="1:7" x14ac:dyDescent="0.25">
      <c r="A5373" s="101"/>
      <c r="B5373" s="36"/>
      <c r="C5373" s="98"/>
      <c r="D5373" s="98"/>
      <c r="E5373" s="98"/>
      <c r="F5373" s="102"/>
      <c r="G5373" s="103"/>
    </row>
    <row r="5374" spans="1:7" x14ac:dyDescent="0.25">
      <c r="A5374" s="101"/>
      <c r="B5374" s="36"/>
      <c r="C5374" s="98"/>
      <c r="D5374" s="98"/>
      <c r="E5374" s="98"/>
      <c r="F5374" s="102"/>
      <c r="G5374" s="103"/>
    </row>
    <row r="5375" spans="1:7" x14ac:dyDescent="0.25">
      <c r="A5375" s="101"/>
      <c r="B5375" s="36"/>
      <c r="C5375" s="98"/>
      <c r="D5375" s="98"/>
      <c r="E5375" s="98"/>
      <c r="F5375" s="102"/>
      <c r="G5375" s="103"/>
    </row>
    <row r="5376" spans="1:7" x14ac:dyDescent="0.25">
      <c r="A5376" s="101"/>
      <c r="B5376" s="36"/>
      <c r="C5376" s="98"/>
      <c r="D5376" s="98"/>
      <c r="E5376" s="98"/>
      <c r="F5376" s="102"/>
      <c r="G5376" s="103"/>
    </row>
    <row r="5377" spans="1:7" x14ac:dyDescent="0.25">
      <c r="A5377" s="101"/>
      <c r="B5377" s="36"/>
      <c r="C5377" s="98"/>
      <c r="D5377" s="98"/>
      <c r="E5377" s="98"/>
      <c r="F5377" s="102"/>
      <c r="G5377" s="103"/>
    </row>
    <row r="5378" spans="1:7" x14ac:dyDescent="0.25">
      <c r="A5378" s="101"/>
      <c r="B5378" s="36"/>
      <c r="C5378" s="98"/>
      <c r="D5378" s="98"/>
      <c r="E5378" s="98"/>
      <c r="F5378" s="102"/>
      <c r="G5378" s="103"/>
    </row>
    <row r="5379" spans="1:7" x14ac:dyDescent="0.25">
      <c r="A5379" s="101"/>
      <c r="B5379" s="66"/>
      <c r="C5379" s="98"/>
      <c r="D5379" s="98"/>
      <c r="E5379" s="98"/>
      <c r="F5379" s="102"/>
      <c r="G5379" s="103"/>
    </row>
    <row r="5380" spans="1:7" x14ac:dyDescent="0.25">
      <c r="A5380" s="101"/>
      <c r="B5380" s="36"/>
      <c r="C5380" s="98"/>
      <c r="D5380" s="98"/>
      <c r="E5380" s="98"/>
      <c r="F5380" s="102"/>
      <c r="G5380" s="103"/>
    </row>
    <row r="5381" spans="1:7" x14ac:dyDescent="0.25">
      <c r="A5381" s="101"/>
      <c r="B5381" s="36"/>
      <c r="C5381" s="98"/>
      <c r="D5381" s="98"/>
      <c r="E5381" s="98"/>
      <c r="F5381" s="102"/>
      <c r="G5381" s="103"/>
    </row>
    <row r="5382" spans="1:7" x14ac:dyDescent="0.25">
      <c r="A5382" s="101"/>
      <c r="B5382" s="36"/>
      <c r="C5382" s="98"/>
      <c r="D5382" s="98"/>
      <c r="E5382" s="98"/>
      <c r="F5382" s="102"/>
      <c r="G5382" s="103"/>
    </row>
    <row r="5383" spans="1:7" x14ac:dyDescent="0.25">
      <c r="A5383" s="101"/>
      <c r="B5383" s="36"/>
      <c r="C5383" s="98"/>
      <c r="D5383" s="98"/>
      <c r="E5383" s="98"/>
      <c r="F5383" s="102"/>
      <c r="G5383" s="103"/>
    </row>
    <row r="5384" spans="1:7" x14ac:dyDescent="0.25">
      <c r="A5384" s="101"/>
      <c r="B5384" s="36"/>
      <c r="C5384" s="98"/>
      <c r="D5384" s="98"/>
      <c r="E5384" s="98"/>
      <c r="F5384" s="102"/>
      <c r="G5384" s="103"/>
    </row>
    <row r="5385" spans="1:7" x14ac:dyDescent="0.25">
      <c r="A5385" s="101"/>
      <c r="B5385" s="36"/>
      <c r="C5385" s="98"/>
      <c r="D5385" s="98"/>
      <c r="E5385" s="98"/>
      <c r="F5385" s="102"/>
      <c r="G5385" s="103"/>
    </row>
    <row r="5386" spans="1:7" x14ac:dyDescent="0.25">
      <c r="A5386" s="101"/>
      <c r="B5386" s="36"/>
      <c r="C5386" s="98"/>
      <c r="D5386" s="98"/>
      <c r="E5386" s="98"/>
      <c r="F5386" s="102"/>
      <c r="G5386" s="103"/>
    </row>
    <row r="5387" spans="1:7" x14ac:dyDescent="0.25">
      <c r="A5387" s="101"/>
      <c r="B5387" s="36"/>
      <c r="C5387" s="98"/>
      <c r="D5387" s="98"/>
      <c r="E5387" s="98"/>
      <c r="F5387" s="102"/>
      <c r="G5387" s="103"/>
    </row>
    <row r="5388" spans="1:7" x14ac:dyDescent="0.25">
      <c r="A5388" s="101"/>
      <c r="B5388" s="36"/>
      <c r="C5388" s="98"/>
      <c r="D5388" s="98"/>
      <c r="E5388" s="98"/>
      <c r="F5388" s="102"/>
      <c r="G5388" s="103"/>
    </row>
    <row r="5389" spans="1:7" x14ac:dyDescent="0.25">
      <c r="A5389" s="101"/>
      <c r="B5389" s="36"/>
      <c r="C5389" s="98"/>
      <c r="D5389" s="98"/>
      <c r="E5389" s="98"/>
      <c r="F5389" s="102"/>
      <c r="G5389" s="103"/>
    </row>
    <row r="5390" spans="1:7" x14ac:dyDescent="0.25">
      <c r="A5390" s="101"/>
      <c r="B5390" s="66"/>
      <c r="C5390" s="98"/>
      <c r="D5390" s="98"/>
      <c r="E5390" s="98"/>
      <c r="F5390" s="102"/>
      <c r="G5390" s="103"/>
    </row>
    <row r="5391" spans="1:7" x14ac:dyDescent="0.25">
      <c r="A5391" s="101"/>
      <c r="B5391" s="66"/>
      <c r="C5391" s="98"/>
      <c r="D5391" s="98"/>
      <c r="E5391" s="98"/>
      <c r="F5391" s="102"/>
      <c r="G5391" s="103"/>
    </row>
    <row r="5392" spans="1:7" x14ac:dyDescent="0.25">
      <c r="A5392" s="101"/>
      <c r="B5392" s="66"/>
      <c r="C5392" s="98"/>
      <c r="D5392" s="98"/>
      <c r="E5392" s="98"/>
      <c r="F5392" s="102"/>
      <c r="G5392" s="103"/>
    </row>
    <row r="5393" spans="1:7" x14ac:dyDescent="0.25">
      <c r="A5393" s="101"/>
      <c r="B5393" s="36"/>
      <c r="C5393" s="98"/>
      <c r="D5393" s="98"/>
      <c r="E5393" s="98"/>
      <c r="F5393" s="102"/>
      <c r="G5393" s="103"/>
    </row>
    <row r="5394" spans="1:7" x14ac:dyDescent="0.25">
      <c r="A5394" s="101"/>
      <c r="B5394" s="36"/>
      <c r="C5394" s="98"/>
      <c r="D5394" s="98"/>
      <c r="E5394" s="98"/>
      <c r="F5394" s="102"/>
      <c r="G5394" s="103"/>
    </row>
    <row r="5395" spans="1:7" x14ac:dyDescent="0.25">
      <c r="A5395" s="101"/>
      <c r="B5395" s="36"/>
      <c r="C5395" s="98"/>
      <c r="D5395" s="98"/>
      <c r="E5395" s="98"/>
      <c r="F5395" s="102"/>
      <c r="G5395" s="103"/>
    </row>
    <row r="5396" spans="1:7" x14ac:dyDescent="0.25">
      <c r="A5396" s="101"/>
      <c r="B5396" s="36"/>
      <c r="C5396" s="98"/>
      <c r="D5396" s="98"/>
      <c r="E5396" s="98"/>
      <c r="F5396" s="102"/>
      <c r="G5396" s="103"/>
    </row>
    <row r="5397" spans="1:7" x14ac:dyDescent="0.25">
      <c r="A5397" s="101"/>
      <c r="B5397" s="36"/>
      <c r="C5397" s="98"/>
      <c r="D5397" s="98"/>
      <c r="E5397" s="98"/>
      <c r="F5397" s="102"/>
      <c r="G5397" s="103"/>
    </row>
    <row r="5398" spans="1:7" x14ac:dyDescent="0.25">
      <c r="A5398" s="101"/>
      <c r="B5398" s="36"/>
      <c r="C5398" s="98"/>
      <c r="D5398" s="98"/>
      <c r="E5398" s="98"/>
      <c r="F5398" s="102"/>
      <c r="G5398" s="103"/>
    </row>
    <row r="5399" spans="1:7" x14ac:dyDescent="0.25">
      <c r="A5399" s="101"/>
      <c r="B5399" s="36"/>
      <c r="C5399" s="98"/>
      <c r="D5399" s="98"/>
      <c r="E5399" s="98"/>
      <c r="F5399" s="102"/>
      <c r="G5399" s="103"/>
    </row>
    <row r="5400" spans="1:7" x14ac:dyDescent="0.25">
      <c r="A5400" s="101"/>
      <c r="B5400" s="36"/>
      <c r="C5400" s="98"/>
      <c r="D5400" s="98"/>
      <c r="E5400" s="98"/>
      <c r="F5400" s="102"/>
      <c r="G5400" s="103"/>
    </row>
    <row r="5401" spans="1:7" x14ac:dyDescent="0.25">
      <c r="A5401" s="101"/>
      <c r="B5401" s="36"/>
      <c r="C5401" s="98"/>
      <c r="D5401" s="98"/>
      <c r="E5401" s="98"/>
      <c r="F5401" s="102"/>
      <c r="G5401" s="103"/>
    </row>
    <row r="5402" spans="1:7" x14ac:dyDescent="0.25">
      <c r="A5402" s="101"/>
      <c r="B5402" s="36"/>
      <c r="C5402" s="98"/>
      <c r="D5402" s="98"/>
      <c r="E5402" s="98"/>
      <c r="F5402" s="102"/>
      <c r="G5402" s="103"/>
    </row>
    <row r="5403" spans="1:7" x14ac:dyDescent="0.25">
      <c r="A5403" s="101"/>
      <c r="B5403" s="36"/>
      <c r="C5403" s="98"/>
      <c r="D5403" s="98"/>
      <c r="E5403" s="98"/>
      <c r="F5403" s="102"/>
      <c r="G5403" s="103"/>
    </row>
    <row r="5404" spans="1:7" x14ac:dyDescent="0.25">
      <c r="A5404" s="101"/>
      <c r="B5404" s="36"/>
      <c r="C5404" s="98"/>
      <c r="D5404" s="98"/>
      <c r="E5404" s="98"/>
      <c r="F5404" s="102"/>
      <c r="G5404" s="103"/>
    </row>
    <row r="5405" spans="1:7" x14ac:dyDescent="0.25">
      <c r="A5405" s="101"/>
      <c r="B5405" s="36"/>
      <c r="C5405" s="98"/>
      <c r="D5405" s="98"/>
      <c r="E5405" s="98"/>
      <c r="F5405" s="102"/>
      <c r="G5405" s="103"/>
    </row>
    <row r="5406" spans="1:7" x14ac:dyDescent="0.25">
      <c r="A5406" s="101"/>
      <c r="B5406" s="36"/>
      <c r="C5406" s="98"/>
      <c r="D5406" s="98"/>
      <c r="E5406" s="98"/>
      <c r="F5406" s="102"/>
      <c r="G5406" s="103"/>
    </row>
    <row r="5407" spans="1:7" x14ac:dyDescent="0.25">
      <c r="A5407" s="101"/>
      <c r="B5407" s="36"/>
      <c r="C5407" s="98"/>
      <c r="D5407" s="98"/>
      <c r="E5407" s="98"/>
      <c r="F5407" s="102"/>
      <c r="G5407" s="103"/>
    </row>
    <row r="5408" spans="1:7" x14ac:dyDescent="0.25">
      <c r="A5408" s="101"/>
      <c r="B5408" s="36"/>
      <c r="C5408" s="98"/>
      <c r="D5408" s="98"/>
      <c r="E5408" s="98"/>
      <c r="F5408" s="102"/>
      <c r="G5408" s="103"/>
    </row>
    <row r="5409" spans="1:7" x14ac:dyDescent="0.25">
      <c r="A5409" s="101"/>
      <c r="B5409" s="36"/>
      <c r="C5409" s="98"/>
      <c r="D5409" s="98"/>
      <c r="E5409" s="98"/>
      <c r="F5409" s="102"/>
      <c r="G5409" s="103"/>
    </row>
    <row r="5410" spans="1:7" x14ac:dyDescent="0.25">
      <c r="A5410" s="101"/>
      <c r="B5410" s="36"/>
      <c r="C5410" s="98"/>
      <c r="D5410" s="98"/>
      <c r="E5410" s="98"/>
      <c r="F5410" s="102"/>
      <c r="G5410" s="103"/>
    </row>
    <row r="5411" spans="1:7" x14ac:dyDescent="0.25">
      <c r="A5411" s="101"/>
      <c r="B5411" s="36"/>
      <c r="C5411" s="98"/>
      <c r="D5411" s="98"/>
      <c r="E5411" s="98"/>
      <c r="F5411" s="102"/>
      <c r="G5411" s="103"/>
    </row>
    <row r="5412" spans="1:7" x14ac:dyDescent="0.25">
      <c r="A5412" s="101"/>
      <c r="B5412" s="36"/>
      <c r="C5412" s="98"/>
      <c r="D5412" s="98"/>
      <c r="E5412" s="98"/>
      <c r="F5412" s="102"/>
      <c r="G5412" s="103"/>
    </row>
    <row r="5413" spans="1:7" x14ac:dyDescent="0.25">
      <c r="A5413" s="101"/>
      <c r="B5413" s="36"/>
      <c r="C5413" s="98"/>
      <c r="D5413" s="98"/>
      <c r="E5413" s="98"/>
      <c r="F5413" s="102"/>
      <c r="G5413" s="103"/>
    </row>
    <row r="5414" spans="1:7" x14ac:dyDescent="0.25">
      <c r="A5414" s="101"/>
      <c r="B5414" s="36"/>
      <c r="C5414" s="98"/>
      <c r="D5414" s="98"/>
      <c r="E5414" s="98"/>
      <c r="F5414" s="102"/>
      <c r="G5414" s="103"/>
    </row>
    <row r="5415" spans="1:7" x14ac:dyDescent="0.25">
      <c r="A5415" s="101"/>
      <c r="B5415" s="36"/>
      <c r="C5415" s="98"/>
      <c r="D5415" s="98"/>
      <c r="E5415" s="98"/>
      <c r="F5415" s="102"/>
      <c r="G5415" s="103"/>
    </row>
    <row r="5416" spans="1:7" x14ac:dyDescent="0.25">
      <c r="A5416" s="101"/>
      <c r="B5416" s="36"/>
      <c r="C5416" s="98"/>
      <c r="D5416" s="98"/>
      <c r="E5416" s="98"/>
      <c r="F5416" s="102"/>
      <c r="G5416" s="103"/>
    </row>
    <row r="5417" spans="1:7" x14ac:dyDescent="0.25">
      <c r="A5417" s="101"/>
      <c r="B5417" s="66"/>
      <c r="C5417" s="98"/>
      <c r="D5417" s="98"/>
      <c r="E5417" s="98"/>
      <c r="F5417" s="102"/>
      <c r="G5417" s="103"/>
    </row>
    <row r="5418" spans="1:7" x14ac:dyDescent="0.25">
      <c r="A5418" s="101"/>
      <c r="B5418" s="36"/>
      <c r="C5418" s="98"/>
      <c r="D5418" s="98"/>
      <c r="E5418" s="98"/>
      <c r="F5418" s="102"/>
      <c r="G5418" s="103"/>
    </row>
    <row r="5419" spans="1:7" x14ac:dyDescent="0.25">
      <c r="A5419" s="101"/>
      <c r="B5419" s="66"/>
      <c r="C5419" s="98"/>
      <c r="D5419" s="98"/>
      <c r="E5419" s="98"/>
      <c r="F5419" s="102"/>
      <c r="G5419" s="103"/>
    </row>
    <row r="5420" spans="1:7" x14ac:dyDescent="0.25">
      <c r="A5420" s="101"/>
      <c r="B5420" s="66"/>
      <c r="C5420" s="98"/>
      <c r="D5420" s="98"/>
      <c r="E5420" s="98"/>
      <c r="F5420" s="102"/>
      <c r="G5420" s="103"/>
    </row>
    <row r="5421" spans="1:7" x14ac:dyDescent="0.25">
      <c r="A5421" s="101"/>
      <c r="B5421" s="36"/>
      <c r="C5421" s="98"/>
      <c r="D5421" s="98"/>
      <c r="E5421" s="98"/>
      <c r="F5421" s="102"/>
      <c r="G5421" s="103"/>
    </row>
    <row r="5422" spans="1:7" x14ac:dyDescent="0.25">
      <c r="A5422" s="101"/>
      <c r="B5422" s="36"/>
      <c r="C5422" s="98"/>
      <c r="D5422" s="98"/>
      <c r="E5422" s="98"/>
      <c r="F5422" s="102"/>
      <c r="G5422" s="103"/>
    </row>
    <row r="5423" spans="1:7" x14ac:dyDescent="0.25">
      <c r="A5423" s="101"/>
      <c r="B5423" s="36"/>
      <c r="C5423" s="98"/>
      <c r="D5423" s="98"/>
      <c r="E5423" s="98"/>
      <c r="F5423" s="102"/>
      <c r="G5423" s="103"/>
    </row>
    <row r="5424" spans="1:7" x14ac:dyDescent="0.25">
      <c r="A5424" s="101"/>
      <c r="B5424" s="36"/>
      <c r="C5424" s="98"/>
      <c r="D5424" s="98"/>
      <c r="E5424" s="98"/>
      <c r="F5424" s="102"/>
      <c r="G5424" s="103"/>
    </row>
    <row r="5425" spans="1:7" x14ac:dyDescent="0.25">
      <c r="A5425" s="101"/>
      <c r="B5425" s="36"/>
      <c r="C5425" s="98"/>
      <c r="D5425" s="98"/>
      <c r="E5425" s="98"/>
      <c r="F5425" s="102"/>
      <c r="G5425" s="103"/>
    </row>
    <row r="5426" spans="1:7" x14ac:dyDescent="0.25">
      <c r="A5426" s="101"/>
      <c r="B5426" s="36"/>
      <c r="C5426" s="98"/>
      <c r="D5426" s="98"/>
      <c r="E5426" s="98"/>
      <c r="F5426" s="102"/>
      <c r="G5426" s="103"/>
    </row>
    <row r="5427" spans="1:7" x14ac:dyDescent="0.25">
      <c r="A5427" s="101"/>
      <c r="B5427" s="36"/>
      <c r="C5427" s="98"/>
      <c r="D5427" s="98"/>
      <c r="E5427" s="98"/>
      <c r="F5427" s="102"/>
      <c r="G5427" s="103"/>
    </row>
    <row r="5428" spans="1:7" x14ac:dyDescent="0.25">
      <c r="A5428" s="101"/>
      <c r="B5428" s="36"/>
      <c r="C5428" s="98"/>
      <c r="D5428" s="98"/>
      <c r="E5428" s="98"/>
      <c r="F5428" s="102"/>
      <c r="G5428" s="103"/>
    </row>
    <row r="5429" spans="1:7" x14ac:dyDescent="0.25">
      <c r="A5429" s="101"/>
      <c r="B5429" s="36"/>
      <c r="C5429" s="98"/>
      <c r="D5429" s="98"/>
      <c r="E5429" s="98"/>
      <c r="F5429" s="102"/>
      <c r="G5429" s="103"/>
    </row>
    <row r="5430" spans="1:7" x14ac:dyDescent="0.25">
      <c r="A5430" s="101"/>
      <c r="B5430" s="36"/>
      <c r="C5430" s="98"/>
      <c r="D5430" s="98"/>
      <c r="E5430" s="98"/>
      <c r="F5430" s="102"/>
      <c r="G5430" s="103"/>
    </row>
    <row r="5431" spans="1:7" x14ac:dyDescent="0.25">
      <c r="A5431" s="101"/>
      <c r="B5431" s="36"/>
      <c r="C5431" s="98"/>
      <c r="D5431" s="98"/>
      <c r="E5431" s="98"/>
      <c r="F5431" s="102"/>
      <c r="G5431" s="103"/>
    </row>
    <row r="5432" spans="1:7" x14ac:dyDescent="0.25">
      <c r="A5432" s="101"/>
      <c r="B5432" s="36"/>
      <c r="C5432" s="98"/>
      <c r="D5432" s="98"/>
      <c r="E5432" s="98"/>
      <c r="F5432" s="102"/>
      <c r="G5432" s="103"/>
    </row>
    <row r="5433" spans="1:7" x14ac:dyDescent="0.25">
      <c r="A5433" s="101"/>
      <c r="B5433" s="36"/>
      <c r="C5433" s="98"/>
      <c r="D5433" s="98"/>
      <c r="E5433" s="98"/>
      <c r="F5433" s="102"/>
      <c r="G5433" s="103"/>
    </row>
    <row r="5434" spans="1:7" x14ac:dyDescent="0.25">
      <c r="A5434" s="101"/>
      <c r="B5434" s="36"/>
      <c r="C5434" s="98"/>
      <c r="D5434" s="98"/>
      <c r="E5434" s="98"/>
      <c r="F5434" s="102"/>
      <c r="G5434" s="103"/>
    </row>
    <row r="5435" spans="1:7" x14ac:dyDescent="0.25">
      <c r="A5435" s="101"/>
      <c r="B5435" s="66"/>
      <c r="C5435" s="98"/>
      <c r="D5435" s="98"/>
      <c r="E5435" s="98"/>
      <c r="F5435" s="102"/>
      <c r="G5435" s="103"/>
    </row>
    <row r="5436" spans="1:7" x14ac:dyDescent="0.25">
      <c r="A5436" s="101"/>
      <c r="B5436" s="36"/>
      <c r="C5436" s="98"/>
      <c r="D5436" s="98"/>
      <c r="E5436" s="98"/>
      <c r="F5436" s="102"/>
      <c r="G5436" s="103"/>
    </row>
    <row r="5437" spans="1:7" x14ac:dyDescent="0.25">
      <c r="A5437" s="101"/>
      <c r="B5437" s="36"/>
      <c r="C5437" s="98"/>
      <c r="D5437" s="98"/>
      <c r="E5437" s="98"/>
      <c r="F5437" s="102"/>
      <c r="G5437" s="103"/>
    </row>
    <row r="5438" spans="1:7" x14ac:dyDescent="0.25">
      <c r="A5438" s="101"/>
      <c r="B5438" s="66"/>
      <c r="C5438" s="98"/>
      <c r="D5438" s="98"/>
      <c r="E5438" s="98"/>
      <c r="F5438" s="102"/>
      <c r="G5438" s="103"/>
    </row>
    <row r="5439" spans="1:7" x14ac:dyDescent="0.25">
      <c r="A5439" s="101"/>
      <c r="B5439" s="36"/>
      <c r="C5439" s="98"/>
      <c r="D5439" s="98"/>
      <c r="E5439" s="98"/>
      <c r="F5439" s="102"/>
      <c r="G5439" s="103"/>
    </row>
    <row r="5440" spans="1:7" x14ac:dyDescent="0.25">
      <c r="A5440" s="101"/>
      <c r="B5440" s="36"/>
      <c r="C5440" s="98"/>
      <c r="D5440" s="98"/>
      <c r="E5440" s="98"/>
      <c r="F5440" s="102"/>
      <c r="G5440" s="103"/>
    </row>
    <row r="5441" spans="1:7" x14ac:dyDescent="0.25">
      <c r="A5441" s="101"/>
      <c r="B5441" s="104"/>
      <c r="C5441" s="98"/>
      <c r="D5441" s="98"/>
      <c r="E5441" s="98"/>
      <c r="F5441" s="102"/>
      <c r="G5441" s="103"/>
    </row>
    <row r="5442" spans="1:7" x14ac:dyDescent="0.25">
      <c r="A5442" s="101"/>
      <c r="B5442" s="36"/>
      <c r="C5442" s="98"/>
      <c r="D5442" s="98"/>
      <c r="E5442" s="98"/>
      <c r="F5442" s="102"/>
      <c r="G5442" s="103"/>
    </row>
    <row r="5443" spans="1:7" x14ac:dyDescent="0.25">
      <c r="A5443" s="101"/>
      <c r="B5443" s="36"/>
      <c r="C5443" s="98"/>
      <c r="D5443" s="98"/>
      <c r="E5443" s="98"/>
      <c r="F5443" s="102"/>
      <c r="G5443" s="103"/>
    </row>
    <row r="5444" spans="1:7" x14ac:dyDescent="0.25">
      <c r="A5444" s="101"/>
      <c r="B5444" s="36"/>
      <c r="C5444" s="98"/>
      <c r="D5444" s="98"/>
      <c r="E5444" s="98"/>
      <c r="F5444" s="102"/>
      <c r="G5444" s="103"/>
    </row>
    <row r="5445" spans="1:7" x14ac:dyDescent="0.25">
      <c r="A5445" s="101"/>
      <c r="B5445" s="36"/>
      <c r="C5445" s="98"/>
      <c r="D5445" s="98"/>
      <c r="E5445" s="98"/>
      <c r="F5445" s="102"/>
      <c r="G5445" s="103"/>
    </row>
    <row r="5446" spans="1:7" x14ac:dyDescent="0.25">
      <c r="A5446" s="101"/>
      <c r="B5446" s="36"/>
      <c r="C5446" s="98"/>
      <c r="D5446" s="98"/>
      <c r="E5446" s="98"/>
      <c r="F5446" s="102"/>
      <c r="G5446" s="103"/>
    </row>
    <row r="5447" spans="1:7" x14ac:dyDescent="0.25">
      <c r="A5447" s="101"/>
      <c r="B5447" s="36"/>
      <c r="C5447" s="98"/>
      <c r="D5447" s="98"/>
      <c r="E5447" s="98"/>
      <c r="F5447" s="102"/>
      <c r="G5447" s="103"/>
    </row>
    <row r="5448" spans="1:7" x14ac:dyDescent="0.25">
      <c r="A5448" s="101"/>
      <c r="B5448" s="36"/>
      <c r="C5448" s="98"/>
      <c r="D5448" s="98"/>
      <c r="E5448" s="98"/>
      <c r="F5448" s="102"/>
      <c r="G5448" s="103"/>
    </row>
    <row r="5449" spans="1:7" x14ac:dyDescent="0.25">
      <c r="A5449" s="101"/>
      <c r="B5449" s="36"/>
      <c r="C5449" s="98"/>
      <c r="D5449" s="98"/>
      <c r="E5449" s="98"/>
      <c r="F5449" s="102"/>
      <c r="G5449" s="103"/>
    </row>
    <row r="5450" spans="1:7" x14ac:dyDescent="0.25">
      <c r="A5450" s="101"/>
      <c r="B5450" s="36"/>
      <c r="C5450" s="98"/>
      <c r="D5450" s="98"/>
      <c r="E5450" s="98"/>
      <c r="F5450" s="102"/>
      <c r="G5450" s="103"/>
    </row>
    <row r="5451" spans="1:7" x14ac:dyDescent="0.25">
      <c r="A5451" s="101"/>
      <c r="B5451" s="36"/>
      <c r="C5451" s="98"/>
      <c r="D5451" s="98"/>
      <c r="E5451" s="98"/>
      <c r="F5451" s="102"/>
      <c r="G5451" s="103"/>
    </row>
    <row r="5452" spans="1:7" x14ac:dyDescent="0.25">
      <c r="A5452" s="101"/>
      <c r="B5452" s="66"/>
      <c r="C5452" s="98"/>
      <c r="D5452" s="98"/>
      <c r="E5452" s="98"/>
      <c r="F5452" s="102"/>
      <c r="G5452" s="103"/>
    </row>
    <row r="5453" spans="1:7" x14ac:dyDescent="0.25">
      <c r="A5453" s="101"/>
      <c r="B5453" s="66"/>
      <c r="C5453" s="98"/>
      <c r="D5453" s="98"/>
      <c r="E5453" s="98"/>
      <c r="F5453" s="102"/>
      <c r="G5453" s="103"/>
    </row>
    <row r="5454" spans="1:7" x14ac:dyDescent="0.25">
      <c r="A5454" s="101"/>
      <c r="B5454" s="66"/>
      <c r="C5454" s="98"/>
      <c r="D5454" s="98"/>
      <c r="E5454" s="98"/>
      <c r="F5454" s="102"/>
      <c r="G5454" s="103"/>
    </row>
    <row r="5455" spans="1:7" x14ac:dyDescent="0.25">
      <c r="A5455" s="101"/>
      <c r="B5455" s="66"/>
      <c r="C5455" s="98"/>
      <c r="D5455" s="98"/>
      <c r="E5455" s="98"/>
      <c r="F5455" s="102"/>
      <c r="G5455" s="103"/>
    </row>
    <row r="5456" spans="1:7" x14ac:dyDescent="0.25">
      <c r="A5456" s="101"/>
      <c r="B5456" s="66"/>
      <c r="C5456" s="98"/>
      <c r="D5456" s="98"/>
      <c r="E5456" s="98"/>
      <c r="F5456" s="102"/>
      <c r="G5456" s="103"/>
    </row>
    <row r="5457" spans="1:7" x14ac:dyDescent="0.25">
      <c r="A5457" s="101"/>
      <c r="B5457" s="36"/>
      <c r="C5457" s="98"/>
      <c r="D5457" s="98"/>
      <c r="E5457" s="98"/>
      <c r="F5457" s="102"/>
      <c r="G5457" s="103"/>
    </row>
    <row r="5458" spans="1:7" x14ac:dyDescent="0.25">
      <c r="A5458" s="101"/>
      <c r="B5458" s="36"/>
      <c r="C5458" s="98"/>
      <c r="D5458" s="98"/>
      <c r="E5458" s="98"/>
      <c r="F5458" s="102"/>
      <c r="G5458" s="103"/>
    </row>
    <row r="5459" spans="1:7" x14ac:dyDescent="0.25">
      <c r="A5459" s="101"/>
      <c r="B5459" s="66"/>
      <c r="C5459" s="98"/>
      <c r="D5459" s="98"/>
      <c r="E5459" s="98"/>
      <c r="F5459" s="102"/>
      <c r="G5459" s="103"/>
    </row>
    <row r="5460" spans="1:7" x14ac:dyDescent="0.25">
      <c r="A5460" s="101"/>
      <c r="B5460" s="36"/>
      <c r="C5460" s="98"/>
      <c r="D5460" s="98"/>
      <c r="E5460" s="98"/>
      <c r="F5460" s="102"/>
      <c r="G5460" s="103"/>
    </row>
    <row r="5461" spans="1:7" x14ac:dyDescent="0.25">
      <c r="A5461" s="101"/>
      <c r="B5461" s="36"/>
      <c r="C5461" s="98"/>
      <c r="D5461" s="98"/>
      <c r="E5461" s="98"/>
      <c r="F5461" s="102"/>
      <c r="G5461" s="103"/>
    </row>
    <row r="5462" spans="1:7" x14ac:dyDescent="0.25">
      <c r="A5462" s="101"/>
      <c r="B5462" s="36"/>
      <c r="C5462" s="98"/>
      <c r="D5462" s="98"/>
      <c r="E5462" s="98"/>
      <c r="F5462" s="102"/>
      <c r="G5462" s="103"/>
    </row>
    <row r="5463" spans="1:7" x14ac:dyDescent="0.25">
      <c r="A5463" s="101"/>
      <c r="B5463" s="36"/>
      <c r="C5463" s="98"/>
      <c r="D5463" s="98"/>
      <c r="E5463" s="98"/>
      <c r="F5463" s="102"/>
      <c r="G5463" s="103"/>
    </row>
    <row r="5464" spans="1:7" x14ac:dyDescent="0.25">
      <c r="A5464" s="101"/>
      <c r="B5464" s="36"/>
      <c r="C5464" s="98"/>
      <c r="D5464" s="98"/>
      <c r="E5464" s="98"/>
      <c r="F5464" s="102"/>
      <c r="G5464" s="103"/>
    </row>
    <row r="5465" spans="1:7" x14ac:dyDescent="0.25">
      <c r="A5465" s="101"/>
      <c r="B5465" s="66"/>
      <c r="C5465" s="98"/>
      <c r="D5465" s="98"/>
      <c r="E5465" s="98"/>
      <c r="F5465" s="102"/>
      <c r="G5465" s="103"/>
    </row>
    <row r="5466" spans="1:7" x14ac:dyDescent="0.25">
      <c r="A5466" s="101"/>
      <c r="B5466" s="36"/>
      <c r="C5466" s="98"/>
      <c r="D5466" s="98"/>
      <c r="E5466" s="98"/>
      <c r="F5466" s="102"/>
      <c r="G5466" s="103"/>
    </row>
    <row r="5467" spans="1:7" x14ac:dyDescent="0.25">
      <c r="A5467" s="101"/>
      <c r="B5467" s="36"/>
      <c r="C5467" s="98"/>
      <c r="D5467" s="98"/>
      <c r="E5467" s="98"/>
      <c r="F5467" s="102"/>
      <c r="G5467" s="103"/>
    </row>
    <row r="5468" spans="1:7" x14ac:dyDescent="0.25">
      <c r="A5468" s="101"/>
      <c r="B5468" s="36"/>
      <c r="C5468" s="98"/>
      <c r="D5468" s="98"/>
      <c r="E5468" s="98"/>
      <c r="F5468" s="102"/>
      <c r="G5468" s="103"/>
    </row>
    <row r="5469" spans="1:7" x14ac:dyDescent="0.25">
      <c r="A5469" s="101"/>
      <c r="B5469" s="104"/>
      <c r="C5469" s="98"/>
      <c r="D5469" s="98"/>
      <c r="E5469" s="98"/>
      <c r="F5469" s="102"/>
      <c r="G5469" s="103"/>
    </row>
    <row r="5470" spans="1:7" x14ac:dyDescent="0.25">
      <c r="A5470" s="101"/>
      <c r="B5470" s="104"/>
      <c r="C5470" s="98"/>
      <c r="D5470" s="98"/>
      <c r="E5470" s="98"/>
      <c r="F5470" s="102"/>
      <c r="G5470" s="103"/>
    </row>
    <row r="5471" spans="1:7" x14ac:dyDescent="0.25">
      <c r="A5471" s="101"/>
      <c r="B5471" s="36"/>
      <c r="C5471" s="98"/>
      <c r="D5471" s="98"/>
      <c r="E5471" s="98"/>
      <c r="F5471" s="102"/>
      <c r="G5471" s="103"/>
    </row>
    <row r="5472" spans="1:7" x14ac:dyDescent="0.25">
      <c r="A5472" s="101"/>
      <c r="B5472" s="36"/>
      <c r="C5472" s="98"/>
      <c r="D5472" s="98"/>
      <c r="E5472" s="98"/>
      <c r="F5472" s="102"/>
      <c r="G5472" s="103"/>
    </row>
    <row r="5473" spans="1:7" x14ac:dyDescent="0.25">
      <c r="A5473" s="101"/>
      <c r="B5473" s="36"/>
      <c r="C5473" s="98"/>
      <c r="D5473" s="98"/>
      <c r="E5473" s="98"/>
      <c r="F5473" s="102"/>
      <c r="G5473" s="103"/>
    </row>
    <row r="5474" spans="1:7" x14ac:dyDescent="0.25">
      <c r="A5474" s="101"/>
      <c r="B5474" s="36"/>
      <c r="C5474" s="98"/>
      <c r="D5474" s="98"/>
      <c r="E5474" s="98"/>
      <c r="F5474" s="102"/>
      <c r="G5474" s="103"/>
    </row>
    <row r="5475" spans="1:7" x14ac:dyDescent="0.25">
      <c r="A5475" s="101"/>
      <c r="B5475" s="36"/>
      <c r="C5475" s="98"/>
      <c r="D5475" s="98"/>
      <c r="E5475" s="98"/>
      <c r="F5475" s="102"/>
      <c r="G5475" s="103"/>
    </row>
    <row r="5476" spans="1:7" x14ac:dyDescent="0.25">
      <c r="A5476" s="101"/>
      <c r="B5476" s="36"/>
      <c r="C5476" s="98"/>
      <c r="D5476" s="98"/>
      <c r="E5476" s="98"/>
      <c r="F5476" s="102"/>
      <c r="G5476" s="103"/>
    </row>
    <row r="5477" spans="1:7" x14ac:dyDescent="0.25">
      <c r="A5477" s="101"/>
      <c r="B5477" s="36"/>
      <c r="C5477" s="98"/>
      <c r="D5477" s="98"/>
      <c r="E5477" s="98"/>
      <c r="F5477" s="102"/>
      <c r="G5477" s="103"/>
    </row>
    <row r="5478" spans="1:7" x14ac:dyDescent="0.25">
      <c r="A5478" s="101"/>
      <c r="B5478" s="36"/>
      <c r="C5478" s="98"/>
      <c r="D5478" s="98"/>
      <c r="E5478" s="98"/>
      <c r="F5478" s="102"/>
      <c r="G5478" s="103"/>
    </row>
    <row r="5479" spans="1:7" x14ac:dyDescent="0.25">
      <c r="A5479" s="101"/>
      <c r="B5479" s="36"/>
      <c r="C5479" s="98"/>
      <c r="D5479" s="98"/>
      <c r="E5479" s="98"/>
      <c r="F5479" s="102"/>
      <c r="G5479" s="103"/>
    </row>
    <row r="5480" spans="1:7" x14ac:dyDescent="0.25">
      <c r="A5480" s="101"/>
      <c r="B5480" s="36"/>
      <c r="C5480" s="98"/>
      <c r="D5480" s="98"/>
      <c r="E5480" s="98"/>
      <c r="F5480" s="102"/>
      <c r="G5480" s="103"/>
    </row>
    <row r="5481" spans="1:7" x14ac:dyDescent="0.25">
      <c r="A5481" s="101"/>
      <c r="B5481" s="36"/>
      <c r="C5481" s="98"/>
      <c r="D5481" s="98"/>
      <c r="E5481" s="98"/>
      <c r="F5481" s="102"/>
      <c r="G5481" s="103"/>
    </row>
    <row r="5482" spans="1:7" x14ac:dyDescent="0.25">
      <c r="A5482" s="101"/>
      <c r="B5482" s="36"/>
      <c r="C5482" s="98"/>
      <c r="D5482" s="98"/>
      <c r="E5482" s="98"/>
      <c r="F5482" s="102"/>
      <c r="G5482" s="103"/>
    </row>
    <row r="5483" spans="1:7" x14ac:dyDescent="0.25">
      <c r="A5483" s="101"/>
      <c r="B5483" s="36"/>
      <c r="C5483" s="98"/>
      <c r="D5483" s="98"/>
      <c r="E5483" s="98"/>
      <c r="F5483" s="102"/>
      <c r="G5483" s="103"/>
    </row>
    <row r="5484" spans="1:7" x14ac:dyDescent="0.25">
      <c r="A5484" s="101"/>
      <c r="B5484" s="36"/>
      <c r="C5484" s="98"/>
      <c r="D5484" s="98"/>
      <c r="E5484" s="98"/>
      <c r="F5484" s="102"/>
      <c r="G5484" s="103"/>
    </row>
    <row r="5485" spans="1:7" x14ac:dyDescent="0.25">
      <c r="A5485" s="101"/>
      <c r="B5485" s="36"/>
      <c r="C5485" s="98"/>
      <c r="D5485" s="98"/>
      <c r="E5485" s="98"/>
      <c r="F5485" s="102"/>
      <c r="G5485" s="103"/>
    </row>
    <row r="5486" spans="1:7" x14ac:dyDescent="0.25">
      <c r="A5486" s="101"/>
      <c r="B5486" s="66"/>
      <c r="C5486" s="98"/>
      <c r="D5486" s="98"/>
      <c r="E5486" s="98"/>
      <c r="F5486" s="102"/>
      <c r="G5486" s="103"/>
    </row>
    <row r="5487" spans="1:7" x14ac:dyDescent="0.25">
      <c r="A5487" s="101"/>
      <c r="B5487" s="66"/>
      <c r="C5487" s="98"/>
      <c r="D5487" s="98"/>
      <c r="E5487" s="98"/>
      <c r="F5487" s="102"/>
      <c r="G5487" s="103"/>
    </row>
    <row r="5488" spans="1:7" x14ac:dyDescent="0.25">
      <c r="A5488" s="101"/>
      <c r="B5488" s="66"/>
      <c r="C5488" s="98"/>
      <c r="D5488" s="98"/>
      <c r="E5488" s="98"/>
      <c r="F5488" s="102"/>
      <c r="G5488" s="103"/>
    </row>
    <row r="5489" spans="1:7" x14ac:dyDescent="0.25">
      <c r="A5489" s="101"/>
      <c r="B5489" s="66"/>
      <c r="C5489" s="98"/>
      <c r="D5489" s="98"/>
      <c r="E5489" s="98"/>
      <c r="F5489" s="102"/>
      <c r="G5489" s="103"/>
    </row>
    <row r="5490" spans="1:7" x14ac:dyDescent="0.25">
      <c r="A5490" s="101"/>
      <c r="B5490" s="36"/>
      <c r="C5490" s="98"/>
      <c r="D5490" s="98"/>
      <c r="E5490" s="98"/>
      <c r="F5490" s="102"/>
      <c r="G5490" s="103"/>
    </row>
    <row r="5491" spans="1:7" x14ac:dyDescent="0.25">
      <c r="A5491" s="101"/>
      <c r="B5491" s="66"/>
      <c r="C5491" s="98"/>
      <c r="D5491" s="98"/>
      <c r="E5491" s="98"/>
      <c r="F5491" s="102"/>
      <c r="G5491" s="103"/>
    </row>
    <row r="5492" spans="1:7" x14ac:dyDescent="0.25">
      <c r="A5492" s="101"/>
      <c r="B5492" s="36"/>
      <c r="C5492" s="98"/>
      <c r="D5492" s="98"/>
      <c r="E5492" s="98"/>
      <c r="F5492" s="102"/>
      <c r="G5492" s="103"/>
    </row>
    <row r="5493" spans="1:7" x14ac:dyDescent="0.25">
      <c r="A5493" s="101"/>
      <c r="B5493" s="36"/>
      <c r="C5493" s="98"/>
      <c r="D5493" s="98"/>
      <c r="E5493" s="98"/>
      <c r="F5493" s="102"/>
      <c r="G5493" s="103"/>
    </row>
    <row r="5494" spans="1:7" x14ac:dyDescent="0.25">
      <c r="A5494" s="101"/>
      <c r="B5494" s="36"/>
      <c r="C5494" s="98"/>
      <c r="D5494" s="98"/>
      <c r="E5494" s="98"/>
      <c r="F5494" s="102"/>
      <c r="G5494" s="103"/>
    </row>
    <row r="5495" spans="1:7" x14ac:dyDescent="0.25">
      <c r="A5495" s="101"/>
      <c r="B5495" s="36"/>
      <c r="C5495" s="98"/>
      <c r="D5495" s="98"/>
      <c r="E5495" s="98"/>
      <c r="F5495" s="102"/>
      <c r="G5495" s="103"/>
    </row>
    <row r="5496" spans="1:7" x14ac:dyDescent="0.25">
      <c r="A5496" s="101"/>
      <c r="B5496" s="36"/>
      <c r="C5496" s="98"/>
      <c r="D5496" s="98"/>
      <c r="E5496" s="98"/>
      <c r="F5496" s="102"/>
      <c r="G5496" s="103"/>
    </row>
    <row r="5497" spans="1:7" x14ac:dyDescent="0.25">
      <c r="A5497" s="101"/>
      <c r="B5497" s="66"/>
      <c r="C5497" s="98"/>
      <c r="D5497" s="98"/>
      <c r="E5497" s="98"/>
      <c r="F5497" s="102"/>
      <c r="G5497" s="103"/>
    </row>
    <row r="5498" spans="1:7" x14ac:dyDescent="0.25">
      <c r="A5498" s="101"/>
      <c r="B5498" s="66"/>
      <c r="C5498" s="98"/>
      <c r="D5498" s="98"/>
      <c r="E5498" s="98"/>
      <c r="F5498" s="102"/>
      <c r="G5498" s="103"/>
    </row>
    <row r="5499" spans="1:7" x14ac:dyDescent="0.25">
      <c r="A5499" s="101"/>
      <c r="B5499" s="36"/>
      <c r="C5499" s="98"/>
      <c r="D5499" s="98"/>
      <c r="E5499" s="98"/>
      <c r="F5499" s="102"/>
      <c r="G5499" s="103"/>
    </row>
    <row r="5500" spans="1:7" x14ac:dyDescent="0.25">
      <c r="A5500" s="101"/>
      <c r="B5500" s="66"/>
      <c r="C5500" s="98"/>
      <c r="D5500" s="98"/>
      <c r="E5500" s="98"/>
      <c r="F5500" s="102"/>
      <c r="G5500" s="103"/>
    </row>
    <row r="5501" spans="1:7" x14ac:dyDescent="0.25">
      <c r="A5501" s="101"/>
      <c r="B5501" s="12"/>
      <c r="C5501" s="98"/>
      <c r="D5501" s="98"/>
      <c r="E5501" s="98"/>
      <c r="F5501" s="102"/>
      <c r="G5501" s="103"/>
    </row>
    <row r="5502" spans="1:7" x14ac:dyDescent="0.25">
      <c r="A5502" s="101"/>
      <c r="B5502" s="38"/>
      <c r="C5502" s="98"/>
      <c r="D5502" s="98"/>
      <c r="E5502" s="98"/>
      <c r="F5502" s="102"/>
      <c r="G5502" s="103"/>
    </row>
    <row r="5503" spans="1:7" x14ac:dyDescent="0.25">
      <c r="A5503" s="101"/>
      <c r="B5503" s="38"/>
      <c r="C5503" s="98"/>
      <c r="D5503" s="98"/>
      <c r="E5503" s="98"/>
      <c r="F5503" s="102"/>
      <c r="G5503" s="103"/>
    </row>
    <row r="5504" spans="1:7" x14ac:dyDescent="0.25">
      <c r="A5504" s="101"/>
      <c r="B5504" s="38"/>
      <c r="C5504" s="98"/>
      <c r="D5504" s="98"/>
      <c r="E5504" s="98"/>
      <c r="F5504" s="102"/>
      <c r="G5504" s="103"/>
    </row>
    <row r="5505" spans="1:7" x14ac:dyDescent="0.25">
      <c r="A5505" s="101"/>
      <c r="B5505" s="38"/>
      <c r="C5505" s="98"/>
      <c r="D5505" s="98"/>
      <c r="E5505" s="98"/>
      <c r="F5505" s="102"/>
      <c r="G5505" s="103"/>
    </row>
    <row r="5506" spans="1:7" x14ac:dyDescent="0.25">
      <c r="A5506" s="101"/>
      <c r="B5506" s="10"/>
      <c r="C5506" s="98"/>
      <c r="D5506" s="98"/>
      <c r="E5506" s="98"/>
      <c r="F5506" s="102"/>
      <c r="G5506" s="103"/>
    </row>
    <row r="5507" spans="1:7" x14ac:dyDescent="0.25">
      <c r="A5507" s="101"/>
      <c r="B5507" s="38"/>
      <c r="C5507" s="98"/>
      <c r="D5507" s="98"/>
      <c r="E5507" s="98"/>
      <c r="F5507" s="102"/>
      <c r="G5507" s="103"/>
    </row>
    <row r="5508" spans="1:7" x14ac:dyDescent="0.25">
      <c r="A5508" s="101"/>
      <c r="B5508" s="38"/>
      <c r="C5508" s="98"/>
      <c r="D5508" s="98"/>
      <c r="E5508" s="98"/>
      <c r="F5508" s="102"/>
      <c r="G5508" s="103"/>
    </row>
    <row r="5509" spans="1:7" x14ac:dyDescent="0.25">
      <c r="A5509" s="101"/>
      <c r="B5509" s="38"/>
      <c r="C5509" s="98"/>
      <c r="D5509" s="98"/>
      <c r="E5509" s="98"/>
      <c r="F5509" s="102"/>
      <c r="G5509" s="103"/>
    </row>
    <row r="5510" spans="1:7" x14ac:dyDescent="0.25">
      <c r="A5510" s="101"/>
      <c r="B5510" s="38"/>
      <c r="C5510" s="98"/>
      <c r="D5510" s="98"/>
      <c r="E5510" s="98"/>
      <c r="F5510" s="102"/>
      <c r="G5510" s="103"/>
    </row>
    <row r="5511" spans="1:7" x14ac:dyDescent="0.25">
      <c r="A5511" s="101"/>
      <c r="B5511" s="38"/>
      <c r="C5511" s="98"/>
      <c r="D5511" s="98"/>
      <c r="E5511" s="98"/>
      <c r="F5511" s="102"/>
      <c r="G5511" s="103"/>
    </row>
    <row r="5512" spans="1:7" x14ac:dyDescent="0.25">
      <c r="A5512" s="101"/>
      <c r="B5512" s="38"/>
      <c r="C5512" s="98"/>
      <c r="D5512" s="98"/>
      <c r="E5512" s="98"/>
      <c r="F5512" s="102"/>
      <c r="G5512" s="103"/>
    </row>
    <row r="5513" spans="1:7" x14ac:dyDescent="0.25">
      <c r="A5513" s="101"/>
      <c r="B5513" s="36"/>
      <c r="C5513" s="98"/>
      <c r="D5513" s="98"/>
      <c r="E5513" s="98"/>
      <c r="F5513" s="102"/>
      <c r="G5513" s="103"/>
    </row>
    <row r="5514" spans="1:7" x14ac:dyDescent="0.25">
      <c r="A5514" s="101"/>
      <c r="B5514" s="36"/>
      <c r="C5514" s="98"/>
      <c r="D5514" s="98"/>
      <c r="E5514" s="98"/>
      <c r="F5514" s="102"/>
      <c r="G5514" s="103"/>
    </row>
    <row r="5515" spans="1:7" x14ac:dyDescent="0.25">
      <c r="A5515" s="101"/>
      <c r="B5515" s="36"/>
      <c r="C5515" s="98"/>
      <c r="D5515" s="98"/>
      <c r="E5515" s="98"/>
      <c r="F5515" s="102"/>
      <c r="G5515" s="103"/>
    </row>
    <row r="5516" spans="1:7" x14ac:dyDescent="0.25">
      <c r="A5516" s="101"/>
      <c r="B5516" s="36"/>
      <c r="C5516" s="98"/>
      <c r="D5516" s="98"/>
      <c r="E5516" s="98"/>
      <c r="F5516" s="102"/>
      <c r="G5516" s="103"/>
    </row>
    <row r="5517" spans="1:7" x14ac:dyDescent="0.25">
      <c r="A5517" s="101"/>
      <c r="B5517" s="36"/>
      <c r="C5517" s="98"/>
      <c r="D5517" s="98"/>
      <c r="E5517" s="98"/>
      <c r="F5517" s="102"/>
      <c r="G5517" s="103"/>
    </row>
    <row r="5518" spans="1:7" x14ac:dyDescent="0.25">
      <c r="A5518" s="101"/>
      <c r="B5518" s="36"/>
      <c r="C5518" s="98"/>
      <c r="D5518" s="98"/>
      <c r="E5518" s="98"/>
      <c r="F5518" s="102"/>
      <c r="G5518" s="103"/>
    </row>
    <row r="5519" spans="1:7" x14ac:dyDescent="0.25">
      <c r="A5519" s="101"/>
      <c r="B5519" s="36"/>
      <c r="C5519" s="98"/>
      <c r="D5519" s="98"/>
      <c r="E5519" s="98"/>
      <c r="F5519" s="102"/>
      <c r="G5519" s="103"/>
    </row>
    <row r="5520" spans="1:7" x14ac:dyDescent="0.25">
      <c r="A5520" s="101"/>
      <c r="B5520" s="36"/>
      <c r="C5520" s="98"/>
      <c r="D5520" s="98"/>
      <c r="E5520" s="98"/>
      <c r="F5520" s="102"/>
      <c r="G5520" s="103"/>
    </row>
    <row r="5521" spans="1:7" x14ac:dyDescent="0.25">
      <c r="A5521" s="101"/>
      <c r="B5521" s="66"/>
      <c r="C5521" s="98"/>
      <c r="D5521" s="98"/>
      <c r="E5521" s="98"/>
      <c r="F5521" s="102"/>
      <c r="G5521" s="103"/>
    </row>
    <row r="5522" spans="1:7" x14ac:dyDescent="0.25">
      <c r="A5522" s="101"/>
      <c r="B5522" s="66"/>
      <c r="C5522" s="98"/>
      <c r="D5522" s="98"/>
      <c r="E5522" s="98"/>
      <c r="F5522" s="102"/>
      <c r="G5522" s="103"/>
    </row>
    <row r="5523" spans="1:7" x14ac:dyDescent="0.25">
      <c r="A5523" s="101"/>
      <c r="B5523" s="66"/>
      <c r="C5523" s="98"/>
      <c r="D5523" s="98"/>
      <c r="E5523" s="98"/>
      <c r="F5523" s="102"/>
      <c r="G5523" s="103"/>
    </row>
    <row r="5524" spans="1:7" x14ac:dyDescent="0.25">
      <c r="A5524" s="101"/>
      <c r="B5524" s="66"/>
      <c r="C5524" s="98"/>
      <c r="D5524" s="98"/>
      <c r="E5524" s="98"/>
      <c r="F5524" s="102"/>
      <c r="G5524" s="103"/>
    </row>
    <row r="5525" spans="1:7" x14ac:dyDescent="0.25">
      <c r="A5525" s="101"/>
      <c r="B5525" s="36"/>
      <c r="C5525" s="98"/>
      <c r="D5525" s="98"/>
      <c r="E5525" s="98"/>
      <c r="F5525" s="102"/>
      <c r="G5525" s="103"/>
    </row>
    <row r="5526" spans="1:7" x14ac:dyDescent="0.25">
      <c r="A5526" s="101"/>
      <c r="B5526" s="36"/>
      <c r="C5526" s="98"/>
      <c r="D5526" s="98"/>
      <c r="E5526" s="98"/>
      <c r="F5526" s="102"/>
      <c r="G5526" s="103"/>
    </row>
    <row r="5527" spans="1:7" x14ac:dyDescent="0.25">
      <c r="A5527" s="101"/>
      <c r="B5527" s="36"/>
      <c r="C5527" s="98"/>
      <c r="D5527" s="98"/>
      <c r="E5527" s="98"/>
      <c r="F5527" s="102"/>
      <c r="G5527" s="103"/>
    </row>
    <row r="5528" spans="1:7" x14ac:dyDescent="0.25">
      <c r="A5528" s="101"/>
      <c r="B5528" s="36"/>
      <c r="C5528" s="98"/>
      <c r="D5528" s="98"/>
      <c r="E5528" s="98"/>
      <c r="F5528" s="102"/>
      <c r="G5528" s="103"/>
    </row>
    <row r="5529" spans="1:7" x14ac:dyDescent="0.25">
      <c r="A5529" s="101"/>
      <c r="B5529" s="36"/>
      <c r="C5529" s="98"/>
      <c r="D5529" s="98"/>
      <c r="E5529" s="98"/>
      <c r="F5529" s="102"/>
      <c r="G5529" s="103"/>
    </row>
    <row r="5530" spans="1:7" x14ac:dyDescent="0.25">
      <c r="A5530" s="101"/>
      <c r="B5530" s="36"/>
      <c r="C5530" s="98"/>
      <c r="D5530" s="98"/>
      <c r="E5530" s="98"/>
      <c r="F5530" s="102"/>
      <c r="G5530" s="103"/>
    </row>
    <row r="5531" spans="1:7" x14ac:dyDescent="0.25">
      <c r="A5531" s="101"/>
      <c r="B5531" s="66"/>
      <c r="C5531" s="98"/>
      <c r="D5531" s="98"/>
      <c r="E5531" s="98"/>
      <c r="F5531" s="102"/>
      <c r="G5531" s="103"/>
    </row>
    <row r="5532" spans="1:7" x14ac:dyDescent="0.25">
      <c r="A5532" s="101"/>
      <c r="B5532" s="36"/>
      <c r="C5532" s="98"/>
      <c r="D5532" s="98"/>
      <c r="E5532" s="98"/>
      <c r="F5532" s="102"/>
      <c r="G5532" s="103"/>
    </row>
    <row r="5533" spans="1:7" x14ac:dyDescent="0.25">
      <c r="A5533" s="101"/>
      <c r="B5533" s="36"/>
      <c r="C5533" s="98"/>
      <c r="D5533" s="98"/>
      <c r="E5533" s="98"/>
      <c r="F5533" s="102"/>
      <c r="G5533" s="103"/>
    </row>
    <row r="5534" spans="1:7" x14ac:dyDescent="0.25">
      <c r="A5534" s="101"/>
      <c r="B5534" s="36"/>
      <c r="C5534" s="98"/>
      <c r="D5534" s="98"/>
      <c r="E5534" s="98"/>
      <c r="F5534" s="102"/>
      <c r="G5534" s="103"/>
    </row>
    <row r="5535" spans="1:7" x14ac:dyDescent="0.25">
      <c r="A5535" s="101"/>
      <c r="B5535" s="36"/>
      <c r="C5535" s="98"/>
      <c r="D5535" s="98"/>
      <c r="E5535" s="98"/>
      <c r="F5535" s="102"/>
      <c r="G5535" s="103"/>
    </row>
    <row r="5536" spans="1:7" x14ac:dyDescent="0.25">
      <c r="A5536" s="101"/>
      <c r="B5536" s="66"/>
      <c r="C5536" s="98"/>
      <c r="D5536" s="98"/>
      <c r="E5536" s="98"/>
      <c r="F5536" s="102"/>
      <c r="G5536" s="103"/>
    </row>
    <row r="5537" spans="1:7" x14ac:dyDescent="0.25">
      <c r="A5537" s="101"/>
      <c r="B5537" s="66"/>
      <c r="C5537" s="98"/>
      <c r="D5537" s="98"/>
      <c r="E5537" s="98"/>
      <c r="F5537" s="102"/>
      <c r="G5537" s="103"/>
    </row>
    <row r="5538" spans="1:7" x14ac:dyDescent="0.25">
      <c r="A5538" s="101"/>
      <c r="B5538" s="66"/>
      <c r="C5538" s="98"/>
      <c r="D5538" s="98"/>
      <c r="E5538" s="98"/>
      <c r="F5538" s="102"/>
      <c r="G5538" s="103"/>
    </row>
    <row r="5539" spans="1:7" x14ac:dyDescent="0.25">
      <c r="A5539" s="101"/>
      <c r="B5539" s="36"/>
      <c r="C5539" s="98"/>
      <c r="D5539" s="98"/>
      <c r="E5539" s="98"/>
      <c r="F5539" s="102"/>
      <c r="G5539" s="103"/>
    </row>
    <row r="5540" spans="1:7" x14ac:dyDescent="0.25">
      <c r="A5540" s="101"/>
      <c r="B5540" s="104"/>
      <c r="C5540" s="98"/>
      <c r="D5540" s="98"/>
      <c r="E5540" s="98"/>
      <c r="F5540" s="102"/>
      <c r="G5540" s="103"/>
    </row>
    <row r="5541" spans="1:7" x14ac:dyDescent="0.25">
      <c r="A5541" s="101"/>
      <c r="B5541" s="104"/>
      <c r="C5541" s="98"/>
      <c r="D5541" s="98"/>
      <c r="E5541" s="98"/>
      <c r="F5541" s="102"/>
      <c r="G5541" s="103"/>
    </row>
    <row r="5542" spans="1:7" x14ac:dyDescent="0.25">
      <c r="A5542" s="101"/>
      <c r="B5542" s="36"/>
      <c r="C5542" s="98"/>
      <c r="D5542" s="98"/>
      <c r="E5542" s="98"/>
      <c r="F5542" s="102"/>
      <c r="G5542" s="103"/>
    </row>
    <row r="5543" spans="1:7" x14ac:dyDescent="0.25">
      <c r="A5543" s="101"/>
      <c r="B5543" s="36"/>
      <c r="C5543" s="98"/>
      <c r="D5543" s="98"/>
      <c r="E5543" s="98"/>
      <c r="F5543" s="102"/>
      <c r="G5543" s="103"/>
    </row>
    <row r="5544" spans="1:7" x14ac:dyDescent="0.25">
      <c r="A5544" s="101"/>
      <c r="B5544" s="36"/>
      <c r="C5544" s="98"/>
      <c r="D5544" s="98"/>
      <c r="E5544" s="98"/>
      <c r="F5544" s="102"/>
      <c r="G5544" s="103"/>
    </row>
    <row r="5545" spans="1:7" x14ac:dyDescent="0.25">
      <c r="A5545" s="101"/>
      <c r="B5545" s="36"/>
      <c r="C5545" s="98"/>
      <c r="D5545" s="98"/>
      <c r="E5545" s="98"/>
      <c r="F5545" s="102"/>
      <c r="G5545" s="103"/>
    </row>
    <row r="5546" spans="1:7" x14ac:dyDescent="0.25">
      <c r="A5546" s="101"/>
      <c r="B5546" s="36"/>
      <c r="C5546" s="98"/>
      <c r="D5546" s="98"/>
      <c r="E5546" s="98"/>
      <c r="F5546" s="102"/>
      <c r="G5546" s="103"/>
    </row>
    <row r="5547" spans="1:7" x14ac:dyDescent="0.25">
      <c r="A5547" s="101"/>
      <c r="B5547" s="36"/>
      <c r="C5547" s="98"/>
      <c r="D5547" s="98"/>
      <c r="E5547" s="98"/>
      <c r="F5547" s="102"/>
      <c r="G5547" s="103"/>
    </row>
    <row r="5548" spans="1:7" x14ac:dyDescent="0.25">
      <c r="A5548" s="101"/>
      <c r="B5548" s="36"/>
      <c r="C5548" s="98"/>
      <c r="D5548" s="98"/>
      <c r="E5548" s="98"/>
      <c r="F5548" s="102"/>
      <c r="G5548" s="103"/>
    </row>
    <row r="5549" spans="1:7" x14ac:dyDescent="0.25">
      <c r="A5549" s="101"/>
      <c r="B5549" s="36"/>
      <c r="C5549" s="98"/>
      <c r="D5549" s="98"/>
      <c r="E5549" s="98"/>
      <c r="F5549" s="102"/>
      <c r="G5549" s="103"/>
    </row>
    <row r="5550" spans="1:7" x14ac:dyDescent="0.25">
      <c r="A5550" s="101"/>
      <c r="B5550" s="36"/>
      <c r="C5550" s="98"/>
      <c r="D5550" s="98"/>
      <c r="E5550" s="98"/>
      <c r="F5550" s="102"/>
      <c r="G5550" s="103"/>
    </row>
    <row r="5551" spans="1:7" x14ac:dyDescent="0.25">
      <c r="A5551" s="101"/>
      <c r="B5551" s="36"/>
      <c r="C5551" s="98"/>
      <c r="D5551" s="98"/>
      <c r="E5551" s="98"/>
      <c r="F5551" s="102"/>
      <c r="G5551" s="103"/>
    </row>
    <row r="5552" spans="1:7" x14ac:dyDescent="0.25">
      <c r="A5552" s="101"/>
      <c r="B5552" s="36"/>
      <c r="C5552" s="98"/>
      <c r="D5552" s="98"/>
      <c r="E5552" s="98"/>
      <c r="F5552" s="102"/>
      <c r="G5552" s="103"/>
    </row>
    <row r="5553" spans="1:7" x14ac:dyDescent="0.25">
      <c r="A5553" s="101"/>
      <c r="B5553" s="36"/>
      <c r="C5553" s="98"/>
      <c r="D5553" s="98"/>
      <c r="E5553" s="98"/>
      <c r="F5553" s="102"/>
      <c r="G5553" s="103"/>
    </row>
    <row r="5554" spans="1:7" x14ac:dyDescent="0.25">
      <c r="A5554" s="101"/>
      <c r="B5554" s="36"/>
      <c r="C5554" s="98"/>
      <c r="D5554" s="98"/>
      <c r="E5554" s="98"/>
      <c r="F5554" s="102"/>
      <c r="G5554" s="103"/>
    </row>
    <row r="5555" spans="1:7" x14ac:dyDescent="0.25">
      <c r="A5555" s="101"/>
      <c r="B5555" s="36"/>
      <c r="C5555" s="98"/>
      <c r="D5555" s="98"/>
      <c r="E5555" s="98"/>
      <c r="F5555" s="102"/>
      <c r="G5555" s="103"/>
    </row>
    <row r="5556" spans="1:7" x14ac:dyDescent="0.25">
      <c r="A5556" s="101"/>
      <c r="B5556" s="36"/>
      <c r="C5556" s="98"/>
      <c r="D5556" s="98"/>
      <c r="E5556" s="98"/>
      <c r="F5556" s="102"/>
      <c r="G5556" s="103"/>
    </row>
    <row r="5557" spans="1:7" x14ac:dyDescent="0.25">
      <c r="A5557" s="101"/>
      <c r="B5557" s="36"/>
      <c r="C5557" s="98"/>
      <c r="D5557" s="98"/>
      <c r="E5557" s="98"/>
      <c r="F5557" s="102"/>
      <c r="G5557" s="103"/>
    </row>
    <row r="5558" spans="1:7" x14ac:dyDescent="0.25">
      <c r="A5558" s="101"/>
      <c r="B5558" s="36"/>
      <c r="C5558" s="98"/>
      <c r="D5558" s="98"/>
      <c r="E5558" s="98"/>
      <c r="F5558" s="102"/>
      <c r="G5558" s="103"/>
    </row>
    <row r="5559" spans="1:7" x14ac:dyDescent="0.25">
      <c r="A5559" s="101"/>
      <c r="B5559" s="36"/>
      <c r="C5559" s="98"/>
      <c r="D5559" s="98"/>
      <c r="E5559" s="98"/>
      <c r="F5559" s="102"/>
      <c r="G5559" s="103"/>
    </row>
    <row r="5560" spans="1:7" x14ac:dyDescent="0.25">
      <c r="A5560" s="101"/>
      <c r="B5560" s="66"/>
      <c r="C5560" s="98"/>
      <c r="D5560" s="98"/>
      <c r="E5560" s="98"/>
      <c r="F5560" s="102"/>
      <c r="G5560" s="103"/>
    </row>
    <row r="5561" spans="1:7" x14ac:dyDescent="0.25">
      <c r="A5561" s="101"/>
      <c r="B5561" s="66"/>
      <c r="C5561" s="98"/>
      <c r="D5561" s="98"/>
      <c r="E5561" s="98"/>
      <c r="F5561" s="102"/>
      <c r="G5561" s="103"/>
    </row>
    <row r="5562" spans="1:7" x14ac:dyDescent="0.25">
      <c r="A5562" s="101"/>
      <c r="B5562" s="36"/>
      <c r="C5562" s="98"/>
      <c r="D5562" s="98"/>
      <c r="E5562" s="98"/>
      <c r="F5562" s="102"/>
      <c r="G5562" s="103"/>
    </row>
    <row r="5563" spans="1:7" x14ac:dyDescent="0.25">
      <c r="A5563" s="101"/>
      <c r="B5563" s="36"/>
      <c r="C5563" s="98"/>
      <c r="D5563" s="98"/>
      <c r="E5563" s="98"/>
      <c r="F5563" s="102"/>
      <c r="G5563" s="103"/>
    </row>
    <row r="5564" spans="1:7" x14ac:dyDescent="0.25">
      <c r="A5564" s="101"/>
      <c r="B5564" s="36"/>
      <c r="C5564" s="98"/>
      <c r="D5564" s="98"/>
      <c r="E5564" s="98"/>
      <c r="F5564" s="102"/>
      <c r="G5564" s="103"/>
    </row>
    <row r="5565" spans="1:7" x14ac:dyDescent="0.25">
      <c r="A5565" s="101"/>
      <c r="B5565" s="36"/>
      <c r="C5565" s="98"/>
      <c r="D5565" s="98"/>
      <c r="E5565" s="98"/>
      <c r="F5565" s="102"/>
      <c r="G5565" s="103"/>
    </row>
    <row r="5566" spans="1:7" x14ac:dyDescent="0.25">
      <c r="A5566" s="101"/>
      <c r="B5566" s="36"/>
      <c r="C5566" s="98"/>
      <c r="D5566" s="98"/>
      <c r="E5566" s="98"/>
      <c r="F5566" s="102"/>
      <c r="G5566" s="103"/>
    </row>
    <row r="5567" spans="1:7" x14ac:dyDescent="0.25">
      <c r="A5567" s="101"/>
      <c r="B5567" s="36"/>
      <c r="C5567" s="98"/>
      <c r="D5567" s="98"/>
      <c r="E5567" s="98"/>
      <c r="F5567" s="102"/>
      <c r="G5567" s="103"/>
    </row>
    <row r="5568" spans="1:7" x14ac:dyDescent="0.25">
      <c r="A5568" s="101"/>
      <c r="B5568" s="36"/>
      <c r="C5568" s="98"/>
      <c r="D5568" s="98"/>
      <c r="E5568" s="98"/>
      <c r="F5568" s="102"/>
      <c r="G5568" s="103"/>
    </row>
    <row r="5569" spans="1:7" x14ac:dyDescent="0.25">
      <c r="A5569" s="101"/>
      <c r="B5569" s="36"/>
      <c r="C5569" s="98"/>
      <c r="D5569" s="98"/>
      <c r="E5569" s="98"/>
      <c r="F5569" s="102"/>
      <c r="G5569" s="103"/>
    </row>
    <row r="5570" spans="1:7" x14ac:dyDescent="0.25">
      <c r="A5570" s="101"/>
      <c r="B5570" s="36"/>
      <c r="C5570" s="98"/>
      <c r="D5570" s="98"/>
      <c r="E5570" s="98"/>
      <c r="F5570" s="102"/>
      <c r="G5570" s="103"/>
    </row>
    <row r="5571" spans="1:7" x14ac:dyDescent="0.25">
      <c r="A5571" s="101"/>
      <c r="B5571" s="66"/>
      <c r="C5571" s="98"/>
      <c r="D5571" s="98"/>
      <c r="E5571" s="98"/>
      <c r="F5571" s="102"/>
      <c r="G5571" s="103"/>
    </row>
    <row r="5572" spans="1:7" x14ac:dyDescent="0.25">
      <c r="A5572" s="101"/>
      <c r="B5572" s="104"/>
      <c r="C5572" s="98"/>
      <c r="D5572" s="98"/>
      <c r="E5572" s="98"/>
      <c r="F5572" s="102"/>
      <c r="G5572" s="103"/>
    </row>
    <row r="5573" spans="1:7" x14ac:dyDescent="0.25">
      <c r="A5573" s="101"/>
      <c r="B5573" s="36"/>
      <c r="C5573" s="98"/>
      <c r="D5573" s="98"/>
      <c r="E5573" s="98"/>
      <c r="F5573" s="102"/>
      <c r="G5573" s="103"/>
    </row>
    <row r="5574" spans="1:7" x14ac:dyDescent="0.25">
      <c r="A5574" s="101"/>
      <c r="B5574" s="36"/>
      <c r="C5574" s="98"/>
      <c r="D5574" s="98"/>
      <c r="E5574" s="98"/>
      <c r="F5574" s="102"/>
      <c r="G5574" s="103"/>
    </row>
    <row r="5575" spans="1:7" x14ac:dyDescent="0.25">
      <c r="A5575" s="101"/>
      <c r="B5575" s="67"/>
      <c r="C5575" s="98"/>
      <c r="D5575" s="98"/>
      <c r="E5575" s="98"/>
      <c r="F5575" s="102"/>
      <c r="G5575" s="103"/>
    </row>
    <row r="5576" spans="1:7" x14ac:dyDescent="0.25">
      <c r="A5576" s="101"/>
      <c r="B5576" s="36"/>
      <c r="C5576" s="98"/>
      <c r="D5576" s="98"/>
      <c r="E5576" s="98"/>
      <c r="F5576" s="102"/>
      <c r="G5576" s="103"/>
    </row>
    <row r="5577" spans="1:7" x14ac:dyDescent="0.25">
      <c r="A5577" s="101"/>
      <c r="B5577" s="36"/>
      <c r="C5577" s="98"/>
      <c r="D5577" s="98"/>
      <c r="E5577" s="98"/>
      <c r="F5577" s="102"/>
      <c r="G5577" s="103"/>
    </row>
    <row r="5578" spans="1:7" x14ac:dyDescent="0.25">
      <c r="A5578" s="101"/>
      <c r="B5578" s="36"/>
      <c r="C5578" s="98"/>
      <c r="D5578" s="98"/>
      <c r="E5578" s="98"/>
      <c r="F5578" s="102"/>
      <c r="G5578" s="103"/>
    </row>
    <row r="5579" spans="1:7" x14ac:dyDescent="0.25">
      <c r="A5579" s="101"/>
      <c r="B5579" s="36"/>
      <c r="C5579" s="98"/>
      <c r="D5579" s="98"/>
      <c r="E5579" s="98"/>
      <c r="F5579" s="102"/>
      <c r="G5579" s="103"/>
    </row>
    <row r="5580" spans="1:7" x14ac:dyDescent="0.25">
      <c r="A5580" s="101"/>
      <c r="B5580" s="36"/>
      <c r="C5580" s="98"/>
      <c r="D5580" s="98"/>
      <c r="E5580" s="98"/>
      <c r="F5580" s="102"/>
      <c r="G5580" s="103"/>
    </row>
    <row r="5581" spans="1:7" x14ac:dyDescent="0.25">
      <c r="A5581" s="101"/>
      <c r="B5581" s="36"/>
      <c r="C5581" s="98"/>
      <c r="D5581" s="98"/>
      <c r="E5581" s="98"/>
      <c r="F5581" s="102"/>
      <c r="G5581" s="103"/>
    </row>
    <row r="5582" spans="1:7" x14ac:dyDescent="0.25">
      <c r="A5582" s="101"/>
      <c r="B5582" s="36"/>
      <c r="C5582" s="98"/>
      <c r="D5582" s="98"/>
      <c r="E5582" s="98"/>
      <c r="F5582" s="102"/>
      <c r="G5582" s="103"/>
    </row>
    <row r="5583" spans="1:7" x14ac:dyDescent="0.25">
      <c r="A5583" s="101"/>
      <c r="B5583" s="36"/>
      <c r="C5583" s="98"/>
      <c r="D5583" s="98"/>
      <c r="E5583" s="98"/>
      <c r="F5583" s="102"/>
      <c r="G5583" s="103"/>
    </row>
    <row r="5584" spans="1:7" x14ac:dyDescent="0.25">
      <c r="A5584" s="101"/>
      <c r="B5584" s="36"/>
      <c r="C5584" s="98"/>
      <c r="D5584" s="98"/>
      <c r="E5584" s="98"/>
      <c r="F5584" s="102"/>
      <c r="G5584" s="103"/>
    </row>
    <row r="5585" spans="1:7" x14ac:dyDescent="0.25">
      <c r="A5585" s="101"/>
      <c r="B5585" s="36"/>
      <c r="C5585" s="98"/>
      <c r="D5585" s="98"/>
      <c r="E5585" s="98"/>
      <c r="F5585" s="102"/>
      <c r="G5585" s="103"/>
    </row>
    <row r="5586" spans="1:7" x14ac:dyDescent="0.25">
      <c r="A5586" s="101"/>
      <c r="B5586" s="36"/>
      <c r="C5586" s="98"/>
      <c r="D5586" s="98"/>
      <c r="E5586" s="98"/>
      <c r="F5586" s="102"/>
      <c r="G5586" s="103"/>
    </row>
    <row r="5587" spans="1:7" x14ac:dyDescent="0.25">
      <c r="A5587" s="101"/>
      <c r="B5587" s="36"/>
      <c r="C5587" s="98"/>
      <c r="D5587" s="98"/>
      <c r="E5587" s="98"/>
      <c r="F5587" s="102"/>
      <c r="G5587" s="103"/>
    </row>
    <row r="5588" spans="1:7" x14ac:dyDescent="0.25">
      <c r="A5588" s="101"/>
      <c r="B5588" s="66"/>
      <c r="C5588" s="98"/>
      <c r="D5588" s="98"/>
      <c r="E5588" s="98"/>
      <c r="F5588" s="102"/>
      <c r="G5588" s="103"/>
    </row>
    <row r="5589" spans="1:7" x14ac:dyDescent="0.25">
      <c r="A5589" s="101"/>
      <c r="B5589" s="36"/>
      <c r="C5589" s="98"/>
      <c r="D5589" s="98"/>
      <c r="E5589" s="98"/>
      <c r="F5589" s="102"/>
      <c r="G5589" s="103"/>
    </row>
    <row r="5590" spans="1:7" x14ac:dyDescent="0.25">
      <c r="A5590" s="101"/>
      <c r="B5590" s="36"/>
      <c r="C5590" s="98"/>
      <c r="D5590" s="98"/>
      <c r="E5590" s="98"/>
      <c r="F5590" s="102"/>
      <c r="G5590" s="103"/>
    </row>
    <row r="5591" spans="1:7" x14ac:dyDescent="0.25">
      <c r="A5591" s="101"/>
      <c r="B5591" s="36"/>
      <c r="C5591" s="98"/>
      <c r="D5591" s="98"/>
      <c r="E5591" s="98"/>
      <c r="F5591" s="102"/>
      <c r="G5591" s="103"/>
    </row>
    <row r="5592" spans="1:7" x14ac:dyDescent="0.25">
      <c r="A5592" s="101"/>
      <c r="B5592" s="36"/>
      <c r="C5592" s="98"/>
      <c r="D5592" s="98"/>
      <c r="E5592" s="98"/>
      <c r="F5592" s="102"/>
      <c r="G5592" s="103"/>
    </row>
    <row r="5593" spans="1:7" x14ac:dyDescent="0.25">
      <c r="A5593" s="101"/>
      <c r="B5593" s="36"/>
      <c r="C5593" s="98"/>
      <c r="D5593" s="98"/>
      <c r="E5593" s="98"/>
      <c r="F5593" s="102"/>
      <c r="G5593" s="103"/>
    </row>
    <row r="5594" spans="1:7" x14ac:dyDescent="0.25">
      <c r="A5594" s="101"/>
      <c r="B5594" s="36"/>
      <c r="C5594" s="98"/>
      <c r="D5594" s="98"/>
      <c r="E5594" s="98"/>
      <c r="F5594" s="102"/>
      <c r="G5594" s="103"/>
    </row>
    <row r="5595" spans="1:7" x14ac:dyDescent="0.25">
      <c r="A5595" s="101"/>
      <c r="B5595" s="36"/>
      <c r="C5595" s="98"/>
      <c r="D5595" s="98"/>
      <c r="E5595" s="98"/>
      <c r="F5595" s="102"/>
      <c r="G5595" s="103"/>
    </row>
    <row r="5596" spans="1:7" x14ac:dyDescent="0.25">
      <c r="A5596" s="101"/>
      <c r="B5596" s="36"/>
      <c r="C5596" s="98"/>
      <c r="D5596" s="98"/>
      <c r="E5596" s="98"/>
      <c r="F5596" s="102"/>
      <c r="G5596" s="103"/>
    </row>
    <row r="5597" spans="1:7" x14ac:dyDescent="0.25">
      <c r="A5597" s="101"/>
      <c r="B5597" s="36"/>
      <c r="C5597" s="98"/>
      <c r="D5597" s="98"/>
      <c r="E5597" s="98"/>
      <c r="F5597" s="102"/>
      <c r="G5597" s="103"/>
    </row>
    <row r="5598" spans="1:7" x14ac:dyDescent="0.25">
      <c r="A5598" s="101"/>
      <c r="B5598" s="36"/>
      <c r="C5598" s="98"/>
      <c r="D5598" s="98"/>
      <c r="E5598" s="98"/>
      <c r="F5598" s="102"/>
      <c r="G5598" s="103"/>
    </row>
    <row r="5599" spans="1:7" x14ac:dyDescent="0.25">
      <c r="A5599" s="101"/>
      <c r="B5599" s="66"/>
      <c r="C5599" s="98"/>
      <c r="D5599" s="98"/>
      <c r="E5599" s="98"/>
      <c r="F5599" s="102"/>
      <c r="G5599" s="103"/>
    </row>
    <row r="5600" spans="1:7" x14ac:dyDescent="0.25">
      <c r="A5600" s="101"/>
      <c r="B5600" s="36"/>
      <c r="C5600" s="98"/>
      <c r="D5600" s="98"/>
      <c r="E5600" s="98"/>
      <c r="F5600" s="102"/>
      <c r="G5600" s="103"/>
    </row>
    <row r="5601" spans="1:7" x14ac:dyDescent="0.25">
      <c r="A5601" s="101"/>
      <c r="B5601" s="36"/>
      <c r="C5601" s="98"/>
      <c r="D5601" s="98"/>
      <c r="E5601" s="98"/>
      <c r="F5601" s="102"/>
      <c r="G5601" s="103"/>
    </row>
    <row r="5602" spans="1:7" x14ac:dyDescent="0.25">
      <c r="A5602" s="101"/>
      <c r="B5602" s="36"/>
      <c r="C5602" s="98"/>
      <c r="D5602" s="98"/>
      <c r="E5602" s="98"/>
      <c r="F5602" s="102"/>
      <c r="G5602" s="103"/>
    </row>
    <row r="5603" spans="1:7" x14ac:dyDescent="0.25">
      <c r="A5603" s="101"/>
      <c r="B5603" s="36"/>
      <c r="C5603" s="98"/>
      <c r="D5603" s="98"/>
      <c r="E5603" s="98"/>
      <c r="F5603" s="102"/>
      <c r="G5603" s="103"/>
    </row>
    <row r="5604" spans="1:7" x14ac:dyDescent="0.25">
      <c r="A5604" s="101"/>
      <c r="B5604" s="36"/>
      <c r="C5604" s="98"/>
      <c r="D5604" s="98"/>
      <c r="E5604" s="98"/>
      <c r="F5604" s="102"/>
      <c r="G5604" s="103"/>
    </row>
    <row r="5605" spans="1:7" x14ac:dyDescent="0.25">
      <c r="A5605" s="101"/>
      <c r="B5605" s="36"/>
      <c r="C5605" s="98"/>
      <c r="D5605" s="98"/>
      <c r="E5605" s="98"/>
      <c r="F5605" s="102"/>
      <c r="G5605" s="103"/>
    </row>
    <row r="5606" spans="1:7" x14ac:dyDescent="0.25">
      <c r="A5606" s="101"/>
      <c r="B5606" s="36"/>
      <c r="C5606" s="98"/>
      <c r="D5606" s="98"/>
      <c r="E5606" s="98"/>
      <c r="F5606" s="102"/>
      <c r="G5606" s="103"/>
    </row>
    <row r="5607" spans="1:7" x14ac:dyDescent="0.25">
      <c r="A5607" s="101"/>
      <c r="B5607" s="36"/>
      <c r="C5607" s="98"/>
      <c r="D5607" s="98"/>
      <c r="E5607" s="98"/>
      <c r="F5607" s="102"/>
      <c r="G5607" s="103"/>
    </row>
    <row r="5608" spans="1:7" x14ac:dyDescent="0.25">
      <c r="A5608" s="101"/>
      <c r="B5608" s="36"/>
      <c r="C5608" s="98"/>
      <c r="D5608" s="98"/>
      <c r="E5608" s="98"/>
      <c r="F5608" s="102"/>
      <c r="G5608" s="103"/>
    </row>
    <row r="5609" spans="1:7" x14ac:dyDescent="0.25">
      <c r="A5609" s="101"/>
      <c r="B5609" s="36"/>
      <c r="C5609" s="98"/>
      <c r="D5609" s="98"/>
      <c r="E5609" s="98"/>
      <c r="F5609" s="102"/>
      <c r="G5609" s="103"/>
    </row>
    <row r="5610" spans="1:7" x14ac:dyDescent="0.25">
      <c r="A5610" s="101"/>
      <c r="B5610" s="36"/>
      <c r="C5610" s="98"/>
      <c r="D5610" s="98"/>
      <c r="E5610" s="98"/>
      <c r="F5610" s="102"/>
      <c r="G5610" s="103"/>
    </row>
    <row r="5611" spans="1:7" x14ac:dyDescent="0.25">
      <c r="A5611" s="101"/>
      <c r="B5611" s="36"/>
      <c r="C5611" s="98"/>
      <c r="D5611" s="98"/>
      <c r="E5611" s="98"/>
      <c r="F5611" s="102"/>
      <c r="G5611" s="103"/>
    </row>
    <row r="5612" spans="1:7" x14ac:dyDescent="0.25">
      <c r="A5612" s="101"/>
      <c r="B5612" s="66"/>
      <c r="C5612" s="98"/>
      <c r="D5612" s="98"/>
      <c r="E5612" s="98"/>
      <c r="F5612" s="102"/>
      <c r="G5612" s="103"/>
    </row>
    <row r="5613" spans="1:7" x14ac:dyDescent="0.25">
      <c r="A5613" s="101"/>
      <c r="B5613" s="66"/>
      <c r="C5613" s="98"/>
      <c r="D5613" s="98"/>
      <c r="E5613" s="98"/>
      <c r="F5613" s="102"/>
      <c r="G5613" s="103"/>
    </row>
    <row r="5614" spans="1:7" x14ac:dyDescent="0.25">
      <c r="A5614" s="101"/>
      <c r="B5614" s="36"/>
      <c r="C5614" s="98"/>
      <c r="D5614" s="98"/>
      <c r="E5614" s="98"/>
      <c r="F5614" s="102"/>
      <c r="G5614" s="103"/>
    </row>
    <row r="5615" spans="1:7" x14ac:dyDescent="0.25">
      <c r="A5615" s="101"/>
      <c r="B5615" s="36"/>
      <c r="C5615" s="98"/>
      <c r="D5615" s="98"/>
      <c r="E5615" s="98"/>
      <c r="F5615" s="102"/>
      <c r="G5615" s="103"/>
    </row>
    <row r="5616" spans="1:7" x14ac:dyDescent="0.25">
      <c r="A5616" s="101"/>
      <c r="B5616" s="36"/>
      <c r="C5616" s="98"/>
      <c r="D5616" s="98"/>
      <c r="E5616" s="98"/>
      <c r="F5616" s="102"/>
      <c r="G5616" s="103"/>
    </row>
    <row r="5617" spans="1:7" x14ac:dyDescent="0.25">
      <c r="A5617" s="101"/>
      <c r="B5617" s="36"/>
      <c r="C5617" s="98"/>
      <c r="D5617" s="98"/>
      <c r="E5617" s="98"/>
      <c r="F5617" s="102"/>
      <c r="G5617" s="103"/>
    </row>
    <row r="5618" spans="1:7" x14ac:dyDescent="0.25">
      <c r="A5618" s="101"/>
      <c r="B5618" s="36"/>
      <c r="C5618" s="98"/>
      <c r="D5618" s="98"/>
      <c r="E5618" s="98"/>
      <c r="F5618" s="102"/>
      <c r="G5618" s="103"/>
    </row>
    <row r="5619" spans="1:7" x14ac:dyDescent="0.25">
      <c r="A5619" s="101"/>
      <c r="B5619" s="36"/>
      <c r="C5619" s="98"/>
      <c r="D5619" s="98"/>
      <c r="E5619" s="98"/>
      <c r="F5619" s="102"/>
      <c r="G5619" s="103"/>
    </row>
    <row r="5620" spans="1:7" x14ac:dyDescent="0.25">
      <c r="A5620" s="101"/>
      <c r="B5620" s="66"/>
      <c r="C5620" s="98"/>
      <c r="D5620" s="98"/>
      <c r="E5620" s="98"/>
      <c r="F5620" s="102"/>
      <c r="G5620" s="103"/>
    </row>
    <row r="5621" spans="1:7" x14ac:dyDescent="0.25">
      <c r="A5621" s="101"/>
      <c r="B5621" s="36"/>
      <c r="C5621" s="98"/>
      <c r="D5621" s="98"/>
      <c r="E5621" s="98"/>
      <c r="F5621" s="102"/>
      <c r="G5621" s="103"/>
    </row>
    <row r="5622" spans="1:7" x14ac:dyDescent="0.25">
      <c r="A5622" s="101"/>
      <c r="B5622" s="36"/>
      <c r="C5622" s="98"/>
      <c r="D5622" s="98"/>
      <c r="E5622" s="98"/>
      <c r="F5622" s="102"/>
      <c r="G5622" s="103"/>
    </row>
    <row r="5623" spans="1:7" x14ac:dyDescent="0.25">
      <c r="A5623" s="101"/>
      <c r="B5623" s="36"/>
      <c r="C5623" s="98"/>
      <c r="D5623" s="98"/>
      <c r="E5623" s="98"/>
      <c r="F5623" s="102"/>
      <c r="G5623" s="103"/>
    </row>
    <row r="5624" spans="1:7" x14ac:dyDescent="0.25">
      <c r="A5624" s="101"/>
      <c r="B5624" s="36"/>
      <c r="C5624" s="98"/>
      <c r="D5624" s="98"/>
      <c r="E5624" s="98"/>
      <c r="F5624" s="102"/>
      <c r="G5624" s="103"/>
    </row>
    <row r="5625" spans="1:7" x14ac:dyDescent="0.25">
      <c r="A5625" s="101"/>
      <c r="B5625" s="36"/>
      <c r="C5625" s="98"/>
      <c r="D5625" s="98"/>
      <c r="E5625" s="98"/>
      <c r="F5625" s="102"/>
      <c r="G5625" s="103"/>
    </row>
    <row r="5626" spans="1:7" x14ac:dyDescent="0.25">
      <c r="A5626" s="101"/>
      <c r="B5626" s="36"/>
      <c r="C5626" s="98"/>
      <c r="D5626" s="98"/>
      <c r="E5626" s="98"/>
      <c r="F5626" s="102"/>
      <c r="G5626" s="103"/>
    </row>
    <row r="5627" spans="1:7" x14ac:dyDescent="0.25">
      <c r="A5627" s="101"/>
      <c r="B5627" s="36"/>
      <c r="C5627" s="98"/>
      <c r="D5627" s="98"/>
      <c r="E5627" s="98"/>
      <c r="F5627" s="102"/>
      <c r="G5627" s="103"/>
    </row>
    <row r="5628" spans="1:7" x14ac:dyDescent="0.25">
      <c r="A5628" s="101"/>
      <c r="B5628" s="36"/>
      <c r="C5628" s="98"/>
      <c r="D5628" s="98"/>
      <c r="E5628" s="98"/>
      <c r="F5628" s="102"/>
      <c r="G5628" s="103"/>
    </row>
    <row r="5629" spans="1:7" x14ac:dyDescent="0.25">
      <c r="A5629" s="101"/>
      <c r="B5629" s="36"/>
      <c r="C5629" s="98"/>
      <c r="D5629" s="98"/>
      <c r="E5629" s="98"/>
      <c r="F5629" s="102"/>
      <c r="G5629" s="103"/>
    </row>
    <row r="5630" spans="1:7" x14ac:dyDescent="0.25">
      <c r="A5630" s="101"/>
      <c r="B5630" s="36"/>
      <c r="C5630" s="98"/>
      <c r="D5630" s="98"/>
      <c r="E5630" s="98"/>
      <c r="F5630" s="102"/>
      <c r="G5630" s="103"/>
    </row>
    <row r="5631" spans="1:7" x14ac:dyDescent="0.25">
      <c r="A5631" s="101"/>
      <c r="B5631" s="66"/>
      <c r="C5631" s="98"/>
      <c r="D5631" s="98"/>
      <c r="E5631" s="98"/>
      <c r="F5631" s="102"/>
      <c r="G5631" s="103"/>
    </row>
    <row r="5632" spans="1:7" x14ac:dyDescent="0.25">
      <c r="A5632" s="101"/>
      <c r="B5632" s="66"/>
      <c r="C5632" s="98"/>
      <c r="D5632" s="98"/>
      <c r="E5632" s="98"/>
      <c r="F5632" s="102"/>
      <c r="G5632" s="103"/>
    </row>
    <row r="5633" spans="1:7" x14ac:dyDescent="0.25">
      <c r="A5633" s="101"/>
      <c r="B5633" s="36"/>
      <c r="C5633" s="98"/>
      <c r="D5633" s="98"/>
      <c r="E5633" s="98"/>
      <c r="F5633" s="102"/>
      <c r="G5633" s="103"/>
    </row>
    <row r="5634" spans="1:7" x14ac:dyDescent="0.25">
      <c r="A5634" s="101"/>
      <c r="B5634" s="36"/>
      <c r="C5634" s="98"/>
      <c r="D5634" s="98"/>
      <c r="E5634" s="98"/>
      <c r="F5634" s="102"/>
      <c r="G5634" s="103"/>
    </row>
    <row r="5635" spans="1:7" x14ac:dyDescent="0.25">
      <c r="A5635" s="101"/>
      <c r="B5635" s="36"/>
      <c r="C5635" s="98"/>
      <c r="D5635" s="98"/>
      <c r="E5635" s="98"/>
      <c r="F5635" s="102"/>
      <c r="G5635" s="103"/>
    </row>
    <row r="5636" spans="1:7" x14ac:dyDescent="0.25">
      <c r="A5636" s="101"/>
      <c r="B5636" s="36"/>
      <c r="C5636" s="98"/>
      <c r="D5636" s="98"/>
      <c r="E5636" s="98"/>
      <c r="F5636" s="102"/>
      <c r="G5636" s="103"/>
    </row>
    <row r="5637" spans="1:7" x14ac:dyDescent="0.25">
      <c r="A5637" s="101"/>
      <c r="B5637" s="36"/>
      <c r="C5637" s="98"/>
      <c r="D5637" s="98"/>
      <c r="E5637" s="98"/>
      <c r="F5637" s="102"/>
      <c r="G5637" s="103"/>
    </row>
    <row r="5638" spans="1:7" x14ac:dyDescent="0.25">
      <c r="A5638" s="101"/>
      <c r="B5638" s="36"/>
      <c r="C5638" s="98"/>
      <c r="D5638" s="98"/>
      <c r="E5638" s="98"/>
      <c r="F5638" s="102"/>
      <c r="G5638" s="103"/>
    </row>
    <row r="5639" spans="1:7" x14ac:dyDescent="0.25">
      <c r="A5639" s="101"/>
      <c r="B5639" s="36"/>
      <c r="C5639" s="98"/>
      <c r="D5639" s="98"/>
      <c r="E5639" s="98"/>
      <c r="F5639" s="102"/>
      <c r="G5639" s="103"/>
    </row>
    <row r="5640" spans="1:7" x14ac:dyDescent="0.25">
      <c r="A5640" s="101"/>
      <c r="B5640" s="36"/>
      <c r="C5640" s="98"/>
      <c r="D5640" s="98"/>
      <c r="E5640" s="98"/>
      <c r="F5640" s="102"/>
      <c r="G5640" s="103"/>
    </row>
    <row r="5641" spans="1:7" x14ac:dyDescent="0.25">
      <c r="A5641" s="101"/>
      <c r="B5641" s="36"/>
      <c r="C5641" s="98"/>
      <c r="D5641" s="98"/>
      <c r="E5641" s="98"/>
      <c r="F5641" s="102"/>
      <c r="G5641" s="103"/>
    </row>
    <row r="5642" spans="1:7" x14ac:dyDescent="0.25">
      <c r="A5642" s="101"/>
      <c r="B5642" s="36"/>
      <c r="C5642" s="98"/>
      <c r="D5642" s="98"/>
      <c r="E5642" s="98"/>
      <c r="F5642" s="102"/>
      <c r="G5642" s="103"/>
    </row>
    <row r="5643" spans="1:7" x14ac:dyDescent="0.25">
      <c r="A5643" s="101"/>
      <c r="B5643" s="36"/>
      <c r="C5643" s="98"/>
      <c r="D5643" s="98"/>
      <c r="E5643" s="98"/>
      <c r="F5643" s="102"/>
      <c r="G5643" s="103"/>
    </row>
    <row r="5644" spans="1:7" x14ac:dyDescent="0.25">
      <c r="A5644" s="101"/>
      <c r="B5644" s="36"/>
      <c r="C5644" s="98"/>
      <c r="D5644" s="98"/>
      <c r="E5644" s="98"/>
      <c r="F5644" s="102"/>
      <c r="G5644" s="103"/>
    </row>
    <row r="5645" spans="1:7" x14ac:dyDescent="0.25">
      <c r="A5645" s="101"/>
      <c r="B5645" s="36"/>
      <c r="C5645" s="98"/>
      <c r="D5645" s="98"/>
      <c r="E5645" s="98"/>
      <c r="F5645" s="102"/>
      <c r="G5645" s="103"/>
    </row>
    <row r="5646" spans="1:7" x14ac:dyDescent="0.25">
      <c r="A5646" s="101"/>
      <c r="B5646" s="36"/>
      <c r="C5646" s="98"/>
      <c r="D5646" s="98"/>
      <c r="E5646" s="98"/>
      <c r="F5646" s="102"/>
      <c r="G5646" s="103"/>
    </row>
    <row r="5647" spans="1:7" x14ac:dyDescent="0.25">
      <c r="A5647" s="101"/>
      <c r="B5647" s="36"/>
      <c r="C5647" s="98"/>
      <c r="D5647" s="98"/>
      <c r="E5647" s="98"/>
      <c r="F5647" s="102"/>
      <c r="G5647" s="103"/>
    </row>
    <row r="5648" spans="1:7" x14ac:dyDescent="0.25">
      <c r="A5648" s="101"/>
      <c r="B5648" s="36"/>
      <c r="C5648" s="98"/>
      <c r="D5648" s="98"/>
      <c r="E5648" s="98"/>
      <c r="F5648" s="102"/>
      <c r="G5648" s="103"/>
    </row>
    <row r="5649" spans="1:7" x14ac:dyDescent="0.25">
      <c r="A5649" s="101"/>
      <c r="B5649" s="36"/>
      <c r="C5649" s="98"/>
      <c r="D5649" s="98"/>
      <c r="E5649" s="98"/>
      <c r="F5649" s="102"/>
      <c r="G5649" s="103"/>
    </row>
    <row r="5650" spans="1:7" x14ac:dyDescent="0.25">
      <c r="A5650" s="101"/>
      <c r="B5650" s="36"/>
      <c r="C5650" s="98"/>
      <c r="D5650" s="98"/>
      <c r="E5650" s="98"/>
      <c r="F5650" s="102"/>
      <c r="G5650" s="103"/>
    </row>
    <row r="5651" spans="1:7" x14ac:dyDescent="0.25">
      <c r="A5651" s="101"/>
      <c r="B5651" s="36"/>
      <c r="C5651" s="98"/>
      <c r="D5651" s="98"/>
      <c r="E5651" s="98"/>
      <c r="F5651" s="102"/>
      <c r="G5651" s="103"/>
    </row>
    <row r="5652" spans="1:7" x14ac:dyDescent="0.25">
      <c r="A5652" s="101"/>
      <c r="B5652" s="36"/>
      <c r="C5652" s="98"/>
      <c r="D5652" s="98"/>
      <c r="E5652" s="98"/>
      <c r="F5652" s="102"/>
      <c r="G5652" s="103"/>
    </row>
    <row r="5653" spans="1:7" x14ac:dyDescent="0.25">
      <c r="A5653" s="101"/>
      <c r="B5653" s="66"/>
      <c r="C5653" s="98"/>
      <c r="D5653" s="98"/>
      <c r="E5653" s="98"/>
      <c r="F5653" s="102"/>
      <c r="G5653" s="103"/>
    </row>
    <row r="5654" spans="1:7" x14ac:dyDescent="0.25">
      <c r="A5654" s="101"/>
      <c r="B5654" s="66"/>
      <c r="C5654" s="98"/>
      <c r="D5654" s="98"/>
      <c r="E5654" s="98"/>
      <c r="F5654" s="102"/>
      <c r="G5654" s="103"/>
    </row>
    <row r="5655" spans="1:7" x14ac:dyDescent="0.25">
      <c r="A5655" s="101"/>
      <c r="B5655" s="36"/>
      <c r="C5655" s="98"/>
      <c r="D5655" s="98"/>
      <c r="E5655" s="98"/>
      <c r="F5655" s="102"/>
      <c r="G5655" s="103"/>
    </row>
    <row r="5656" spans="1:7" x14ac:dyDescent="0.25">
      <c r="A5656" s="101"/>
      <c r="B5656" s="36"/>
      <c r="C5656" s="98"/>
      <c r="D5656" s="98"/>
      <c r="E5656" s="98"/>
      <c r="F5656" s="102"/>
      <c r="G5656" s="103"/>
    </row>
    <row r="5657" spans="1:7" x14ac:dyDescent="0.25">
      <c r="A5657" s="101"/>
      <c r="B5657" s="36"/>
      <c r="C5657" s="98"/>
      <c r="D5657" s="98"/>
      <c r="E5657" s="98"/>
      <c r="F5657" s="102"/>
      <c r="G5657" s="103"/>
    </row>
    <row r="5658" spans="1:7" x14ac:dyDescent="0.25">
      <c r="A5658" s="101"/>
      <c r="B5658" s="66"/>
      <c r="C5658" s="98"/>
      <c r="D5658" s="98"/>
      <c r="E5658" s="98"/>
      <c r="F5658" s="102"/>
      <c r="G5658" s="103"/>
    </row>
    <row r="5659" spans="1:7" x14ac:dyDescent="0.25">
      <c r="A5659" s="101"/>
      <c r="B5659" s="66"/>
      <c r="C5659" s="98"/>
      <c r="D5659" s="98"/>
      <c r="E5659" s="98"/>
      <c r="F5659" s="102"/>
      <c r="G5659" s="103"/>
    </row>
    <row r="5660" spans="1:7" x14ac:dyDescent="0.25">
      <c r="A5660" s="101"/>
      <c r="B5660" s="36"/>
      <c r="C5660" s="98"/>
      <c r="D5660" s="98"/>
      <c r="E5660" s="98"/>
      <c r="F5660" s="102"/>
      <c r="G5660" s="103"/>
    </row>
    <row r="5661" spans="1:7" x14ac:dyDescent="0.25">
      <c r="A5661" s="101"/>
      <c r="B5661" s="36"/>
      <c r="C5661" s="98"/>
      <c r="D5661" s="98"/>
      <c r="E5661" s="98"/>
      <c r="F5661" s="102"/>
      <c r="G5661" s="103"/>
    </row>
    <row r="5662" spans="1:7" x14ac:dyDescent="0.25">
      <c r="A5662" s="101"/>
      <c r="B5662" s="36"/>
      <c r="C5662" s="98"/>
      <c r="D5662" s="98"/>
      <c r="E5662" s="98"/>
      <c r="F5662" s="102"/>
      <c r="G5662" s="103"/>
    </row>
    <row r="5663" spans="1:7" x14ac:dyDescent="0.25">
      <c r="A5663" s="101"/>
      <c r="B5663" s="36"/>
      <c r="C5663" s="98"/>
      <c r="D5663" s="98"/>
      <c r="E5663" s="98"/>
      <c r="F5663" s="102"/>
      <c r="G5663" s="103"/>
    </row>
    <row r="5664" spans="1:7" x14ac:dyDescent="0.25">
      <c r="A5664" s="101"/>
      <c r="B5664" s="36"/>
      <c r="C5664" s="98"/>
      <c r="D5664" s="98"/>
      <c r="E5664" s="98"/>
      <c r="F5664" s="102"/>
      <c r="G5664" s="103"/>
    </row>
    <row r="5665" spans="1:7" x14ac:dyDescent="0.25">
      <c r="A5665" s="101"/>
      <c r="B5665" s="36"/>
      <c r="C5665" s="98"/>
      <c r="D5665" s="98"/>
      <c r="E5665" s="98"/>
      <c r="F5665" s="102"/>
      <c r="G5665" s="103"/>
    </row>
    <row r="5666" spans="1:7" x14ac:dyDescent="0.25">
      <c r="A5666" s="101"/>
      <c r="B5666" s="36"/>
      <c r="C5666" s="98"/>
      <c r="D5666" s="98"/>
      <c r="E5666" s="98"/>
      <c r="F5666" s="102"/>
      <c r="G5666" s="103"/>
    </row>
    <row r="5667" spans="1:7" x14ac:dyDescent="0.25">
      <c r="A5667" s="101"/>
      <c r="B5667" s="36"/>
      <c r="C5667" s="98"/>
      <c r="D5667" s="98"/>
      <c r="E5667" s="98"/>
      <c r="F5667" s="102"/>
      <c r="G5667" s="103"/>
    </row>
    <row r="5668" spans="1:7" x14ac:dyDescent="0.25">
      <c r="A5668" s="101"/>
      <c r="B5668" s="36"/>
      <c r="C5668" s="98"/>
      <c r="D5668" s="98"/>
      <c r="E5668" s="98"/>
      <c r="F5668" s="102"/>
      <c r="G5668" s="103"/>
    </row>
    <row r="5669" spans="1:7" x14ac:dyDescent="0.25">
      <c r="A5669" s="101"/>
      <c r="B5669" s="36"/>
      <c r="C5669" s="98"/>
      <c r="D5669" s="98"/>
      <c r="E5669" s="98"/>
      <c r="F5669" s="102"/>
      <c r="G5669" s="103"/>
    </row>
    <row r="5670" spans="1:7" x14ac:dyDescent="0.25">
      <c r="A5670" s="101"/>
      <c r="B5670" s="66"/>
      <c r="C5670" s="98"/>
      <c r="D5670" s="98"/>
      <c r="E5670" s="98"/>
      <c r="F5670" s="102"/>
      <c r="G5670" s="103"/>
    </row>
    <row r="5671" spans="1:7" x14ac:dyDescent="0.25">
      <c r="A5671" s="101"/>
      <c r="B5671" s="66"/>
      <c r="C5671" s="98"/>
      <c r="D5671" s="98"/>
      <c r="E5671" s="98"/>
      <c r="F5671" s="102"/>
      <c r="G5671" s="103"/>
    </row>
    <row r="5672" spans="1:7" x14ac:dyDescent="0.25">
      <c r="A5672" s="101"/>
      <c r="B5672" s="36"/>
      <c r="C5672" s="98"/>
      <c r="D5672" s="98"/>
      <c r="E5672" s="98"/>
      <c r="F5672" s="102"/>
      <c r="G5672" s="103"/>
    </row>
    <row r="5673" spans="1:7" x14ac:dyDescent="0.25">
      <c r="A5673" s="101"/>
      <c r="B5673" s="36"/>
      <c r="C5673" s="98"/>
      <c r="D5673" s="98"/>
      <c r="E5673" s="98"/>
      <c r="F5673" s="102"/>
      <c r="G5673" s="103"/>
    </row>
    <row r="5674" spans="1:7" x14ac:dyDescent="0.25">
      <c r="A5674" s="101"/>
      <c r="B5674" s="36"/>
      <c r="C5674" s="98"/>
      <c r="D5674" s="98"/>
      <c r="E5674" s="98"/>
      <c r="F5674" s="102"/>
      <c r="G5674" s="103"/>
    </row>
    <row r="5675" spans="1:7" x14ac:dyDescent="0.25">
      <c r="A5675" s="101"/>
      <c r="B5675" s="36"/>
      <c r="C5675" s="98"/>
      <c r="D5675" s="98"/>
      <c r="E5675" s="98"/>
      <c r="F5675" s="102"/>
      <c r="G5675" s="103"/>
    </row>
    <row r="5676" spans="1:7" x14ac:dyDescent="0.25">
      <c r="A5676" s="101"/>
      <c r="B5676" s="36"/>
      <c r="C5676" s="98"/>
      <c r="D5676" s="98"/>
      <c r="E5676" s="98"/>
      <c r="F5676" s="102"/>
      <c r="G5676" s="103"/>
    </row>
    <row r="5677" spans="1:7" x14ac:dyDescent="0.25">
      <c r="A5677" s="101"/>
      <c r="B5677" s="36"/>
      <c r="C5677" s="98"/>
      <c r="D5677" s="98"/>
      <c r="E5677" s="98"/>
      <c r="F5677" s="102"/>
      <c r="G5677" s="103"/>
    </row>
    <row r="5678" spans="1:7" x14ac:dyDescent="0.25">
      <c r="A5678" s="101"/>
      <c r="B5678" s="36"/>
      <c r="C5678" s="98"/>
      <c r="D5678" s="98"/>
      <c r="E5678" s="98"/>
      <c r="F5678" s="102"/>
      <c r="G5678" s="103"/>
    </row>
    <row r="5679" spans="1:7" x14ac:dyDescent="0.25">
      <c r="A5679" s="101"/>
      <c r="B5679" s="36"/>
      <c r="C5679" s="98"/>
      <c r="D5679" s="98"/>
      <c r="E5679" s="98"/>
      <c r="F5679" s="102"/>
      <c r="G5679" s="103"/>
    </row>
    <row r="5680" spans="1:7" x14ac:dyDescent="0.25">
      <c r="A5680" s="101"/>
      <c r="B5680" s="36"/>
      <c r="C5680" s="98"/>
      <c r="D5680" s="98"/>
      <c r="E5680" s="98"/>
      <c r="F5680" s="102"/>
      <c r="G5680" s="103"/>
    </row>
    <row r="5681" spans="1:7" x14ac:dyDescent="0.25">
      <c r="A5681" s="101"/>
      <c r="B5681" s="36"/>
      <c r="C5681" s="98"/>
      <c r="D5681" s="98"/>
      <c r="E5681" s="98"/>
      <c r="F5681" s="102"/>
      <c r="G5681" s="103"/>
    </row>
    <row r="5682" spans="1:7" x14ac:dyDescent="0.25">
      <c r="A5682" s="101"/>
      <c r="B5682" s="36"/>
      <c r="C5682" s="98"/>
      <c r="D5682" s="98"/>
      <c r="E5682" s="98"/>
      <c r="F5682" s="102"/>
      <c r="G5682" s="103"/>
    </row>
    <row r="5683" spans="1:7" x14ac:dyDescent="0.25">
      <c r="A5683" s="101"/>
      <c r="B5683" s="36"/>
      <c r="C5683" s="98"/>
      <c r="D5683" s="98"/>
      <c r="E5683" s="98"/>
      <c r="F5683" s="102"/>
      <c r="G5683" s="103"/>
    </row>
    <row r="5684" spans="1:7" x14ac:dyDescent="0.25">
      <c r="A5684" s="101"/>
      <c r="B5684" s="36"/>
      <c r="C5684" s="98"/>
      <c r="D5684" s="98"/>
      <c r="E5684" s="98"/>
      <c r="F5684" s="102"/>
      <c r="G5684" s="103"/>
    </row>
    <row r="5685" spans="1:7" x14ac:dyDescent="0.25">
      <c r="A5685" s="101"/>
      <c r="B5685" s="36"/>
      <c r="C5685" s="98"/>
      <c r="D5685" s="98"/>
      <c r="E5685" s="98"/>
      <c r="F5685" s="102"/>
      <c r="G5685" s="103"/>
    </row>
    <row r="5686" spans="1:7" x14ac:dyDescent="0.25">
      <c r="A5686" s="101"/>
      <c r="B5686" s="36"/>
      <c r="C5686" s="98"/>
      <c r="D5686" s="98"/>
      <c r="E5686" s="98"/>
      <c r="F5686" s="102"/>
      <c r="G5686" s="103"/>
    </row>
    <row r="5687" spans="1:7" x14ac:dyDescent="0.25">
      <c r="A5687" s="101"/>
      <c r="B5687" s="36"/>
      <c r="C5687" s="98"/>
      <c r="D5687" s="98"/>
      <c r="E5687" s="98"/>
      <c r="F5687" s="102"/>
      <c r="G5687" s="103"/>
    </row>
    <row r="5688" spans="1:7" x14ac:dyDescent="0.25">
      <c r="A5688" s="101"/>
      <c r="B5688" s="36"/>
      <c r="C5688" s="98"/>
      <c r="D5688" s="98"/>
      <c r="E5688" s="98"/>
      <c r="F5688" s="102"/>
      <c r="G5688" s="103"/>
    </row>
    <row r="5689" spans="1:7" x14ac:dyDescent="0.25">
      <c r="A5689" s="101"/>
      <c r="B5689" s="36"/>
      <c r="C5689" s="98"/>
      <c r="D5689" s="98"/>
      <c r="E5689" s="98"/>
      <c r="F5689" s="102"/>
      <c r="G5689" s="103"/>
    </row>
    <row r="5690" spans="1:7" x14ac:dyDescent="0.25">
      <c r="A5690" s="101"/>
      <c r="B5690" s="36"/>
      <c r="C5690" s="98"/>
      <c r="D5690" s="98"/>
      <c r="E5690" s="98"/>
      <c r="F5690" s="102"/>
      <c r="G5690" s="103"/>
    </row>
    <row r="5691" spans="1:7" x14ac:dyDescent="0.25">
      <c r="A5691" s="101"/>
      <c r="B5691" s="36"/>
      <c r="C5691" s="98"/>
      <c r="D5691" s="98"/>
      <c r="E5691" s="98"/>
      <c r="F5691" s="102"/>
      <c r="G5691" s="103"/>
    </row>
    <row r="5692" spans="1:7" x14ac:dyDescent="0.25">
      <c r="A5692" s="101"/>
      <c r="B5692" s="36"/>
      <c r="C5692" s="98"/>
      <c r="D5692" s="98"/>
      <c r="E5692" s="98"/>
      <c r="F5692" s="102"/>
      <c r="G5692" s="103"/>
    </row>
    <row r="5693" spans="1:7" x14ac:dyDescent="0.25">
      <c r="A5693" s="101"/>
      <c r="B5693" s="36"/>
      <c r="C5693" s="98"/>
      <c r="D5693" s="98"/>
      <c r="E5693" s="98"/>
      <c r="F5693" s="102"/>
      <c r="G5693" s="103"/>
    </row>
    <row r="5694" spans="1:7" x14ac:dyDescent="0.25">
      <c r="A5694" s="101"/>
      <c r="B5694" s="36"/>
      <c r="C5694" s="98"/>
      <c r="D5694" s="98"/>
      <c r="E5694" s="98"/>
      <c r="F5694" s="102"/>
      <c r="G5694" s="103"/>
    </row>
    <row r="5695" spans="1:7" x14ac:dyDescent="0.25">
      <c r="A5695" s="101"/>
      <c r="B5695" s="66"/>
      <c r="C5695" s="98"/>
      <c r="D5695" s="98"/>
      <c r="E5695" s="98"/>
      <c r="F5695" s="102"/>
      <c r="G5695" s="103"/>
    </row>
    <row r="5696" spans="1:7" x14ac:dyDescent="0.25">
      <c r="A5696" s="101"/>
      <c r="B5696" s="66"/>
      <c r="C5696" s="98"/>
      <c r="D5696" s="98"/>
      <c r="E5696" s="98"/>
      <c r="F5696" s="102"/>
      <c r="G5696" s="103"/>
    </row>
    <row r="5697" spans="1:7" x14ac:dyDescent="0.25">
      <c r="A5697" s="101"/>
      <c r="B5697" s="36"/>
      <c r="C5697" s="98"/>
      <c r="D5697" s="98"/>
      <c r="E5697" s="98"/>
      <c r="F5697" s="102"/>
      <c r="G5697" s="103"/>
    </row>
    <row r="5698" spans="1:7" x14ac:dyDescent="0.25">
      <c r="A5698" s="101"/>
      <c r="B5698" s="36"/>
      <c r="C5698" s="98"/>
      <c r="D5698" s="98"/>
      <c r="E5698" s="98"/>
      <c r="F5698" s="102"/>
      <c r="G5698" s="103"/>
    </row>
    <row r="5699" spans="1:7" x14ac:dyDescent="0.25">
      <c r="A5699" s="101"/>
      <c r="B5699" s="36"/>
      <c r="C5699" s="98"/>
      <c r="D5699" s="98"/>
      <c r="E5699" s="98"/>
      <c r="F5699" s="102"/>
      <c r="G5699" s="103"/>
    </row>
    <row r="5700" spans="1:7" x14ac:dyDescent="0.25">
      <c r="A5700" s="101"/>
      <c r="B5700" s="36"/>
      <c r="C5700" s="98"/>
      <c r="D5700" s="98"/>
      <c r="E5700" s="98"/>
      <c r="F5700" s="102"/>
      <c r="G5700" s="103"/>
    </row>
    <row r="5701" spans="1:7" x14ac:dyDescent="0.25">
      <c r="A5701" s="101"/>
      <c r="B5701" s="36"/>
      <c r="C5701" s="98"/>
      <c r="D5701" s="98"/>
      <c r="E5701" s="98"/>
      <c r="F5701" s="102"/>
      <c r="G5701" s="103"/>
    </row>
    <row r="5702" spans="1:7" x14ac:dyDescent="0.25">
      <c r="A5702" s="101"/>
      <c r="B5702" s="36"/>
      <c r="C5702" s="98"/>
      <c r="D5702" s="98"/>
      <c r="E5702" s="98"/>
      <c r="F5702" s="102"/>
      <c r="G5702" s="103"/>
    </row>
    <row r="5703" spans="1:7" x14ac:dyDescent="0.25">
      <c r="A5703" s="101"/>
      <c r="B5703" s="36"/>
      <c r="C5703" s="98"/>
      <c r="D5703" s="98"/>
      <c r="E5703" s="98"/>
      <c r="F5703" s="102"/>
      <c r="G5703" s="103"/>
    </row>
    <row r="5704" spans="1:7" x14ac:dyDescent="0.25">
      <c r="A5704" s="101"/>
      <c r="B5704" s="36"/>
      <c r="C5704" s="98"/>
      <c r="D5704" s="98"/>
      <c r="E5704" s="98"/>
      <c r="F5704" s="102"/>
      <c r="G5704" s="103"/>
    </row>
    <row r="5705" spans="1:7" x14ac:dyDescent="0.25">
      <c r="A5705" s="101"/>
      <c r="B5705" s="36"/>
      <c r="C5705" s="98"/>
      <c r="D5705" s="98"/>
      <c r="E5705" s="98"/>
      <c r="F5705" s="102"/>
      <c r="G5705" s="103"/>
    </row>
    <row r="5706" spans="1:7" x14ac:dyDescent="0.25">
      <c r="A5706" s="101"/>
      <c r="B5706" s="36"/>
      <c r="C5706" s="98"/>
      <c r="D5706" s="98"/>
      <c r="E5706" s="98"/>
      <c r="F5706" s="102"/>
      <c r="G5706" s="103"/>
    </row>
    <row r="5707" spans="1:7" x14ac:dyDescent="0.25">
      <c r="A5707" s="101"/>
      <c r="B5707" s="36"/>
      <c r="C5707" s="98"/>
      <c r="D5707" s="98"/>
      <c r="E5707" s="98"/>
      <c r="F5707" s="102"/>
      <c r="G5707" s="103"/>
    </row>
    <row r="5708" spans="1:7" x14ac:dyDescent="0.25">
      <c r="A5708" s="101"/>
      <c r="B5708" s="67"/>
      <c r="C5708" s="98"/>
      <c r="D5708" s="98"/>
      <c r="E5708" s="98"/>
      <c r="F5708" s="102"/>
      <c r="G5708" s="103"/>
    </row>
    <row r="5709" spans="1:7" x14ac:dyDescent="0.25">
      <c r="A5709" s="101"/>
      <c r="B5709" s="36"/>
      <c r="C5709" s="98"/>
      <c r="D5709" s="98"/>
      <c r="E5709" s="98"/>
      <c r="F5709" s="102"/>
      <c r="G5709" s="103"/>
    </row>
    <row r="5710" spans="1:7" x14ac:dyDescent="0.25">
      <c r="A5710" s="101"/>
      <c r="B5710" s="36"/>
      <c r="C5710" s="98"/>
      <c r="D5710" s="98"/>
      <c r="E5710" s="98"/>
      <c r="F5710" s="102"/>
      <c r="G5710" s="103"/>
    </row>
    <row r="5711" spans="1:7" x14ac:dyDescent="0.25">
      <c r="A5711" s="101"/>
      <c r="B5711" s="36"/>
      <c r="C5711" s="98"/>
      <c r="D5711" s="98"/>
      <c r="E5711" s="98"/>
      <c r="F5711" s="102"/>
      <c r="G5711" s="103"/>
    </row>
    <row r="5712" spans="1:7" x14ac:dyDescent="0.25">
      <c r="A5712" s="101"/>
      <c r="B5712" s="36"/>
      <c r="C5712" s="98"/>
      <c r="D5712" s="98"/>
      <c r="E5712" s="98"/>
      <c r="F5712" s="102"/>
      <c r="G5712" s="103"/>
    </row>
    <row r="5713" spans="1:7" x14ac:dyDescent="0.25">
      <c r="A5713" s="101"/>
      <c r="B5713" s="36"/>
      <c r="C5713" s="98"/>
      <c r="D5713" s="98"/>
      <c r="E5713" s="98"/>
      <c r="F5713" s="102"/>
      <c r="G5713" s="103"/>
    </row>
    <row r="5714" spans="1:7" x14ac:dyDescent="0.25">
      <c r="A5714" s="101"/>
      <c r="B5714" s="36"/>
      <c r="C5714" s="98"/>
      <c r="D5714" s="98"/>
      <c r="E5714" s="98"/>
      <c r="F5714" s="102"/>
      <c r="G5714" s="103"/>
    </row>
    <row r="5715" spans="1:7" x14ac:dyDescent="0.25">
      <c r="A5715" s="101"/>
      <c r="B5715" s="36"/>
      <c r="C5715" s="98"/>
      <c r="D5715" s="98"/>
      <c r="E5715" s="98"/>
      <c r="F5715" s="102"/>
      <c r="G5715" s="103"/>
    </row>
    <row r="5716" spans="1:7" x14ac:dyDescent="0.25">
      <c r="A5716" s="101"/>
      <c r="B5716" s="66"/>
      <c r="C5716" s="98"/>
      <c r="D5716" s="98"/>
      <c r="E5716" s="98"/>
      <c r="F5716" s="102"/>
      <c r="G5716" s="103"/>
    </row>
    <row r="5717" spans="1:7" x14ac:dyDescent="0.25">
      <c r="A5717" s="101"/>
      <c r="B5717" s="66"/>
      <c r="C5717" s="98"/>
      <c r="D5717" s="98"/>
      <c r="E5717" s="98"/>
      <c r="F5717" s="102"/>
      <c r="G5717" s="103"/>
    </row>
    <row r="5718" spans="1:7" x14ac:dyDescent="0.25">
      <c r="A5718" s="101"/>
      <c r="B5718" s="66"/>
      <c r="C5718" s="98"/>
      <c r="D5718" s="98"/>
      <c r="E5718" s="98"/>
      <c r="F5718" s="102"/>
      <c r="G5718" s="103"/>
    </row>
    <row r="5719" spans="1:7" x14ac:dyDescent="0.25">
      <c r="A5719" s="101"/>
      <c r="B5719" s="66"/>
      <c r="C5719" s="98"/>
      <c r="D5719" s="98"/>
      <c r="E5719" s="98"/>
      <c r="F5719" s="102"/>
      <c r="G5719" s="103"/>
    </row>
    <row r="5720" spans="1:7" x14ac:dyDescent="0.25">
      <c r="A5720" s="101"/>
      <c r="B5720" s="36"/>
      <c r="C5720" s="98"/>
      <c r="D5720" s="98"/>
      <c r="E5720" s="98"/>
      <c r="F5720" s="102"/>
      <c r="G5720" s="103"/>
    </row>
    <row r="5721" spans="1:7" x14ac:dyDescent="0.25">
      <c r="A5721" s="101"/>
      <c r="B5721" s="36"/>
      <c r="C5721" s="98"/>
      <c r="D5721" s="98"/>
      <c r="E5721" s="98"/>
      <c r="F5721" s="102"/>
      <c r="G5721" s="103"/>
    </row>
    <row r="5722" spans="1:7" x14ac:dyDescent="0.25">
      <c r="A5722" s="101"/>
      <c r="B5722" s="36"/>
      <c r="C5722" s="98"/>
      <c r="D5722" s="98"/>
      <c r="E5722" s="98"/>
      <c r="F5722" s="102"/>
      <c r="G5722" s="103"/>
    </row>
    <row r="5723" spans="1:7" x14ac:dyDescent="0.25">
      <c r="A5723" s="101"/>
      <c r="B5723" s="36"/>
      <c r="C5723" s="98"/>
      <c r="D5723" s="98"/>
      <c r="E5723" s="98"/>
      <c r="F5723" s="102"/>
      <c r="G5723" s="103"/>
    </row>
    <row r="5724" spans="1:7" x14ac:dyDescent="0.25">
      <c r="A5724" s="101"/>
      <c r="B5724" s="36"/>
      <c r="C5724" s="98"/>
      <c r="D5724" s="98"/>
      <c r="E5724" s="98"/>
      <c r="F5724" s="102"/>
      <c r="G5724" s="103"/>
    </row>
    <row r="5725" spans="1:7" x14ac:dyDescent="0.25">
      <c r="A5725" s="101"/>
      <c r="B5725" s="36"/>
      <c r="C5725" s="98"/>
      <c r="D5725" s="98"/>
      <c r="E5725" s="98"/>
      <c r="F5725" s="102"/>
      <c r="G5725" s="103"/>
    </row>
    <row r="5726" spans="1:7" x14ac:dyDescent="0.25">
      <c r="A5726" s="101"/>
      <c r="B5726" s="36"/>
      <c r="C5726" s="98"/>
      <c r="D5726" s="98"/>
      <c r="E5726" s="98"/>
      <c r="F5726" s="102"/>
      <c r="G5726" s="103"/>
    </row>
    <row r="5727" spans="1:7" x14ac:dyDescent="0.25">
      <c r="A5727" s="101"/>
      <c r="B5727" s="36"/>
      <c r="C5727" s="98"/>
      <c r="D5727" s="98"/>
      <c r="E5727" s="98"/>
      <c r="F5727" s="102"/>
      <c r="G5727" s="103"/>
    </row>
    <row r="5728" spans="1:7" x14ac:dyDescent="0.25">
      <c r="A5728" s="101"/>
      <c r="B5728" s="36"/>
      <c r="C5728" s="98"/>
      <c r="D5728" s="98"/>
      <c r="E5728" s="98"/>
      <c r="F5728" s="102"/>
      <c r="G5728" s="103"/>
    </row>
    <row r="5729" spans="1:7" x14ac:dyDescent="0.25">
      <c r="A5729" s="101"/>
      <c r="B5729" s="36"/>
      <c r="C5729" s="98"/>
      <c r="D5729" s="98"/>
      <c r="E5729" s="98"/>
      <c r="F5729" s="102"/>
      <c r="G5729" s="103"/>
    </row>
    <row r="5730" spans="1:7" x14ac:dyDescent="0.25">
      <c r="A5730" s="101"/>
      <c r="B5730" s="36"/>
      <c r="C5730" s="98"/>
      <c r="D5730" s="98"/>
      <c r="E5730" s="98"/>
      <c r="F5730" s="102"/>
      <c r="G5730" s="103"/>
    </row>
    <row r="5731" spans="1:7" x14ac:dyDescent="0.25">
      <c r="A5731" s="101"/>
      <c r="B5731" s="67"/>
      <c r="C5731" s="98"/>
      <c r="D5731" s="98"/>
      <c r="E5731" s="98"/>
      <c r="F5731" s="102"/>
      <c r="G5731" s="103"/>
    </row>
    <row r="5732" spans="1:7" x14ac:dyDescent="0.25">
      <c r="A5732" s="101"/>
      <c r="B5732" s="67"/>
      <c r="C5732" s="98"/>
      <c r="D5732" s="98"/>
      <c r="E5732" s="98"/>
      <c r="F5732" s="102"/>
      <c r="G5732" s="103"/>
    </row>
    <row r="5733" spans="1:7" x14ac:dyDescent="0.25">
      <c r="A5733" s="101"/>
      <c r="B5733" s="36"/>
      <c r="C5733" s="98"/>
      <c r="D5733" s="98"/>
      <c r="E5733" s="98"/>
      <c r="F5733" s="102"/>
      <c r="G5733" s="103"/>
    </row>
    <row r="5734" spans="1:7" x14ac:dyDescent="0.25">
      <c r="A5734" s="101"/>
      <c r="B5734" s="36"/>
      <c r="C5734" s="98"/>
      <c r="D5734" s="98"/>
      <c r="E5734" s="98"/>
      <c r="F5734" s="102"/>
      <c r="G5734" s="103"/>
    </row>
    <row r="5735" spans="1:7" x14ac:dyDescent="0.25">
      <c r="A5735" s="101"/>
      <c r="B5735" s="36"/>
      <c r="C5735" s="98"/>
      <c r="D5735" s="98"/>
      <c r="E5735" s="98"/>
      <c r="F5735" s="102"/>
      <c r="G5735" s="103"/>
    </row>
    <row r="5736" spans="1:7" x14ac:dyDescent="0.25">
      <c r="A5736" s="101"/>
      <c r="B5736" s="36"/>
      <c r="C5736" s="98"/>
      <c r="D5736" s="98"/>
      <c r="E5736" s="98"/>
      <c r="F5736" s="102"/>
      <c r="G5736" s="103"/>
    </row>
    <row r="5737" spans="1:7" x14ac:dyDescent="0.25">
      <c r="A5737" s="101"/>
      <c r="B5737" s="36"/>
      <c r="C5737" s="98"/>
      <c r="D5737" s="98"/>
      <c r="E5737" s="98"/>
      <c r="F5737" s="102"/>
      <c r="G5737" s="103"/>
    </row>
    <row r="5738" spans="1:7" x14ac:dyDescent="0.25">
      <c r="A5738" s="101"/>
      <c r="B5738" s="36"/>
      <c r="C5738" s="98"/>
      <c r="D5738" s="98"/>
      <c r="E5738" s="98"/>
      <c r="F5738" s="102"/>
      <c r="G5738" s="103"/>
    </row>
    <row r="5739" spans="1:7" x14ac:dyDescent="0.25">
      <c r="A5739" s="101"/>
      <c r="B5739" s="36"/>
      <c r="C5739" s="98"/>
      <c r="D5739" s="98"/>
      <c r="E5739" s="98"/>
      <c r="F5739" s="102"/>
      <c r="G5739" s="103"/>
    </row>
    <row r="5740" spans="1:7" x14ac:dyDescent="0.25">
      <c r="A5740" s="101"/>
      <c r="B5740" s="36"/>
      <c r="C5740" s="98"/>
      <c r="D5740" s="98"/>
      <c r="E5740" s="98"/>
      <c r="F5740" s="102"/>
      <c r="G5740" s="103"/>
    </row>
    <row r="5741" spans="1:7" x14ac:dyDescent="0.25">
      <c r="A5741" s="101"/>
      <c r="B5741" s="36"/>
      <c r="C5741" s="98"/>
      <c r="D5741" s="98"/>
      <c r="E5741" s="98"/>
      <c r="F5741" s="102"/>
      <c r="G5741" s="103"/>
    </row>
    <row r="5742" spans="1:7" x14ac:dyDescent="0.25">
      <c r="A5742" s="101"/>
      <c r="B5742" s="36"/>
      <c r="C5742" s="98"/>
      <c r="D5742" s="98"/>
      <c r="E5742" s="98"/>
      <c r="F5742" s="102"/>
      <c r="G5742" s="103"/>
    </row>
    <row r="5743" spans="1:7" x14ac:dyDescent="0.25">
      <c r="A5743" s="101"/>
      <c r="B5743" s="36"/>
      <c r="C5743" s="98"/>
      <c r="D5743" s="98"/>
      <c r="E5743" s="98"/>
      <c r="F5743" s="102"/>
      <c r="G5743" s="103"/>
    </row>
    <row r="5744" spans="1:7" x14ac:dyDescent="0.25">
      <c r="A5744" s="101"/>
      <c r="B5744" s="67"/>
      <c r="C5744" s="98"/>
      <c r="D5744" s="98"/>
      <c r="E5744" s="98"/>
      <c r="F5744" s="102"/>
      <c r="G5744" s="103"/>
    </row>
    <row r="5745" spans="1:7" x14ac:dyDescent="0.25">
      <c r="A5745" s="101"/>
      <c r="B5745" s="66"/>
      <c r="C5745" s="98"/>
      <c r="D5745" s="98"/>
      <c r="E5745" s="98"/>
      <c r="F5745" s="102"/>
      <c r="G5745" s="103"/>
    </row>
    <row r="5746" spans="1:7" x14ac:dyDescent="0.25">
      <c r="A5746" s="101"/>
      <c r="B5746" s="66"/>
      <c r="C5746" s="98"/>
      <c r="D5746" s="98"/>
      <c r="E5746" s="98"/>
      <c r="F5746" s="102"/>
      <c r="G5746" s="103"/>
    </row>
    <row r="5747" spans="1:7" x14ac:dyDescent="0.25">
      <c r="A5747" s="101"/>
      <c r="B5747" s="36"/>
      <c r="C5747" s="98"/>
      <c r="D5747" s="98"/>
      <c r="E5747" s="98"/>
      <c r="F5747" s="102"/>
      <c r="G5747" s="103"/>
    </row>
    <row r="5748" spans="1:7" x14ac:dyDescent="0.25">
      <c r="A5748" s="101"/>
      <c r="B5748" s="36"/>
      <c r="C5748" s="98"/>
      <c r="D5748" s="98"/>
      <c r="E5748" s="98"/>
      <c r="F5748" s="102"/>
      <c r="G5748" s="103"/>
    </row>
    <row r="5749" spans="1:7" x14ac:dyDescent="0.25">
      <c r="A5749" s="101"/>
      <c r="B5749" s="36"/>
      <c r="C5749" s="98"/>
      <c r="D5749" s="98"/>
      <c r="E5749" s="98"/>
      <c r="F5749" s="102"/>
      <c r="G5749" s="103"/>
    </row>
    <row r="5750" spans="1:7" x14ac:dyDescent="0.25">
      <c r="A5750" s="101"/>
      <c r="B5750" s="36"/>
      <c r="C5750" s="98"/>
      <c r="D5750" s="98"/>
      <c r="E5750" s="98"/>
      <c r="F5750" s="102"/>
      <c r="G5750" s="103"/>
    </row>
    <row r="5751" spans="1:7" x14ac:dyDescent="0.25">
      <c r="A5751" s="101"/>
      <c r="B5751" s="36"/>
      <c r="C5751" s="98"/>
      <c r="D5751" s="98"/>
      <c r="E5751" s="98"/>
      <c r="F5751" s="102"/>
      <c r="G5751" s="103"/>
    </row>
    <row r="5752" spans="1:7" x14ac:dyDescent="0.25">
      <c r="A5752" s="101"/>
      <c r="B5752" s="36"/>
      <c r="C5752" s="98"/>
      <c r="D5752" s="98"/>
      <c r="E5752" s="98"/>
      <c r="F5752" s="102"/>
      <c r="G5752" s="103"/>
    </row>
    <row r="5753" spans="1:7" x14ac:dyDescent="0.25">
      <c r="A5753" s="101"/>
      <c r="B5753" s="36"/>
      <c r="C5753" s="98"/>
      <c r="D5753" s="98"/>
      <c r="E5753" s="98"/>
      <c r="F5753" s="102"/>
      <c r="G5753" s="103"/>
    </row>
    <row r="5754" spans="1:7" x14ac:dyDescent="0.25">
      <c r="A5754" s="101"/>
      <c r="B5754" s="36"/>
      <c r="C5754" s="98"/>
      <c r="D5754" s="98"/>
      <c r="E5754" s="98"/>
      <c r="F5754" s="102"/>
      <c r="G5754" s="103"/>
    </row>
    <row r="5755" spans="1:7" x14ac:dyDescent="0.25">
      <c r="A5755" s="101"/>
      <c r="B5755" s="66"/>
      <c r="C5755" s="98"/>
      <c r="D5755" s="98"/>
      <c r="E5755" s="98"/>
      <c r="F5755" s="102"/>
      <c r="G5755" s="103"/>
    </row>
    <row r="5756" spans="1:7" x14ac:dyDescent="0.25">
      <c r="A5756" s="101"/>
      <c r="B5756" s="66"/>
      <c r="C5756" s="98"/>
      <c r="D5756" s="98"/>
      <c r="E5756" s="98"/>
      <c r="F5756" s="102"/>
      <c r="G5756" s="103"/>
    </row>
    <row r="5757" spans="1:7" x14ac:dyDescent="0.25">
      <c r="A5757" s="101"/>
      <c r="B5757" s="36"/>
      <c r="C5757" s="98"/>
      <c r="D5757" s="98"/>
      <c r="E5757" s="98"/>
      <c r="F5757" s="102"/>
      <c r="G5757" s="103"/>
    </row>
    <row r="5758" spans="1:7" x14ac:dyDescent="0.25">
      <c r="A5758" s="101"/>
      <c r="B5758" s="36"/>
      <c r="C5758" s="98"/>
      <c r="D5758" s="98"/>
      <c r="E5758" s="98"/>
      <c r="F5758" s="102"/>
      <c r="G5758" s="103"/>
    </row>
    <row r="5759" spans="1:7" x14ac:dyDescent="0.25">
      <c r="A5759" s="101"/>
      <c r="B5759" s="36"/>
      <c r="C5759" s="98"/>
      <c r="D5759" s="98"/>
      <c r="E5759" s="98"/>
      <c r="F5759" s="102"/>
      <c r="G5759" s="103"/>
    </row>
    <row r="5760" spans="1:7" x14ac:dyDescent="0.25">
      <c r="A5760" s="101"/>
      <c r="B5760" s="67"/>
      <c r="C5760" s="98"/>
      <c r="D5760" s="98"/>
      <c r="E5760" s="98"/>
      <c r="F5760" s="102"/>
      <c r="G5760" s="103"/>
    </row>
    <row r="5761" spans="1:7" x14ac:dyDescent="0.25">
      <c r="A5761" s="101"/>
      <c r="B5761" s="36"/>
      <c r="C5761" s="98"/>
      <c r="D5761" s="98"/>
      <c r="E5761" s="98"/>
      <c r="F5761" s="102"/>
      <c r="G5761" s="103"/>
    </row>
    <row r="5762" spans="1:7" x14ac:dyDescent="0.25">
      <c r="A5762" s="101"/>
      <c r="B5762" s="36"/>
      <c r="C5762" s="98"/>
      <c r="D5762" s="98"/>
      <c r="E5762" s="98"/>
      <c r="F5762" s="102"/>
      <c r="G5762" s="103"/>
    </row>
    <row r="5763" spans="1:7" x14ac:dyDescent="0.25">
      <c r="A5763" s="101"/>
      <c r="B5763" s="36"/>
      <c r="C5763" s="98"/>
      <c r="D5763" s="98"/>
      <c r="E5763" s="98"/>
      <c r="F5763" s="102"/>
      <c r="G5763" s="103"/>
    </row>
    <row r="5764" spans="1:7" x14ac:dyDescent="0.25">
      <c r="A5764" s="101"/>
      <c r="B5764" s="36"/>
      <c r="C5764" s="98"/>
      <c r="D5764" s="98"/>
      <c r="E5764" s="98"/>
      <c r="F5764" s="102"/>
      <c r="G5764" s="103"/>
    </row>
    <row r="5765" spans="1:7" x14ac:dyDescent="0.25">
      <c r="A5765" s="101"/>
      <c r="B5765" s="36"/>
      <c r="C5765" s="98"/>
      <c r="D5765" s="98"/>
      <c r="E5765" s="98"/>
      <c r="F5765" s="102"/>
      <c r="G5765" s="103"/>
    </row>
    <row r="5766" spans="1:7" x14ac:dyDescent="0.25">
      <c r="A5766" s="101"/>
      <c r="B5766" s="66"/>
      <c r="C5766" s="98"/>
      <c r="D5766" s="98"/>
      <c r="E5766" s="98"/>
      <c r="F5766" s="102"/>
      <c r="G5766" s="103"/>
    </row>
    <row r="5767" spans="1:7" x14ac:dyDescent="0.25">
      <c r="A5767" s="101"/>
      <c r="B5767" s="66"/>
      <c r="C5767" s="98"/>
      <c r="D5767" s="98"/>
      <c r="E5767" s="98"/>
      <c r="F5767" s="102"/>
      <c r="G5767" s="103"/>
    </row>
    <row r="5768" spans="1:7" x14ac:dyDescent="0.25">
      <c r="A5768" s="101"/>
      <c r="B5768" s="66"/>
      <c r="C5768" s="98"/>
      <c r="D5768" s="98"/>
      <c r="E5768" s="98"/>
      <c r="F5768" s="102"/>
      <c r="G5768" s="103"/>
    </row>
    <row r="5769" spans="1:7" x14ac:dyDescent="0.25">
      <c r="A5769" s="101"/>
      <c r="B5769" s="66"/>
      <c r="C5769" s="98"/>
      <c r="D5769" s="98"/>
      <c r="E5769" s="98"/>
      <c r="F5769" s="102"/>
      <c r="G5769" s="103"/>
    </row>
    <row r="5770" spans="1:7" x14ac:dyDescent="0.25">
      <c r="A5770" s="101"/>
      <c r="B5770" s="36"/>
      <c r="C5770" s="98"/>
      <c r="D5770" s="98"/>
      <c r="E5770" s="98"/>
      <c r="F5770" s="102"/>
      <c r="G5770" s="103"/>
    </row>
    <row r="5771" spans="1:7" x14ac:dyDescent="0.25">
      <c r="A5771" s="101"/>
      <c r="B5771" s="36"/>
      <c r="C5771" s="98"/>
      <c r="D5771" s="98"/>
      <c r="E5771" s="98"/>
      <c r="F5771" s="102"/>
      <c r="G5771" s="103"/>
    </row>
    <row r="5772" spans="1:7" x14ac:dyDescent="0.25">
      <c r="A5772" s="101"/>
      <c r="B5772" s="36"/>
      <c r="C5772" s="98"/>
      <c r="D5772" s="98"/>
      <c r="E5772" s="98"/>
      <c r="F5772" s="102"/>
      <c r="G5772" s="103"/>
    </row>
    <row r="5773" spans="1:7" x14ac:dyDescent="0.25">
      <c r="A5773" s="101"/>
      <c r="B5773" s="36"/>
      <c r="C5773" s="98"/>
      <c r="D5773" s="98"/>
      <c r="E5773" s="98"/>
      <c r="F5773" s="102"/>
      <c r="G5773" s="103"/>
    </row>
    <row r="5774" spans="1:7" x14ac:dyDescent="0.25">
      <c r="A5774" s="101"/>
      <c r="B5774" s="36"/>
      <c r="C5774" s="98"/>
      <c r="D5774" s="98"/>
      <c r="E5774" s="98"/>
      <c r="F5774" s="102"/>
      <c r="G5774" s="103"/>
    </row>
    <row r="5775" spans="1:7" x14ac:dyDescent="0.25">
      <c r="A5775" s="101"/>
      <c r="B5775" s="36"/>
      <c r="C5775" s="98"/>
      <c r="D5775" s="98"/>
      <c r="E5775" s="98"/>
      <c r="F5775" s="102"/>
      <c r="G5775" s="103"/>
    </row>
    <row r="5776" spans="1:7" x14ac:dyDescent="0.25">
      <c r="A5776" s="101"/>
      <c r="B5776" s="36"/>
      <c r="C5776" s="98"/>
      <c r="D5776" s="98"/>
      <c r="E5776" s="98"/>
      <c r="F5776" s="102"/>
      <c r="G5776" s="103"/>
    </row>
    <row r="5777" spans="1:7" x14ac:dyDescent="0.25">
      <c r="A5777" s="101"/>
      <c r="B5777" s="36"/>
      <c r="C5777" s="98"/>
      <c r="D5777" s="98"/>
      <c r="E5777" s="98"/>
      <c r="F5777" s="102"/>
      <c r="G5777" s="103"/>
    </row>
    <row r="5778" spans="1:7" x14ac:dyDescent="0.25">
      <c r="A5778" s="101"/>
      <c r="B5778" s="36"/>
      <c r="C5778" s="98"/>
      <c r="D5778" s="98"/>
      <c r="E5778" s="98"/>
      <c r="F5778" s="102"/>
      <c r="G5778" s="103"/>
    </row>
    <row r="5779" spans="1:7" x14ac:dyDescent="0.25">
      <c r="A5779" s="101"/>
      <c r="B5779" s="36"/>
      <c r="C5779" s="98"/>
      <c r="D5779" s="98"/>
      <c r="E5779" s="98"/>
      <c r="F5779" s="102"/>
      <c r="G5779" s="103"/>
    </row>
    <row r="5780" spans="1:7" x14ac:dyDescent="0.25">
      <c r="A5780" s="101"/>
      <c r="B5780" s="36"/>
      <c r="C5780" s="98"/>
      <c r="D5780" s="98"/>
      <c r="E5780" s="98"/>
      <c r="F5780" s="102"/>
      <c r="G5780" s="103"/>
    </row>
    <row r="5781" spans="1:7" x14ac:dyDescent="0.25">
      <c r="A5781" s="101"/>
      <c r="B5781" s="36"/>
      <c r="C5781" s="98"/>
      <c r="D5781" s="98"/>
      <c r="E5781" s="98"/>
      <c r="F5781" s="102"/>
      <c r="G5781" s="103"/>
    </row>
    <row r="5782" spans="1:7" x14ac:dyDescent="0.25">
      <c r="A5782" s="101"/>
      <c r="B5782" s="36"/>
      <c r="C5782" s="98"/>
      <c r="D5782" s="98"/>
      <c r="E5782" s="98"/>
      <c r="F5782" s="102"/>
      <c r="G5782" s="103"/>
    </row>
    <row r="5783" spans="1:7" x14ac:dyDescent="0.25">
      <c r="A5783" s="101"/>
      <c r="B5783" s="36"/>
      <c r="C5783" s="98"/>
      <c r="D5783" s="98"/>
      <c r="E5783" s="98"/>
      <c r="F5783" s="102"/>
      <c r="G5783" s="103"/>
    </row>
    <row r="5784" spans="1:7" x14ac:dyDescent="0.25">
      <c r="A5784" s="101"/>
      <c r="B5784" s="36"/>
      <c r="C5784" s="98"/>
      <c r="D5784" s="98"/>
      <c r="E5784" s="98"/>
      <c r="F5784" s="102"/>
      <c r="G5784" s="103"/>
    </row>
    <row r="5785" spans="1:7" x14ac:dyDescent="0.25">
      <c r="A5785" s="101"/>
      <c r="B5785" s="36"/>
      <c r="C5785" s="98"/>
      <c r="D5785" s="98"/>
      <c r="E5785" s="98"/>
      <c r="F5785" s="102"/>
      <c r="G5785" s="103"/>
    </row>
    <row r="5786" spans="1:7" x14ac:dyDescent="0.25">
      <c r="A5786" s="101"/>
      <c r="B5786" s="36"/>
      <c r="C5786" s="98"/>
      <c r="D5786" s="98"/>
      <c r="E5786" s="98"/>
      <c r="F5786" s="102"/>
      <c r="G5786" s="103"/>
    </row>
    <row r="5787" spans="1:7" x14ac:dyDescent="0.25">
      <c r="A5787" s="101"/>
      <c r="B5787" s="66"/>
      <c r="C5787" s="98"/>
      <c r="D5787" s="98"/>
      <c r="E5787" s="98"/>
      <c r="F5787" s="102"/>
      <c r="G5787" s="103"/>
    </row>
    <row r="5788" spans="1:7" x14ac:dyDescent="0.25">
      <c r="A5788" s="101"/>
      <c r="B5788" s="36"/>
      <c r="C5788" s="98"/>
      <c r="D5788" s="98"/>
      <c r="E5788" s="98"/>
      <c r="F5788" s="102"/>
      <c r="G5788" s="103"/>
    </row>
    <row r="5789" spans="1:7" x14ac:dyDescent="0.25">
      <c r="A5789" s="101"/>
      <c r="B5789" s="36"/>
      <c r="C5789" s="98"/>
      <c r="D5789" s="98"/>
      <c r="E5789" s="98"/>
      <c r="F5789" s="102"/>
      <c r="G5789" s="103"/>
    </row>
    <row r="5790" spans="1:7" x14ac:dyDescent="0.25">
      <c r="A5790" s="101"/>
      <c r="B5790" s="36"/>
      <c r="C5790" s="98"/>
      <c r="D5790" s="98"/>
      <c r="E5790" s="98"/>
      <c r="F5790" s="102"/>
      <c r="G5790" s="103"/>
    </row>
    <row r="5791" spans="1:7" x14ac:dyDescent="0.25">
      <c r="A5791" s="101"/>
      <c r="B5791" s="36"/>
      <c r="C5791" s="98"/>
      <c r="D5791" s="98"/>
      <c r="E5791" s="98"/>
      <c r="F5791" s="102"/>
      <c r="G5791" s="103"/>
    </row>
    <row r="5792" spans="1:7" x14ac:dyDescent="0.25">
      <c r="A5792" s="101"/>
      <c r="B5792" s="36"/>
      <c r="C5792" s="98"/>
      <c r="D5792" s="98"/>
      <c r="E5792" s="98"/>
      <c r="F5792" s="102"/>
      <c r="G5792" s="103"/>
    </row>
    <row r="5793" spans="1:7" x14ac:dyDescent="0.25">
      <c r="A5793" s="101"/>
      <c r="B5793" s="36"/>
      <c r="C5793" s="98"/>
      <c r="D5793" s="98"/>
      <c r="E5793" s="98"/>
      <c r="F5793" s="102"/>
      <c r="G5793" s="103"/>
    </row>
    <row r="5794" spans="1:7" x14ac:dyDescent="0.25">
      <c r="A5794" s="101"/>
      <c r="B5794" s="36"/>
      <c r="C5794" s="98"/>
      <c r="D5794" s="98"/>
      <c r="E5794" s="98"/>
      <c r="F5794" s="102"/>
      <c r="G5794" s="103"/>
    </row>
    <row r="5795" spans="1:7" x14ac:dyDescent="0.25">
      <c r="A5795" s="101"/>
      <c r="B5795" s="36"/>
      <c r="C5795" s="98"/>
      <c r="D5795" s="98"/>
      <c r="E5795" s="98"/>
      <c r="F5795" s="102"/>
      <c r="G5795" s="103"/>
    </row>
    <row r="5796" spans="1:7" x14ac:dyDescent="0.25">
      <c r="A5796" s="101"/>
      <c r="B5796" s="36"/>
      <c r="C5796" s="98"/>
      <c r="D5796" s="98"/>
      <c r="E5796" s="98"/>
      <c r="F5796" s="102"/>
      <c r="G5796" s="103"/>
    </row>
    <row r="5797" spans="1:7" x14ac:dyDescent="0.25">
      <c r="A5797" s="101"/>
      <c r="B5797" s="36"/>
      <c r="C5797" s="98"/>
      <c r="D5797" s="98"/>
      <c r="E5797" s="98"/>
      <c r="F5797" s="102"/>
      <c r="G5797" s="103"/>
    </row>
    <row r="5798" spans="1:7" x14ac:dyDescent="0.25">
      <c r="A5798" s="101"/>
      <c r="B5798" s="66"/>
      <c r="C5798" s="98"/>
      <c r="D5798" s="98"/>
      <c r="E5798" s="98"/>
      <c r="F5798" s="102"/>
      <c r="G5798" s="103"/>
    </row>
    <row r="5799" spans="1:7" x14ac:dyDescent="0.25">
      <c r="A5799" s="101"/>
      <c r="B5799" s="36"/>
      <c r="C5799" s="98"/>
      <c r="D5799" s="98"/>
      <c r="E5799" s="98"/>
      <c r="F5799" s="102"/>
      <c r="G5799" s="103"/>
    </row>
    <row r="5800" spans="1:7" x14ac:dyDescent="0.25">
      <c r="A5800" s="101"/>
      <c r="B5800" s="67"/>
      <c r="C5800" s="98"/>
      <c r="D5800" s="98"/>
      <c r="E5800" s="98"/>
      <c r="F5800" s="102"/>
      <c r="G5800" s="103"/>
    </row>
    <row r="5801" spans="1:7" x14ac:dyDescent="0.25">
      <c r="A5801" s="101"/>
      <c r="B5801" s="67"/>
      <c r="C5801" s="98"/>
      <c r="D5801" s="98"/>
      <c r="E5801" s="98"/>
      <c r="F5801" s="102"/>
      <c r="G5801" s="103"/>
    </row>
    <row r="5802" spans="1:7" x14ac:dyDescent="0.25">
      <c r="A5802" s="101"/>
      <c r="B5802" s="36"/>
      <c r="C5802" s="98"/>
      <c r="D5802" s="98"/>
      <c r="E5802" s="98"/>
      <c r="F5802" s="102"/>
      <c r="G5802" s="103"/>
    </row>
    <row r="5803" spans="1:7" x14ac:dyDescent="0.25">
      <c r="A5803" s="101"/>
      <c r="B5803" s="36"/>
      <c r="C5803" s="98"/>
      <c r="D5803" s="98"/>
      <c r="E5803" s="98"/>
      <c r="F5803" s="102"/>
      <c r="G5803" s="103"/>
    </row>
    <row r="5804" spans="1:7" x14ac:dyDescent="0.25">
      <c r="A5804" s="101"/>
      <c r="B5804" s="36"/>
      <c r="C5804" s="98"/>
      <c r="D5804" s="98"/>
      <c r="E5804" s="98"/>
      <c r="F5804" s="102"/>
      <c r="G5804" s="103"/>
    </row>
    <row r="5805" spans="1:7" x14ac:dyDescent="0.25">
      <c r="A5805" s="101"/>
      <c r="B5805" s="36"/>
      <c r="C5805" s="98"/>
      <c r="D5805" s="98"/>
      <c r="E5805" s="98"/>
      <c r="F5805" s="102"/>
      <c r="G5805" s="103"/>
    </row>
    <row r="5806" spans="1:7" x14ac:dyDescent="0.25">
      <c r="A5806" s="101"/>
      <c r="B5806" s="66"/>
      <c r="C5806" s="98"/>
      <c r="D5806" s="98"/>
      <c r="E5806" s="98"/>
      <c r="F5806" s="102"/>
      <c r="G5806" s="103"/>
    </row>
    <row r="5807" spans="1:7" x14ac:dyDescent="0.25">
      <c r="A5807" s="101"/>
      <c r="B5807" s="66"/>
      <c r="C5807" s="98"/>
      <c r="D5807" s="98"/>
      <c r="E5807" s="98"/>
      <c r="F5807" s="102"/>
      <c r="G5807" s="103"/>
    </row>
    <row r="5808" spans="1:7" x14ac:dyDescent="0.25">
      <c r="A5808" s="101"/>
      <c r="B5808" s="36"/>
      <c r="C5808" s="98"/>
      <c r="D5808" s="98"/>
      <c r="E5808" s="98"/>
      <c r="F5808" s="102"/>
      <c r="G5808" s="103"/>
    </row>
    <row r="5809" spans="1:7" x14ac:dyDescent="0.25">
      <c r="A5809" s="101"/>
      <c r="B5809" s="36"/>
      <c r="C5809" s="98"/>
      <c r="D5809" s="98"/>
      <c r="E5809" s="98"/>
      <c r="F5809" s="102"/>
      <c r="G5809" s="103"/>
    </row>
    <row r="5810" spans="1:7" x14ac:dyDescent="0.25">
      <c r="A5810" s="101"/>
      <c r="B5810" s="36"/>
      <c r="C5810" s="98"/>
      <c r="D5810" s="98"/>
      <c r="E5810" s="98"/>
      <c r="F5810" s="102"/>
      <c r="G5810" s="103"/>
    </row>
    <row r="5811" spans="1:7" x14ac:dyDescent="0.25">
      <c r="A5811" s="101"/>
      <c r="B5811" s="36"/>
      <c r="C5811" s="98"/>
      <c r="D5811" s="98"/>
      <c r="E5811" s="98"/>
      <c r="F5811" s="102"/>
      <c r="G5811" s="103"/>
    </row>
    <row r="5812" spans="1:7" x14ac:dyDescent="0.25">
      <c r="A5812" s="101"/>
      <c r="B5812" s="36"/>
      <c r="C5812" s="98"/>
      <c r="D5812" s="98"/>
      <c r="E5812" s="98"/>
      <c r="F5812" s="102"/>
      <c r="G5812" s="103"/>
    </row>
    <row r="5813" spans="1:7" x14ac:dyDescent="0.25">
      <c r="A5813" s="101"/>
      <c r="B5813" s="36"/>
      <c r="C5813" s="98"/>
      <c r="D5813" s="98"/>
      <c r="E5813" s="98"/>
      <c r="F5813" s="102"/>
      <c r="G5813" s="103"/>
    </row>
    <row r="5814" spans="1:7" x14ac:dyDescent="0.25">
      <c r="A5814" s="101"/>
      <c r="B5814" s="36"/>
      <c r="C5814" s="98"/>
      <c r="D5814" s="98"/>
      <c r="E5814" s="98"/>
      <c r="F5814" s="102"/>
      <c r="G5814" s="103"/>
    </row>
    <row r="5815" spans="1:7" x14ac:dyDescent="0.25">
      <c r="A5815" s="101"/>
      <c r="B5815" s="36"/>
      <c r="C5815" s="98"/>
      <c r="D5815" s="98"/>
      <c r="E5815" s="98"/>
      <c r="F5815" s="102"/>
      <c r="G5815" s="103"/>
    </row>
    <row r="5816" spans="1:7" x14ac:dyDescent="0.25">
      <c r="A5816" s="101"/>
      <c r="B5816" s="36"/>
      <c r="C5816" s="98"/>
      <c r="D5816" s="98"/>
      <c r="E5816" s="98"/>
      <c r="F5816" s="102"/>
      <c r="G5816" s="103"/>
    </row>
    <row r="5817" spans="1:7" x14ac:dyDescent="0.25">
      <c r="A5817" s="101"/>
      <c r="B5817" s="36"/>
      <c r="C5817" s="98"/>
      <c r="D5817" s="98"/>
      <c r="E5817" s="98"/>
      <c r="F5817" s="102"/>
      <c r="G5817" s="103"/>
    </row>
    <row r="5818" spans="1:7" x14ac:dyDescent="0.25">
      <c r="A5818" s="101"/>
      <c r="B5818" s="36"/>
      <c r="C5818" s="98"/>
      <c r="D5818" s="98"/>
      <c r="E5818" s="98"/>
      <c r="F5818" s="102"/>
      <c r="G5818" s="103"/>
    </row>
    <row r="5819" spans="1:7" x14ac:dyDescent="0.25">
      <c r="A5819" s="101"/>
      <c r="B5819" s="36"/>
      <c r="C5819" s="98"/>
      <c r="D5819" s="98"/>
      <c r="E5819" s="98"/>
      <c r="F5819" s="102"/>
      <c r="G5819" s="103"/>
    </row>
    <row r="5820" spans="1:7" x14ac:dyDescent="0.25">
      <c r="A5820" s="101"/>
      <c r="B5820" s="67"/>
      <c r="C5820" s="98"/>
      <c r="D5820" s="98"/>
      <c r="E5820" s="98"/>
      <c r="F5820" s="102"/>
      <c r="G5820" s="103"/>
    </row>
    <row r="5821" spans="1:7" x14ac:dyDescent="0.25">
      <c r="A5821" s="101"/>
      <c r="B5821" s="36"/>
      <c r="C5821" s="98"/>
      <c r="D5821" s="98"/>
      <c r="E5821" s="98"/>
      <c r="F5821" s="102"/>
      <c r="G5821" s="103"/>
    </row>
    <row r="5822" spans="1:7" x14ac:dyDescent="0.25">
      <c r="A5822" s="101"/>
      <c r="B5822" s="36"/>
      <c r="C5822" s="98"/>
      <c r="D5822" s="98"/>
      <c r="E5822" s="98"/>
      <c r="F5822" s="102"/>
      <c r="G5822" s="103"/>
    </row>
    <row r="5823" spans="1:7" x14ac:dyDescent="0.25">
      <c r="A5823" s="101"/>
      <c r="B5823" s="36"/>
      <c r="C5823" s="98"/>
      <c r="D5823" s="98"/>
      <c r="E5823" s="98"/>
      <c r="F5823" s="102"/>
      <c r="G5823" s="103"/>
    </row>
    <row r="5824" spans="1:7" x14ac:dyDescent="0.25">
      <c r="A5824" s="101"/>
      <c r="B5824" s="36"/>
      <c r="C5824" s="98"/>
      <c r="D5824" s="98"/>
      <c r="E5824" s="98"/>
      <c r="F5824" s="102"/>
      <c r="G5824" s="103"/>
    </row>
    <row r="5825" spans="1:7" x14ac:dyDescent="0.25">
      <c r="A5825" s="101"/>
      <c r="B5825" s="36"/>
      <c r="C5825" s="98"/>
      <c r="D5825" s="98"/>
      <c r="E5825" s="98"/>
      <c r="F5825" s="102"/>
      <c r="G5825" s="103"/>
    </row>
    <row r="5826" spans="1:7" x14ac:dyDescent="0.25">
      <c r="A5826" s="101"/>
      <c r="B5826" s="36"/>
      <c r="C5826" s="98"/>
      <c r="D5826" s="98"/>
      <c r="E5826" s="98"/>
      <c r="F5826" s="102"/>
      <c r="G5826" s="103"/>
    </row>
    <row r="5827" spans="1:7" x14ac:dyDescent="0.25">
      <c r="A5827" s="101"/>
      <c r="B5827" s="36"/>
      <c r="C5827" s="98"/>
      <c r="D5827" s="98"/>
      <c r="E5827" s="98"/>
      <c r="F5827" s="102"/>
      <c r="G5827" s="103"/>
    </row>
    <row r="5828" spans="1:7" x14ac:dyDescent="0.25">
      <c r="A5828" s="101"/>
      <c r="B5828" s="36"/>
      <c r="C5828" s="98"/>
      <c r="D5828" s="98"/>
      <c r="E5828" s="98"/>
      <c r="F5828" s="102"/>
      <c r="G5828" s="103"/>
    </row>
    <row r="5829" spans="1:7" x14ac:dyDescent="0.25">
      <c r="A5829" s="101"/>
      <c r="B5829" s="36"/>
      <c r="C5829" s="98"/>
      <c r="D5829" s="98"/>
      <c r="E5829" s="98"/>
      <c r="F5829" s="102"/>
      <c r="G5829" s="103"/>
    </row>
    <row r="5830" spans="1:7" x14ac:dyDescent="0.25">
      <c r="A5830" s="101"/>
      <c r="B5830" s="36"/>
      <c r="C5830" s="98"/>
      <c r="D5830" s="98"/>
      <c r="E5830" s="98"/>
      <c r="F5830" s="102"/>
      <c r="G5830" s="103"/>
    </row>
    <row r="5831" spans="1:7" x14ac:dyDescent="0.25">
      <c r="A5831" s="101"/>
      <c r="B5831" s="66"/>
      <c r="C5831" s="98"/>
      <c r="D5831" s="98"/>
      <c r="E5831" s="98"/>
      <c r="F5831" s="102"/>
      <c r="G5831" s="103"/>
    </row>
    <row r="5832" spans="1:7" x14ac:dyDescent="0.25">
      <c r="A5832" s="101"/>
      <c r="B5832" s="36"/>
      <c r="C5832" s="98"/>
      <c r="D5832" s="98"/>
      <c r="E5832" s="98"/>
      <c r="F5832" s="102"/>
      <c r="G5832" s="103"/>
    </row>
    <row r="5833" spans="1:7" x14ac:dyDescent="0.25">
      <c r="A5833" s="101"/>
      <c r="B5833" s="36"/>
      <c r="C5833" s="98"/>
      <c r="D5833" s="98"/>
      <c r="E5833" s="98"/>
      <c r="F5833" s="102"/>
      <c r="G5833" s="103"/>
    </row>
    <row r="5834" spans="1:7" x14ac:dyDescent="0.25">
      <c r="A5834" s="101"/>
      <c r="B5834" s="36"/>
      <c r="C5834" s="98"/>
      <c r="D5834" s="98"/>
      <c r="E5834" s="98"/>
      <c r="F5834" s="102"/>
      <c r="G5834" s="103"/>
    </row>
    <row r="5835" spans="1:7" x14ac:dyDescent="0.25">
      <c r="A5835" s="101"/>
      <c r="B5835" s="36"/>
      <c r="C5835" s="98"/>
      <c r="D5835" s="98"/>
      <c r="E5835" s="98"/>
      <c r="F5835" s="102"/>
      <c r="G5835" s="103"/>
    </row>
    <row r="5836" spans="1:7" x14ac:dyDescent="0.25">
      <c r="A5836" s="101"/>
      <c r="B5836" s="36"/>
      <c r="C5836" s="98"/>
      <c r="D5836" s="98"/>
      <c r="E5836" s="98"/>
      <c r="F5836" s="102"/>
      <c r="G5836" s="103"/>
    </row>
    <row r="5837" spans="1:7" x14ac:dyDescent="0.25">
      <c r="A5837" s="101"/>
      <c r="B5837" s="36"/>
      <c r="C5837" s="98"/>
      <c r="D5837" s="98"/>
      <c r="E5837" s="98"/>
      <c r="F5837" s="102"/>
      <c r="G5837" s="103"/>
    </row>
    <row r="5838" spans="1:7" x14ac:dyDescent="0.25">
      <c r="A5838" s="101"/>
      <c r="B5838" s="36"/>
      <c r="C5838" s="98"/>
      <c r="D5838" s="98"/>
      <c r="E5838" s="98"/>
      <c r="F5838" s="102"/>
      <c r="G5838" s="103"/>
    </row>
    <row r="5839" spans="1:7" x14ac:dyDescent="0.25">
      <c r="A5839" s="101"/>
      <c r="B5839" s="36"/>
      <c r="C5839" s="98"/>
      <c r="D5839" s="98"/>
      <c r="E5839" s="98"/>
      <c r="F5839" s="102"/>
      <c r="G5839" s="103"/>
    </row>
    <row r="5840" spans="1:7" x14ac:dyDescent="0.25">
      <c r="A5840" s="101"/>
      <c r="B5840" s="36"/>
      <c r="C5840" s="98"/>
      <c r="D5840" s="98"/>
      <c r="E5840" s="98"/>
      <c r="F5840" s="102"/>
      <c r="G5840" s="103"/>
    </row>
    <row r="5841" spans="1:7" x14ac:dyDescent="0.25">
      <c r="A5841" s="101"/>
      <c r="B5841" s="36"/>
      <c r="C5841" s="98"/>
      <c r="D5841" s="98"/>
      <c r="E5841" s="98"/>
      <c r="F5841" s="102"/>
      <c r="G5841" s="103"/>
    </row>
    <row r="5842" spans="1:7" x14ac:dyDescent="0.25">
      <c r="A5842" s="101"/>
      <c r="B5842" s="36"/>
      <c r="C5842" s="98"/>
      <c r="D5842" s="98"/>
      <c r="E5842" s="98"/>
      <c r="F5842" s="102"/>
      <c r="G5842" s="103"/>
    </row>
    <row r="5843" spans="1:7" x14ac:dyDescent="0.25">
      <c r="A5843" s="101"/>
      <c r="B5843" s="36"/>
      <c r="C5843" s="98"/>
      <c r="D5843" s="98"/>
      <c r="E5843" s="98"/>
      <c r="F5843" s="102"/>
      <c r="G5843" s="103"/>
    </row>
    <row r="5844" spans="1:7" x14ac:dyDescent="0.25">
      <c r="A5844" s="101"/>
      <c r="B5844" s="36"/>
      <c r="C5844" s="98"/>
      <c r="D5844" s="98"/>
      <c r="E5844" s="98"/>
      <c r="F5844" s="102"/>
      <c r="G5844" s="103"/>
    </row>
    <row r="5845" spans="1:7" x14ac:dyDescent="0.25">
      <c r="A5845" s="101"/>
      <c r="B5845" s="36"/>
      <c r="C5845" s="98"/>
      <c r="D5845" s="98"/>
      <c r="E5845" s="98"/>
      <c r="F5845" s="102"/>
      <c r="G5845" s="103"/>
    </row>
    <row r="5846" spans="1:7" x14ac:dyDescent="0.25">
      <c r="A5846" s="101"/>
      <c r="B5846" s="36"/>
      <c r="C5846" s="98"/>
      <c r="D5846" s="98"/>
      <c r="E5846" s="98"/>
      <c r="F5846" s="102"/>
      <c r="G5846" s="103"/>
    </row>
    <row r="5847" spans="1:7" x14ac:dyDescent="0.25">
      <c r="A5847" s="101"/>
      <c r="B5847" s="36"/>
      <c r="C5847" s="98"/>
      <c r="D5847" s="98"/>
      <c r="E5847" s="98"/>
      <c r="F5847" s="102"/>
      <c r="G5847" s="103"/>
    </row>
    <row r="5848" spans="1:7" x14ac:dyDescent="0.25">
      <c r="A5848" s="101"/>
      <c r="B5848" s="36"/>
      <c r="C5848" s="98"/>
      <c r="D5848" s="98"/>
      <c r="E5848" s="98"/>
      <c r="F5848" s="102"/>
      <c r="G5848" s="103"/>
    </row>
    <row r="5849" spans="1:7" x14ac:dyDescent="0.25">
      <c r="A5849" s="101"/>
      <c r="B5849" s="67"/>
      <c r="C5849" s="98"/>
      <c r="D5849" s="98"/>
      <c r="E5849" s="98"/>
      <c r="F5849" s="102"/>
      <c r="G5849" s="103"/>
    </row>
    <row r="5850" spans="1:7" x14ac:dyDescent="0.25">
      <c r="A5850" s="101"/>
      <c r="B5850" s="36"/>
      <c r="C5850" s="98"/>
      <c r="D5850" s="98"/>
      <c r="E5850" s="98"/>
      <c r="F5850" s="102"/>
      <c r="G5850" s="103"/>
    </row>
    <row r="5851" spans="1:7" x14ac:dyDescent="0.25">
      <c r="A5851" s="101"/>
      <c r="B5851" s="36"/>
      <c r="C5851" s="98"/>
      <c r="D5851" s="98"/>
      <c r="E5851" s="98"/>
      <c r="F5851" s="102"/>
      <c r="G5851" s="103"/>
    </row>
    <row r="5852" spans="1:7" x14ac:dyDescent="0.25">
      <c r="A5852" s="101"/>
      <c r="B5852" s="36"/>
      <c r="C5852" s="98"/>
      <c r="D5852" s="98"/>
      <c r="E5852" s="98"/>
      <c r="F5852" s="102"/>
      <c r="G5852" s="103"/>
    </row>
    <row r="5853" spans="1:7" x14ac:dyDescent="0.25">
      <c r="A5853" s="101"/>
      <c r="B5853" s="36"/>
      <c r="C5853" s="98"/>
      <c r="D5853" s="98"/>
      <c r="E5853" s="98"/>
      <c r="F5853" s="102"/>
      <c r="G5853" s="103"/>
    </row>
    <row r="5854" spans="1:7" x14ac:dyDescent="0.25">
      <c r="A5854" s="101"/>
      <c r="B5854" s="36"/>
      <c r="C5854" s="98"/>
      <c r="D5854" s="98"/>
      <c r="E5854" s="98"/>
      <c r="F5854" s="102"/>
      <c r="G5854" s="103"/>
    </row>
    <row r="5855" spans="1:7" x14ac:dyDescent="0.25">
      <c r="A5855" s="101"/>
      <c r="B5855" s="36"/>
      <c r="C5855" s="98"/>
      <c r="D5855" s="98"/>
      <c r="E5855" s="98"/>
      <c r="F5855" s="102"/>
      <c r="G5855" s="103"/>
    </row>
    <row r="5856" spans="1:7" x14ac:dyDescent="0.25">
      <c r="A5856" s="101"/>
      <c r="B5856" s="36"/>
      <c r="C5856" s="98"/>
      <c r="D5856" s="98"/>
      <c r="E5856" s="98"/>
      <c r="F5856" s="102"/>
      <c r="G5856" s="103"/>
    </row>
    <row r="5857" spans="1:7" x14ac:dyDescent="0.25">
      <c r="A5857" s="101"/>
      <c r="B5857" s="36"/>
      <c r="C5857" s="98"/>
      <c r="D5857" s="98"/>
      <c r="E5857" s="98"/>
      <c r="F5857" s="102"/>
      <c r="G5857" s="103"/>
    </row>
    <row r="5858" spans="1:7" x14ac:dyDescent="0.25">
      <c r="A5858" s="101"/>
      <c r="B5858" s="36"/>
      <c r="C5858" s="98"/>
      <c r="D5858" s="98"/>
      <c r="E5858" s="98"/>
      <c r="F5858" s="102"/>
      <c r="G5858" s="103"/>
    </row>
    <row r="5859" spans="1:7" x14ac:dyDescent="0.25">
      <c r="A5859" s="101"/>
      <c r="B5859" s="36"/>
      <c r="C5859" s="98"/>
      <c r="D5859" s="98"/>
      <c r="E5859" s="98"/>
      <c r="F5859" s="102"/>
      <c r="G5859" s="103"/>
    </row>
    <row r="5860" spans="1:7" x14ac:dyDescent="0.25">
      <c r="A5860" s="101"/>
      <c r="B5860" s="36"/>
      <c r="C5860" s="98"/>
      <c r="D5860" s="98"/>
      <c r="E5860" s="98"/>
      <c r="F5860" s="102"/>
      <c r="G5860" s="103"/>
    </row>
    <row r="5861" spans="1:7" x14ac:dyDescent="0.25">
      <c r="A5861" s="101"/>
      <c r="B5861" s="36"/>
      <c r="C5861" s="98"/>
      <c r="D5861" s="98"/>
      <c r="E5861" s="98"/>
      <c r="F5861" s="102"/>
      <c r="G5861" s="103"/>
    </row>
    <row r="5862" spans="1:7" x14ac:dyDescent="0.25">
      <c r="A5862" s="101"/>
      <c r="B5862" s="66"/>
      <c r="C5862" s="98"/>
      <c r="D5862" s="98"/>
      <c r="E5862" s="98"/>
      <c r="F5862" s="102"/>
      <c r="G5862" s="103"/>
    </row>
    <row r="5863" spans="1:7" x14ac:dyDescent="0.25">
      <c r="A5863" s="101"/>
      <c r="B5863" s="66"/>
      <c r="C5863" s="98"/>
      <c r="D5863" s="98"/>
      <c r="E5863" s="98"/>
      <c r="F5863" s="102"/>
      <c r="G5863" s="103"/>
    </row>
    <row r="5864" spans="1:7" x14ac:dyDescent="0.25">
      <c r="A5864" s="101"/>
      <c r="B5864" s="66"/>
      <c r="C5864" s="98"/>
      <c r="D5864" s="98"/>
      <c r="E5864" s="98"/>
      <c r="F5864" s="102"/>
      <c r="G5864" s="103"/>
    </row>
    <row r="5865" spans="1:7" x14ac:dyDescent="0.25">
      <c r="A5865" s="101"/>
      <c r="B5865" s="66"/>
      <c r="C5865" s="98"/>
      <c r="D5865" s="98"/>
      <c r="E5865" s="98"/>
      <c r="F5865" s="102"/>
      <c r="G5865" s="103"/>
    </row>
    <row r="5866" spans="1:7" x14ac:dyDescent="0.25">
      <c r="A5866" s="101"/>
      <c r="B5866" s="36"/>
      <c r="C5866" s="98"/>
      <c r="D5866" s="98"/>
      <c r="E5866" s="98"/>
      <c r="F5866" s="102"/>
      <c r="G5866" s="103"/>
    </row>
    <row r="5867" spans="1:7" x14ac:dyDescent="0.25">
      <c r="A5867" s="101"/>
      <c r="B5867" s="36"/>
      <c r="C5867" s="98"/>
      <c r="D5867" s="98"/>
      <c r="E5867" s="98"/>
      <c r="F5867" s="102"/>
      <c r="G5867" s="103"/>
    </row>
    <row r="5868" spans="1:7" x14ac:dyDescent="0.25">
      <c r="A5868" s="101"/>
      <c r="B5868" s="36"/>
      <c r="C5868" s="98"/>
      <c r="D5868" s="98"/>
      <c r="E5868" s="98"/>
      <c r="F5868" s="102"/>
      <c r="G5868" s="103"/>
    </row>
    <row r="5869" spans="1:7" x14ac:dyDescent="0.25">
      <c r="A5869" s="101"/>
      <c r="B5869" s="36"/>
      <c r="C5869" s="98"/>
      <c r="D5869" s="98"/>
      <c r="E5869" s="98"/>
      <c r="F5869" s="102"/>
      <c r="G5869" s="103"/>
    </row>
    <row r="5870" spans="1:7" x14ac:dyDescent="0.25">
      <c r="A5870" s="101"/>
      <c r="B5870" s="36"/>
      <c r="C5870" s="98"/>
      <c r="D5870" s="98"/>
      <c r="E5870" s="98"/>
      <c r="F5870" s="102"/>
      <c r="G5870" s="103"/>
    </row>
    <row r="5871" spans="1:7" x14ac:dyDescent="0.25">
      <c r="A5871" s="101"/>
      <c r="B5871" s="36"/>
      <c r="C5871" s="98"/>
      <c r="D5871" s="98"/>
      <c r="E5871" s="98"/>
      <c r="F5871" s="102"/>
      <c r="G5871" s="103"/>
    </row>
    <row r="5872" spans="1:7" x14ac:dyDescent="0.25">
      <c r="A5872" s="101"/>
      <c r="B5872" s="36"/>
      <c r="C5872" s="98"/>
      <c r="D5872" s="98"/>
      <c r="E5872" s="98"/>
      <c r="F5872" s="102"/>
      <c r="G5872" s="103"/>
    </row>
    <row r="5873" spans="1:7" x14ac:dyDescent="0.25">
      <c r="A5873" s="101"/>
      <c r="B5873" s="66"/>
      <c r="C5873" s="98"/>
      <c r="D5873" s="98"/>
      <c r="E5873" s="98"/>
      <c r="F5873" s="102"/>
      <c r="G5873" s="103"/>
    </row>
    <row r="5874" spans="1:7" x14ac:dyDescent="0.25">
      <c r="A5874" s="101"/>
      <c r="B5874" s="66"/>
      <c r="C5874" s="98"/>
      <c r="D5874" s="98"/>
      <c r="E5874" s="98"/>
      <c r="F5874" s="102"/>
      <c r="G5874" s="103"/>
    </row>
    <row r="5875" spans="1:7" x14ac:dyDescent="0.25">
      <c r="A5875" s="101"/>
      <c r="B5875" s="36"/>
      <c r="C5875" s="98"/>
      <c r="D5875" s="98"/>
      <c r="E5875" s="98"/>
      <c r="F5875" s="102"/>
      <c r="G5875" s="103"/>
    </row>
    <row r="5876" spans="1:7" x14ac:dyDescent="0.25">
      <c r="A5876" s="101"/>
      <c r="B5876" s="36"/>
      <c r="C5876" s="98"/>
      <c r="D5876" s="98"/>
      <c r="E5876" s="98"/>
      <c r="F5876" s="102"/>
      <c r="G5876" s="103"/>
    </row>
    <row r="5877" spans="1:7" x14ac:dyDescent="0.25">
      <c r="A5877" s="101"/>
      <c r="B5877" s="36"/>
      <c r="C5877" s="98"/>
      <c r="D5877" s="98"/>
      <c r="E5877" s="98"/>
      <c r="F5877" s="102"/>
      <c r="G5877" s="103"/>
    </row>
    <row r="5878" spans="1:7" x14ac:dyDescent="0.25">
      <c r="A5878" s="101"/>
      <c r="B5878" s="36"/>
      <c r="C5878" s="98"/>
      <c r="D5878" s="98"/>
      <c r="E5878" s="98"/>
      <c r="F5878" s="102"/>
      <c r="G5878" s="103"/>
    </row>
    <row r="5879" spans="1:7" x14ac:dyDescent="0.25">
      <c r="A5879" s="101"/>
      <c r="B5879" s="36"/>
      <c r="C5879" s="98"/>
      <c r="D5879" s="98"/>
      <c r="E5879" s="98"/>
      <c r="F5879" s="102"/>
      <c r="G5879" s="103"/>
    </row>
    <row r="5880" spans="1:7" x14ac:dyDescent="0.25">
      <c r="A5880" s="101"/>
      <c r="B5880" s="36"/>
      <c r="C5880" s="98"/>
      <c r="D5880" s="98"/>
      <c r="E5880" s="98"/>
      <c r="F5880" s="102"/>
      <c r="G5880" s="103"/>
    </row>
    <row r="5881" spans="1:7" x14ac:dyDescent="0.25">
      <c r="A5881" s="101"/>
      <c r="B5881" s="36"/>
      <c r="C5881" s="98"/>
      <c r="D5881" s="98"/>
      <c r="E5881" s="98"/>
      <c r="F5881" s="102"/>
      <c r="G5881" s="103"/>
    </row>
    <row r="5882" spans="1:7" x14ac:dyDescent="0.25">
      <c r="A5882" s="101"/>
      <c r="B5882" s="36"/>
      <c r="C5882" s="98"/>
      <c r="D5882" s="98"/>
      <c r="E5882" s="98"/>
      <c r="F5882" s="102"/>
      <c r="G5882" s="103"/>
    </row>
    <row r="5883" spans="1:7" x14ac:dyDescent="0.25">
      <c r="A5883" s="101"/>
      <c r="B5883" s="36"/>
      <c r="C5883" s="98"/>
      <c r="D5883" s="98"/>
      <c r="E5883" s="98"/>
      <c r="F5883" s="102"/>
      <c r="G5883" s="103"/>
    </row>
    <row r="5884" spans="1:7" x14ac:dyDescent="0.25">
      <c r="A5884" s="101"/>
      <c r="B5884" s="36"/>
      <c r="C5884" s="98"/>
      <c r="D5884" s="98"/>
      <c r="E5884" s="98"/>
      <c r="F5884" s="102"/>
      <c r="G5884" s="103"/>
    </row>
    <row r="5885" spans="1:7" x14ac:dyDescent="0.25">
      <c r="A5885" s="101"/>
      <c r="B5885" s="36"/>
      <c r="C5885" s="98"/>
      <c r="D5885" s="98"/>
      <c r="E5885" s="98"/>
      <c r="F5885" s="102"/>
      <c r="G5885" s="103"/>
    </row>
    <row r="5886" spans="1:7" x14ac:dyDescent="0.25">
      <c r="A5886" s="101"/>
      <c r="B5886" s="36"/>
      <c r="C5886" s="98"/>
      <c r="D5886" s="98"/>
      <c r="E5886" s="98"/>
      <c r="F5886" s="102"/>
      <c r="G5886" s="103"/>
    </row>
    <row r="5887" spans="1:7" x14ac:dyDescent="0.25">
      <c r="A5887" s="101"/>
      <c r="B5887" s="36"/>
      <c r="C5887" s="98"/>
      <c r="D5887" s="98"/>
      <c r="E5887" s="98"/>
      <c r="F5887" s="102"/>
      <c r="G5887" s="103"/>
    </row>
    <row r="5888" spans="1:7" x14ac:dyDescent="0.25">
      <c r="A5888" s="101"/>
      <c r="B5888" s="36"/>
      <c r="C5888" s="98"/>
      <c r="D5888" s="98"/>
      <c r="E5888" s="98"/>
      <c r="F5888" s="102"/>
      <c r="G5888" s="103"/>
    </row>
    <row r="5889" spans="1:7" x14ac:dyDescent="0.25">
      <c r="A5889" s="101"/>
      <c r="B5889" s="36"/>
      <c r="C5889" s="98"/>
      <c r="D5889" s="98"/>
      <c r="E5889" s="98"/>
      <c r="F5889" s="102"/>
      <c r="G5889" s="103"/>
    </row>
    <row r="5890" spans="1:7" x14ac:dyDescent="0.25">
      <c r="A5890" s="101"/>
      <c r="B5890" s="36"/>
      <c r="C5890" s="98"/>
      <c r="D5890" s="98"/>
      <c r="E5890" s="98"/>
      <c r="F5890" s="102"/>
      <c r="G5890" s="103"/>
    </row>
    <row r="5891" spans="1:7" x14ac:dyDescent="0.25">
      <c r="A5891" s="101"/>
      <c r="B5891" s="67"/>
      <c r="C5891" s="98"/>
      <c r="D5891" s="98"/>
      <c r="E5891" s="98"/>
      <c r="F5891" s="102"/>
      <c r="G5891" s="103"/>
    </row>
    <row r="5892" spans="1:7" x14ac:dyDescent="0.25">
      <c r="A5892" s="101"/>
      <c r="B5892" s="66"/>
      <c r="C5892" s="98"/>
      <c r="D5892" s="98"/>
      <c r="E5892" s="98"/>
      <c r="F5892" s="102"/>
      <c r="G5892" s="103"/>
    </row>
    <row r="5893" spans="1:7" x14ac:dyDescent="0.25">
      <c r="A5893" s="101"/>
      <c r="B5893" s="36"/>
      <c r="C5893" s="98"/>
      <c r="D5893" s="98"/>
      <c r="E5893" s="98"/>
      <c r="F5893" s="102"/>
      <c r="G5893" s="103"/>
    </row>
    <row r="5894" spans="1:7" x14ac:dyDescent="0.25">
      <c r="A5894" s="101"/>
      <c r="B5894" s="36"/>
      <c r="C5894" s="98"/>
      <c r="D5894" s="98"/>
      <c r="E5894" s="98"/>
      <c r="F5894" s="102"/>
      <c r="G5894" s="103"/>
    </row>
    <row r="5895" spans="1:7" x14ac:dyDescent="0.25">
      <c r="A5895" s="101"/>
      <c r="B5895" s="36"/>
      <c r="C5895" s="98"/>
      <c r="D5895" s="98"/>
      <c r="E5895" s="98"/>
      <c r="F5895" s="102"/>
      <c r="G5895" s="103"/>
    </row>
    <row r="5896" spans="1:7" x14ac:dyDescent="0.25">
      <c r="A5896" s="101"/>
      <c r="B5896" s="36"/>
      <c r="C5896" s="98"/>
      <c r="D5896" s="98"/>
      <c r="E5896" s="98"/>
      <c r="F5896" s="102"/>
      <c r="G5896" s="103"/>
    </row>
    <row r="5897" spans="1:7" x14ac:dyDescent="0.25">
      <c r="A5897" s="101"/>
      <c r="B5897" s="36"/>
      <c r="C5897" s="98"/>
      <c r="D5897" s="98"/>
      <c r="E5897" s="98"/>
      <c r="F5897" s="102"/>
      <c r="G5897" s="103"/>
    </row>
    <row r="5898" spans="1:7" x14ac:dyDescent="0.25">
      <c r="A5898" s="101"/>
      <c r="B5898" s="36"/>
      <c r="C5898" s="98"/>
      <c r="D5898" s="98"/>
      <c r="E5898" s="98"/>
      <c r="F5898" s="102"/>
      <c r="G5898" s="103"/>
    </row>
    <row r="5899" spans="1:7" x14ac:dyDescent="0.25">
      <c r="A5899" s="101"/>
      <c r="B5899" s="36"/>
      <c r="C5899" s="98"/>
      <c r="D5899" s="98"/>
      <c r="E5899" s="98"/>
      <c r="F5899" s="102"/>
      <c r="G5899" s="103"/>
    </row>
    <row r="5900" spans="1:7" x14ac:dyDescent="0.25">
      <c r="A5900" s="101"/>
      <c r="B5900" s="36"/>
      <c r="C5900" s="98"/>
      <c r="D5900" s="98"/>
      <c r="E5900" s="98"/>
      <c r="F5900" s="102"/>
      <c r="G5900" s="103"/>
    </row>
    <row r="5901" spans="1:7" x14ac:dyDescent="0.25">
      <c r="A5901" s="101"/>
      <c r="B5901" s="36"/>
      <c r="C5901" s="98"/>
      <c r="D5901" s="98"/>
      <c r="E5901" s="98"/>
      <c r="F5901" s="102"/>
      <c r="G5901" s="103"/>
    </row>
    <row r="5902" spans="1:7" x14ac:dyDescent="0.25">
      <c r="A5902" s="101"/>
      <c r="B5902" s="36"/>
      <c r="C5902" s="98"/>
      <c r="D5902" s="98"/>
      <c r="E5902" s="98"/>
      <c r="F5902" s="102"/>
      <c r="G5902" s="103"/>
    </row>
    <row r="5903" spans="1:7" x14ac:dyDescent="0.25">
      <c r="A5903" s="101"/>
      <c r="B5903" s="36"/>
      <c r="C5903" s="98"/>
      <c r="D5903" s="98"/>
      <c r="E5903" s="98"/>
      <c r="F5903" s="102"/>
      <c r="G5903" s="103"/>
    </row>
    <row r="5904" spans="1:7" x14ac:dyDescent="0.25">
      <c r="A5904" s="101"/>
      <c r="B5904" s="36"/>
      <c r="C5904" s="98"/>
      <c r="D5904" s="98"/>
      <c r="E5904" s="98"/>
      <c r="F5904" s="102"/>
      <c r="G5904" s="103"/>
    </row>
    <row r="5905" spans="1:7" x14ac:dyDescent="0.25">
      <c r="A5905" s="101"/>
      <c r="B5905" s="36"/>
      <c r="C5905" s="98"/>
      <c r="D5905" s="98"/>
      <c r="E5905" s="98"/>
      <c r="F5905" s="102"/>
      <c r="G5905" s="103"/>
    </row>
    <row r="5906" spans="1:7" x14ac:dyDescent="0.25">
      <c r="A5906" s="101"/>
      <c r="B5906" s="36"/>
      <c r="C5906" s="98"/>
      <c r="D5906" s="98"/>
      <c r="E5906" s="98"/>
      <c r="F5906" s="102"/>
      <c r="G5906" s="103"/>
    </row>
    <row r="5907" spans="1:7" x14ac:dyDescent="0.25">
      <c r="A5907" s="101"/>
      <c r="B5907" s="36"/>
      <c r="C5907" s="98"/>
      <c r="D5907" s="98"/>
      <c r="E5907" s="98"/>
      <c r="F5907" s="102"/>
      <c r="G5907" s="103"/>
    </row>
    <row r="5908" spans="1:7" x14ac:dyDescent="0.25">
      <c r="A5908" s="101"/>
      <c r="B5908" s="36"/>
      <c r="C5908" s="98"/>
      <c r="D5908" s="98"/>
      <c r="E5908" s="98"/>
      <c r="F5908" s="102"/>
      <c r="G5908" s="103"/>
    </row>
    <row r="5909" spans="1:7" x14ac:dyDescent="0.25">
      <c r="A5909" s="101"/>
      <c r="B5909" s="36"/>
      <c r="C5909" s="98"/>
      <c r="D5909" s="98"/>
      <c r="E5909" s="98"/>
      <c r="F5909" s="102"/>
      <c r="G5909" s="103"/>
    </row>
    <row r="5910" spans="1:7" x14ac:dyDescent="0.25">
      <c r="A5910" s="101"/>
      <c r="B5910" s="36"/>
      <c r="C5910" s="98"/>
      <c r="D5910" s="98"/>
      <c r="E5910" s="98"/>
      <c r="F5910" s="102"/>
      <c r="G5910" s="103"/>
    </row>
    <row r="5911" spans="1:7" x14ac:dyDescent="0.25">
      <c r="A5911" s="101"/>
      <c r="B5911" s="36"/>
      <c r="C5911" s="98"/>
      <c r="D5911" s="98"/>
      <c r="E5911" s="98"/>
      <c r="F5911" s="102"/>
      <c r="G5911" s="103"/>
    </row>
    <row r="5912" spans="1:7" x14ac:dyDescent="0.25">
      <c r="A5912" s="101"/>
      <c r="B5912" s="36"/>
      <c r="C5912" s="98"/>
      <c r="D5912" s="98"/>
      <c r="E5912" s="98"/>
      <c r="F5912" s="102"/>
      <c r="G5912" s="103"/>
    </row>
    <row r="5913" spans="1:7" x14ac:dyDescent="0.25">
      <c r="A5913" s="101"/>
      <c r="B5913" s="70"/>
      <c r="C5913" s="98"/>
      <c r="D5913" s="98"/>
      <c r="E5913" s="98"/>
      <c r="F5913" s="102"/>
      <c r="G5913" s="103"/>
    </row>
    <row r="5914" spans="1:7" x14ac:dyDescent="0.25">
      <c r="A5914" s="101"/>
      <c r="B5914" s="66"/>
      <c r="C5914" s="98"/>
      <c r="D5914" s="98"/>
      <c r="E5914" s="98"/>
      <c r="F5914" s="102"/>
      <c r="G5914" s="103"/>
    </row>
    <row r="5915" spans="1:7" x14ac:dyDescent="0.25">
      <c r="A5915" s="101"/>
      <c r="B5915" s="66"/>
      <c r="C5915" s="98"/>
      <c r="D5915" s="98"/>
      <c r="E5915" s="98"/>
      <c r="F5915" s="102"/>
      <c r="G5915" s="103"/>
    </row>
    <row r="5916" spans="1:7" x14ac:dyDescent="0.25">
      <c r="A5916" s="101"/>
      <c r="B5916" s="36"/>
      <c r="C5916" s="98"/>
      <c r="D5916" s="98"/>
      <c r="E5916" s="98"/>
      <c r="F5916" s="102"/>
      <c r="G5916" s="103"/>
    </row>
    <row r="5917" spans="1:7" x14ac:dyDescent="0.25">
      <c r="A5917" s="101"/>
      <c r="B5917" s="36"/>
      <c r="C5917" s="98"/>
      <c r="D5917" s="98"/>
      <c r="E5917" s="98"/>
      <c r="F5917" s="102"/>
      <c r="G5917" s="103"/>
    </row>
    <row r="5918" spans="1:7" x14ac:dyDescent="0.25">
      <c r="A5918" s="101"/>
      <c r="B5918" s="36"/>
      <c r="C5918" s="98"/>
      <c r="D5918" s="98"/>
      <c r="E5918" s="98"/>
      <c r="F5918" s="102"/>
      <c r="G5918" s="103"/>
    </row>
    <row r="5919" spans="1:7" x14ac:dyDescent="0.25">
      <c r="A5919" s="101"/>
      <c r="B5919" s="36"/>
      <c r="C5919" s="98"/>
      <c r="D5919" s="98"/>
      <c r="E5919" s="98"/>
      <c r="F5919" s="102"/>
      <c r="G5919" s="103"/>
    </row>
    <row r="5920" spans="1:7" x14ac:dyDescent="0.25">
      <c r="A5920" s="101"/>
      <c r="B5920" s="36"/>
      <c r="C5920" s="98"/>
      <c r="D5920" s="98"/>
      <c r="E5920" s="98"/>
      <c r="F5920" s="102"/>
      <c r="G5920" s="103"/>
    </row>
    <row r="5921" spans="1:7" x14ac:dyDescent="0.25">
      <c r="A5921" s="101"/>
      <c r="B5921" s="36"/>
      <c r="C5921" s="98"/>
      <c r="D5921" s="98"/>
      <c r="E5921" s="98"/>
      <c r="F5921" s="102"/>
      <c r="G5921" s="103"/>
    </row>
    <row r="5922" spans="1:7" x14ac:dyDescent="0.25">
      <c r="A5922" s="101"/>
      <c r="B5922" s="36"/>
      <c r="C5922" s="98"/>
      <c r="D5922" s="98"/>
      <c r="E5922" s="98"/>
      <c r="F5922" s="102"/>
      <c r="G5922" s="103"/>
    </row>
    <row r="5923" spans="1:7" x14ac:dyDescent="0.25">
      <c r="A5923" s="101"/>
      <c r="B5923" s="36"/>
      <c r="C5923" s="98"/>
      <c r="D5923" s="98"/>
      <c r="E5923" s="98"/>
      <c r="F5923" s="102"/>
      <c r="G5923" s="103"/>
    </row>
    <row r="5924" spans="1:7" x14ac:dyDescent="0.25">
      <c r="A5924" s="101"/>
      <c r="B5924" s="36"/>
      <c r="C5924" s="98"/>
      <c r="D5924" s="98"/>
      <c r="E5924" s="98"/>
      <c r="F5924" s="102"/>
      <c r="G5924" s="103"/>
    </row>
    <row r="5925" spans="1:7" x14ac:dyDescent="0.25">
      <c r="A5925" s="101"/>
      <c r="B5925" s="36"/>
      <c r="C5925" s="98"/>
      <c r="D5925" s="98"/>
      <c r="E5925" s="98"/>
      <c r="F5925" s="102"/>
      <c r="G5925" s="103"/>
    </row>
    <row r="5926" spans="1:7" x14ac:dyDescent="0.25">
      <c r="A5926" s="101"/>
      <c r="B5926" s="36"/>
      <c r="C5926" s="98"/>
      <c r="D5926" s="98"/>
      <c r="E5926" s="98"/>
      <c r="F5926" s="102"/>
      <c r="G5926" s="103"/>
    </row>
    <row r="5927" spans="1:7" x14ac:dyDescent="0.25">
      <c r="A5927" s="101"/>
      <c r="B5927" s="36"/>
      <c r="C5927" s="98"/>
      <c r="D5927" s="98"/>
      <c r="E5927" s="98"/>
      <c r="F5927" s="102"/>
      <c r="G5927" s="103"/>
    </row>
    <row r="5928" spans="1:7" x14ac:dyDescent="0.25">
      <c r="A5928" s="101"/>
      <c r="B5928" s="36"/>
      <c r="C5928" s="98"/>
      <c r="D5928" s="98"/>
      <c r="E5928" s="98"/>
      <c r="F5928" s="102"/>
      <c r="G5928" s="103"/>
    </row>
    <row r="5929" spans="1:7" x14ac:dyDescent="0.25">
      <c r="A5929" s="101"/>
      <c r="B5929" s="66"/>
      <c r="C5929" s="98"/>
      <c r="D5929" s="98"/>
      <c r="E5929" s="98"/>
      <c r="F5929" s="102"/>
      <c r="G5929" s="103"/>
    </row>
    <row r="5930" spans="1:7" x14ac:dyDescent="0.25">
      <c r="A5930" s="101"/>
      <c r="B5930" s="36"/>
      <c r="C5930" s="98"/>
      <c r="D5930" s="98"/>
      <c r="E5930" s="98"/>
      <c r="F5930" s="102"/>
      <c r="G5930" s="103"/>
    </row>
    <row r="5931" spans="1:7" x14ac:dyDescent="0.25">
      <c r="A5931" s="101"/>
      <c r="B5931" s="36"/>
      <c r="C5931" s="98"/>
      <c r="D5931" s="98"/>
      <c r="E5931" s="98"/>
      <c r="F5931" s="102"/>
      <c r="G5931" s="103"/>
    </row>
    <row r="5932" spans="1:7" x14ac:dyDescent="0.25">
      <c r="A5932" s="101"/>
      <c r="B5932" s="36"/>
      <c r="C5932" s="98"/>
      <c r="D5932" s="98"/>
      <c r="E5932" s="98"/>
      <c r="F5932" s="102"/>
      <c r="G5932" s="103"/>
    </row>
    <row r="5933" spans="1:7" x14ac:dyDescent="0.25">
      <c r="A5933" s="101"/>
      <c r="B5933" s="36"/>
      <c r="C5933" s="98"/>
      <c r="D5933" s="98"/>
      <c r="E5933" s="98"/>
      <c r="F5933" s="102"/>
      <c r="G5933" s="103"/>
    </row>
    <row r="5934" spans="1:7" x14ac:dyDescent="0.25">
      <c r="A5934" s="101"/>
      <c r="B5934" s="36"/>
      <c r="C5934" s="98"/>
      <c r="D5934" s="98"/>
      <c r="E5934" s="98"/>
      <c r="F5934" s="102"/>
      <c r="G5934" s="103"/>
    </row>
    <row r="5935" spans="1:7" x14ac:dyDescent="0.25">
      <c r="A5935" s="101"/>
      <c r="B5935" s="36"/>
      <c r="C5935" s="98"/>
      <c r="D5935" s="98"/>
      <c r="E5935" s="98"/>
      <c r="F5935" s="102"/>
      <c r="G5935" s="103"/>
    </row>
    <row r="5936" spans="1:7" x14ac:dyDescent="0.25">
      <c r="A5936" s="101"/>
      <c r="B5936" s="36"/>
      <c r="C5936" s="98"/>
      <c r="D5936" s="98"/>
      <c r="E5936" s="98"/>
      <c r="F5936" s="102"/>
      <c r="G5936" s="103"/>
    </row>
    <row r="5937" spans="1:7" x14ac:dyDescent="0.25">
      <c r="A5937" s="101"/>
      <c r="B5937" s="36"/>
      <c r="C5937" s="98"/>
      <c r="D5937" s="98"/>
      <c r="E5937" s="98"/>
      <c r="F5937" s="102"/>
      <c r="G5937" s="103"/>
    </row>
    <row r="5938" spans="1:7" x14ac:dyDescent="0.25">
      <c r="A5938" s="101"/>
      <c r="B5938" s="36"/>
      <c r="C5938" s="98"/>
      <c r="D5938" s="98"/>
      <c r="E5938" s="98"/>
      <c r="F5938" s="102"/>
      <c r="G5938" s="103"/>
    </row>
    <row r="5939" spans="1:7" x14ac:dyDescent="0.25">
      <c r="A5939" s="101"/>
      <c r="B5939" s="36"/>
      <c r="C5939" s="98"/>
      <c r="D5939" s="98"/>
      <c r="E5939" s="98"/>
      <c r="F5939" s="102"/>
      <c r="G5939" s="103"/>
    </row>
    <row r="5940" spans="1:7" x14ac:dyDescent="0.25">
      <c r="A5940" s="101"/>
      <c r="B5940" s="36"/>
      <c r="C5940" s="98"/>
      <c r="D5940" s="98"/>
      <c r="E5940" s="98"/>
      <c r="F5940" s="102"/>
      <c r="G5940" s="103"/>
    </row>
    <row r="5941" spans="1:7" x14ac:dyDescent="0.25">
      <c r="A5941" s="101"/>
      <c r="B5941" s="36"/>
      <c r="C5941" s="98"/>
      <c r="D5941" s="98"/>
      <c r="E5941" s="98"/>
      <c r="F5941" s="102"/>
      <c r="G5941" s="103"/>
    </row>
    <row r="5942" spans="1:7" x14ac:dyDescent="0.25">
      <c r="A5942" s="101"/>
      <c r="B5942" s="36"/>
      <c r="C5942" s="98"/>
      <c r="D5942" s="98"/>
      <c r="E5942" s="98"/>
      <c r="F5942" s="102"/>
      <c r="G5942" s="103"/>
    </row>
    <row r="5943" spans="1:7" x14ac:dyDescent="0.25">
      <c r="A5943" s="101"/>
      <c r="B5943" s="36"/>
      <c r="C5943" s="98"/>
      <c r="D5943" s="98"/>
      <c r="E5943" s="98"/>
      <c r="F5943" s="102"/>
      <c r="G5943" s="103"/>
    </row>
    <row r="5944" spans="1:7" x14ac:dyDescent="0.25">
      <c r="A5944" s="101"/>
      <c r="B5944" s="36"/>
      <c r="C5944" s="98"/>
      <c r="D5944" s="98"/>
      <c r="E5944" s="98"/>
      <c r="F5944" s="102"/>
      <c r="G5944" s="103"/>
    </row>
    <row r="5945" spans="1:7" x14ac:dyDescent="0.25">
      <c r="A5945" s="101"/>
      <c r="B5945" s="66"/>
      <c r="C5945" s="98"/>
      <c r="D5945" s="98"/>
      <c r="E5945" s="98"/>
      <c r="F5945" s="102"/>
      <c r="G5945" s="103"/>
    </row>
    <row r="5946" spans="1:7" x14ac:dyDescent="0.25">
      <c r="A5946" s="101"/>
      <c r="B5946" s="66"/>
      <c r="C5946" s="98"/>
      <c r="D5946" s="98"/>
      <c r="E5946" s="98"/>
      <c r="F5946" s="102"/>
      <c r="G5946" s="103"/>
    </row>
    <row r="5947" spans="1:7" x14ac:dyDescent="0.25">
      <c r="A5947" s="101"/>
      <c r="B5947" s="66"/>
      <c r="C5947" s="98"/>
      <c r="D5947" s="98"/>
      <c r="E5947" s="98"/>
      <c r="F5947" s="102"/>
      <c r="G5947" s="103"/>
    </row>
    <row r="5948" spans="1:7" x14ac:dyDescent="0.25">
      <c r="A5948" s="101"/>
      <c r="B5948" s="66"/>
      <c r="C5948" s="98"/>
      <c r="D5948" s="98"/>
      <c r="E5948" s="98"/>
      <c r="F5948" s="102"/>
      <c r="G5948" s="103"/>
    </row>
    <row r="5949" spans="1:7" x14ac:dyDescent="0.25">
      <c r="A5949" s="101"/>
      <c r="B5949" s="36"/>
      <c r="C5949" s="98"/>
      <c r="D5949" s="98"/>
      <c r="E5949" s="98"/>
      <c r="F5949" s="102"/>
      <c r="G5949" s="103"/>
    </row>
    <row r="5950" spans="1:7" x14ac:dyDescent="0.25">
      <c r="A5950" s="101"/>
      <c r="B5950" s="36"/>
      <c r="C5950" s="98"/>
      <c r="D5950" s="98"/>
      <c r="E5950" s="98"/>
      <c r="F5950" s="102"/>
      <c r="G5950" s="103"/>
    </row>
    <row r="5951" spans="1:7" x14ac:dyDescent="0.25">
      <c r="A5951" s="101"/>
      <c r="B5951" s="36"/>
      <c r="C5951" s="98"/>
      <c r="D5951" s="98"/>
      <c r="E5951" s="98"/>
      <c r="F5951" s="102"/>
      <c r="G5951" s="103"/>
    </row>
    <row r="5952" spans="1:7" x14ac:dyDescent="0.25">
      <c r="A5952" s="101"/>
      <c r="B5952" s="36"/>
      <c r="C5952" s="98"/>
      <c r="D5952" s="98"/>
      <c r="E5952" s="98"/>
      <c r="F5952" s="102"/>
      <c r="G5952" s="103"/>
    </row>
    <row r="5953" spans="1:7" x14ac:dyDescent="0.25">
      <c r="A5953" s="101"/>
      <c r="B5953" s="36"/>
      <c r="C5953" s="98"/>
      <c r="D5953" s="98"/>
      <c r="E5953" s="98"/>
      <c r="F5953" s="102"/>
      <c r="G5953" s="103"/>
    </row>
    <row r="5954" spans="1:7" x14ac:dyDescent="0.25">
      <c r="A5954" s="101"/>
      <c r="B5954" s="36"/>
      <c r="C5954" s="98"/>
      <c r="D5954" s="98"/>
      <c r="E5954" s="98"/>
      <c r="F5954" s="102"/>
      <c r="G5954" s="103"/>
    </row>
    <row r="5955" spans="1:7" x14ac:dyDescent="0.25">
      <c r="A5955" s="101"/>
      <c r="B5955" s="36"/>
      <c r="C5955" s="98"/>
      <c r="D5955" s="98"/>
      <c r="E5955" s="98"/>
      <c r="F5955" s="102"/>
      <c r="G5955" s="103"/>
    </row>
    <row r="5956" spans="1:7" x14ac:dyDescent="0.25">
      <c r="A5956" s="101"/>
      <c r="B5956" s="36"/>
      <c r="C5956" s="98"/>
      <c r="D5956" s="98"/>
      <c r="E5956" s="98"/>
      <c r="F5956" s="102"/>
      <c r="G5956" s="103"/>
    </row>
    <row r="5957" spans="1:7" x14ac:dyDescent="0.25">
      <c r="A5957" s="101"/>
      <c r="B5957" s="36"/>
      <c r="C5957" s="98"/>
      <c r="D5957" s="98"/>
      <c r="E5957" s="98"/>
      <c r="F5957" s="102"/>
      <c r="G5957" s="103"/>
    </row>
    <row r="5958" spans="1:7" x14ac:dyDescent="0.25">
      <c r="A5958" s="101"/>
      <c r="B5958" s="36"/>
      <c r="C5958" s="98"/>
      <c r="D5958" s="98"/>
      <c r="E5958" s="98"/>
      <c r="F5958" s="102"/>
      <c r="G5958" s="103"/>
    </row>
    <row r="5959" spans="1:7" x14ac:dyDescent="0.25">
      <c r="A5959" s="101"/>
      <c r="B5959" s="36"/>
      <c r="C5959" s="98"/>
      <c r="D5959" s="98"/>
      <c r="E5959" s="98"/>
      <c r="F5959" s="102"/>
      <c r="G5959" s="103"/>
    </row>
    <row r="5960" spans="1:7" x14ac:dyDescent="0.25">
      <c r="A5960" s="101"/>
      <c r="B5960" s="36"/>
      <c r="C5960" s="98"/>
      <c r="D5960" s="98"/>
      <c r="E5960" s="98"/>
      <c r="F5960" s="102"/>
      <c r="G5960" s="103"/>
    </row>
    <row r="5961" spans="1:7" x14ac:dyDescent="0.25">
      <c r="A5961" s="101"/>
      <c r="B5961" s="36"/>
      <c r="C5961" s="98"/>
      <c r="D5961" s="98"/>
      <c r="E5961" s="98"/>
      <c r="F5961" s="102"/>
      <c r="G5961" s="103"/>
    </row>
    <row r="5962" spans="1:7" x14ac:dyDescent="0.25">
      <c r="A5962" s="101"/>
      <c r="B5962" s="36"/>
      <c r="C5962" s="98"/>
      <c r="D5962" s="98"/>
      <c r="E5962" s="98"/>
      <c r="F5962" s="102"/>
      <c r="G5962" s="103"/>
    </row>
    <row r="5963" spans="1:7" x14ac:dyDescent="0.25">
      <c r="A5963" s="101"/>
      <c r="B5963" s="66"/>
      <c r="C5963" s="98"/>
      <c r="D5963" s="98"/>
      <c r="E5963" s="98"/>
      <c r="F5963" s="102"/>
      <c r="G5963" s="103"/>
    </row>
    <row r="5964" spans="1:7" x14ac:dyDescent="0.25">
      <c r="A5964" s="101"/>
      <c r="B5964" s="66"/>
      <c r="C5964" s="98"/>
      <c r="D5964" s="98"/>
      <c r="E5964" s="98"/>
      <c r="F5964" s="102"/>
      <c r="G5964" s="103"/>
    </row>
    <row r="5965" spans="1:7" x14ac:dyDescent="0.25">
      <c r="A5965" s="101"/>
      <c r="B5965" s="36"/>
      <c r="C5965" s="98"/>
      <c r="D5965" s="98"/>
      <c r="E5965" s="98"/>
      <c r="F5965" s="102"/>
      <c r="G5965" s="103"/>
    </row>
    <row r="5966" spans="1:7" x14ac:dyDescent="0.25">
      <c r="A5966" s="101"/>
      <c r="B5966" s="36"/>
      <c r="C5966" s="98"/>
      <c r="D5966" s="98"/>
      <c r="E5966" s="98"/>
      <c r="F5966" s="102"/>
      <c r="G5966" s="103"/>
    </row>
    <row r="5967" spans="1:7" x14ac:dyDescent="0.25">
      <c r="A5967" s="101"/>
      <c r="B5967" s="36"/>
      <c r="C5967" s="98"/>
      <c r="D5967" s="98"/>
      <c r="E5967" s="98"/>
      <c r="F5967" s="102"/>
      <c r="G5967" s="103"/>
    </row>
    <row r="5968" spans="1:7" x14ac:dyDescent="0.25">
      <c r="A5968" s="101"/>
      <c r="B5968" s="36"/>
      <c r="C5968" s="98"/>
      <c r="D5968" s="98"/>
      <c r="E5968" s="98"/>
      <c r="F5968" s="102"/>
      <c r="G5968" s="103"/>
    </row>
    <row r="5969" spans="1:7" x14ac:dyDescent="0.25">
      <c r="A5969" s="101"/>
      <c r="B5969" s="36"/>
      <c r="C5969" s="98"/>
      <c r="D5969" s="98"/>
      <c r="E5969" s="98"/>
      <c r="F5969" s="102"/>
      <c r="G5969" s="103"/>
    </row>
    <row r="5970" spans="1:7" x14ac:dyDescent="0.25">
      <c r="A5970" s="101"/>
      <c r="B5970" s="36"/>
      <c r="C5970" s="98"/>
      <c r="D5970" s="98"/>
      <c r="E5970" s="98"/>
      <c r="F5970" s="102"/>
      <c r="G5970" s="103"/>
    </row>
    <row r="5971" spans="1:7" x14ac:dyDescent="0.25">
      <c r="A5971" s="101"/>
      <c r="B5971" s="36"/>
      <c r="C5971" s="98"/>
      <c r="D5971" s="98"/>
      <c r="E5971" s="98"/>
      <c r="F5971" s="102"/>
      <c r="G5971" s="103"/>
    </row>
    <row r="5972" spans="1:7" x14ac:dyDescent="0.25">
      <c r="A5972" s="101"/>
      <c r="B5972" s="66"/>
      <c r="C5972" s="98"/>
      <c r="D5972" s="98"/>
      <c r="E5972" s="98"/>
      <c r="F5972" s="102"/>
      <c r="G5972" s="103"/>
    </row>
    <row r="5973" spans="1:7" x14ac:dyDescent="0.25">
      <c r="A5973" s="101"/>
      <c r="B5973" s="66"/>
      <c r="C5973" s="98"/>
      <c r="D5973" s="98"/>
      <c r="E5973" s="98"/>
      <c r="F5973" s="102"/>
      <c r="G5973" s="103"/>
    </row>
    <row r="5974" spans="1:7" x14ac:dyDescent="0.25">
      <c r="A5974" s="101"/>
      <c r="B5974" s="36"/>
      <c r="C5974" s="98"/>
      <c r="D5974" s="98"/>
      <c r="E5974" s="98"/>
      <c r="F5974" s="102"/>
      <c r="G5974" s="103"/>
    </row>
    <row r="5975" spans="1:7" x14ac:dyDescent="0.25">
      <c r="A5975" s="101"/>
      <c r="B5975" s="36"/>
      <c r="C5975" s="98"/>
      <c r="D5975" s="98"/>
      <c r="E5975" s="98"/>
      <c r="F5975" s="102"/>
      <c r="G5975" s="103"/>
    </row>
    <row r="5976" spans="1:7" x14ac:dyDescent="0.25">
      <c r="A5976" s="101"/>
      <c r="B5976" s="36"/>
      <c r="C5976" s="98"/>
      <c r="D5976" s="98"/>
      <c r="E5976" s="98"/>
      <c r="F5976" s="102"/>
      <c r="G5976" s="103"/>
    </row>
    <row r="5977" spans="1:7" x14ac:dyDescent="0.25">
      <c r="A5977" s="101"/>
      <c r="B5977" s="36"/>
      <c r="C5977" s="98"/>
      <c r="D5977" s="98"/>
      <c r="E5977" s="98"/>
      <c r="F5977" s="102"/>
      <c r="G5977" s="103"/>
    </row>
    <row r="5978" spans="1:7" x14ac:dyDescent="0.25">
      <c r="A5978" s="101"/>
      <c r="B5978" s="36"/>
      <c r="C5978" s="98"/>
      <c r="D5978" s="98"/>
      <c r="E5978" s="98"/>
      <c r="F5978" s="102"/>
      <c r="G5978" s="103"/>
    </row>
    <row r="5979" spans="1:7" x14ac:dyDescent="0.25">
      <c r="A5979" s="101"/>
      <c r="B5979" s="36"/>
      <c r="C5979" s="98"/>
      <c r="D5979" s="98"/>
      <c r="E5979" s="98"/>
      <c r="F5979" s="102"/>
      <c r="G5979" s="103"/>
    </row>
    <row r="5980" spans="1:7" x14ac:dyDescent="0.25">
      <c r="A5980" s="101"/>
      <c r="B5980" s="66"/>
      <c r="C5980" s="98"/>
      <c r="D5980" s="98"/>
      <c r="E5980" s="98"/>
      <c r="F5980" s="102"/>
      <c r="G5980" s="103"/>
    </row>
    <row r="5981" spans="1:7" x14ac:dyDescent="0.25">
      <c r="A5981" s="101"/>
      <c r="B5981" s="36"/>
      <c r="C5981" s="98"/>
      <c r="D5981" s="98"/>
      <c r="E5981" s="98"/>
      <c r="F5981" s="102"/>
      <c r="G5981" s="103"/>
    </row>
    <row r="5982" spans="1:7" x14ac:dyDescent="0.25">
      <c r="A5982" s="101"/>
      <c r="B5982" s="36"/>
      <c r="C5982" s="98"/>
      <c r="D5982" s="98"/>
      <c r="E5982" s="98"/>
      <c r="F5982" s="102"/>
      <c r="G5982" s="103"/>
    </row>
    <row r="5983" spans="1:7" x14ac:dyDescent="0.25">
      <c r="A5983" s="101"/>
      <c r="B5983" s="36"/>
      <c r="C5983" s="98"/>
      <c r="D5983" s="98"/>
      <c r="E5983" s="98"/>
      <c r="F5983" s="102"/>
      <c r="G5983" s="103"/>
    </row>
    <row r="5984" spans="1:7" x14ac:dyDescent="0.25">
      <c r="A5984" s="101"/>
      <c r="B5984" s="36"/>
      <c r="C5984" s="98"/>
      <c r="D5984" s="98"/>
      <c r="E5984" s="98"/>
      <c r="F5984" s="102"/>
      <c r="G5984" s="103"/>
    </row>
    <row r="5985" spans="1:7" x14ac:dyDescent="0.25">
      <c r="A5985" s="101"/>
      <c r="B5985" s="36"/>
      <c r="C5985" s="98"/>
      <c r="D5985" s="98"/>
      <c r="E5985" s="98"/>
      <c r="F5985" s="102"/>
      <c r="G5985" s="103"/>
    </row>
    <row r="5986" spans="1:7" x14ac:dyDescent="0.25">
      <c r="A5986" s="101"/>
      <c r="B5986" s="36"/>
      <c r="C5986" s="98"/>
      <c r="D5986" s="98"/>
      <c r="E5986" s="98"/>
      <c r="F5986" s="102"/>
      <c r="G5986" s="103"/>
    </row>
    <row r="5987" spans="1:7" x14ac:dyDescent="0.25">
      <c r="A5987" s="101"/>
      <c r="B5987" s="36"/>
      <c r="C5987" s="98"/>
      <c r="D5987" s="98"/>
      <c r="E5987" s="98"/>
      <c r="F5987" s="102"/>
      <c r="G5987" s="103"/>
    </row>
    <row r="5988" spans="1:7" x14ac:dyDescent="0.25">
      <c r="A5988" s="101"/>
      <c r="B5988" s="36"/>
      <c r="C5988" s="98"/>
      <c r="D5988" s="98"/>
      <c r="E5988" s="98"/>
      <c r="F5988" s="102"/>
      <c r="G5988" s="103"/>
    </row>
    <row r="5989" spans="1:7" x14ac:dyDescent="0.25">
      <c r="A5989" s="101"/>
      <c r="B5989" s="66"/>
      <c r="C5989" s="98"/>
      <c r="D5989" s="98"/>
      <c r="E5989" s="98"/>
      <c r="F5989" s="102"/>
      <c r="G5989" s="103"/>
    </row>
    <row r="5990" spans="1:7" x14ac:dyDescent="0.25">
      <c r="A5990" s="101"/>
      <c r="B5990" s="66"/>
      <c r="C5990" s="98"/>
      <c r="D5990" s="98"/>
      <c r="E5990" s="98"/>
      <c r="F5990" s="102"/>
      <c r="G5990" s="103"/>
    </row>
    <row r="5991" spans="1:7" x14ac:dyDescent="0.25">
      <c r="A5991" s="101"/>
      <c r="B5991" s="36"/>
      <c r="C5991" s="98"/>
      <c r="D5991" s="98"/>
      <c r="E5991" s="98"/>
      <c r="F5991" s="102"/>
      <c r="G5991" s="103"/>
    </row>
    <row r="5992" spans="1:7" x14ac:dyDescent="0.25">
      <c r="A5992" s="101"/>
      <c r="B5992" s="36"/>
      <c r="C5992" s="98"/>
      <c r="D5992" s="98"/>
      <c r="E5992" s="98"/>
      <c r="F5992" s="102"/>
      <c r="G5992" s="103"/>
    </row>
    <row r="5993" spans="1:7" x14ac:dyDescent="0.25">
      <c r="A5993" s="101"/>
      <c r="B5993" s="36"/>
      <c r="C5993" s="98"/>
      <c r="D5993" s="98"/>
      <c r="E5993" s="98"/>
      <c r="F5993" s="102"/>
      <c r="G5993" s="103"/>
    </row>
    <row r="5994" spans="1:7" x14ac:dyDescent="0.25">
      <c r="A5994" s="101"/>
      <c r="B5994" s="36"/>
      <c r="C5994" s="98"/>
      <c r="D5994" s="98"/>
      <c r="E5994" s="98"/>
      <c r="F5994" s="102"/>
      <c r="G5994" s="103"/>
    </row>
    <row r="5995" spans="1:7" x14ac:dyDescent="0.25">
      <c r="A5995" s="101"/>
      <c r="B5995" s="36"/>
      <c r="C5995" s="98"/>
      <c r="D5995" s="98"/>
      <c r="E5995" s="98"/>
      <c r="F5995" s="102"/>
      <c r="G5995" s="103"/>
    </row>
    <row r="5996" spans="1:7" x14ac:dyDescent="0.25">
      <c r="A5996" s="101"/>
      <c r="B5996" s="36"/>
      <c r="C5996" s="98"/>
      <c r="D5996" s="98"/>
      <c r="E5996" s="98"/>
      <c r="F5996" s="102"/>
      <c r="G5996" s="103"/>
    </row>
    <row r="5997" spans="1:7" x14ac:dyDescent="0.25">
      <c r="A5997" s="101"/>
      <c r="B5997" s="36"/>
      <c r="C5997" s="98"/>
      <c r="D5997" s="98"/>
      <c r="E5997" s="98"/>
      <c r="F5997" s="102"/>
      <c r="G5997" s="103"/>
    </row>
    <row r="5998" spans="1:7" x14ac:dyDescent="0.25">
      <c r="A5998" s="101"/>
      <c r="B5998" s="36"/>
      <c r="C5998" s="98"/>
      <c r="D5998" s="98"/>
      <c r="E5998" s="98"/>
      <c r="F5998" s="102"/>
      <c r="G5998" s="103"/>
    </row>
    <row r="5999" spans="1:7" x14ac:dyDescent="0.25">
      <c r="A5999" s="101"/>
      <c r="B5999" s="36"/>
      <c r="C5999" s="98"/>
      <c r="D5999" s="98"/>
      <c r="E5999" s="98"/>
      <c r="F5999" s="102"/>
      <c r="G5999" s="103"/>
    </row>
    <row r="6000" spans="1:7" x14ac:dyDescent="0.25">
      <c r="A6000" s="101"/>
      <c r="B6000" s="36"/>
      <c r="C6000" s="98"/>
      <c r="D6000" s="98"/>
      <c r="E6000" s="98"/>
      <c r="F6000" s="102"/>
      <c r="G6000" s="103"/>
    </row>
    <row r="6001" spans="1:7" x14ac:dyDescent="0.25">
      <c r="A6001" s="101"/>
      <c r="B6001" s="36"/>
      <c r="C6001" s="98"/>
      <c r="D6001" s="98"/>
      <c r="E6001" s="98"/>
      <c r="F6001" s="102"/>
      <c r="G6001" s="103"/>
    </row>
    <row r="6002" spans="1:7" x14ac:dyDescent="0.25">
      <c r="A6002" s="101"/>
      <c r="B6002" s="36"/>
      <c r="C6002" s="98"/>
      <c r="D6002" s="98"/>
      <c r="E6002" s="98"/>
      <c r="F6002" s="102"/>
      <c r="G6002" s="103"/>
    </row>
    <row r="6003" spans="1:7" x14ac:dyDescent="0.25">
      <c r="A6003" s="101"/>
      <c r="B6003" s="36"/>
      <c r="C6003" s="98"/>
      <c r="D6003" s="98"/>
      <c r="E6003" s="98"/>
      <c r="F6003" s="102"/>
      <c r="G6003" s="103"/>
    </row>
    <row r="6004" spans="1:7" x14ac:dyDescent="0.25">
      <c r="A6004" s="101"/>
      <c r="B6004" s="36"/>
      <c r="C6004" s="98"/>
      <c r="D6004" s="98"/>
      <c r="E6004" s="98"/>
      <c r="F6004" s="102"/>
      <c r="G6004" s="103"/>
    </row>
    <row r="6005" spans="1:7" x14ac:dyDescent="0.25">
      <c r="A6005" s="101"/>
      <c r="B6005" s="36"/>
      <c r="C6005" s="98"/>
      <c r="D6005" s="98"/>
      <c r="E6005" s="98"/>
      <c r="F6005" s="102"/>
      <c r="G6005" s="103"/>
    </row>
    <row r="6006" spans="1:7" x14ac:dyDescent="0.25">
      <c r="A6006" s="101"/>
      <c r="B6006" s="66"/>
      <c r="C6006" s="98"/>
      <c r="D6006" s="98"/>
      <c r="E6006" s="98"/>
      <c r="F6006" s="102"/>
      <c r="G6006" s="103"/>
    </row>
    <row r="6007" spans="1:7" x14ac:dyDescent="0.25">
      <c r="A6007" s="101"/>
      <c r="B6007" s="66"/>
      <c r="C6007" s="98"/>
      <c r="D6007" s="98"/>
      <c r="E6007" s="98"/>
      <c r="F6007" s="102"/>
      <c r="G6007" s="103"/>
    </row>
    <row r="6008" spans="1:7" x14ac:dyDescent="0.25">
      <c r="A6008" s="101"/>
      <c r="B6008" s="66"/>
      <c r="C6008" s="98"/>
      <c r="D6008" s="98"/>
      <c r="E6008" s="98"/>
      <c r="F6008" s="102"/>
      <c r="G6008" s="103"/>
    </row>
    <row r="6009" spans="1:7" x14ac:dyDescent="0.25">
      <c r="A6009" s="101"/>
      <c r="B6009" s="36"/>
      <c r="C6009" s="98"/>
      <c r="D6009" s="98"/>
      <c r="E6009" s="98"/>
      <c r="F6009" s="102"/>
      <c r="G6009" s="103"/>
    </row>
    <row r="6010" spans="1:7" x14ac:dyDescent="0.25">
      <c r="A6010" s="101"/>
      <c r="B6010" s="36"/>
      <c r="C6010" s="98"/>
      <c r="D6010" s="98"/>
      <c r="E6010" s="98"/>
      <c r="F6010" s="102"/>
      <c r="G6010" s="103"/>
    </row>
    <row r="6011" spans="1:7" x14ac:dyDescent="0.25">
      <c r="A6011" s="101"/>
      <c r="B6011" s="36"/>
      <c r="C6011" s="98"/>
      <c r="D6011" s="98"/>
      <c r="E6011" s="98"/>
      <c r="F6011" s="102"/>
      <c r="G6011" s="103"/>
    </row>
    <row r="6012" spans="1:7" x14ac:dyDescent="0.25">
      <c r="A6012" s="101"/>
      <c r="B6012" s="36"/>
      <c r="C6012" s="98"/>
      <c r="D6012" s="98"/>
      <c r="E6012" s="98"/>
      <c r="F6012" s="102"/>
      <c r="G6012" s="103"/>
    </row>
    <row r="6013" spans="1:7" x14ac:dyDescent="0.25">
      <c r="A6013" s="101"/>
      <c r="B6013" s="36"/>
      <c r="C6013" s="98"/>
      <c r="D6013" s="98"/>
      <c r="E6013" s="98"/>
      <c r="F6013" s="102"/>
      <c r="G6013" s="103"/>
    </row>
    <row r="6014" spans="1:7" x14ac:dyDescent="0.25">
      <c r="A6014" s="101"/>
      <c r="B6014" s="36"/>
      <c r="C6014" s="98"/>
      <c r="D6014" s="98"/>
      <c r="E6014" s="98"/>
      <c r="F6014" s="102"/>
      <c r="G6014" s="103"/>
    </row>
    <row r="6015" spans="1:7" x14ac:dyDescent="0.25">
      <c r="A6015" s="101"/>
      <c r="B6015" s="36"/>
      <c r="C6015" s="98"/>
      <c r="D6015" s="98"/>
      <c r="E6015" s="98"/>
      <c r="F6015" s="102"/>
      <c r="G6015" s="103"/>
    </row>
    <row r="6016" spans="1:7" x14ac:dyDescent="0.25">
      <c r="A6016" s="101"/>
      <c r="B6016" s="36"/>
      <c r="C6016" s="98"/>
      <c r="D6016" s="98"/>
      <c r="E6016" s="98"/>
      <c r="F6016" s="102"/>
      <c r="G6016" s="103"/>
    </row>
    <row r="6017" spans="1:7" x14ac:dyDescent="0.25">
      <c r="A6017" s="101"/>
      <c r="B6017" s="36"/>
      <c r="C6017" s="98"/>
      <c r="D6017" s="98"/>
      <c r="E6017" s="98"/>
      <c r="F6017" s="102"/>
      <c r="G6017" s="103"/>
    </row>
    <row r="6018" spans="1:7" x14ac:dyDescent="0.25">
      <c r="A6018" s="101"/>
      <c r="B6018" s="36"/>
      <c r="C6018" s="98"/>
      <c r="D6018" s="98"/>
      <c r="E6018" s="98"/>
      <c r="F6018" s="102"/>
      <c r="G6018" s="103"/>
    </row>
    <row r="6019" spans="1:7" x14ac:dyDescent="0.25">
      <c r="A6019" s="101"/>
      <c r="B6019" s="67"/>
      <c r="C6019" s="98"/>
      <c r="D6019" s="98"/>
      <c r="E6019" s="98"/>
      <c r="F6019" s="102"/>
      <c r="G6019" s="103"/>
    </row>
    <row r="6020" spans="1:7" x14ac:dyDescent="0.25">
      <c r="A6020" s="101"/>
      <c r="B6020" s="36"/>
      <c r="C6020" s="98"/>
      <c r="D6020" s="98"/>
      <c r="E6020" s="98"/>
      <c r="F6020" s="102"/>
      <c r="G6020" s="103"/>
    </row>
    <row r="6021" spans="1:7" x14ac:dyDescent="0.25">
      <c r="A6021" s="101"/>
      <c r="B6021" s="36"/>
      <c r="C6021" s="98"/>
      <c r="D6021" s="98"/>
      <c r="E6021" s="98"/>
      <c r="F6021" s="102"/>
      <c r="G6021" s="103"/>
    </row>
    <row r="6022" spans="1:7" x14ac:dyDescent="0.25">
      <c r="A6022" s="101"/>
      <c r="B6022" s="36"/>
      <c r="C6022" s="98"/>
      <c r="D6022" s="98"/>
      <c r="E6022" s="98"/>
      <c r="F6022" s="102"/>
      <c r="G6022" s="103"/>
    </row>
    <row r="6023" spans="1:7" x14ac:dyDescent="0.25">
      <c r="A6023" s="101"/>
      <c r="B6023" s="36"/>
      <c r="C6023" s="98"/>
      <c r="D6023" s="98"/>
      <c r="E6023" s="98"/>
      <c r="F6023" s="102"/>
      <c r="G6023" s="103"/>
    </row>
    <row r="6024" spans="1:7" x14ac:dyDescent="0.25">
      <c r="A6024" s="101"/>
      <c r="B6024" s="36"/>
      <c r="C6024" s="98"/>
      <c r="D6024" s="98"/>
      <c r="E6024" s="98"/>
      <c r="F6024" s="102"/>
      <c r="G6024" s="103"/>
    </row>
    <row r="6025" spans="1:7" x14ac:dyDescent="0.25">
      <c r="A6025" s="101"/>
      <c r="B6025" s="66"/>
      <c r="C6025" s="98"/>
      <c r="D6025" s="98"/>
      <c r="E6025" s="98"/>
      <c r="F6025" s="102"/>
      <c r="G6025" s="103"/>
    </row>
    <row r="6026" spans="1:7" x14ac:dyDescent="0.25">
      <c r="A6026" s="101"/>
      <c r="B6026" s="36"/>
      <c r="C6026" s="98"/>
      <c r="D6026" s="98"/>
      <c r="E6026" s="98"/>
      <c r="F6026" s="102"/>
      <c r="G6026" s="103"/>
    </row>
    <row r="6027" spans="1:7" x14ac:dyDescent="0.25">
      <c r="A6027" s="101"/>
      <c r="B6027" s="36"/>
      <c r="C6027" s="98"/>
      <c r="D6027" s="98"/>
      <c r="E6027" s="98"/>
      <c r="F6027" s="102"/>
      <c r="G6027" s="103"/>
    </row>
    <row r="6028" spans="1:7" x14ac:dyDescent="0.25">
      <c r="A6028" s="101"/>
      <c r="B6028" s="36"/>
      <c r="C6028" s="98"/>
      <c r="D6028" s="98"/>
      <c r="E6028" s="98"/>
      <c r="F6028" s="102"/>
      <c r="G6028" s="103"/>
    </row>
    <row r="6029" spans="1:7" x14ac:dyDescent="0.25">
      <c r="A6029" s="101"/>
      <c r="B6029" s="36"/>
      <c r="C6029" s="98"/>
      <c r="D6029" s="98"/>
      <c r="E6029" s="98"/>
      <c r="F6029" s="102"/>
      <c r="G6029" s="103"/>
    </row>
    <row r="6030" spans="1:7" x14ac:dyDescent="0.25">
      <c r="A6030" s="101"/>
      <c r="B6030" s="36"/>
      <c r="C6030" s="98"/>
      <c r="D6030" s="98"/>
      <c r="E6030" s="98"/>
      <c r="F6030" s="102"/>
      <c r="G6030" s="103"/>
    </row>
    <row r="6031" spans="1:7" x14ac:dyDescent="0.25">
      <c r="A6031" s="101"/>
      <c r="B6031" s="36"/>
      <c r="C6031" s="98"/>
      <c r="D6031" s="98"/>
      <c r="E6031" s="98"/>
      <c r="F6031" s="102"/>
      <c r="G6031" s="103"/>
    </row>
    <row r="6032" spans="1:7" x14ac:dyDescent="0.25">
      <c r="A6032" s="101"/>
      <c r="B6032" s="36"/>
      <c r="C6032" s="98"/>
      <c r="D6032" s="98"/>
      <c r="E6032" s="98"/>
      <c r="F6032" s="102"/>
      <c r="G6032" s="103"/>
    </row>
    <row r="6033" spans="1:7" x14ac:dyDescent="0.25">
      <c r="A6033" s="101"/>
      <c r="B6033" s="36"/>
      <c r="C6033" s="98"/>
      <c r="D6033" s="98"/>
      <c r="E6033" s="98"/>
      <c r="F6033" s="102"/>
      <c r="G6033" s="103"/>
    </row>
    <row r="6034" spans="1:7" x14ac:dyDescent="0.25">
      <c r="A6034" s="101"/>
      <c r="B6034" s="36"/>
      <c r="C6034" s="98"/>
      <c r="D6034" s="98"/>
      <c r="E6034" s="98"/>
      <c r="F6034" s="102"/>
      <c r="G6034" s="103"/>
    </row>
    <row r="6035" spans="1:7" x14ac:dyDescent="0.25">
      <c r="A6035" s="101"/>
      <c r="B6035" s="36"/>
      <c r="C6035" s="98"/>
      <c r="D6035" s="98"/>
      <c r="E6035" s="98"/>
      <c r="F6035" s="102"/>
      <c r="G6035" s="103"/>
    </row>
    <row r="6036" spans="1:7" x14ac:dyDescent="0.25">
      <c r="A6036" s="101"/>
      <c r="B6036" s="36"/>
      <c r="C6036" s="98"/>
      <c r="D6036" s="98"/>
      <c r="E6036" s="98"/>
      <c r="F6036" s="102"/>
      <c r="G6036" s="103"/>
    </row>
    <row r="6037" spans="1:7" x14ac:dyDescent="0.25">
      <c r="A6037" s="101"/>
      <c r="B6037" s="36"/>
      <c r="C6037" s="98"/>
      <c r="D6037" s="98"/>
      <c r="E6037" s="98"/>
      <c r="F6037" s="102"/>
      <c r="G6037" s="103"/>
    </row>
    <row r="6038" spans="1:7" x14ac:dyDescent="0.25">
      <c r="A6038" s="101"/>
      <c r="B6038" s="36"/>
      <c r="C6038" s="98"/>
      <c r="D6038" s="98"/>
      <c r="E6038" s="98"/>
      <c r="F6038" s="102"/>
      <c r="G6038" s="103"/>
    </row>
    <row r="6039" spans="1:7" x14ac:dyDescent="0.25">
      <c r="A6039" s="101"/>
      <c r="B6039" s="36"/>
      <c r="C6039" s="98"/>
      <c r="D6039" s="98"/>
      <c r="E6039" s="98"/>
      <c r="F6039" s="102"/>
      <c r="G6039" s="103"/>
    </row>
    <row r="6040" spans="1:7" x14ac:dyDescent="0.25">
      <c r="A6040" s="101"/>
      <c r="B6040" s="36"/>
      <c r="C6040" s="98"/>
      <c r="D6040" s="98"/>
      <c r="E6040" s="98"/>
      <c r="F6040" s="102"/>
      <c r="G6040" s="103"/>
    </row>
    <row r="6041" spans="1:7" x14ac:dyDescent="0.25">
      <c r="A6041" s="101"/>
      <c r="B6041" s="36"/>
      <c r="C6041" s="98"/>
      <c r="D6041" s="98"/>
      <c r="E6041" s="98"/>
      <c r="F6041" s="102"/>
      <c r="G6041" s="103"/>
    </row>
    <row r="6042" spans="1:7" x14ac:dyDescent="0.25">
      <c r="A6042" s="101"/>
      <c r="B6042" s="36"/>
      <c r="C6042" s="98"/>
      <c r="D6042" s="98"/>
      <c r="E6042" s="98"/>
      <c r="F6042" s="102"/>
      <c r="G6042" s="103"/>
    </row>
    <row r="6043" spans="1:7" x14ac:dyDescent="0.25">
      <c r="A6043" s="101"/>
      <c r="B6043" s="36"/>
      <c r="C6043" s="98"/>
      <c r="D6043" s="98"/>
      <c r="E6043" s="98"/>
      <c r="F6043" s="102"/>
      <c r="G6043" s="103"/>
    </row>
    <row r="6044" spans="1:7" x14ac:dyDescent="0.25">
      <c r="A6044" s="101"/>
      <c r="B6044" s="36"/>
      <c r="C6044" s="98"/>
      <c r="D6044" s="98"/>
      <c r="E6044" s="98"/>
      <c r="F6044" s="102"/>
      <c r="G6044" s="103"/>
    </row>
    <row r="6045" spans="1:7" x14ac:dyDescent="0.25">
      <c r="A6045" s="101"/>
      <c r="B6045" s="66"/>
      <c r="C6045" s="98"/>
      <c r="D6045" s="98"/>
      <c r="E6045" s="98"/>
      <c r="F6045" s="102"/>
      <c r="G6045" s="103"/>
    </row>
    <row r="6046" spans="1:7" x14ac:dyDescent="0.25">
      <c r="A6046" s="101"/>
      <c r="B6046" s="66"/>
      <c r="C6046" s="98"/>
      <c r="D6046" s="98"/>
      <c r="E6046" s="98"/>
      <c r="F6046" s="102"/>
      <c r="G6046" s="103"/>
    </row>
    <row r="6047" spans="1:7" x14ac:dyDescent="0.25">
      <c r="A6047" s="101"/>
      <c r="B6047" s="66"/>
      <c r="C6047" s="98"/>
      <c r="D6047" s="98"/>
      <c r="E6047" s="98"/>
      <c r="F6047" s="102"/>
      <c r="G6047" s="103"/>
    </row>
    <row r="6048" spans="1:7" x14ac:dyDescent="0.25">
      <c r="A6048" s="101"/>
      <c r="B6048" s="66"/>
      <c r="C6048" s="98"/>
      <c r="D6048" s="98"/>
      <c r="E6048" s="98"/>
      <c r="F6048" s="102"/>
      <c r="G6048" s="103"/>
    </row>
    <row r="6049" spans="1:7" x14ac:dyDescent="0.25">
      <c r="A6049" s="101"/>
      <c r="B6049" s="36"/>
      <c r="C6049" s="98"/>
      <c r="D6049" s="98"/>
      <c r="E6049" s="98"/>
      <c r="F6049" s="102"/>
      <c r="G6049" s="103"/>
    </row>
    <row r="6050" spans="1:7" x14ac:dyDescent="0.25">
      <c r="A6050" s="101"/>
      <c r="B6050" s="36"/>
      <c r="C6050" s="98"/>
      <c r="D6050" s="98"/>
      <c r="E6050" s="98"/>
      <c r="F6050" s="102"/>
      <c r="G6050" s="103"/>
    </row>
    <row r="6051" spans="1:7" x14ac:dyDescent="0.25">
      <c r="A6051" s="101"/>
      <c r="B6051" s="36"/>
      <c r="C6051" s="98"/>
      <c r="D6051" s="98"/>
      <c r="E6051" s="98"/>
      <c r="F6051" s="102"/>
      <c r="G6051" s="103"/>
    </row>
    <row r="6052" spans="1:7" x14ac:dyDescent="0.25">
      <c r="A6052" s="101"/>
      <c r="B6052" s="36"/>
      <c r="C6052" s="98"/>
      <c r="D6052" s="98"/>
      <c r="E6052" s="98"/>
      <c r="F6052" s="102"/>
      <c r="G6052" s="103"/>
    </row>
    <row r="6053" spans="1:7" x14ac:dyDescent="0.25">
      <c r="A6053" s="101"/>
      <c r="B6053" s="36"/>
      <c r="C6053" s="98"/>
      <c r="D6053" s="98"/>
      <c r="E6053" s="98"/>
      <c r="F6053" s="102"/>
      <c r="G6053" s="103"/>
    </row>
    <row r="6054" spans="1:7" x14ac:dyDescent="0.25">
      <c r="A6054" s="101"/>
      <c r="B6054" s="36"/>
      <c r="C6054" s="98"/>
      <c r="D6054" s="98"/>
      <c r="E6054" s="98"/>
      <c r="F6054" s="102"/>
      <c r="G6054" s="103"/>
    </row>
    <row r="6055" spans="1:7" x14ac:dyDescent="0.25">
      <c r="A6055" s="101"/>
      <c r="B6055" s="36"/>
      <c r="C6055" s="98"/>
      <c r="D6055" s="98"/>
      <c r="E6055" s="98"/>
      <c r="F6055" s="102"/>
      <c r="G6055" s="103"/>
    </row>
    <row r="6056" spans="1:7" x14ac:dyDescent="0.25">
      <c r="A6056" s="101"/>
      <c r="B6056" s="36"/>
      <c r="C6056" s="98"/>
      <c r="D6056" s="98"/>
      <c r="E6056" s="98"/>
      <c r="F6056" s="102"/>
      <c r="G6056" s="103"/>
    </row>
    <row r="6057" spans="1:7" x14ac:dyDescent="0.25">
      <c r="A6057" s="101"/>
      <c r="B6057" s="36"/>
      <c r="C6057" s="98"/>
      <c r="D6057" s="98"/>
      <c r="E6057" s="98"/>
      <c r="F6057" s="102"/>
      <c r="G6057" s="103"/>
    </row>
    <row r="6058" spans="1:7" x14ac:dyDescent="0.25">
      <c r="A6058" s="101"/>
      <c r="B6058" s="36"/>
      <c r="C6058" s="98"/>
      <c r="D6058" s="98"/>
      <c r="E6058" s="98"/>
      <c r="F6058" s="102"/>
      <c r="G6058" s="103"/>
    </row>
    <row r="6059" spans="1:7" x14ac:dyDescent="0.25">
      <c r="A6059" s="101"/>
      <c r="B6059" s="36"/>
      <c r="C6059" s="98"/>
      <c r="D6059" s="98"/>
      <c r="E6059" s="98"/>
      <c r="F6059" s="102"/>
      <c r="G6059" s="103"/>
    </row>
    <row r="6060" spans="1:7" x14ac:dyDescent="0.25">
      <c r="A6060" s="101"/>
      <c r="B6060" s="36"/>
      <c r="C6060" s="98"/>
      <c r="D6060" s="98"/>
      <c r="E6060" s="98"/>
      <c r="F6060" s="102"/>
      <c r="G6060" s="103"/>
    </row>
    <row r="6061" spans="1:7" x14ac:dyDescent="0.25">
      <c r="A6061" s="101"/>
      <c r="B6061" s="36"/>
      <c r="C6061" s="98"/>
      <c r="D6061" s="98"/>
      <c r="E6061" s="98"/>
      <c r="F6061" s="102"/>
      <c r="G6061" s="103"/>
    </row>
    <row r="6062" spans="1:7" x14ac:dyDescent="0.25">
      <c r="A6062" s="101"/>
      <c r="B6062" s="36"/>
      <c r="C6062" s="98"/>
      <c r="D6062" s="98"/>
      <c r="E6062" s="98"/>
      <c r="F6062" s="102"/>
      <c r="G6062" s="103"/>
    </row>
    <row r="6063" spans="1:7" x14ac:dyDescent="0.25">
      <c r="A6063" s="101"/>
      <c r="B6063" s="36"/>
      <c r="C6063" s="98"/>
      <c r="D6063" s="98"/>
      <c r="E6063" s="98"/>
      <c r="F6063" s="102"/>
      <c r="G6063" s="103"/>
    </row>
    <row r="6064" spans="1:7" x14ac:dyDescent="0.25">
      <c r="A6064" s="101"/>
      <c r="B6064" s="36"/>
      <c r="C6064" s="98"/>
      <c r="D6064" s="98"/>
      <c r="E6064" s="98"/>
      <c r="F6064" s="102"/>
      <c r="G6064" s="103"/>
    </row>
    <row r="6065" spans="1:7" x14ac:dyDescent="0.25">
      <c r="A6065" s="101"/>
      <c r="B6065" s="36"/>
      <c r="C6065" s="98"/>
      <c r="D6065" s="98"/>
      <c r="E6065" s="98"/>
      <c r="F6065" s="102"/>
      <c r="G6065" s="103"/>
    </row>
    <row r="6066" spans="1:7" x14ac:dyDescent="0.25">
      <c r="A6066" s="101"/>
      <c r="B6066" s="36"/>
      <c r="C6066" s="98"/>
      <c r="D6066" s="98"/>
      <c r="E6066" s="98"/>
      <c r="F6066" s="102"/>
      <c r="G6066" s="103"/>
    </row>
    <row r="6067" spans="1:7" x14ac:dyDescent="0.25">
      <c r="A6067" s="101"/>
      <c r="B6067" s="36"/>
      <c r="C6067" s="98"/>
      <c r="D6067" s="98"/>
      <c r="E6067" s="98"/>
      <c r="F6067" s="102"/>
      <c r="G6067" s="103"/>
    </row>
    <row r="6068" spans="1:7" x14ac:dyDescent="0.25">
      <c r="A6068" s="101"/>
      <c r="B6068" s="36"/>
      <c r="C6068" s="98"/>
      <c r="D6068" s="98"/>
      <c r="E6068" s="98"/>
      <c r="F6068" s="102"/>
      <c r="G6068" s="103"/>
    </row>
    <row r="6069" spans="1:7" x14ac:dyDescent="0.25">
      <c r="A6069" s="101"/>
      <c r="B6069" s="36"/>
      <c r="C6069" s="98"/>
      <c r="D6069" s="98"/>
      <c r="E6069" s="98"/>
      <c r="F6069" s="102"/>
      <c r="G6069" s="103"/>
    </row>
    <row r="6070" spans="1:7" x14ac:dyDescent="0.25">
      <c r="A6070" s="101"/>
      <c r="B6070" s="36"/>
      <c r="C6070" s="98"/>
      <c r="D6070" s="98"/>
      <c r="E6070" s="98"/>
      <c r="F6070" s="102"/>
      <c r="G6070" s="103"/>
    </row>
    <row r="6071" spans="1:7" x14ac:dyDescent="0.25">
      <c r="A6071" s="101"/>
      <c r="B6071" s="36"/>
      <c r="C6071" s="98"/>
      <c r="D6071" s="98"/>
      <c r="E6071" s="98"/>
      <c r="F6071" s="102"/>
      <c r="G6071" s="103"/>
    </row>
    <row r="6072" spans="1:7" x14ac:dyDescent="0.25">
      <c r="A6072" s="101"/>
      <c r="B6072" s="36"/>
      <c r="C6072" s="98"/>
      <c r="D6072" s="98"/>
      <c r="E6072" s="98"/>
      <c r="F6072" s="102"/>
      <c r="G6072" s="103"/>
    </row>
    <row r="6073" spans="1:7" x14ac:dyDescent="0.25">
      <c r="A6073" s="101"/>
      <c r="B6073" s="66"/>
      <c r="C6073" s="98"/>
      <c r="D6073" s="98"/>
      <c r="E6073" s="98"/>
      <c r="F6073" s="102"/>
      <c r="G6073" s="103"/>
    </row>
    <row r="6074" spans="1:7" x14ac:dyDescent="0.25">
      <c r="A6074" s="101"/>
      <c r="B6074" s="66"/>
      <c r="C6074" s="98"/>
      <c r="D6074" s="98"/>
      <c r="E6074" s="98"/>
      <c r="F6074" s="102"/>
      <c r="G6074" s="103"/>
    </row>
    <row r="6075" spans="1:7" x14ac:dyDescent="0.25">
      <c r="A6075" s="101"/>
      <c r="B6075" s="66"/>
      <c r="C6075" s="98"/>
      <c r="D6075" s="98"/>
      <c r="E6075" s="98"/>
      <c r="F6075" s="102"/>
      <c r="G6075" s="103"/>
    </row>
    <row r="6076" spans="1:7" x14ac:dyDescent="0.25">
      <c r="A6076" s="101"/>
      <c r="B6076" s="66"/>
      <c r="C6076" s="98"/>
      <c r="D6076" s="98"/>
      <c r="E6076" s="98"/>
      <c r="F6076" s="102"/>
      <c r="G6076" s="103"/>
    </row>
    <row r="6077" spans="1:7" x14ac:dyDescent="0.25">
      <c r="A6077" s="101"/>
      <c r="B6077" s="36"/>
      <c r="C6077" s="98"/>
      <c r="D6077" s="98"/>
      <c r="E6077" s="98"/>
      <c r="F6077" s="102"/>
      <c r="G6077" s="103"/>
    </row>
    <row r="6078" spans="1:7" x14ac:dyDescent="0.25">
      <c r="A6078" s="101"/>
      <c r="B6078" s="36"/>
      <c r="C6078" s="98"/>
      <c r="D6078" s="98"/>
      <c r="E6078" s="98"/>
      <c r="F6078" s="102"/>
      <c r="G6078" s="103"/>
    </row>
    <row r="6079" spans="1:7" x14ac:dyDescent="0.25">
      <c r="A6079" s="101"/>
      <c r="B6079" s="36"/>
      <c r="C6079" s="98"/>
      <c r="D6079" s="98"/>
      <c r="E6079" s="98"/>
      <c r="F6079" s="102"/>
      <c r="G6079" s="103"/>
    </row>
    <row r="6080" spans="1:7" x14ac:dyDescent="0.25">
      <c r="A6080" s="101"/>
      <c r="B6080" s="36"/>
      <c r="C6080" s="98"/>
      <c r="D6080" s="98"/>
      <c r="E6080" s="98"/>
      <c r="F6080" s="102"/>
      <c r="G6080" s="103"/>
    </row>
    <row r="6081" spans="1:7" x14ac:dyDescent="0.25">
      <c r="A6081" s="101"/>
      <c r="B6081" s="36"/>
      <c r="C6081" s="98"/>
      <c r="D6081" s="98"/>
      <c r="E6081" s="98"/>
      <c r="F6081" s="102"/>
      <c r="G6081" s="103"/>
    </row>
    <row r="6082" spans="1:7" x14ac:dyDescent="0.25">
      <c r="A6082" s="101"/>
      <c r="B6082" s="36"/>
      <c r="C6082" s="98"/>
      <c r="D6082" s="98"/>
      <c r="E6082" s="98"/>
      <c r="F6082" s="102"/>
      <c r="G6082" s="103"/>
    </row>
    <row r="6083" spans="1:7" x14ac:dyDescent="0.25">
      <c r="A6083" s="101"/>
      <c r="B6083" s="36"/>
      <c r="C6083" s="98"/>
      <c r="D6083" s="98"/>
      <c r="E6083" s="98"/>
      <c r="F6083" s="102"/>
      <c r="G6083" s="103"/>
    </row>
    <row r="6084" spans="1:7" x14ac:dyDescent="0.25">
      <c r="A6084" s="101"/>
      <c r="B6084" s="36"/>
      <c r="C6084" s="98"/>
      <c r="D6084" s="98"/>
      <c r="E6084" s="98"/>
      <c r="F6084" s="102"/>
      <c r="G6084" s="103"/>
    </row>
    <row r="6085" spans="1:7" x14ac:dyDescent="0.25">
      <c r="A6085" s="101"/>
      <c r="B6085" s="36"/>
      <c r="C6085" s="98"/>
      <c r="D6085" s="98"/>
      <c r="E6085" s="98"/>
      <c r="F6085" s="102"/>
      <c r="G6085" s="103"/>
    </row>
    <row r="6086" spans="1:7" x14ac:dyDescent="0.25">
      <c r="A6086" s="101"/>
      <c r="B6086" s="36"/>
      <c r="C6086" s="98"/>
      <c r="D6086" s="98"/>
      <c r="E6086" s="98"/>
      <c r="F6086" s="102"/>
      <c r="G6086" s="103"/>
    </row>
    <row r="6087" spans="1:7" x14ac:dyDescent="0.25">
      <c r="A6087" s="101"/>
      <c r="B6087" s="36"/>
      <c r="C6087" s="98"/>
      <c r="D6087" s="98"/>
      <c r="E6087" s="98"/>
      <c r="F6087" s="102"/>
      <c r="G6087" s="103"/>
    </row>
    <row r="6088" spans="1:7" x14ac:dyDescent="0.25">
      <c r="A6088" s="101"/>
      <c r="B6088" s="36"/>
      <c r="C6088" s="98"/>
      <c r="D6088" s="98"/>
      <c r="E6088" s="98"/>
      <c r="F6088" s="102"/>
      <c r="G6088" s="103"/>
    </row>
    <row r="6089" spans="1:7" x14ac:dyDescent="0.25">
      <c r="A6089" s="101"/>
      <c r="B6089" s="36"/>
      <c r="C6089" s="98"/>
      <c r="D6089" s="98"/>
      <c r="E6089" s="98"/>
      <c r="F6089" s="102"/>
      <c r="G6089" s="103"/>
    </row>
    <row r="6090" spans="1:7" x14ac:dyDescent="0.25">
      <c r="A6090" s="101"/>
      <c r="B6090" s="36"/>
      <c r="C6090" s="98"/>
      <c r="D6090" s="98"/>
      <c r="E6090" s="98"/>
      <c r="F6090" s="102"/>
      <c r="G6090" s="103"/>
    </row>
    <row r="6091" spans="1:7" x14ac:dyDescent="0.25">
      <c r="A6091" s="101"/>
      <c r="B6091" s="66"/>
      <c r="C6091" s="98"/>
      <c r="D6091" s="98"/>
      <c r="E6091" s="98"/>
      <c r="F6091" s="102"/>
      <c r="G6091" s="103"/>
    </row>
    <row r="6092" spans="1:7" x14ac:dyDescent="0.25">
      <c r="A6092" s="101"/>
      <c r="B6092" s="66"/>
      <c r="C6092" s="98"/>
      <c r="D6092" s="98"/>
      <c r="E6092" s="98"/>
      <c r="F6092" s="102"/>
      <c r="G6092" s="103"/>
    </row>
    <row r="6093" spans="1:7" x14ac:dyDescent="0.25">
      <c r="A6093" s="101"/>
      <c r="B6093" s="36"/>
      <c r="C6093" s="98"/>
      <c r="D6093" s="98"/>
      <c r="E6093" s="98"/>
      <c r="F6093" s="102"/>
      <c r="G6093" s="103"/>
    </row>
    <row r="6094" spans="1:7" x14ac:dyDescent="0.25">
      <c r="A6094" s="101"/>
      <c r="B6094" s="36"/>
      <c r="C6094" s="98"/>
      <c r="D6094" s="98"/>
      <c r="E6094" s="98"/>
      <c r="F6094" s="102"/>
      <c r="G6094" s="103"/>
    </row>
    <row r="6095" spans="1:7" x14ac:dyDescent="0.25">
      <c r="A6095" s="101"/>
      <c r="B6095" s="36"/>
      <c r="C6095" s="98"/>
      <c r="D6095" s="98"/>
      <c r="E6095" s="98"/>
      <c r="F6095" s="102"/>
      <c r="G6095" s="103"/>
    </row>
    <row r="6096" spans="1:7" x14ac:dyDescent="0.25">
      <c r="A6096" s="101"/>
      <c r="B6096" s="36"/>
      <c r="C6096" s="98"/>
      <c r="D6096" s="98"/>
      <c r="E6096" s="98"/>
      <c r="F6096" s="102"/>
      <c r="G6096" s="103"/>
    </row>
    <row r="6097" spans="1:7" x14ac:dyDescent="0.25">
      <c r="A6097" s="101"/>
      <c r="B6097" s="36"/>
      <c r="C6097" s="98"/>
      <c r="D6097" s="98"/>
      <c r="E6097" s="98"/>
      <c r="F6097" s="102"/>
      <c r="G6097" s="103"/>
    </row>
    <row r="6098" spans="1:7" x14ac:dyDescent="0.25">
      <c r="A6098" s="101"/>
      <c r="B6098" s="36"/>
      <c r="C6098" s="98"/>
      <c r="D6098" s="98"/>
      <c r="E6098" s="98"/>
      <c r="F6098" s="102"/>
      <c r="G6098" s="103"/>
    </row>
    <row r="6099" spans="1:7" x14ac:dyDescent="0.25">
      <c r="A6099" s="101"/>
      <c r="B6099" s="36"/>
      <c r="C6099" s="98"/>
      <c r="D6099" s="98"/>
      <c r="E6099" s="98"/>
      <c r="F6099" s="102"/>
      <c r="G6099" s="103"/>
    </row>
    <row r="6100" spans="1:7" x14ac:dyDescent="0.25">
      <c r="A6100" s="101"/>
      <c r="B6100" s="36"/>
      <c r="C6100" s="98"/>
      <c r="D6100" s="98"/>
      <c r="E6100" s="98"/>
      <c r="F6100" s="102"/>
      <c r="G6100" s="103"/>
    </row>
    <row r="6101" spans="1:7" x14ac:dyDescent="0.25">
      <c r="A6101" s="101"/>
      <c r="B6101" s="36"/>
      <c r="C6101" s="98"/>
      <c r="D6101" s="98"/>
      <c r="E6101" s="98"/>
      <c r="F6101" s="102"/>
      <c r="G6101" s="103"/>
    </row>
    <row r="6102" spans="1:7" x14ac:dyDescent="0.25">
      <c r="A6102" s="101"/>
      <c r="B6102" s="36"/>
      <c r="C6102" s="98"/>
      <c r="D6102" s="98"/>
      <c r="E6102" s="98"/>
      <c r="F6102" s="102"/>
      <c r="G6102" s="103"/>
    </row>
    <row r="6103" spans="1:7" x14ac:dyDescent="0.25">
      <c r="A6103" s="101"/>
      <c r="B6103" s="66"/>
      <c r="C6103" s="98"/>
      <c r="D6103" s="98"/>
      <c r="E6103" s="98"/>
      <c r="F6103" s="102"/>
      <c r="G6103" s="103"/>
    </row>
    <row r="6104" spans="1:7" x14ac:dyDescent="0.25">
      <c r="A6104" s="101"/>
      <c r="B6104" s="66"/>
      <c r="C6104" s="98"/>
      <c r="D6104" s="98"/>
      <c r="E6104" s="98"/>
      <c r="F6104" s="102"/>
      <c r="G6104" s="103"/>
    </row>
    <row r="6105" spans="1:7" x14ac:dyDescent="0.25">
      <c r="A6105" s="101"/>
      <c r="B6105" s="36"/>
      <c r="C6105" s="98"/>
      <c r="D6105" s="98"/>
      <c r="E6105" s="98"/>
      <c r="F6105" s="102"/>
      <c r="G6105" s="103"/>
    </row>
    <row r="6106" spans="1:7" x14ac:dyDescent="0.25">
      <c r="A6106" s="101"/>
      <c r="B6106" s="36"/>
      <c r="C6106" s="98"/>
      <c r="D6106" s="98"/>
      <c r="E6106" s="98"/>
      <c r="F6106" s="102"/>
      <c r="G6106" s="103"/>
    </row>
    <row r="6107" spans="1:7" x14ac:dyDescent="0.25">
      <c r="A6107" s="101"/>
      <c r="B6107" s="36"/>
      <c r="C6107" s="98"/>
      <c r="D6107" s="98"/>
      <c r="E6107" s="98"/>
      <c r="F6107" s="102"/>
      <c r="G6107" s="103"/>
    </row>
    <row r="6108" spans="1:7" x14ac:dyDescent="0.25">
      <c r="A6108" s="101"/>
      <c r="B6108" s="36"/>
      <c r="C6108" s="98"/>
      <c r="D6108" s="98"/>
      <c r="E6108" s="98"/>
      <c r="F6108" s="102"/>
      <c r="G6108" s="103"/>
    </row>
    <row r="6109" spans="1:7" x14ac:dyDescent="0.25">
      <c r="A6109" s="101"/>
      <c r="B6109" s="36"/>
      <c r="C6109" s="98"/>
      <c r="D6109" s="98"/>
      <c r="E6109" s="98"/>
      <c r="F6109" s="102"/>
      <c r="G6109" s="103"/>
    </row>
    <row r="6110" spans="1:7" x14ac:dyDescent="0.25">
      <c r="A6110" s="101"/>
      <c r="B6110" s="36"/>
      <c r="C6110" s="98"/>
      <c r="D6110" s="98"/>
      <c r="E6110" s="98"/>
      <c r="F6110" s="102"/>
      <c r="G6110" s="103"/>
    </row>
    <row r="6111" spans="1:7" x14ac:dyDescent="0.25">
      <c r="A6111" s="101"/>
      <c r="B6111" s="36"/>
      <c r="C6111" s="98"/>
      <c r="D6111" s="98"/>
      <c r="E6111" s="98"/>
      <c r="F6111" s="102"/>
      <c r="G6111" s="103"/>
    </row>
    <row r="6112" spans="1:7" x14ac:dyDescent="0.25">
      <c r="A6112" s="101"/>
      <c r="B6112" s="36"/>
      <c r="C6112" s="98"/>
      <c r="D6112" s="98"/>
      <c r="E6112" s="98"/>
      <c r="F6112" s="102"/>
      <c r="G6112" s="103"/>
    </row>
    <row r="6113" spans="1:7" x14ac:dyDescent="0.25">
      <c r="A6113" s="101"/>
      <c r="B6113" s="36"/>
      <c r="C6113" s="98"/>
      <c r="D6113" s="98"/>
      <c r="E6113" s="98"/>
      <c r="F6113" s="102"/>
      <c r="G6113" s="103"/>
    </row>
    <row r="6114" spans="1:7" x14ac:dyDescent="0.25">
      <c r="A6114" s="101"/>
      <c r="B6114" s="36"/>
      <c r="C6114" s="98"/>
      <c r="D6114" s="98"/>
      <c r="E6114" s="98"/>
      <c r="F6114" s="102"/>
      <c r="G6114" s="103"/>
    </row>
    <row r="6115" spans="1:7" x14ac:dyDescent="0.25">
      <c r="A6115" s="101"/>
      <c r="B6115" s="36"/>
      <c r="C6115" s="98"/>
      <c r="D6115" s="98"/>
      <c r="E6115" s="98"/>
      <c r="F6115" s="102"/>
      <c r="G6115" s="103"/>
    </row>
    <row r="6116" spans="1:7" x14ac:dyDescent="0.25">
      <c r="A6116" s="101"/>
      <c r="B6116" s="36"/>
      <c r="C6116" s="98"/>
      <c r="D6116" s="98"/>
      <c r="E6116" s="98"/>
      <c r="F6116" s="102"/>
      <c r="G6116" s="103"/>
    </row>
    <row r="6117" spans="1:7" x14ac:dyDescent="0.25">
      <c r="A6117" s="101"/>
      <c r="B6117" s="36"/>
      <c r="C6117" s="98"/>
      <c r="D6117" s="98"/>
      <c r="E6117" s="98"/>
      <c r="F6117" s="102"/>
      <c r="G6117" s="103"/>
    </row>
    <row r="6118" spans="1:7" x14ac:dyDescent="0.25">
      <c r="A6118" s="101"/>
      <c r="B6118" s="36"/>
      <c r="C6118" s="98"/>
      <c r="D6118" s="98"/>
      <c r="E6118" s="98"/>
      <c r="F6118" s="102"/>
      <c r="G6118" s="103"/>
    </row>
    <row r="6119" spans="1:7" x14ac:dyDescent="0.25">
      <c r="A6119" s="101"/>
      <c r="B6119" s="36"/>
      <c r="C6119" s="98"/>
      <c r="D6119" s="98"/>
      <c r="E6119" s="98"/>
      <c r="F6119" s="102"/>
      <c r="G6119" s="103"/>
    </row>
    <row r="6120" spans="1:7" x14ac:dyDescent="0.25">
      <c r="A6120" s="101"/>
      <c r="B6120" s="36"/>
      <c r="C6120" s="98"/>
      <c r="D6120" s="98"/>
      <c r="E6120" s="98"/>
      <c r="F6120" s="102"/>
      <c r="G6120" s="103"/>
    </row>
    <row r="6121" spans="1:7" x14ac:dyDescent="0.25">
      <c r="A6121" s="101"/>
      <c r="B6121" s="36"/>
      <c r="C6121" s="98"/>
      <c r="D6121" s="98"/>
      <c r="E6121" s="98"/>
      <c r="F6121" s="102"/>
      <c r="G6121" s="103"/>
    </row>
    <row r="6122" spans="1:7" x14ac:dyDescent="0.25">
      <c r="A6122" s="101"/>
      <c r="B6122" s="36"/>
      <c r="C6122" s="98"/>
      <c r="D6122" s="98"/>
      <c r="E6122" s="98"/>
      <c r="F6122" s="102"/>
      <c r="G6122" s="103"/>
    </row>
    <row r="6123" spans="1:7" x14ac:dyDescent="0.25">
      <c r="A6123" s="101"/>
      <c r="B6123" s="36"/>
      <c r="C6123" s="98"/>
      <c r="D6123" s="98"/>
      <c r="E6123" s="98"/>
      <c r="F6123" s="102"/>
      <c r="G6123" s="103"/>
    </row>
    <row r="6124" spans="1:7" x14ac:dyDescent="0.25">
      <c r="A6124" s="101"/>
      <c r="B6124" s="36"/>
      <c r="C6124" s="98"/>
      <c r="D6124" s="98"/>
      <c r="E6124" s="98"/>
      <c r="F6124" s="102"/>
      <c r="G6124" s="103"/>
    </row>
    <row r="6125" spans="1:7" x14ac:dyDescent="0.25">
      <c r="A6125" s="101"/>
      <c r="B6125" s="36"/>
      <c r="C6125" s="98"/>
      <c r="D6125" s="98"/>
      <c r="E6125" s="98"/>
      <c r="F6125" s="102"/>
      <c r="G6125" s="103"/>
    </row>
    <row r="6126" spans="1:7" x14ac:dyDescent="0.25">
      <c r="A6126" s="101"/>
      <c r="B6126" s="36"/>
      <c r="C6126" s="98"/>
      <c r="D6126" s="98"/>
      <c r="E6126" s="98"/>
      <c r="F6126" s="102"/>
      <c r="G6126" s="103"/>
    </row>
    <row r="6127" spans="1:7" x14ac:dyDescent="0.25">
      <c r="A6127" s="101"/>
      <c r="B6127" s="36"/>
      <c r="C6127" s="98"/>
      <c r="D6127" s="98"/>
      <c r="E6127" s="98"/>
      <c r="F6127" s="102"/>
      <c r="G6127" s="103"/>
    </row>
    <row r="6128" spans="1:7" x14ac:dyDescent="0.25">
      <c r="A6128" s="101"/>
      <c r="B6128" s="36"/>
      <c r="C6128" s="98"/>
      <c r="D6128" s="98"/>
      <c r="E6128" s="98"/>
      <c r="F6128" s="102"/>
      <c r="G6128" s="103"/>
    </row>
    <row r="6129" spans="1:7" x14ac:dyDescent="0.25">
      <c r="A6129" s="101"/>
      <c r="B6129" s="36"/>
      <c r="C6129" s="98"/>
      <c r="D6129" s="98"/>
      <c r="E6129" s="98"/>
      <c r="F6129" s="102"/>
      <c r="G6129" s="103"/>
    </row>
    <row r="6130" spans="1:7" x14ac:dyDescent="0.25">
      <c r="A6130" s="101"/>
      <c r="B6130" s="66"/>
      <c r="C6130" s="98"/>
      <c r="D6130" s="98"/>
      <c r="E6130" s="98"/>
      <c r="F6130" s="102"/>
      <c r="G6130" s="103"/>
    </row>
    <row r="6131" spans="1:7" x14ac:dyDescent="0.25">
      <c r="A6131" s="101"/>
      <c r="B6131" s="66"/>
      <c r="C6131" s="98"/>
      <c r="D6131" s="98"/>
      <c r="E6131" s="98"/>
      <c r="F6131" s="102"/>
      <c r="G6131" s="103"/>
    </row>
    <row r="6132" spans="1:7" x14ac:dyDescent="0.25">
      <c r="A6132" s="101"/>
      <c r="B6132" s="66"/>
      <c r="C6132" s="98"/>
      <c r="D6132" s="98"/>
      <c r="E6132" s="98"/>
      <c r="F6132" s="102"/>
      <c r="G6132" s="103"/>
    </row>
    <row r="6133" spans="1:7" x14ac:dyDescent="0.25">
      <c r="A6133" s="101"/>
      <c r="B6133" s="36"/>
      <c r="C6133" s="98"/>
      <c r="D6133" s="98"/>
      <c r="E6133" s="98"/>
      <c r="F6133" s="102"/>
      <c r="G6133" s="103"/>
    </row>
    <row r="6134" spans="1:7" x14ac:dyDescent="0.25">
      <c r="A6134" s="101"/>
      <c r="B6134" s="36"/>
      <c r="C6134" s="98"/>
      <c r="D6134" s="98"/>
      <c r="E6134" s="98"/>
      <c r="F6134" s="102"/>
      <c r="G6134" s="103"/>
    </row>
    <row r="6135" spans="1:7" x14ac:dyDescent="0.25">
      <c r="A6135" s="101"/>
      <c r="B6135" s="36"/>
      <c r="C6135" s="98"/>
      <c r="D6135" s="98"/>
      <c r="E6135" s="98"/>
      <c r="F6135" s="102"/>
      <c r="G6135" s="103"/>
    </row>
    <row r="6136" spans="1:7" x14ac:dyDescent="0.25">
      <c r="A6136" s="101"/>
      <c r="B6136" s="36"/>
      <c r="C6136" s="98"/>
      <c r="D6136" s="98"/>
      <c r="E6136" s="98"/>
      <c r="F6136" s="102"/>
      <c r="G6136" s="103"/>
    </row>
    <row r="6137" spans="1:7" x14ac:dyDescent="0.25">
      <c r="A6137" s="101"/>
      <c r="B6137" s="36"/>
      <c r="C6137" s="98"/>
      <c r="D6137" s="98"/>
      <c r="E6137" s="98"/>
      <c r="F6137" s="102"/>
      <c r="G6137" s="103"/>
    </row>
    <row r="6138" spans="1:7" x14ac:dyDescent="0.25">
      <c r="A6138" s="101"/>
      <c r="B6138" s="36"/>
      <c r="C6138" s="98"/>
      <c r="D6138" s="98"/>
      <c r="E6138" s="98"/>
      <c r="F6138" s="102"/>
      <c r="G6138" s="103"/>
    </row>
    <row r="6139" spans="1:7" x14ac:dyDescent="0.25">
      <c r="A6139" s="101"/>
      <c r="B6139" s="36"/>
      <c r="C6139" s="98"/>
      <c r="D6139" s="98"/>
      <c r="E6139" s="98"/>
      <c r="F6139" s="102"/>
      <c r="G6139" s="103"/>
    </row>
    <row r="6140" spans="1:7" x14ac:dyDescent="0.25">
      <c r="A6140" s="101"/>
      <c r="B6140" s="36"/>
      <c r="C6140" s="98"/>
      <c r="D6140" s="98"/>
      <c r="E6140" s="98"/>
      <c r="F6140" s="102"/>
      <c r="G6140" s="103"/>
    </row>
    <row r="6141" spans="1:7" x14ac:dyDescent="0.25">
      <c r="A6141" s="101"/>
      <c r="B6141" s="36"/>
      <c r="C6141" s="98"/>
      <c r="D6141" s="98"/>
      <c r="E6141" s="98"/>
      <c r="F6141" s="102"/>
      <c r="G6141" s="103"/>
    </row>
    <row r="6142" spans="1:7" x14ac:dyDescent="0.25">
      <c r="A6142" s="101"/>
      <c r="B6142" s="36"/>
      <c r="C6142" s="98"/>
      <c r="D6142" s="98"/>
      <c r="E6142" s="98"/>
      <c r="F6142" s="102"/>
      <c r="G6142" s="103"/>
    </row>
    <row r="6143" spans="1:7" x14ac:dyDescent="0.25">
      <c r="A6143" s="101"/>
      <c r="B6143" s="36"/>
      <c r="C6143" s="98"/>
      <c r="D6143" s="98"/>
      <c r="E6143" s="98"/>
      <c r="F6143" s="102"/>
      <c r="G6143" s="103"/>
    </row>
    <row r="6144" spans="1:7" x14ac:dyDescent="0.25">
      <c r="A6144" s="101"/>
      <c r="B6144" s="36"/>
      <c r="C6144" s="98"/>
      <c r="D6144" s="98"/>
      <c r="E6144" s="98"/>
      <c r="F6144" s="102"/>
      <c r="G6144" s="103"/>
    </row>
    <row r="6145" spans="1:7" x14ac:dyDescent="0.25">
      <c r="A6145" s="101"/>
      <c r="B6145" s="36"/>
      <c r="C6145" s="98"/>
      <c r="D6145" s="98"/>
      <c r="E6145" s="98"/>
      <c r="F6145" s="102"/>
      <c r="G6145" s="103"/>
    </row>
    <row r="6146" spans="1:7" x14ac:dyDescent="0.25">
      <c r="A6146" s="101"/>
      <c r="B6146" s="36"/>
      <c r="C6146" s="98"/>
      <c r="D6146" s="98"/>
      <c r="E6146" s="98"/>
      <c r="F6146" s="102"/>
      <c r="G6146" s="103"/>
    </row>
    <row r="6147" spans="1:7" x14ac:dyDescent="0.25">
      <c r="A6147" s="101"/>
      <c r="B6147" s="36"/>
      <c r="C6147" s="98"/>
      <c r="D6147" s="98"/>
      <c r="E6147" s="98"/>
      <c r="F6147" s="102"/>
      <c r="G6147" s="103"/>
    </row>
    <row r="6148" spans="1:7" x14ac:dyDescent="0.25">
      <c r="A6148" s="101"/>
      <c r="B6148" s="36"/>
      <c r="C6148" s="98"/>
      <c r="D6148" s="98"/>
      <c r="E6148" s="98"/>
      <c r="F6148" s="102"/>
      <c r="G6148" s="103"/>
    </row>
    <row r="6149" spans="1:7" x14ac:dyDescent="0.25">
      <c r="A6149" s="101"/>
      <c r="B6149" s="36"/>
      <c r="C6149" s="98"/>
      <c r="D6149" s="98"/>
      <c r="E6149" s="98"/>
      <c r="F6149" s="102"/>
      <c r="G6149" s="103"/>
    </row>
    <row r="6150" spans="1:7" x14ac:dyDescent="0.25">
      <c r="A6150" s="101"/>
      <c r="B6150" s="36"/>
      <c r="C6150" s="98"/>
      <c r="D6150" s="98"/>
      <c r="E6150" s="98"/>
      <c r="F6150" s="102"/>
      <c r="G6150" s="103"/>
    </row>
    <row r="6151" spans="1:7" x14ac:dyDescent="0.25">
      <c r="A6151" s="101"/>
      <c r="B6151" s="36"/>
      <c r="C6151" s="98"/>
      <c r="D6151" s="98"/>
      <c r="E6151" s="98"/>
      <c r="F6151" s="102"/>
      <c r="G6151" s="103"/>
    </row>
    <row r="6152" spans="1:7" x14ac:dyDescent="0.25">
      <c r="A6152" s="101"/>
      <c r="B6152" s="36"/>
      <c r="C6152" s="98"/>
      <c r="D6152" s="98"/>
      <c r="E6152" s="98"/>
      <c r="F6152" s="102"/>
      <c r="G6152" s="103"/>
    </row>
    <row r="6153" spans="1:7" x14ac:dyDescent="0.25">
      <c r="A6153" s="101"/>
      <c r="B6153" s="66"/>
      <c r="C6153" s="98"/>
      <c r="D6153" s="98"/>
      <c r="E6153" s="98"/>
      <c r="F6153" s="102"/>
      <c r="G6153" s="103"/>
    </row>
    <row r="6154" spans="1:7" x14ac:dyDescent="0.25">
      <c r="A6154" s="101"/>
      <c r="B6154" s="66"/>
      <c r="C6154" s="98"/>
      <c r="D6154" s="98"/>
      <c r="E6154" s="98"/>
      <c r="F6154" s="102"/>
      <c r="G6154" s="103"/>
    </row>
    <row r="6155" spans="1:7" x14ac:dyDescent="0.25">
      <c r="A6155" s="101"/>
      <c r="B6155" s="66"/>
      <c r="C6155" s="98"/>
      <c r="D6155" s="98"/>
      <c r="E6155" s="98"/>
      <c r="F6155" s="102"/>
      <c r="G6155" s="103"/>
    </row>
    <row r="6156" spans="1:7" x14ac:dyDescent="0.25">
      <c r="A6156" s="101"/>
      <c r="B6156" s="36"/>
      <c r="C6156" s="98"/>
      <c r="D6156" s="98"/>
      <c r="E6156" s="98"/>
      <c r="F6156" s="102"/>
      <c r="G6156" s="103"/>
    </row>
    <row r="6157" spans="1:7" x14ac:dyDescent="0.25">
      <c r="A6157" s="101"/>
      <c r="B6157" s="36"/>
      <c r="C6157" s="98"/>
      <c r="D6157" s="98"/>
      <c r="E6157" s="98"/>
      <c r="F6157" s="102"/>
      <c r="G6157" s="103"/>
    </row>
    <row r="6158" spans="1:7" x14ac:dyDescent="0.25">
      <c r="A6158" s="101"/>
      <c r="B6158" s="36"/>
      <c r="C6158" s="98"/>
      <c r="D6158" s="98"/>
      <c r="E6158" s="98"/>
      <c r="F6158" s="102"/>
      <c r="G6158" s="103"/>
    </row>
    <row r="6159" spans="1:7" x14ac:dyDescent="0.25">
      <c r="A6159" s="101"/>
      <c r="B6159" s="36"/>
      <c r="C6159" s="98"/>
      <c r="D6159" s="98"/>
      <c r="E6159" s="98"/>
      <c r="F6159" s="102"/>
      <c r="G6159" s="103"/>
    </row>
    <row r="6160" spans="1:7" x14ac:dyDescent="0.25">
      <c r="A6160" s="101"/>
      <c r="B6160" s="36"/>
      <c r="C6160" s="98"/>
      <c r="D6160" s="98"/>
      <c r="E6160" s="98"/>
      <c r="F6160" s="102"/>
      <c r="G6160" s="103"/>
    </row>
    <row r="6161" spans="1:7" x14ac:dyDescent="0.25">
      <c r="A6161" s="101"/>
      <c r="B6161" s="36"/>
      <c r="C6161" s="98"/>
      <c r="D6161" s="98"/>
      <c r="E6161" s="98"/>
      <c r="F6161" s="102"/>
      <c r="G6161" s="103"/>
    </row>
    <row r="6162" spans="1:7" x14ac:dyDescent="0.25">
      <c r="A6162" s="101"/>
      <c r="B6162" s="36"/>
      <c r="C6162" s="98"/>
      <c r="D6162" s="98"/>
      <c r="E6162" s="98"/>
      <c r="F6162" s="102"/>
      <c r="G6162" s="103"/>
    </row>
    <row r="6163" spans="1:7" x14ac:dyDescent="0.25">
      <c r="A6163" s="101"/>
      <c r="B6163" s="36"/>
      <c r="C6163" s="98"/>
      <c r="D6163" s="98"/>
      <c r="E6163" s="98"/>
      <c r="F6163" s="102"/>
      <c r="G6163" s="103"/>
    </row>
    <row r="6164" spans="1:7" x14ac:dyDescent="0.25">
      <c r="A6164" s="101"/>
      <c r="B6164" s="36"/>
      <c r="C6164" s="98"/>
      <c r="D6164" s="98"/>
      <c r="E6164" s="98"/>
      <c r="F6164" s="102"/>
      <c r="G6164" s="103"/>
    </row>
    <row r="6165" spans="1:7" x14ac:dyDescent="0.25">
      <c r="A6165" s="101"/>
      <c r="B6165" s="36"/>
      <c r="C6165" s="98"/>
      <c r="D6165" s="98"/>
      <c r="E6165" s="98"/>
      <c r="F6165" s="102"/>
      <c r="G6165" s="103"/>
    </row>
    <row r="6166" spans="1:7" x14ac:dyDescent="0.25">
      <c r="A6166" s="101"/>
      <c r="B6166" s="36"/>
      <c r="C6166" s="98"/>
      <c r="D6166" s="98"/>
      <c r="E6166" s="98"/>
      <c r="F6166" s="102"/>
      <c r="G6166" s="103"/>
    </row>
    <row r="6167" spans="1:7" x14ac:dyDescent="0.25">
      <c r="A6167" s="101"/>
      <c r="B6167" s="36"/>
      <c r="C6167" s="98"/>
      <c r="D6167" s="98"/>
      <c r="E6167" s="98"/>
      <c r="F6167" s="102"/>
      <c r="G6167" s="103"/>
    </row>
    <row r="6168" spans="1:7" x14ac:dyDescent="0.25">
      <c r="A6168" s="101"/>
      <c r="B6168" s="36"/>
      <c r="C6168" s="98"/>
      <c r="D6168" s="98"/>
      <c r="E6168" s="98"/>
      <c r="F6168" s="102"/>
      <c r="G6168" s="103"/>
    </row>
    <row r="6169" spans="1:7" x14ac:dyDescent="0.25">
      <c r="A6169" s="101"/>
      <c r="B6169" s="36"/>
      <c r="C6169" s="98"/>
      <c r="D6169" s="98"/>
      <c r="E6169" s="98"/>
      <c r="F6169" s="102"/>
      <c r="G6169" s="103"/>
    </row>
    <row r="6170" spans="1:7" x14ac:dyDescent="0.25">
      <c r="A6170" s="101"/>
      <c r="B6170" s="36"/>
      <c r="C6170" s="98"/>
      <c r="D6170" s="98"/>
      <c r="E6170" s="98"/>
      <c r="F6170" s="102"/>
      <c r="G6170" s="103"/>
    </row>
    <row r="6171" spans="1:7" x14ac:dyDescent="0.25">
      <c r="A6171" s="101"/>
      <c r="B6171" s="36"/>
      <c r="C6171" s="98"/>
      <c r="D6171" s="98"/>
      <c r="E6171" s="98"/>
      <c r="F6171" s="102"/>
      <c r="G6171" s="103"/>
    </row>
    <row r="6172" spans="1:7" x14ac:dyDescent="0.25">
      <c r="A6172" s="101"/>
      <c r="B6172" s="36"/>
      <c r="C6172" s="98"/>
      <c r="D6172" s="98"/>
      <c r="E6172" s="98"/>
      <c r="F6172" s="102"/>
      <c r="G6172" s="103"/>
    </row>
    <row r="6173" spans="1:7" x14ac:dyDescent="0.25">
      <c r="A6173" s="101"/>
      <c r="B6173" s="36"/>
      <c r="C6173" s="98"/>
      <c r="D6173" s="98"/>
      <c r="E6173" s="98"/>
      <c r="F6173" s="102"/>
      <c r="G6173" s="103"/>
    </row>
    <row r="6174" spans="1:7" x14ac:dyDescent="0.25">
      <c r="A6174" s="101"/>
      <c r="B6174" s="36"/>
      <c r="C6174" s="98"/>
      <c r="D6174" s="98"/>
      <c r="E6174" s="98"/>
      <c r="F6174" s="102"/>
      <c r="G6174" s="103"/>
    </row>
    <row r="6175" spans="1:7" x14ac:dyDescent="0.25">
      <c r="A6175" s="101"/>
      <c r="B6175" s="36"/>
      <c r="C6175" s="98"/>
      <c r="D6175" s="98"/>
      <c r="E6175" s="98"/>
      <c r="F6175" s="102"/>
      <c r="G6175" s="103"/>
    </row>
    <row r="6176" spans="1:7" x14ac:dyDescent="0.25">
      <c r="A6176" s="101"/>
      <c r="B6176" s="36"/>
      <c r="C6176" s="98"/>
      <c r="D6176" s="98"/>
      <c r="E6176" s="98"/>
      <c r="F6176" s="102"/>
      <c r="G6176" s="103"/>
    </row>
    <row r="6177" spans="1:7" x14ac:dyDescent="0.25">
      <c r="A6177" s="101"/>
      <c r="B6177" s="36"/>
      <c r="C6177" s="98"/>
      <c r="D6177" s="98"/>
      <c r="E6177" s="98"/>
      <c r="F6177" s="102"/>
      <c r="G6177" s="103"/>
    </row>
    <row r="6178" spans="1:7" x14ac:dyDescent="0.25">
      <c r="A6178" s="101"/>
      <c r="B6178" s="36"/>
      <c r="C6178" s="98"/>
      <c r="D6178" s="98"/>
      <c r="E6178" s="98"/>
      <c r="F6178" s="102"/>
      <c r="G6178" s="103"/>
    </row>
    <row r="6179" spans="1:7" x14ac:dyDescent="0.25">
      <c r="A6179" s="101"/>
      <c r="B6179" s="36"/>
      <c r="C6179" s="98"/>
      <c r="D6179" s="98"/>
      <c r="E6179" s="98"/>
      <c r="F6179" s="102"/>
      <c r="G6179" s="103"/>
    </row>
    <row r="6180" spans="1:7" x14ac:dyDescent="0.25">
      <c r="A6180" s="101"/>
      <c r="B6180" s="36"/>
      <c r="C6180" s="98"/>
      <c r="D6180" s="98"/>
      <c r="E6180" s="98"/>
      <c r="F6180" s="102"/>
      <c r="G6180" s="103"/>
    </row>
    <row r="6181" spans="1:7" x14ac:dyDescent="0.25">
      <c r="A6181" s="101"/>
      <c r="B6181" s="36"/>
      <c r="C6181" s="98"/>
      <c r="D6181" s="98"/>
      <c r="E6181" s="98"/>
      <c r="F6181" s="102"/>
      <c r="G6181" s="103"/>
    </row>
    <row r="6182" spans="1:7" x14ac:dyDescent="0.25">
      <c r="A6182" s="101"/>
      <c r="B6182" s="36"/>
      <c r="C6182" s="98"/>
      <c r="D6182" s="98"/>
      <c r="E6182" s="98"/>
      <c r="F6182" s="102"/>
      <c r="G6182" s="103"/>
    </row>
    <row r="6183" spans="1:7" x14ac:dyDescent="0.25">
      <c r="A6183" s="101"/>
      <c r="B6183" s="36"/>
      <c r="C6183" s="98"/>
      <c r="D6183" s="98"/>
      <c r="E6183" s="98"/>
      <c r="F6183" s="102"/>
      <c r="G6183" s="103"/>
    </row>
    <row r="6184" spans="1:7" x14ac:dyDescent="0.25">
      <c r="A6184" s="101"/>
      <c r="B6184" s="66"/>
      <c r="C6184" s="98"/>
      <c r="D6184" s="98"/>
      <c r="E6184" s="98"/>
      <c r="F6184" s="102"/>
      <c r="G6184" s="103"/>
    </row>
    <row r="6185" spans="1:7" x14ac:dyDescent="0.25">
      <c r="A6185" s="101"/>
      <c r="B6185" s="66"/>
      <c r="C6185" s="98"/>
      <c r="D6185" s="98"/>
      <c r="E6185" s="98"/>
      <c r="F6185" s="102"/>
      <c r="G6185" s="103"/>
    </row>
    <row r="6186" spans="1:7" x14ac:dyDescent="0.25">
      <c r="A6186" s="101"/>
      <c r="B6186" s="66"/>
      <c r="C6186" s="98"/>
      <c r="D6186" s="98"/>
      <c r="E6186" s="98"/>
      <c r="F6186" s="102"/>
      <c r="G6186" s="103"/>
    </row>
    <row r="6187" spans="1:7" x14ac:dyDescent="0.25">
      <c r="A6187" s="101"/>
      <c r="B6187" s="66"/>
      <c r="C6187" s="98"/>
      <c r="D6187" s="98"/>
      <c r="E6187" s="98"/>
      <c r="F6187" s="102"/>
      <c r="G6187" s="103"/>
    </row>
    <row r="6188" spans="1:7" x14ac:dyDescent="0.25">
      <c r="A6188" s="101"/>
      <c r="B6188" s="36"/>
      <c r="C6188" s="98"/>
      <c r="D6188" s="98"/>
      <c r="E6188" s="98"/>
      <c r="F6188" s="102"/>
      <c r="G6188" s="103"/>
    </row>
    <row r="6189" spans="1:7" x14ac:dyDescent="0.25">
      <c r="A6189" s="101"/>
      <c r="B6189" s="36"/>
      <c r="C6189" s="98"/>
      <c r="D6189" s="98"/>
      <c r="E6189" s="98"/>
      <c r="F6189" s="102"/>
      <c r="G6189" s="103"/>
    </row>
    <row r="6190" spans="1:7" x14ac:dyDescent="0.25">
      <c r="A6190" s="101"/>
      <c r="B6190" s="36"/>
      <c r="C6190" s="98"/>
      <c r="D6190" s="98"/>
      <c r="E6190" s="98"/>
      <c r="F6190" s="102"/>
      <c r="G6190" s="103"/>
    </row>
    <row r="6191" spans="1:7" x14ac:dyDescent="0.25">
      <c r="A6191" s="101"/>
      <c r="B6191" s="36"/>
      <c r="C6191" s="98"/>
      <c r="D6191" s="98"/>
      <c r="E6191" s="98"/>
      <c r="F6191" s="102"/>
      <c r="G6191" s="103"/>
    </row>
    <row r="6192" spans="1:7" x14ac:dyDescent="0.25">
      <c r="A6192" s="101"/>
      <c r="B6192" s="36"/>
      <c r="C6192" s="98"/>
      <c r="D6192" s="98"/>
      <c r="E6192" s="98"/>
      <c r="F6192" s="102"/>
      <c r="G6192" s="103"/>
    </row>
    <row r="6193" spans="1:7" x14ac:dyDescent="0.25">
      <c r="A6193" s="101"/>
      <c r="B6193" s="36"/>
      <c r="C6193" s="98"/>
      <c r="D6193" s="98"/>
      <c r="E6193" s="98"/>
      <c r="F6193" s="102"/>
      <c r="G6193" s="103"/>
    </row>
    <row r="6194" spans="1:7" x14ac:dyDescent="0.25">
      <c r="A6194" s="101"/>
      <c r="B6194" s="36"/>
      <c r="C6194" s="98"/>
      <c r="D6194" s="98"/>
      <c r="E6194" s="98"/>
      <c r="F6194" s="102"/>
      <c r="G6194" s="103"/>
    </row>
    <row r="6195" spans="1:7" x14ac:dyDescent="0.25">
      <c r="A6195" s="101"/>
      <c r="B6195" s="36"/>
      <c r="C6195" s="98"/>
      <c r="D6195" s="98"/>
      <c r="E6195" s="98"/>
      <c r="F6195" s="102"/>
      <c r="G6195" s="103"/>
    </row>
    <row r="6196" spans="1:7" x14ac:dyDescent="0.25">
      <c r="A6196" s="101"/>
      <c r="B6196" s="36"/>
      <c r="C6196" s="98"/>
      <c r="D6196" s="98"/>
      <c r="E6196" s="98"/>
      <c r="F6196" s="102"/>
      <c r="G6196" s="103"/>
    </row>
    <row r="6197" spans="1:7" x14ac:dyDescent="0.25">
      <c r="A6197" s="101"/>
      <c r="B6197" s="36"/>
      <c r="C6197" s="98"/>
      <c r="D6197" s="98"/>
      <c r="E6197" s="98"/>
      <c r="F6197" s="102"/>
      <c r="G6197" s="103"/>
    </row>
    <row r="6198" spans="1:7" x14ac:dyDescent="0.25">
      <c r="A6198" s="101"/>
      <c r="B6198" s="36"/>
      <c r="C6198" s="98"/>
      <c r="D6198" s="98"/>
      <c r="E6198" s="98"/>
      <c r="F6198" s="102"/>
      <c r="G6198" s="103"/>
    </row>
    <row r="6199" spans="1:7" x14ac:dyDescent="0.25">
      <c r="A6199" s="101"/>
      <c r="B6199" s="36"/>
      <c r="C6199" s="98"/>
      <c r="D6199" s="98"/>
      <c r="E6199" s="98"/>
      <c r="F6199" s="102"/>
      <c r="G6199" s="103"/>
    </row>
    <row r="6200" spans="1:7" x14ac:dyDescent="0.25">
      <c r="A6200" s="101"/>
      <c r="B6200" s="36"/>
      <c r="C6200" s="98"/>
      <c r="D6200" s="98"/>
      <c r="E6200" s="98"/>
      <c r="F6200" s="102"/>
      <c r="G6200" s="103"/>
    </row>
    <row r="6201" spans="1:7" x14ac:dyDescent="0.25">
      <c r="A6201" s="101"/>
      <c r="B6201" s="36"/>
      <c r="C6201" s="98"/>
      <c r="D6201" s="98"/>
      <c r="E6201" s="98"/>
      <c r="F6201" s="102"/>
      <c r="G6201" s="103"/>
    </row>
    <row r="6202" spans="1:7" x14ac:dyDescent="0.25">
      <c r="A6202" s="101"/>
      <c r="B6202" s="36"/>
      <c r="C6202" s="98"/>
      <c r="D6202" s="98"/>
      <c r="E6202" s="98"/>
      <c r="F6202" s="102"/>
      <c r="G6202" s="103"/>
    </row>
    <row r="6203" spans="1:7" x14ac:dyDescent="0.25">
      <c r="A6203" s="101"/>
      <c r="B6203" s="36"/>
      <c r="C6203" s="98"/>
      <c r="D6203" s="98"/>
      <c r="E6203" s="98"/>
      <c r="F6203" s="102"/>
      <c r="G6203" s="103"/>
    </row>
    <row r="6204" spans="1:7" x14ac:dyDescent="0.25">
      <c r="A6204" s="101"/>
      <c r="B6204" s="36"/>
      <c r="C6204" s="98"/>
      <c r="D6204" s="98"/>
      <c r="E6204" s="98"/>
      <c r="F6204" s="102"/>
      <c r="G6204" s="103"/>
    </row>
    <row r="6205" spans="1:7" x14ac:dyDescent="0.25">
      <c r="A6205" s="101"/>
      <c r="B6205" s="36"/>
      <c r="C6205" s="98"/>
      <c r="D6205" s="98"/>
      <c r="E6205" s="98"/>
      <c r="F6205" s="102"/>
      <c r="G6205" s="103"/>
    </row>
    <row r="6206" spans="1:7" x14ac:dyDescent="0.25">
      <c r="A6206" s="101"/>
      <c r="B6206" s="36"/>
      <c r="C6206" s="98"/>
      <c r="D6206" s="98"/>
      <c r="E6206" s="98"/>
      <c r="F6206" s="102"/>
      <c r="G6206" s="103"/>
    </row>
    <row r="6207" spans="1:7" x14ac:dyDescent="0.25">
      <c r="A6207" s="101"/>
      <c r="B6207" s="36"/>
      <c r="C6207" s="98"/>
      <c r="D6207" s="98"/>
      <c r="E6207" s="98"/>
      <c r="F6207" s="102"/>
      <c r="G6207" s="103"/>
    </row>
    <row r="6208" spans="1:7" x14ac:dyDescent="0.25">
      <c r="A6208" s="101"/>
      <c r="B6208" s="36"/>
      <c r="C6208" s="98"/>
      <c r="D6208" s="98"/>
      <c r="E6208" s="98"/>
      <c r="F6208" s="102"/>
      <c r="G6208" s="103"/>
    </row>
    <row r="6209" spans="1:7" x14ac:dyDescent="0.25">
      <c r="A6209" s="101"/>
      <c r="B6209" s="36"/>
      <c r="C6209" s="98"/>
      <c r="D6209" s="98"/>
      <c r="E6209" s="98"/>
      <c r="F6209" s="102"/>
      <c r="G6209" s="103"/>
    </row>
    <row r="6210" spans="1:7" x14ac:dyDescent="0.25">
      <c r="A6210" s="101"/>
      <c r="B6210" s="66"/>
      <c r="C6210" s="98"/>
      <c r="D6210" s="98"/>
      <c r="E6210" s="98"/>
      <c r="F6210" s="102"/>
      <c r="G6210" s="103"/>
    </row>
    <row r="6211" spans="1:7" x14ac:dyDescent="0.25">
      <c r="A6211" s="101"/>
      <c r="B6211" s="66"/>
      <c r="C6211" s="98"/>
      <c r="D6211" s="98"/>
      <c r="E6211" s="98"/>
      <c r="F6211" s="102"/>
      <c r="G6211" s="103"/>
    </row>
    <row r="6212" spans="1:7" x14ac:dyDescent="0.25">
      <c r="A6212" s="101"/>
      <c r="B6212" s="36"/>
      <c r="C6212" s="98"/>
      <c r="D6212" s="98"/>
      <c r="E6212" s="98"/>
      <c r="F6212" s="102"/>
      <c r="G6212" s="103"/>
    </row>
    <row r="6213" spans="1:7" x14ac:dyDescent="0.25">
      <c r="A6213" s="101"/>
      <c r="B6213" s="36"/>
      <c r="C6213" s="98"/>
      <c r="D6213" s="98"/>
      <c r="E6213" s="98"/>
      <c r="F6213" s="102"/>
      <c r="G6213" s="103"/>
    </row>
    <row r="6214" spans="1:7" x14ac:dyDescent="0.25">
      <c r="A6214" s="101"/>
      <c r="B6214" s="36"/>
      <c r="C6214" s="98"/>
      <c r="D6214" s="98"/>
      <c r="E6214" s="98"/>
      <c r="F6214" s="102"/>
      <c r="G6214" s="103"/>
    </row>
    <row r="6215" spans="1:7" x14ac:dyDescent="0.25">
      <c r="A6215" s="101"/>
      <c r="B6215" s="36"/>
      <c r="C6215" s="98"/>
      <c r="D6215" s="98"/>
      <c r="E6215" s="98"/>
      <c r="F6215" s="102"/>
      <c r="G6215" s="103"/>
    </row>
    <row r="6216" spans="1:7" x14ac:dyDescent="0.25">
      <c r="A6216" s="101"/>
      <c r="B6216" s="36"/>
      <c r="C6216" s="98"/>
      <c r="D6216" s="98"/>
      <c r="E6216" s="98"/>
      <c r="F6216" s="102"/>
      <c r="G6216" s="103"/>
    </row>
    <row r="6217" spans="1:7" x14ac:dyDescent="0.25">
      <c r="A6217" s="101"/>
      <c r="B6217" s="36"/>
      <c r="C6217" s="98"/>
      <c r="D6217" s="98"/>
      <c r="E6217" s="98"/>
      <c r="F6217" s="102"/>
      <c r="G6217" s="103"/>
    </row>
    <row r="6218" spans="1:7" x14ac:dyDescent="0.25">
      <c r="A6218" s="101"/>
      <c r="B6218" s="36"/>
      <c r="C6218" s="98"/>
      <c r="D6218" s="98"/>
      <c r="E6218" s="98"/>
      <c r="F6218" s="102"/>
      <c r="G6218" s="103"/>
    </row>
    <row r="6219" spans="1:7" x14ac:dyDescent="0.25">
      <c r="A6219" s="101"/>
      <c r="B6219" s="36"/>
      <c r="C6219" s="98"/>
      <c r="D6219" s="98"/>
      <c r="E6219" s="98"/>
      <c r="F6219" s="102"/>
      <c r="G6219" s="103"/>
    </row>
    <row r="6220" spans="1:7" x14ac:dyDescent="0.25">
      <c r="A6220" s="101"/>
      <c r="B6220" s="36"/>
      <c r="C6220" s="98"/>
      <c r="D6220" s="98"/>
      <c r="E6220" s="98"/>
      <c r="F6220" s="102"/>
      <c r="G6220" s="103"/>
    </row>
    <row r="6221" spans="1:7" x14ac:dyDescent="0.25">
      <c r="A6221" s="101"/>
      <c r="B6221" s="36"/>
      <c r="C6221" s="98"/>
      <c r="D6221" s="98"/>
      <c r="E6221" s="98"/>
      <c r="F6221" s="102"/>
      <c r="G6221" s="103"/>
    </row>
    <row r="6222" spans="1:7" x14ac:dyDescent="0.25">
      <c r="A6222" s="101"/>
      <c r="B6222" s="36"/>
      <c r="C6222" s="98"/>
      <c r="D6222" s="98"/>
      <c r="E6222" s="98"/>
      <c r="F6222" s="102"/>
      <c r="G6222" s="103"/>
    </row>
    <row r="6223" spans="1:7" x14ac:dyDescent="0.25">
      <c r="A6223" s="101"/>
      <c r="B6223" s="36"/>
      <c r="C6223" s="98"/>
      <c r="D6223" s="98"/>
      <c r="E6223" s="98"/>
      <c r="F6223" s="102"/>
      <c r="G6223" s="103"/>
    </row>
    <row r="6224" spans="1:7" x14ac:dyDescent="0.25">
      <c r="A6224" s="101"/>
      <c r="B6224" s="36"/>
      <c r="C6224" s="98"/>
      <c r="D6224" s="98"/>
      <c r="E6224" s="98"/>
      <c r="F6224" s="102"/>
      <c r="G6224" s="103"/>
    </row>
    <row r="6225" spans="1:7" x14ac:dyDescent="0.25">
      <c r="A6225" s="101"/>
      <c r="B6225" s="66"/>
      <c r="C6225" s="98"/>
      <c r="D6225" s="98"/>
      <c r="E6225" s="98"/>
      <c r="F6225" s="102"/>
      <c r="G6225" s="103"/>
    </row>
    <row r="6226" spans="1:7" x14ac:dyDescent="0.25">
      <c r="A6226" s="101"/>
      <c r="B6226" s="36"/>
      <c r="C6226" s="98"/>
      <c r="D6226" s="98"/>
      <c r="E6226" s="98"/>
      <c r="F6226" s="102"/>
      <c r="G6226" s="103"/>
    </row>
    <row r="6227" spans="1:7" x14ac:dyDescent="0.25">
      <c r="A6227" s="101"/>
      <c r="B6227" s="36"/>
      <c r="C6227" s="98"/>
      <c r="D6227" s="98"/>
      <c r="E6227" s="98"/>
      <c r="F6227" s="102"/>
      <c r="G6227" s="103"/>
    </row>
    <row r="6228" spans="1:7" x14ac:dyDescent="0.25">
      <c r="A6228" s="101"/>
      <c r="B6228" s="36"/>
      <c r="C6228" s="98"/>
      <c r="D6228" s="98"/>
      <c r="E6228" s="98"/>
      <c r="F6228" s="102"/>
      <c r="G6228" s="103"/>
    </row>
    <row r="6229" spans="1:7" x14ac:dyDescent="0.25">
      <c r="A6229" s="101"/>
      <c r="B6229" s="36"/>
      <c r="C6229" s="98"/>
      <c r="D6229" s="98"/>
      <c r="E6229" s="98"/>
      <c r="F6229" s="102"/>
      <c r="G6229" s="103"/>
    </row>
    <row r="6230" spans="1:7" x14ac:dyDescent="0.25">
      <c r="A6230" s="101"/>
      <c r="B6230" s="36"/>
      <c r="C6230" s="98"/>
      <c r="D6230" s="98"/>
      <c r="E6230" s="98"/>
      <c r="F6230" s="102"/>
      <c r="G6230" s="103"/>
    </row>
    <row r="6231" spans="1:7" x14ac:dyDescent="0.25">
      <c r="A6231" s="101"/>
      <c r="B6231" s="36"/>
      <c r="C6231" s="98"/>
      <c r="D6231" s="98"/>
      <c r="E6231" s="98"/>
      <c r="F6231" s="102"/>
      <c r="G6231" s="103"/>
    </row>
    <row r="6232" spans="1:7" x14ac:dyDescent="0.25">
      <c r="A6232" s="101"/>
      <c r="B6232" s="36"/>
      <c r="C6232" s="98"/>
      <c r="D6232" s="98"/>
      <c r="E6232" s="98"/>
      <c r="F6232" s="102"/>
      <c r="G6232" s="103"/>
    </row>
    <row r="6233" spans="1:7" x14ac:dyDescent="0.25">
      <c r="A6233" s="101"/>
      <c r="B6233" s="36"/>
      <c r="C6233" s="98"/>
      <c r="D6233" s="98"/>
      <c r="E6233" s="98"/>
      <c r="F6233" s="102"/>
      <c r="G6233" s="103"/>
    </row>
    <row r="6234" spans="1:7" x14ac:dyDescent="0.25">
      <c r="A6234" s="101"/>
      <c r="B6234" s="67"/>
      <c r="C6234" s="98"/>
      <c r="D6234" s="98"/>
      <c r="E6234" s="98"/>
      <c r="F6234" s="102"/>
      <c r="G6234" s="103"/>
    </row>
    <row r="6235" spans="1:7" x14ac:dyDescent="0.25">
      <c r="A6235" s="101"/>
      <c r="B6235" s="36"/>
      <c r="C6235" s="98"/>
      <c r="D6235" s="98"/>
      <c r="E6235" s="98"/>
      <c r="F6235" s="102"/>
      <c r="G6235" s="103"/>
    </row>
    <row r="6236" spans="1:7" x14ac:dyDescent="0.25">
      <c r="A6236" s="101"/>
      <c r="B6236" s="36"/>
      <c r="C6236" s="98"/>
      <c r="D6236" s="98"/>
      <c r="E6236" s="98"/>
      <c r="F6236" s="102"/>
      <c r="G6236" s="103"/>
    </row>
    <row r="6237" spans="1:7" x14ac:dyDescent="0.25">
      <c r="A6237" s="101"/>
      <c r="B6237" s="36"/>
      <c r="C6237" s="98"/>
      <c r="D6237" s="98"/>
      <c r="E6237" s="98"/>
      <c r="F6237" s="102"/>
      <c r="G6237" s="103"/>
    </row>
    <row r="6238" spans="1:7" x14ac:dyDescent="0.25">
      <c r="A6238" s="101"/>
      <c r="B6238" s="36"/>
      <c r="C6238" s="98"/>
      <c r="D6238" s="98"/>
      <c r="E6238" s="98"/>
      <c r="F6238" s="102"/>
      <c r="G6238" s="103"/>
    </row>
    <row r="6239" spans="1:7" x14ac:dyDescent="0.25">
      <c r="A6239" s="101"/>
      <c r="B6239" s="36"/>
      <c r="C6239" s="98"/>
      <c r="D6239" s="98"/>
      <c r="E6239" s="98"/>
      <c r="F6239" s="102"/>
      <c r="G6239" s="103"/>
    </row>
    <row r="6240" spans="1:7" x14ac:dyDescent="0.25">
      <c r="A6240" s="101"/>
      <c r="B6240" s="66"/>
      <c r="C6240" s="98"/>
      <c r="D6240" s="98"/>
      <c r="E6240" s="98"/>
      <c r="F6240" s="102"/>
      <c r="G6240" s="103"/>
    </row>
    <row r="6241" spans="1:7" x14ac:dyDescent="0.25">
      <c r="A6241" s="101"/>
      <c r="B6241" s="66"/>
      <c r="C6241" s="98"/>
      <c r="D6241" s="98"/>
      <c r="E6241" s="98"/>
      <c r="F6241" s="102"/>
      <c r="G6241" s="103"/>
    </row>
    <row r="6242" spans="1:7" x14ac:dyDescent="0.25">
      <c r="A6242" s="101"/>
      <c r="B6242" s="66"/>
      <c r="C6242" s="98"/>
      <c r="D6242" s="98"/>
      <c r="E6242" s="98"/>
      <c r="F6242" s="102"/>
      <c r="G6242" s="103"/>
    </row>
    <row r="6243" spans="1:7" x14ac:dyDescent="0.25">
      <c r="A6243" s="101"/>
      <c r="B6243" s="66"/>
      <c r="C6243" s="98"/>
      <c r="D6243" s="98"/>
      <c r="E6243" s="98"/>
      <c r="F6243" s="102"/>
      <c r="G6243" s="103"/>
    </row>
    <row r="6244" spans="1:7" x14ac:dyDescent="0.25">
      <c r="A6244" s="101"/>
      <c r="B6244" s="36"/>
      <c r="C6244" s="98"/>
      <c r="D6244" s="98"/>
      <c r="E6244" s="98"/>
      <c r="F6244" s="102"/>
      <c r="G6244" s="103"/>
    </row>
    <row r="6245" spans="1:7" x14ac:dyDescent="0.25">
      <c r="A6245" s="101"/>
      <c r="B6245" s="36"/>
      <c r="C6245" s="98"/>
      <c r="D6245" s="98"/>
      <c r="E6245" s="98"/>
      <c r="F6245" s="102"/>
      <c r="G6245" s="103"/>
    </row>
    <row r="6246" spans="1:7" x14ac:dyDescent="0.25">
      <c r="A6246" s="101"/>
      <c r="B6246" s="36"/>
      <c r="C6246" s="98"/>
      <c r="D6246" s="98"/>
      <c r="E6246" s="98"/>
      <c r="F6246" s="102"/>
      <c r="G6246" s="103"/>
    </row>
    <row r="6247" spans="1:7" x14ac:dyDescent="0.25">
      <c r="A6247" s="101"/>
      <c r="B6247" s="36"/>
      <c r="C6247" s="98"/>
      <c r="D6247" s="98"/>
      <c r="E6247" s="98"/>
      <c r="F6247" s="102"/>
      <c r="G6247" s="103"/>
    </row>
    <row r="6248" spans="1:7" x14ac:dyDescent="0.25">
      <c r="A6248" s="101"/>
      <c r="B6248" s="36"/>
      <c r="C6248" s="98"/>
      <c r="D6248" s="98"/>
      <c r="E6248" s="98"/>
      <c r="F6248" s="102"/>
      <c r="G6248" s="103"/>
    </row>
    <row r="6249" spans="1:7" x14ac:dyDescent="0.25">
      <c r="A6249" s="101"/>
      <c r="B6249" s="36"/>
      <c r="C6249" s="98"/>
      <c r="D6249" s="98"/>
      <c r="E6249" s="98"/>
      <c r="F6249" s="102"/>
      <c r="G6249" s="103"/>
    </row>
    <row r="6250" spans="1:7" x14ac:dyDescent="0.25">
      <c r="A6250" s="101"/>
      <c r="B6250" s="36"/>
      <c r="C6250" s="98"/>
      <c r="D6250" s="98"/>
      <c r="E6250" s="98"/>
      <c r="F6250" s="102"/>
      <c r="G6250" s="103"/>
    </row>
    <row r="6251" spans="1:7" x14ac:dyDescent="0.25">
      <c r="A6251" s="101"/>
      <c r="B6251" s="36"/>
      <c r="C6251" s="98"/>
      <c r="D6251" s="98"/>
      <c r="E6251" s="98"/>
      <c r="F6251" s="102"/>
      <c r="G6251" s="103"/>
    </row>
    <row r="6252" spans="1:7" x14ac:dyDescent="0.25">
      <c r="A6252" s="101"/>
      <c r="B6252" s="36"/>
      <c r="C6252" s="98"/>
      <c r="D6252" s="98"/>
      <c r="E6252" s="98"/>
      <c r="F6252" s="102"/>
      <c r="G6252" s="103"/>
    </row>
    <row r="6253" spans="1:7" x14ac:dyDescent="0.25">
      <c r="A6253" s="101"/>
      <c r="B6253" s="36"/>
      <c r="C6253" s="98"/>
      <c r="D6253" s="98"/>
      <c r="E6253" s="98"/>
      <c r="F6253" s="102"/>
      <c r="G6253" s="103"/>
    </row>
    <row r="6254" spans="1:7" x14ac:dyDescent="0.25">
      <c r="A6254" s="101"/>
      <c r="B6254" s="36"/>
      <c r="C6254" s="98"/>
      <c r="D6254" s="98"/>
      <c r="E6254" s="98"/>
      <c r="F6254" s="102"/>
      <c r="G6254" s="103"/>
    </row>
    <row r="6255" spans="1:7" x14ac:dyDescent="0.25">
      <c r="A6255" s="101"/>
      <c r="B6255" s="36"/>
      <c r="C6255" s="98"/>
      <c r="D6255" s="98"/>
      <c r="E6255" s="98"/>
      <c r="F6255" s="102"/>
      <c r="G6255" s="103"/>
    </row>
    <row r="6256" spans="1:7" x14ac:dyDescent="0.25">
      <c r="A6256" s="101"/>
      <c r="B6256" s="36"/>
      <c r="C6256" s="98"/>
      <c r="D6256" s="98"/>
      <c r="E6256" s="98"/>
      <c r="F6256" s="102"/>
      <c r="G6256" s="103"/>
    </row>
    <row r="6257" spans="1:7" x14ac:dyDescent="0.25">
      <c r="A6257" s="101"/>
      <c r="B6257" s="36"/>
      <c r="C6257" s="98"/>
      <c r="D6257" s="98"/>
      <c r="E6257" s="98"/>
      <c r="F6257" s="102"/>
      <c r="G6257" s="103"/>
    </row>
    <row r="6258" spans="1:7" x14ac:dyDescent="0.25">
      <c r="A6258" s="101"/>
      <c r="B6258" s="36"/>
      <c r="C6258" s="98"/>
      <c r="D6258" s="98"/>
      <c r="E6258" s="98"/>
      <c r="F6258" s="102"/>
      <c r="G6258" s="103"/>
    </row>
    <row r="6259" spans="1:7" x14ac:dyDescent="0.25">
      <c r="A6259" s="101"/>
      <c r="B6259" s="36"/>
      <c r="C6259" s="98"/>
      <c r="D6259" s="98"/>
      <c r="E6259" s="98"/>
      <c r="F6259" s="102"/>
      <c r="G6259" s="103"/>
    </row>
    <row r="6260" spans="1:7" x14ac:dyDescent="0.25">
      <c r="A6260" s="101"/>
      <c r="B6260" s="36"/>
      <c r="C6260" s="98"/>
      <c r="D6260" s="98"/>
      <c r="E6260" s="98"/>
      <c r="F6260" s="102"/>
      <c r="G6260" s="103"/>
    </row>
    <row r="6261" spans="1:7" x14ac:dyDescent="0.25">
      <c r="A6261" s="101"/>
      <c r="B6261" s="36"/>
      <c r="C6261" s="98"/>
      <c r="D6261" s="98"/>
      <c r="E6261" s="98"/>
      <c r="F6261" s="102"/>
      <c r="G6261" s="103"/>
    </row>
    <row r="6262" spans="1:7" x14ac:dyDescent="0.25">
      <c r="A6262" s="101"/>
      <c r="B6262" s="36"/>
      <c r="C6262" s="98"/>
      <c r="D6262" s="98"/>
      <c r="E6262" s="98"/>
      <c r="F6262" s="102"/>
      <c r="G6262" s="103"/>
    </row>
    <row r="6263" spans="1:7" x14ac:dyDescent="0.25">
      <c r="A6263" s="101"/>
      <c r="B6263" s="36"/>
      <c r="C6263" s="98"/>
      <c r="D6263" s="98"/>
      <c r="E6263" s="98"/>
      <c r="F6263" s="102"/>
      <c r="G6263" s="103"/>
    </row>
    <row r="6264" spans="1:7" x14ac:dyDescent="0.25">
      <c r="A6264" s="101"/>
      <c r="B6264" s="36"/>
      <c r="C6264" s="98"/>
      <c r="D6264" s="98"/>
      <c r="E6264" s="98"/>
      <c r="F6264" s="102"/>
      <c r="G6264" s="103"/>
    </row>
    <row r="6265" spans="1:7" x14ac:dyDescent="0.25">
      <c r="A6265" s="101"/>
      <c r="B6265" s="36"/>
      <c r="C6265" s="98"/>
      <c r="D6265" s="98"/>
      <c r="E6265" s="98"/>
      <c r="F6265" s="102"/>
      <c r="G6265" s="103"/>
    </row>
    <row r="6266" spans="1:7" x14ac:dyDescent="0.25">
      <c r="A6266" s="101"/>
      <c r="B6266" s="36"/>
      <c r="C6266" s="98"/>
      <c r="D6266" s="98"/>
      <c r="E6266" s="98"/>
      <c r="F6266" s="102"/>
      <c r="G6266" s="103"/>
    </row>
    <row r="6267" spans="1:7" x14ac:dyDescent="0.25">
      <c r="A6267" s="101"/>
      <c r="B6267" s="36"/>
      <c r="C6267" s="98"/>
      <c r="D6267" s="98"/>
      <c r="E6267" s="98"/>
      <c r="F6267" s="102"/>
      <c r="G6267" s="103"/>
    </row>
    <row r="6268" spans="1:7" x14ac:dyDescent="0.25">
      <c r="A6268" s="101"/>
      <c r="B6268" s="36"/>
      <c r="C6268" s="98"/>
      <c r="D6268" s="98"/>
      <c r="E6268" s="98"/>
      <c r="F6268" s="102"/>
      <c r="G6268" s="103"/>
    </row>
    <row r="6269" spans="1:7" x14ac:dyDescent="0.25">
      <c r="A6269" s="101"/>
      <c r="B6269" s="67"/>
      <c r="C6269" s="98"/>
      <c r="D6269" s="98"/>
      <c r="E6269" s="98"/>
      <c r="F6269" s="102"/>
      <c r="G6269" s="103"/>
    </row>
    <row r="6270" spans="1:7" x14ac:dyDescent="0.25">
      <c r="A6270" s="101"/>
      <c r="B6270" s="36"/>
      <c r="C6270" s="98"/>
      <c r="D6270" s="98"/>
      <c r="E6270" s="98"/>
      <c r="F6270" s="102"/>
      <c r="G6270" s="103"/>
    </row>
    <row r="6271" spans="1:7" x14ac:dyDescent="0.25">
      <c r="A6271" s="101"/>
      <c r="B6271" s="36"/>
      <c r="C6271" s="98"/>
      <c r="D6271" s="98"/>
      <c r="E6271" s="98"/>
      <c r="F6271" s="102"/>
      <c r="G6271" s="103"/>
    </row>
    <row r="6272" spans="1:7" x14ac:dyDescent="0.25">
      <c r="A6272" s="101"/>
      <c r="B6272" s="36"/>
      <c r="C6272" s="98"/>
      <c r="D6272" s="98"/>
      <c r="E6272" s="98"/>
      <c r="F6272" s="102"/>
      <c r="G6272" s="103"/>
    </row>
    <row r="6273" spans="1:7" x14ac:dyDescent="0.25">
      <c r="A6273" s="101"/>
      <c r="B6273" s="36"/>
      <c r="C6273" s="98"/>
      <c r="D6273" s="98"/>
      <c r="E6273" s="98"/>
      <c r="F6273" s="102"/>
      <c r="G6273" s="103"/>
    </row>
    <row r="6274" spans="1:7" x14ac:dyDescent="0.25">
      <c r="A6274" s="101"/>
      <c r="B6274" s="36"/>
      <c r="C6274" s="98"/>
      <c r="D6274" s="98"/>
      <c r="E6274" s="98"/>
      <c r="F6274" s="102"/>
      <c r="G6274" s="103"/>
    </row>
    <row r="6275" spans="1:7" x14ac:dyDescent="0.25">
      <c r="A6275" s="101"/>
      <c r="B6275" s="36"/>
      <c r="C6275" s="98"/>
      <c r="D6275" s="98"/>
      <c r="E6275" s="98"/>
      <c r="F6275" s="102"/>
      <c r="G6275" s="103"/>
    </row>
    <row r="6276" spans="1:7" x14ac:dyDescent="0.25">
      <c r="A6276" s="101"/>
      <c r="B6276" s="36"/>
      <c r="C6276" s="98"/>
      <c r="D6276" s="98"/>
      <c r="E6276" s="98"/>
      <c r="F6276" s="102"/>
      <c r="G6276" s="103"/>
    </row>
    <row r="6277" spans="1:7" x14ac:dyDescent="0.25">
      <c r="A6277" s="101"/>
      <c r="B6277" s="36"/>
      <c r="C6277" s="98"/>
      <c r="D6277" s="98"/>
      <c r="E6277" s="98"/>
      <c r="F6277" s="102"/>
      <c r="G6277" s="103"/>
    </row>
    <row r="6278" spans="1:7" x14ac:dyDescent="0.25">
      <c r="A6278" s="101"/>
      <c r="B6278" s="36"/>
      <c r="C6278" s="98"/>
      <c r="D6278" s="98"/>
      <c r="E6278" s="98"/>
      <c r="F6278" s="102"/>
      <c r="G6278" s="103"/>
    </row>
    <row r="6279" spans="1:7" x14ac:dyDescent="0.25">
      <c r="A6279" s="101"/>
      <c r="B6279" s="66"/>
      <c r="C6279" s="98"/>
      <c r="D6279" s="98"/>
      <c r="E6279" s="98"/>
      <c r="F6279" s="102"/>
      <c r="G6279" s="103"/>
    </row>
    <row r="6280" spans="1:7" x14ac:dyDescent="0.25">
      <c r="A6280" s="101"/>
      <c r="B6280" s="66"/>
      <c r="C6280" s="98"/>
      <c r="D6280" s="98"/>
      <c r="E6280" s="98"/>
      <c r="F6280" s="102"/>
      <c r="G6280" s="103"/>
    </row>
    <row r="6281" spans="1:7" x14ac:dyDescent="0.25">
      <c r="A6281" s="101"/>
      <c r="B6281" s="66"/>
      <c r="C6281" s="98"/>
      <c r="D6281" s="98"/>
      <c r="E6281" s="98"/>
      <c r="F6281" s="102"/>
      <c r="G6281" s="103"/>
    </row>
    <row r="6282" spans="1:7" x14ac:dyDescent="0.25">
      <c r="A6282" s="101"/>
      <c r="B6282" s="66"/>
      <c r="C6282" s="98"/>
      <c r="D6282" s="98"/>
      <c r="E6282" s="98"/>
      <c r="F6282" s="102"/>
      <c r="G6282" s="103"/>
    </row>
    <row r="6283" spans="1:7" x14ac:dyDescent="0.25">
      <c r="A6283" s="101"/>
      <c r="B6283" s="66"/>
      <c r="C6283" s="98"/>
      <c r="D6283" s="98"/>
      <c r="E6283" s="98"/>
      <c r="F6283" s="102"/>
      <c r="G6283" s="103"/>
    </row>
    <row r="6284" spans="1:7" x14ac:dyDescent="0.25">
      <c r="A6284" s="101"/>
      <c r="B6284" s="36"/>
      <c r="C6284" s="98"/>
      <c r="D6284" s="98"/>
      <c r="E6284" s="98"/>
      <c r="F6284" s="102"/>
      <c r="G6284" s="103"/>
    </row>
    <row r="6285" spans="1:7" x14ac:dyDescent="0.25">
      <c r="A6285" s="101"/>
      <c r="B6285" s="36"/>
      <c r="C6285" s="98"/>
      <c r="D6285" s="98"/>
      <c r="E6285" s="98"/>
      <c r="F6285" s="102"/>
      <c r="G6285" s="103"/>
    </row>
    <row r="6286" spans="1:7" x14ac:dyDescent="0.25">
      <c r="A6286" s="101"/>
      <c r="B6286" s="36"/>
      <c r="C6286" s="98"/>
      <c r="D6286" s="98"/>
      <c r="E6286" s="98"/>
      <c r="F6286" s="102"/>
      <c r="G6286" s="103"/>
    </row>
    <row r="6287" spans="1:7" x14ac:dyDescent="0.25">
      <c r="A6287" s="101"/>
      <c r="B6287" s="36"/>
      <c r="C6287" s="98"/>
      <c r="D6287" s="98"/>
      <c r="E6287" s="98"/>
      <c r="F6287" s="102"/>
      <c r="G6287" s="103"/>
    </row>
    <row r="6288" spans="1:7" x14ac:dyDescent="0.25">
      <c r="A6288" s="101"/>
      <c r="B6288" s="36"/>
      <c r="C6288" s="98"/>
      <c r="D6288" s="98"/>
      <c r="E6288" s="98"/>
      <c r="F6288" s="102"/>
      <c r="G6288" s="103"/>
    </row>
    <row r="6289" spans="1:7" x14ac:dyDescent="0.25">
      <c r="A6289" s="101"/>
      <c r="B6289" s="36"/>
      <c r="C6289" s="98"/>
      <c r="D6289" s="98"/>
      <c r="E6289" s="98"/>
      <c r="F6289" s="102"/>
      <c r="G6289" s="103"/>
    </row>
    <row r="6290" spans="1:7" x14ac:dyDescent="0.25">
      <c r="A6290" s="101"/>
      <c r="B6290" s="36"/>
      <c r="C6290" s="98"/>
      <c r="D6290" s="98"/>
      <c r="E6290" s="98"/>
      <c r="F6290" s="102"/>
      <c r="G6290" s="103"/>
    </row>
    <row r="6291" spans="1:7" x14ac:dyDescent="0.25">
      <c r="A6291" s="101"/>
      <c r="B6291" s="36"/>
      <c r="C6291" s="98"/>
      <c r="D6291" s="98"/>
      <c r="E6291" s="98"/>
      <c r="F6291" s="102"/>
      <c r="G6291" s="103"/>
    </row>
    <row r="6292" spans="1:7" x14ac:dyDescent="0.25">
      <c r="A6292" s="101"/>
      <c r="B6292" s="36"/>
      <c r="C6292" s="98"/>
      <c r="D6292" s="98"/>
      <c r="E6292" s="98"/>
      <c r="F6292" s="102"/>
      <c r="G6292" s="103"/>
    </row>
    <row r="6293" spans="1:7" x14ac:dyDescent="0.25">
      <c r="A6293" s="101"/>
      <c r="B6293" s="36"/>
      <c r="C6293" s="98"/>
      <c r="D6293" s="98"/>
      <c r="E6293" s="98"/>
      <c r="F6293" s="102"/>
      <c r="G6293" s="103"/>
    </row>
    <row r="6294" spans="1:7" x14ac:dyDescent="0.25">
      <c r="A6294" s="101"/>
      <c r="B6294" s="36"/>
      <c r="C6294" s="98"/>
      <c r="D6294" s="98"/>
      <c r="E6294" s="98"/>
      <c r="F6294" s="102"/>
      <c r="G6294" s="103"/>
    </row>
    <row r="6295" spans="1:7" x14ac:dyDescent="0.25">
      <c r="A6295" s="101"/>
      <c r="B6295" s="36"/>
      <c r="C6295" s="98"/>
      <c r="D6295" s="98"/>
      <c r="E6295" s="98"/>
      <c r="F6295" s="102"/>
      <c r="G6295" s="103"/>
    </row>
    <row r="6296" spans="1:7" x14ac:dyDescent="0.25">
      <c r="A6296" s="101"/>
      <c r="B6296" s="36"/>
      <c r="C6296" s="98"/>
      <c r="D6296" s="98"/>
      <c r="E6296" s="98"/>
      <c r="F6296" s="102"/>
      <c r="G6296" s="103"/>
    </row>
    <row r="6297" spans="1:7" x14ac:dyDescent="0.25">
      <c r="A6297" s="101"/>
      <c r="B6297" s="36"/>
      <c r="C6297" s="98"/>
      <c r="D6297" s="98"/>
      <c r="E6297" s="98"/>
      <c r="F6297" s="102"/>
      <c r="G6297" s="103"/>
    </row>
    <row r="6298" spans="1:7" x14ac:dyDescent="0.25">
      <c r="A6298" s="101"/>
      <c r="B6298" s="36"/>
      <c r="C6298" s="98"/>
      <c r="D6298" s="98"/>
      <c r="E6298" s="98"/>
      <c r="F6298" s="102"/>
      <c r="G6298" s="103"/>
    </row>
    <row r="6299" spans="1:7" x14ac:dyDescent="0.25">
      <c r="A6299" s="101"/>
      <c r="B6299" s="36"/>
      <c r="C6299" s="98"/>
      <c r="D6299" s="98"/>
      <c r="E6299" s="98"/>
      <c r="F6299" s="102"/>
      <c r="G6299" s="103"/>
    </row>
    <row r="6300" spans="1:7" x14ac:dyDescent="0.25">
      <c r="A6300" s="101"/>
      <c r="B6300" s="36"/>
      <c r="C6300" s="98"/>
      <c r="D6300" s="98"/>
      <c r="E6300" s="98"/>
      <c r="F6300" s="102"/>
      <c r="G6300" s="103"/>
    </row>
    <row r="6301" spans="1:7" x14ac:dyDescent="0.25">
      <c r="A6301" s="101"/>
      <c r="B6301" s="36"/>
      <c r="C6301" s="98"/>
      <c r="D6301" s="98"/>
      <c r="E6301" s="98"/>
      <c r="F6301" s="102"/>
      <c r="G6301" s="103"/>
    </row>
    <row r="6302" spans="1:7" x14ac:dyDescent="0.25">
      <c r="A6302" s="101"/>
      <c r="B6302" s="36"/>
      <c r="C6302" s="98"/>
      <c r="D6302" s="98"/>
      <c r="E6302" s="98"/>
      <c r="F6302" s="102"/>
      <c r="G6302" s="103"/>
    </row>
    <row r="6303" spans="1:7" x14ac:dyDescent="0.25">
      <c r="A6303" s="101"/>
      <c r="B6303" s="36"/>
      <c r="C6303" s="98"/>
      <c r="D6303" s="98"/>
      <c r="E6303" s="98"/>
      <c r="F6303" s="102"/>
      <c r="G6303" s="103"/>
    </row>
    <row r="6304" spans="1:7" x14ac:dyDescent="0.25">
      <c r="A6304" s="101"/>
      <c r="B6304" s="36"/>
      <c r="C6304" s="98"/>
      <c r="D6304" s="98"/>
      <c r="E6304" s="98"/>
      <c r="F6304" s="102"/>
      <c r="G6304" s="103"/>
    </row>
    <row r="6305" spans="1:7" x14ac:dyDescent="0.25">
      <c r="A6305" s="101"/>
      <c r="B6305" s="36"/>
      <c r="C6305" s="98"/>
      <c r="D6305" s="98"/>
      <c r="E6305" s="98"/>
      <c r="F6305" s="102"/>
      <c r="G6305" s="103"/>
    </row>
    <row r="6306" spans="1:7" x14ac:dyDescent="0.25">
      <c r="A6306" s="101"/>
      <c r="B6306" s="36"/>
      <c r="C6306" s="98"/>
      <c r="D6306" s="98"/>
      <c r="E6306" s="98"/>
      <c r="F6306" s="102"/>
      <c r="G6306" s="103"/>
    </row>
    <row r="6307" spans="1:7" x14ac:dyDescent="0.25">
      <c r="A6307" s="101"/>
      <c r="B6307" s="38"/>
      <c r="C6307" s="98"/>
      <c r="D6307" s="98"/>
      <c r="E6307" s="98"/>
      <c r="F6307" s="102"/>
      <c r="G6307" s="103"/>
    </row>
    <row r="6308" spans="1:7" x14ac:dyDescent="0.25">
      <c r="A6308" s="101"/>
      <c r="B6308" s="38"/>
      <c r="C6308" s="98"/>
      <c r="D6308" s="98"/>
      <c r="E6308" s="98"/>
      <c r="F6308" s="102"/>
      <c r="G6308" s="103"/>
    </row>
    <row r="6309" spans="1:7" x14ac:dyDescent="0.25">
      <c r="A6309" s="101"/>
      <c r="B6309" s="38"/>
      <c r="C6309" s="98"/>
      <c r="D6309" s="98"/>
      <c r="E6309" s="98"/>
      <c r="F6309" s="102"/>
      <c r="G6309" s="103"/>
    </row>
    <row r="6310" spans="1:7" x14ac:dyDescent="0.25">
      <c r="A6310" s="101"/>
      <c r="B6310" s="38"/>
      <c r="C6310" s="98"/>
      <c r="D6310" s="98"/>
      <c r="E6310" s="98"/>
      <c r="F6310" s="102"/>
      <c r="G6310" s="103"/>
    </row>
    <row r="6311" spans="1:7" x14ac:dyDescent="0.25">
      <c r="A6311" s="101"/>
      <c r="B6311" s="38"/>
      <c r="C6311" s="98"/>
      <c r="D6311" s="98"/>
      <c r="E6311" s="98"/>
      <c r="F6311" s="102"/>
      <c r="G6311" s="103"/>
    </row>
    <row r="6312" spans="1:7" x14ac:dyDescent="0.25">
      <c r="A6312" s="101"/>
      <c r="B6312" s="38"/>
      <c r="C6312" s="98"/>
      <c r="D6312" s="98"/>
      <c r="E6312" s="98"/>
      <c r="F6312" s="102"/>
      <c r="G6312" s="103"/>
    </row>
    <row r="6313" spans="1:7" x14ac:dyDescent="0.25">
      <c r="A6313" s="101"/>
      <c r="B6313" s="38"/>
      <c r="C6313" s="98"/>
      <c r="D6313" s="98"/>
      <c r="E6313" s="98"/>
      <c r="F6313" s="102"/>
      <c r="G6313" s="103"/>
    </row>
    <row r="6314" spans="1:7" x14ac:dyDescent="0.25">
      <c r="A6314" s="101"/>
      <c r="B6314" s="38"/>
      <c r="C6314" s="98"/>
      <c r="D6314" s="98"/>
      <c r="E6314" s="98"/>
      <c r="F6314" s="102"/>
      <c r="G6314" s="103"/>
    </row>
    <row r="6315" spans="1:7" x14ac:dyDescent="0.25">
      <c r="A6315" s="101"/>
      <c r="B6315" s="38"/>
      <c r="C6315" s="98"/>
      <c r="D6315" s="98"/>
      <c r="E6315" s="98"/>
      <c r="F6315" s="102"/>
      <c r="G6315" s="103"/>
    </row>
    <row r="6316" spans="1:7" x14ac:dyDescent="0.25">
      <c r="A6316" s="101"/>
      <c r="B6316" s="38"/>
      <c r="C6316" s="98"/>
      <c r="D6316" s="98"/>
      <c r="E6316" s="98"/>
      <c r="F6316" s="102"/>
      <c r="G6316" s="103"/>
    </row>
    <row r="6317" spans="1:7" x14ac:dyDescent="0.25">
      <c r="A6317" s="101"/>
      <c r="B6317" s="38"/>
      <c r="C6317" s="98"/>
      <c r="D6317" s="98"/>
      <c r="E6317" s="98"/>
      <c r="F6317" s="102"/>
      <c r="G6317" s="103"/>
    </row>
    <row r="6318" spans="1:7" x14ac:dyDescent="0.25">
      <c r="A6318" s="101"/>
      <c r="B6318" s="38"/>
      <c r="C6318" s="98"/>
      <c r="D6318" s="98"/>
      <c r="E6318" s="98"/>
      <c r="F6318" s="102"/>
      <c r="G6318" s="103"/>
    </row>
    <row r="6319" spans="1:7" x14ac:dyDescent="0.25">
      <c r="A6319" s="101"/>
      <c r="B6319" s="38"/>
      <c r="C6319" s="98"/>
      <c r="D6319" s="98"/>
      <c r="E6319" s="98"/>
      <c r="F6319" s="102"/>
      <c r="G6319" s="103"/>
    </row>
    <row r="6320" spans="1:7" x14ac:dyDescent="0.25">
      <c r="A6320" s="101"/>
      <c r="B6320" s="38"/>
      <c r="C6320" s="98"/>
      <c r="D6320" s="98"/>
      <c r="E6320" s="98"/>
      <c r="F6320" s="102"/>
      <c r="G6320" s="103"/>
    </row>
    <row r="6321" spans="1:7" x14ac:dyDescent="0.25">
      <c r="A6321" s="101"/>
      <c r="B6321" s="38"/>
      <c r="C6321" s="98"/>
      <c r="D6321" s="98"/>
      <c r="E6321" s="98"/>
      <c r="F6321" s="102"/>
      <c r="G6321" s="103"/>
    </row>
    <row r="6322" spans="1:7" x14ac:dyDescent="0.25">
      <c r="A6322" s="101"/>
      <c r="B6322" s="38"/>
      <c r="C6322" s="98"/>
      <c r="D6322" s="98"/>
      <c r="E6322" s="98"/>
      <c r="F6322" s="102"/>
      <c r="G6322" s="103"/>
    </row>
    <row r="6323" spans="1:7" x14ac:dyDescent="0.25">
      <c r="A6323" s="101"/>
      <c r="B6323" s="12"/>
      <c r="C6323" s="98"/>
      <c r="D6323" s="98"/>
      <c r="E6323" s="98"/>
      <c r="F6323" s="102"/>
      <c r="G6323" s="103"/>
    </row>
    <row r="6324" spans="1:7" x14ac:dyDescent="0.25">
      <c r="A6324" s="101"/>
      <c r="B6324" s="12"/>
      <c r="C6324" s="98"/>
      <c r="D6324" s="98"/>
      <c r="E6324" s="98"/>
      <c r="F6324" s="102"/>
      <c r="G6324" s="103"/>
    </row>
    <row r="6325" spans="1:7" x14ac:dyDescent="0.25">
      <c r="A6325" s="101"/>
      <c r="B6325" s="12"/>
      <c r="C6325" s="98"/>
      <c r="D6325" s="98"/>
      <c r="E6325" s="98"/>
      <c r="F6325" s="102"/>
      <c r="G6325" s="103"/>
    </row>
    <row r="6326" spans="1:7" x14ac:dyDescent="0.25">
      <c r="A6326" s="101"/>
      <c r="B6326" s="38"/>
      <c r="C6326" s="98"/>
      <c r="D6326" s="98"/>
      <c r="E6326" s="98"/>
      <c r="F6326" s="102"/>
      <c r="G6326" s="103"/>
    </row>
    <row r="6327" spans="1:7" x14ac:dyDescent="0.25">
      <c r="A6327" s="101"/>
      <c r="B6327" s="36"/>
      <c r="C6327" s="98"/>
      <c r="D6327" s="98"/>
      <c r="E6327" s="98"/>
      <c r="F6327" s="102"/>
      <c r="G6327" s="103"/>
    </row>
    <row r="6328" spans="1:7" x14ac:dyDescent="0.25">
      <c r="A6328" s="101"/>
      <c r="B6328" s="36"/>
      <c r="C6328" s="98"/>
      <c r="D6328" s="98"/>
      <c r="E6328" s="98"/>
      <c r="F6328" s="102"/>
      <c r="G6328" s="103"/>
    </row>
    <row r="6329" spans="1:7" x14ac:dyDescent="0.25">
      <c r="A6329" s="101"/>
      <c r="B6329" s="36"/>
      <c r="C6329" s="98"/>
      <c r="D6329" s="98"/>
      <c r="E6329" s="98"/>
      <c r="F6329" s="102"/>
      <c r="G6329" s="103"/>
    </row>
    <row r="6330" spans="1:7" x14ac:dyDescent="0.25">
      <c r="A6330" s="101"/>
      <c r="B6330" s="36"/>
      <c r="C6330" s="98"/>
      <c r="D6330" s="98"/>
      <c r="E6330" s="98"/>
      <c r="F6330" s="102"/>
      <c r="G6330" s="103"/>
    </row>
    <row r="6331" spans="1:7" x14ac:dyDescent="0.25">
      <c r="A6331" s="101"/>
      <c r="B6331" s="36"/>
      <c r="C6331" s="98"/>
      <c r="D6331" s="98"/>
      <c r="E6331" s="98"/>
      <c r="F6331" s="102"/>
      <c r="G6331" s="103"/>
    </row>
    <row r="6332" spans="1:7" x14ac:dyDescent="0.25">
      <c r="A6332" s="101"/>
      <c r="B6332" s="36"/>
      <c r="C6332" s="98"/>
      <c r="D6332" s="98"/>
      <c r="E6332" s="98"/>
      <c r="F6332" s="102"/>
      <c r="G6332" s="103"/>
    </row>
    <row r="6333" spans="1:7" x14ac:dyDescent="0.25">
      <c r="A6333" s="101"/>
      <c r="B6333" s="36"/>
      <c r="C6333" s="98"/>
      <c r="D6333" s="98"/>
      <c r="E6333" s="98"/>
      <c r="F6333" s="102"/>
      <c r="G6333" s="103"/>
    </row>
    <row r="6334" spans="1:7" x14ac:dyDescent="0.25">
      <c r="A6334" s="101"/>
      <c r="B6334" s="36"/>
      <c r="C6334" s="98"/>
      <c r="D6334" s="98"/>
      <c r="E6334" s="98"/>
      <c r="F6334" s="102"/>
      <c r="G6334" s="103"/>
    </row>
    <row r="6335" spans="1:7" x14ac:dyDescent="0.25">
      <c r="A6335" s="101"/>
      <c r="B6335" s="36"/>
      <c r="C6335" s="98"/>
      <c r="D6335" s="98"/>
      <c r="E6335" s="98"/>
      <c r="F6335" s="102"/>
      <c r="G6335" s="103"/>
    </row>
    <row r="6336" spans="1:7" x14ac:dyDescent="0.25">
      <c r="A6336" s="101"/>
      <c r="B6336" s="36"/>
      <c r="C6336" s="98"/>
      <c r="D6336" s="98"/>
      <c r="E6336" s="98"/>
      <c r="F6336" s="102"/>
      <c r="G6336" s="103"/>
    </row>
    <row r="6337" spans="1:7" x14ac:dyDescent="0.25">
      <c r="A6337" s="101"/>
      <c r="B6337" s="36"/>
      <c r="C6337" s="98"/>
      <c r="D6337" s="98"/>
      <c r="E6337" s="98"/>
      <c r="F6337" s="102"/>
      <c r="G6337" s="103"/>
    </row>
    <row r="6338" spans="1:7" x14ac:dyDescent="0.25">
      <c r="A6338" s="101"/>
      <c r="B6338" s="36"/>
      <c r="C6338" s="98"/>
      <c r="D6338" s="98"/>
      <c r="E6338" s="98"/>
      <c r="F6338" s="102"/>
      <c r="G6338" s="103"/>
    </row>
    <row r="6339" spans="1:7" x14ac:dyDescent="0.25">
      <c r="A6339" s="101"/>
      <c r="B6339" s="36"/>
      <c r="C6339" s="98"/>
      <c r="D6339" s="98"/>
      <c r="E6339" s="98"/>
      <c r="F6339" s="102"/>
      <c r="G6339" s="103"/>
    </row>
    <row r="6340" spans="1:7" x14ac:dyDescent="0.25">
      <c r="A6340" s="101"/>
      <c r="B6340" s="36"/>
      <c r="C6340" s="98"/>
      <c r="D6340" s="98"/>
      <c r="E6340" s="98"/>
      <c r="F6340" s="102"/>
      <c r="G6340" s="103"/>
    </row>
    <row r="6341" spans="1:7" x14ac:dyDescent="0.25">
      <c r="A6341" s="101"/>
      <c r="B6341" s="36"/>
      <c r="C6341" s="98"/>
      <c r="D6341" s="98"/>
      <c r="E6341" s="98"/>
      <c r="F6341" s="102"/>
      <c r="G6341" s="103"/>
    </row>
    <row r="6342" spans="1:7" x14ac:dyDescent="0.25">
      <c r="A6342" s="101"/>
      <c r="B6342" s="36"/>
      <c r="C6342" s="98"/>
      <c r="D6342" s="98"/>
      <c r="E6342" s="98"/>
      <c r="F6342" s="102"/>
      <c r="G6342" s="103"/>
    </row>
    <row r="6343" spans="1:7" x14ac:dyDescent="0.25">
      <c r="A6343" s="101"/>
      <c r="B6343" s="36"/>
      <c r="C6343" s="98"/>
      <c r="D6343" s="98"/>
      <c r="E6343" s="98"/>
      <c r="F6343" s="102"/>
      <c r="G6343" s="103"/>
    </row>
    <row r="6344" spans="1:7" x14ac:dyDescent="0.25">
      <c r="A6344" s="101"/>
      <c r="B6344" s="36"/>
      <c r="C6344" s="98"/>
      <c r="D6344" s="98"/>
      <c r="E6344" s="98"/>
      <c r="F6344" s="102"/>
      <c r="G6344" s="103"/>
    </row>
    <row r="6345" spans="1:7" x14ac:dyDescent="0.25">
      <c r="A6345" s="101"/>
      <c r="B6345" s="36"/>
      <c r="C6345" s="98"/>
      <c r="D6345" s="98"/>
      <c r="E6345" s="98"/>
      <c r="F6345" s="102"/>
      <c r="G6345" s="103"/>
    </row>
    <row r="6346" spans="1:7" x14ac:dyDescent="0.25">
      <c r="A6346" s="101"/>
      <c r="B6346" s="36"/>
      <c r="C6346" s="98"/>
      <c r="D6346" s="98"/>
      <c r="E6346" s="98"/>
      <c r="F6346" s="102"/>
      <c r="G6346" s="103"/>
    </row>
    <row r="6347" spans="1:7" x14ac:dyDescent="0.25">
      <c r="A6347" s="101"/>
      <c r="B6347" s="36"/>
      <c r="C6347" s="98"/>
      <c r="D6347" s="98"/>
      <c r="E6347" s="98"/>
      <c r="F6347" s="102"/>
      <c r="G6347" s="103"/>
    </row>
    <row r="6348" spans="1:7" x14ac:dyDescent="0.25">
      <c r="A6348" s="101"/>
      <c r="B6348" s="36"/>
      <c r="C6348" s="98"/>
      <c r="D6348" s="98"/>
      <c r="E6348" s="98"/>
      <c r="F6348" s="102"/>
      <c r="G6348" s="103"/>
    </row>
    <row r="6349" spans="1:7" x14ac:dyDescent="0.25">
      <c r="A6349" s="101"/>
      <c r="B6349" s="36"/>
      <c r="C6349" s="98"/>
      <c r="D6349" s="98"/>
      <c r="E6349" s="98"/>
      <c r="F6349" s="102"/>
      <c r="G6349" s="103"/>
    </row>
    <row r="6350" spans="1:7" x14ac:dyDescent="0.25">
      <c r="A6350" s="101"/>
      <c r="B6350" s="36"/>
      <c r="C6350" s="98"/>
      <c r="D6350" s="98"/>
      <c r="E6350" s="98"/>
      <c r="F6350" s="102"/>
      <c r="G6350" s="103"/>
    </row>
    <row r="6351" spans="1:7" x14ac:dyDescent="0.25">
      <c r="A6351" s="101"/>
      <c r="B6351" s="36"/>
      <c r="C6351" s="98"/>
      <c r="D6351" s="98"/>
      <c r="E6351" s="98"/>
      <c r="F6351" s="102"/>
      <c r="G6351" s="103"/>
    </row>
    <row r="6352" spans="1:7" x14ac:dyDescent="0.25">
      <c r="A6352" s="101"/>
      <c r="B6352" s="36"/>
      <c r="C6352" s="98"/>
      <c r="D6352" s="98"/>
      <c r="E6352" s="98"/>
      <c r="F6352" s="102"/>
      <c r="G6352" s="103"/>
    </row>
    <row r="6353" spans="1:7" x14ac:dyDescent="0.25">
      <c r="A6353" s="101"/>
      <c r="B6353" s="36"/>
      <c r="C6353" s="98"/>
      <c r="D6353" s="98"/>
      <c r="E6353" s="98"/>
      <c r="F6353" s="102"/>
      <c r="G6353" s="103"/>
    </row>
    <row r="6354" spans="1:7" x14ac:dyDescent="0.25">
      <c r="A6354" s="101"/>
      <c r="B6354" s="36"/>
      <c r="C6354" s="98"/>
      <c r="D6354" s="98"/>
      <c r="E6354" s="98"/>
      <c r="F6354" s="102"/>
      <c r="G6354" s="103"/>
    </row>
    <row r="6355" spans="1:7" x14ac:dyDescent="0.25">
      <c r="A6355" s="101"/>
      <c r="B6355" s="36"/>
      <c r="C6355" s="98"/>
      <c r="D6355" s="98"/>
      <c r="E6355" s="98"/>
      <c r="F6355" s="102"/>
      <c r="G6355" s="103"/>
    </row>
    <row r="6356" spans="1:7" x14ac:dyDescent="0.25">
      <c r="A6356" s="101"/>
      <c r="B6356" s="66"/>
      <c r="C6356" s="98"/>
      <c r="D6356" s="98"/>
      <c r="E6356" s="98"/>
      <c r="F6356" s="102"/>
      <c r="G6356" s="103"/>
    </row>
    <row r="6357" spans="1:7" x14ac:dyDescent="0.25">
      <c r="A6357" s="101"/>
      <c r="B6357" s="36"/>
      <c r="C6357" s="98"/>
      <c r="D6357" s="98"/>
      <c r="E6357" s="98"/>
      <c r="F6357" s="102"/>
      <c r="G6357" s="103"/>
    </row>
    <row r="6358" spans="1:7" x14ac:dyDescent="0.25">
      <c r="A6358" s="101"/>
      <c r="B6358" s="36"/>
      <c r="C6358" s="98"/>
      <c r="D6358" s="98"/>
      <c r="E6358" s="98"/>
      <c r="F6358" s="102"/>
      <c r="G6358" s="103"/>
    </row>
    <row r="6359" spans="1:7" x14ac:dyDescent="0.25">
      <c r="A6359" s="101"/>
      <c r="B6359" s="36"/>
      <c r="C6359" s="98"/>
      <c r="D6359" s="98"/>
      <c r="E6359" s="98"/>
      <c r="F6359" s="102"/>
      <c r="G6359" s="103"/>
    </row>
    <row r="6360" spans="1:7" x14ac:dyDescent="0.25">
      <c r="A6360" s="101"/>
      <c r="B6360" s="36"/>
      <c r="C6360" s="98"/>
      <c r="D6360" s="98"/>
      <c r="E6360" s="98"/>
      <c r="F6360" s="102"/>
      <c r="G6360" s="103"/>
    </row>
    <row r="6361" spans="1:7" x14ac:dyDescent="0.25">
      <c r="A6361" s="101"/>
      <c r="B6361" s="36"/>
      <c r="C6361" s="98"/>
      <c r="D6361" s="98"/>
      <c r="E6361" s="98"/>
      <c r="F6361" s="102"/>
      <c r="G6361" s="103"/>
    </row>
    <row r="6362" spans="1:7" x14ac:dyDescent="0.25">
      <c r="A6362" s="101"/>
      <c r="B6362" s="36"/>
      <c r="C6362" s="98"/>
      <c r="D6362" s="98"/>
      <c r="E6362" s="98"/>
      <c r="F6362" s="102"/>
      <c r="G6362" s="103"/>
    </row>
    <row r="6363" spans="1:7" x14ac:dyDescent="0.25">
      <c r="A6363" s="101"/>
      <c r="B6363" s="36"/>
      <c r="C6363" s="98"/>
      <c r="D6363" s="98"/>
      <c r="E6363" s="98"/>
      <c r="F6363" s="102"/>
      <c r="G6363" s="103"/>
    </row>
    <row r="6364" spans="1:7" x14ac:dyDescent="0.25">
      <c r="A6364" s="101"/>
      <c r="B6364" s="36"/>
      <c r="C6364" s="98"/>
      <c r="D6364" s="98"/>
      <c r="E6364" s="98"/>
      <c r="F6364" s="102"/>
      <c r="G6364" s="103"/>
    </row>
    <row r="6365" spans="1:7" x14ac:dyDescent="0.25">
      <c r="A6365" s="101"/>
      <c r="B6365" s="36"/>
      <c r="C6365" s="98"/>
      <c r="D6365" s="98"/>
      <c r="E6365" s="98"/>
      <c r="F6365" s="102"/>
      <c r="G6365" s="103"/>
    </row>
    <row r="6366" spans="1:7" x14ac:dyDescent="0.25">
      <c r="A6366" s="101"/>
      <c r="B6366" s="36"/>
      <c r="C6366" s="98"/>
      <c r="D6366" s="98"/>
      <c r="E6366" s="98"/>
      <c r="F6366" s="102"/>
      <c r="G6366" s="103"/>
    </row>
    <row r="6367" spans="1:7" x14ac:dyDescent="0.25">
      <c r="A6367" s="101"/>
      <c r="B6367" s="36"/>
      <c r="C6367" s="98"/>
      <c r="D6367" s="98"/>
      <c r="E6367" s="98"/>
      <c r="F6367" s="102"/>
      <c r="G6367" s="103"/>
    </row>
    <row r="6368" spans="1:7" x14ac:dyDescent="0.25">
      <c r="A6368" s="101"/>
      <c r="B6368" s="36"/>
      <c r="C6368" s="98"/>
      <c r="D6368" s="98"/>
      <c r="E6368" s="98"/>
      <c r="F6368" s="102"/>
      <c r="G6368" s="103"/>
    </row>
    <row r="6369" spans="1:7" x14ac:dyDescent="0.25">
      <c r="A6369" s="101"/>
      <c r="B6369" s="36"/>
      <c r="C6369" s="98"/>
      <c r="D6369" s="98"/>
      <c r="E6369" s="98"/>
      <c r="F6369" s="102"/>
      <c r="G6369" s="103"/>
    </row>
    <row r="6370" spans="1:7" x14ac:dyDescent="0.25">
      <c r="A6370" s="101"/>
      <c r="B6370" s="36"/>
      <c r="C6370" s="98"/>
      <c r="D6370" s="98"/>
      <c r="E6370" s="98"/>
      <c r="F6370" s="102"/>
      <c r="G6370" s="103"/>
    </row>
    <row r="6371" spans="1:7" x14ac:dyDescent="0.25">
      <c r="A6371" s="101"/>
      <c r="B6371" s="36"/>
      <c r="C6371" s="98"/>
      <c r="D6371" s="98"/>
      <c r="E6371" s="98"/>
      <c r="F6371" s="102"/>
      <c r="G6371" s="103"/>
    </row>
    <row r="6372" spans="1:7" x14ac:dyDescent="0.25">
      <c r="A6372" s="101"/>
      <c r="B6372" s="36"/>
      <c r="C6372" s="98"/>
      <c r="D6372" s="98"/>
      <c r="E6372" s="98"/>
      <c r="F6372" s="102"/>
      <c r="G6372" s="103"/>
    </row>
    <row r="6373" spans="1:7" x14ac:dyDescent="0.25">
      <c r="A6373" s="101"/>
      <c r="B6373" s="66"/>
      <c r="C6373" s="98"/>
      <c r="D6373" s="98"/>
      <c r="E6373" s="98"/>
      <c r="F6373" s="102"/>
      <c r="G6373" s="103"/>
    </row>
    <row r="6374" spans="1:7" x14ac:dyDescent="0.25">
      <c r="A6374" s="101"/>
      <c r="B6374" s="36"/>
      <c r="C6374" s="98"/>
      <c r="D6374" s="98"/>
      <c r="E6374" s="98"/>
      <c r="F6374" s="102"/>
      <c r="G6374" s="103"/>
    </row>
    <row r="6375" spans="1:7" x14ac:dyDescent="0.25">
      <c r="A6375" s="101"/>
      <c r="B6375" s="36"/>
      <c r="C6375" s="98"/>
      <c r="D6375" s="98"/>
      <c r="E6375" s="98"/>
      <c r="F6375" s="102"/>
      <c r="G6375" s="103"/>
    </row>
    <row r="6376" spans="1:7" x14ac:dyDescent="0.25">
      <c r="A6376" s="101"/>
      <c r="B6376" s="36"/>
      <c r="C6376" s="98"/>
      <c r="D6376" s="98"/>
      <c r="E6376" s="98"/>
      <c r="F6376" s="102"/>
      <c r="G6376" s="103"/>
    </row>
    <row r="6377" spans="1:7" x14ac:dyDescent="0.25">
      <c r="A6377" s="101"/>
      <c r="B6377" s="36"/>
      <c r="C6377" s="98"/>
      <c r="D6377" s="98"/>
      <c r="E6377" s="98"/>
      <c r="F6377" s="102"/>
      <c r="G6377" s="103"/>
    </row>
    <row r="6378" spans="1:7" x14ac:dyDescent="0.25">
      <c r="A6378" s="101"/>
      <c r="B6378" s="36"/>
      <c r="C6378" s="98"/>
      <c r="D6378" s="98"/>
      <c r="E6378" s="98"/>
      <c r="F6378" s="102"/>
      <c r="G6378" s="103"/>
    </row>
    <row r="6379" spans="1:7" x14ac:dyDescent="0.25">
      <c r="A6379" s="101"/>
      <c r="B6379" s="36"/>
      <c r="C6379" s="98"/>
      <c r="D6379" s="98"/>
      <c r="E6379" s="98"/>
      <c r="F6379" s="102"/>
      <c r="G6379" s="103"/>
    </row>
    <row r="6380" spans="1:7" x14ac:dyDescent="0.25">
      <c r="A6380" s="101"/>
      <c r="B6380" s="36"/>
      <c r="C6380" s="98"/>
      <c r="D6380" s="98"/>
      <c r="E6380" s="98"/>
      <c r="F6380" s="102"/>
      <c r="G6380" s="103"/>
    </row>
    <row r="6381" spans="1:7" x14ac:dyDescent="0.25">
      <c r="A6381" s="101"/>
      <c r="B6381" s="36"/>
      <c r="C6381" s="98"/>
      <c r="D6381" s="98"/>
      <c r="E6381" s="98"/>
      <c r="F6381" s="102"/>
      <c r="G6381" s="103"/>
    </row>
    <row r="6382" spans="1:7" x14ac:dyDescent="0.25">
      <c r="A6382" s="101"/>
      <c r="B6382" s="36"/>
      <c r="C6382" s="98"/>
      <c r="D6382" s="98"/>
      <c r="E6382" s="98"/>
      <c r="F6382" s="102"/>
      <c r="G6382" s="103"/>
    </row>
    <row r="6383" spans="1:7" x14ac:dyDescent="0.25">
      <c r="A6383" s="101"/>
      <c r="B6383" s="36"/>
      <c r="C6383" s="98"/>
      <c r="D6383" s="98"/>
      <c r="E6383" s="98"/>
      <c r="F6383" s="102"/>
      <c r="G6383" s="103"/>
    </row>
    <row r="6384" spans="1:7" x14ac:dyDescent="0.25">
      <c r="A6384" s="101"/>
      <c r="B6384" s="36"/>
      <c r="C6384" s="98"/>
      <c r="D6384" s="98"/>
      <c r="E6384" s="98"/>
      <c r="F6384" s="102"/>
      <c r="G6384" s="103"/>
    </row>
    <row r="6385" spans="1:7" x14ac:dyDescent="0.25">
      <c r="A6385" s="101"/>
      <c r="B6385" s="36"/>
      <c r="C6385" s="98"/>
      <c r="D6385" s="98"/>
      <c r="E6385" s="98"/>
      <c r="F6385" s="102"/>
      <c r="G6385" s="103"/>
    </row>
    <row r="6386" spans="1:7" x14ac:dyDescent="0.25">
      <c r="A6386" s="101"/>
      <c r="B6386" s="36"/>
      <c r="C6386" s="98"/>
      <c r="D6386" s="98"/>
      <c r="E6386" s="98"/>
      <c r="F6386" s="102"/>
      <c r="G6386" s="103"/>
    </row>
    <row r="6387" spans="1:7" x14ac:dyDescent="0.25">
      <c r="A6387" s="101"/>
      <c r="B6387" s="36"/>
      <c r="C6387" s="98"/>
      <c r="D6387" s="98"/>
      <c r="E6387" s="98"/>
      <c r="F6387" s="102"/>
      <c r="G6387" s="103"/>
    </row>
    <row r="6388" spans="1:7" x14ac:dyDescent="0.25">
      <c r="A6388" s="101"/>
      <c r="B6388" s="38"/>
      <c r="C6388" s="98"/>
      <c r="D6388" s="98"/>
      <c r="E6388" s="98"/>
      <c r="F6388" s="102"/>
      <c r="G6388" s="103"/>
    </row>
    <row r="6389" spans="1:7" x14ac:dyDescent="0.25">
      <c r="A6389" s="101"/>
      <c r="B6389" s="12"/>
      <c r="C6389" s="98"/>
      <c r="D6389" s="98"/>
      <c r="E6389" s="98"/>
      <c r="F6389" s="102"/>
      <c r="G6389" s="103"/>
    </row>
    <row r="6390" spans="1:7" x14ac:dyDescent="0.25">
      <c r="A6390" s="101"/>
      <c r="B6390" s="36"/>
      <c r="C6390" s="98"/>
      <c r="D6390" s="98"/>
      <c r="E6390" s="98"/>
      <c r="F6390" s="102"/>
      <c r="G6390" s="103"/>
    </row>
    <row r="6391" spans="1:7" x14ac:dyDescent="0.25">
      <c r="A6391" s="101"/>
      <c r="B6391" s="36"/>
      <c r="C6391" s="98"/>
      <c r="D6391" s="98"/>
      <c r="E6391" s="98"/>
      <c r="F6391" s="102"/>
      <c r="G6391" s="103"/>
    </row>
    <row r="6392" spans="1:7" x14ac:dyDescent="0.25">
      <c r="A6392" s="101"/>
      <c r="B6392" s="36"/>
      <c r="C6392" s="98"/>
      <c r="D6392" s="98"/>
      <c r="E6392" s="98"/>
      <c r="F6392" s="102"/>
      <c r="G6392" s="103"/>
    </row>
    <row r="6393" spans="1:7" x14ac:dyDescent="0.25">
      <c r="A6393" s="101"/>
      <c r="B6393" s="36"/>
      <c r="C6393" s="98"/>
      <c r="D6393" s="98"/>
      <c r="E6393" s="98"/>
      <c r="F6393" s="102"/>
      <c r="G6393" s="103"/>
    </row>
    <row r="6394" spans="1:7" x14ac:dyDescent="0.25">
      <c r="A6394" s="101"/>
      <c r="B6394" s="36"/>
      <c r="C6394" s="98"/>
      <c r="D6394" s="98"/>
      <c r="E6394" s="98"/>
      <c r="F6394" s="102"/>
      <c r="G6394" s="103"/>
    </row>
    <row r="6395" spans="1:7" x14ac:dyDescent="0.25">
      <c r="A6395" s="101"/>
      <c r="B6395" s="36"/>
      <c r="C6395" s="98"/>
      <c r="D6395" s="98"/>
      <c r="E6395" s="98"/>
      <c r="F6395" s="102"/>
      <c r="G6395" s="103"/>
    </row>
    <row r="6396" spans="1:7" x14ac:dyDescent="0.25">
      <c r="A6396" s="101"/>
      <c r="B6396" s="36"/>
      <c r="C6396" s="98"/>
      <c r="D6396" s="98"/>
      <c r="E6396" s="98"/>
      <c r="F6396" s="102"/>
      <c r="G6396" s="103"/>
    </row>
    <row r="6397" spans="1:7" x14ac:dyDescent="0.25">
      <c r="A6397" s="101"/>
      <c r="B6397" s="36"/>
      <c r="C6397" s="98"/>
      <c r="D6397" s="98"/>
      <c r="E6397" s="98"/>
      <c r="F6397" s="102"/>
      <c r="G6397" s="103"/>
    </row>
    <row r="6398" spans="1:7" x14ac:dyDescent="0.25">
      <c r="A6398" s="101"/>
      <c r="B6398" s="36"/>
      <c r="C6398" s="98"/>
      <c r="D6398" s="98"/>
      <c r="E6398" s="98"/>
      <c r="F6398" s="102"/>
      <c r="G6398" s="103"/>
    </row>
    <row r="6399" spans="1:7" x14ac:dyDescent="0.25">
      <c r="A6399" s="101"/>
      <c r="B6399" s="36"/>
      <c r="C6399" s="98"/>
      <c r="D6399" s="98"/>
      <c r="E6399" s="98"/>
      <c r="F6399" s="102"/>
      <c r="G6399" s="103"/>
    </row>
    <row r="6400" spans="1:7" x14ac:dyDescent="0.25">
      <c r="A6400" s="101"/>
      <c r="B6400" s="36"/>
      <c r="C6400" s="98"/>
      <c r="D6400" s="98"/>
      <c r="E6400" s="98"/>
      <c r="F6400" s="102"/>
      <c r="G6400" s="103"/>
    </row>
    <row r="6401" spans="1:7" x14ac:dyDescent="0.25">
      <c r="A6401" s="101"/>
      <c r="B6401" s="36"/>
      <c r="C6401" s="98"/>
      <c r="D6401" s="98"/>
      <c r="E6401" s="98"/>
      <c r="F6401" s="102"/>
      <c r="G6401" s="103"/>
    </row>
    <row r="6402" spans="1:7" x14ac:dyDescent="0.25">
      <c r="A6402" s="101"/>
      <c r="B6402" s="36"/>
      <c r="C6402" s="98"/>
      <c r="D6402" s="98"/>
      <c r="E6402" s="98"/>
      <c r="F6402" s="102"/>
      <c r="G6402" s="103"/>
    </row>
    <row r="6403" spans="1:7" x14ac:dyDescent="0.25">
      <c r="A6403" s="101"/>
      <c r="B6403" s="36"/>
      <c r="C6403" s="98"/>
      <c r="D6403" s="98"/>
      <c r="E6403" s="98"/>
      <c r="F6403" s="102"/>
      <c r="G6403" s="103"/>
    </row>
    <row r="6404" spans="1:7" x14ac:dyDescent="0.25">
      <c r="A6404" s="101"/>
      <c r="B6404" s="36"/>
      <c r="C6404" s="98"/>
      <c r="D6404" s="98"/>
      <c r="E6404" s="98"/>
      <c r="F6404" s="102"/>
      <c r="G6404" s="103"/>
    </row>
    <row r="6405" spans="1:7" x14ac:dyDescent="0.25">
      <c r="A6405" s="101"/>
      <c r="B6405" s="36"/>
      <c r="C6405" s="98"/>
      <c r="D6405" s="98"/>
      <c r="E6405" s="98"/>
      <c r="F6405" s="102"/>
      <c r="G6405" s="103"/>
    </row>
    <row r="6406" spans="1:7" x14ac:dyDescent="0.25">
      <c r="A6406" s="101"/>
      <c r="B6406" s="36"/>
      <c r="C6406" s="98"/>
      <c r="D6406" s="98"/>
      <c r="E6406" s="98"/>
      <c r="F6406" s="102"/>
      <c r="G6406" s="103"/>
    </row>
    <row r="6407" spans="1:7" x14ac:dyDescent="0.25">
      <c r="A6407" s="101"/>
      <c r="B6407" s="36"/>
      <c r="C6407" s="98"/>
      <c r="D6407" s="98"/>
      <c r="E6407" s="98"/>
      <c r="F6407" s="102"/>
      <c r="G6407" s="103"/>
    </row>
    <row r="6408" spans="1:7" x14ac:dyDescent="0.25">
      <c r="A6408" s="101"/>
      <c r="B6408" s="36"/>
      <c r="C6408" s="98"/>
      <c r="D6408" s="98"/>
      <c r="E6408" s="98"/>
      <c r="F6408" s="102"/>
      <c r="G6408" s="103"/>
    </row>
    <row r="6409" spans="1:7" x14ac:dyDescent="0.25">
      <c r="A6409" s="101"/>
      <c r="B6409" s="36"/>
      <c r="C6409" s="98"/>
      <c r="D6409" s="98"/>
      <c r="E6409" s="98"/>
      <c r="F6409" s="102"/>
      <c r="G6409" s="103"/>
    </row>
    <row r="6410" spans="1:7" x14ac:dyDescent="0.25">
      <c r="A6410" s="101"/>
      <c r="B6410" s="36"/>
      <c r="C6410" s="98"/>
      <c r="D6410" s="98"/>
      <c r="E6410" s="98"/>
      <c r="F6410" s="102"/>
      <c r="G6410" s="103"/>
    </row>
    <row r="6411" spans="1:7" x14ac:dyDescent="0.25">
      <c r="A6411" s="101"/>
      <c r="B6411" s="36"/>
      <c r="C6411" s="98"/>
      <c r="D6411" s="98"/>
      <c r="E6411" s="98"/>
      <c r="F6411" s="102"/>
      <c r="G6411" s="103"/>
    </row>
    <row r="6412" spans="1:7" x14ac:dyDescent="0.25">
      <c r="A6412" s="101"/>
      <c r="B6412" s="36"/>
      <c r="C6412" s="98"/>
      <c r="D6412" s="98"/>
      <c r="E6412" s="98"/>
      <c r="F6412" s="102"/>
      <c r="G6412" s="103"/>
    </row>
    <row r="6413" spans="1:7" x14ac:dyDescent="0.25">
      <c r="A6413" s="101"/>
      <c r="B6413" s="36"/>
      <c r="C6413" s="98"/>
      <c r="D6413" s="98"/>
      <c r="E6413" s="98"/>
      <c r="F6413" s="102"/>
      <c r="G6413" s="103"/>
    </row>
    <row r="6414" spans="1:7" x14ac:dyDescent="0.25">
      <c r="A6414" s="101"/>
      <c r="B6414" s="36"/>
      <c r="C6414" s="98"/>
      <c r="D6414" s="98"/>
      <c r="E6414" s="98"/>
      <c r="F6414" s="102"/>
      <c r="G6414" s="103"/>
    </row>
    <row r="6415" spans="1:7" x14ac:dyDescent="0.25">
      <c r="A6415" s="101"/>
      <c r="B6415" s="36"/>
      <c r="C6415" s="98"/>
      <c r="D6415" s="98"/>
      <c r="E6415" s="98"/>
      <c r="F6415" s="102"/>
      <c r="G6415" s="103"/>
    </row>
    <row r="6416" spans="1:7" x14ac:dyDescent="0.25">
      <c r="A6416" s="101"/>
      <c r="B6416" s="36"/>
      <c r="C6416" s="98"/>
      <c r="D6416" s="98"/>
      <c r="E6416" s="98"/>
      <c r="F6416" s="102"/>
      <c r="G6416" s="103"/>
    </row>
    <row r="6417" spans="1:7" x14ac:dyDescent="0.25">
      <c r="A6417" s="101"/>
      <c r="B6417" s="36"/>
      <c r="C6417" s="98"/>
      <c r="D6417" s="98"/>
      <c r="E6417" s="98"/>
      <c r="F6417" s="102"/>
      <c r="G6417" s="103"/>
    </row>
    <row r="6418" spans="1:7" x14ac:dyDescent="0.25">
      <c r="A6418" s="101"/>
      <c r="B6418" s="66"/>
      <c r="C6418" s="98"/>
      <c r="D6418" s="98"/>
      <c r="E6418" s="98"/>
      <c r="F6418" s="102"/>
      <c r="G6418" s="103"/>
    </row>
    <row r="6419" spans="1:7" x14ac:dyDescent="0.25">
      <c r="A6419" s="101"/>
      <c r="B6419" s="66"/>
      <c r="C6419" s="98"/>
      <c r="D6419" s="98"/>
      <c r="E6419" s="98"/>
      <c r="F6419" s="102"/>
      <c r="G6419" s="103"/>
    </row>
    <row r="6420" spans="1:7" x14ac:dyDescent="0.25">
      <c r="A6420" s="101"/>
      <c r="B6420" s="36"/>
      <c r="C6420" s="98"/>
      <c r="D6420" s="98"/>
      <c r="E6420" s="98"/>
      <c r="F6420" s="102"/>
      <c r="G6420" s="103"/>
    </row>
    <row r="6421" spans="1:7" x14ac:dyDescent="0.25">
      <c r="A6421" s="101"/>
      <c r="B6421" s="36"/>
      <c r="C6421" s="98"/>
      <c r="D6421" s="98"/>
      <c r="E6421" s="98"/>
      <c r="F6421" s="102"/>
      <c r="G6421" s="103"/>
    </row>
    <row r="6422" spans="1:7" x14ac:dyDescent="0.25">
      <c r="A6422" s="101"/>
      <c r="B6422" s="36"/>
      <c r="C6422" s="98"/>
      <c r="D6422" s="98"/>
      <c r="E6422" s="98"/>
      <c r="F6422" s="102"/>
      <c r="G6422" s="103"/>
    </row>
    <row r="6423" spans="1:7" x14ac:dyDescent="0.25">
      <c r="A6423" s="101"/>
      <c r="B6423" s="36"/>
      <c r="C6423" s="98"/>
      <c r="D6423" s="98"/>
      <c r="E6423" s="98"/>
      <c r="F6423" s="102"/>
      <c r="G6423" s="103"/>
    </row>
    <row r="6424" spans="1:7" x14ac:dyDescent="0.25">
      <c r="A6424" s="101"/>
      <c r="B6424" s="36"/>
      <c r="C6424" s="98"/>
      <c r="D6424" s="98"/>
      <c r="E6424" s="98"/>
      <c r="F6424" s="102"/>
      <c r="G6424" s="103"/>
    </row>
    <row r="6425" spans="1:7" x14ac:dyDescent="0.25">
      <c r="A6425" s="101"/>
      <c r="B6425" s="36"/>
      <c r="C6425" s="98"/>
      <c r="D6425" s="98"/>
      <c r="E6425" s="98"/>
      <c r="F6425" s="102"/>
      <c r="G6425" s="103"/>
    </row>
    <row r="6426" spans="1:7" x14ac:dyDescent="0.25">
      <c r="A6426" s="101"/>
      <c r="B6426" s="36"/>
      <c r="C6426" s="98"/>
      <c r="D6426" s="98"/>
      <c r="E6426" s="98"/>
      <c r="F6426" s="102"/>
      <c r="G6426" s="103"/>
    </row>
    <row r="6427" spans="1:7" x14ac:dyDescent="0.25">
      <c r="A6427" s="101"/>
      <c r="B6427" s="36"/>
      <c r="C6427" s="98"/>
      <c r="D6427" s="98"/>
      <c r="E6427" s="98"/>
      <c r="F6427" s="102"/>
      <c r="G6427" s="103"/>
    </row>
    <row r="6428" spans="1:7" x14ac:dyDescent="0.25">
      <c r="A6428" s="101"/>
      <c r="B6428" s="36"/>
      <c r="C6428" s="98"/>
      <c r="D6428" s="98"/>
      <c r="E6428" s="98"/>
      <c r="F6428" s="102"/>
      <c r="G6428" s="103"/>
    </row>
    <row r="6429" spans="1:7" x14ac:dyDescent="0.25">
      <c r="A6429" s="101"/>
      <c r="B6429" s="36"/>
      <c r="C6429" s="98"/>
      <c r="D6429" s="98"/>
      <c r="E6429" s="98"/>
      <c r="F6429" s="102"/>
      <c r="G6429" s="103"/>
    </row>
    <row r="6430" spans="1:7" x14ac:dyDescent="0.25">
      <c r="A6430" s="101"/>
      <c r="B6430" s="36"/>
      <c r="C6430" s="98"/>
      <c r="D6430" s="98"/>
      <c r="E6430" s="98"/>
      <c r="F6430" s="102"/>
      <c r="G6430" s="103"/>
    </row>
    <row r="6431" spans="1:7" x14ac:dyDescent="0.25">
      <c r="A6431" s="101"/>
      <c r="B6431" s="36"/>
      <c r="C6431" s="98"/>
      <c r="D6431" s="98"/>
      <c r="E6431" s="98"/>
      <c r="F6431" s="102"/>
      <c r="G6431" s="103"/>
    </row>
    <row r="6432" spans="1:7" x14ac:dyDescent="0.25">
      <c r="A6432" s="101"/>
      <c r="B6432" s="36"/>
      <c r="C6432" s="98"/>
      <c r="D6432" s="98"/>
      <c r="E6432" s="98"/>
      <c r="F6432" s="102"/>
      <c r="G6432" s="103"/>
    </row>
    <row r="6433" spans="1:7" x14ac:dyDescent="0.25">
      <c r="A6433" s="101"/>
      <c r="B6433" s="36"/>
      <c r="C6433" s="98"/>
      <c r="D6433" s="98"/>
      <c r="E6433" s="98"/>
      <c r="F6433" s="102"/>
      <c r="G6433" s="103"/>
    </row>
    <row r="6434" spans="1:7" x14ac:dyDescent="0.25">
      <c r="A6434" s="101"/>
      <c r="B6434" s="36"/>
      <c r="C6434" s="98"/>
      <c r="D6434" s="98"/>
      <c r="E6434" s="98"/>
      <c r="F6434" s="102"/>
      <c r="G6434" s="103"/>
    </row>
    <row r="6435" spans="1:7" x14ac:dyDescent="0.25">
      <c r="A6435" s="101"/>
      <c r="B6435" s="36"/>
      <c r="C6435" s="98"/>
      <c r="D6435" s="98"/>
      <c r="E6435" s="98"/>
      <c r="F6435" s="102"/>
      <c r="G6435" s="103"/>
    </row>
    <row r="6436" spans="1:7" x14ac:dyDescent="0.25">
      <c r="A6436" s="101"/>
      <c r="B6436" s="36"/>
      <c r="C6436" s="98"/>
      <c r="D6436" s="98"/>
      <c r="E6436" s="98"/>
      <c r="F6436" s="102"/>
      <c r="G6436" s="103"/>
    </row>
    <row r="6437" spans="1:7" x14ac:dyDescent="0.25">
      <c r="A6437" s="101"/>
      <c r="B6437" s="36"/>
      <c r="C6437" s="98"/>
      <c r="D6437" s="98"/>
      <c r="E6437" s="98"/>
      <c r="F6437" s="102"/>
      <c r="G6437" s="103"/>
    </row>
    <row r="6438" spans="1:7" x14ac:dyDescent="0.25">
      <c r="A6438" s="101"/>
      <c r="B6438" s="36"/>
      <c r="C6438" s="98"/>
      <c r="D6438" s="98"/>
      <c r="E6438" s="98"/>
      <c r="F6438" s="102"/>
      <c r="G6438" s="103"/>
    </row>
    <row r="6439" spans="1:7" x14ac:dyDescent="0.25">
      <c r="A6439" s="101"/>
      <c r="B6439" s="36"/>
      <c r="C6439" s="98"/>
      <c r="D6439" s="98"/>
      <c r="E6439" s="98"/>
      <c r="F6439" s="102"/>
      <c r="G6439" s="103"/>
    </row>
    <row r="6440" spans="1:7" x14ac:dyDescent="0.25">
      <c r="A6440" s="101"/>
      <c r="B6440" s="36"/>
      <c r="C6440" s="98"/>
      <c r="D6440" s="98"/>
      <c r="E6440" s="98"/>
      <c r="F6440" s="102"/>
      <c r="G6440" s="103"/>
    </row>
    <row r="6441" spans="1:7" x14ac:dyDescent="0.25">
      <c r="A6441" s="101"/>
      <c r="B6441" s="36"/>
      <c r="C6441" s="98"/>
      <c r="D6441" s="98"/>
      <c r="E6441" s="98"/>
      <c r="F6441" s="102"/>
      <c r="G6441" s="103"/>
    </row>
    <row r="6442" spans="1:7" x14ac:dyDescent="0.25">
      <c r="A6442" s="101"/>
      <c r="B6442" s="36"/>
      <c r="C6442" s="98"/>
      <c r="D6442" s="98"/>
      <c r="E6442" s="98"/>
      <c r="F6442" s="102"/>
      <c r="G6442" s="103"/>
    </row>
    <row r="6443" spans="1:7" x14ac:dyDescent="0.25">
      <c r="A6443" s="101"/>
      <c r="B6443" s="36"/>
      <c r="C6443" s="98"/>
      <c r="D6443" s="98"/>
      <c r="E6443" s="98"/>
      <c r="F6443" s="102"/>
      <c r="G6443" s="103"/>
    </row>
    <row r="6444" spans="1:7" x14ac:dyDescent="0.25">
      <c r="A6444" s="101"/>
      <c r="B6444" s="36"/>
      <c r="C6444" s="98"/>
      <c r="D6444" s="98"/>
      <c r="E6444" s="98"/>
      <c r="F6444" s="102"/>
      <c r="G6444" s="103"/>
    </row>
    <row r="6445" spans="1:7" x14ac:dyDescent="0.25">
      <c r="A6445" s="101"/>
      <c r="B6445" s="36"/>
      <c r="C6445" s="98"/>
      <c r="D6445" s="98"/>
      <c r="E6445" s="98"/>
      <c r="F6445" s="102"/>
      <c r="G6445" s="103"/>
    </row>
    <row r="6446" spans="1:7" x14ac:dyDescent="0.25">
      <c r="A6446" s="101"/>
      <c r="B6446" s="36"/>
      <c r="C6446" s="98"/>
      <c r="D6446" s="98"/>
      <c r="E6446" s="98"/>
      <c r="F6446" s="102"/>
      <c r="G6446" s="103"/>
    </row>
    <row r="6447" spans="1:7" x14ac:dyDescent="0.25">
      <c r="A6447" s="101"/>
      <c r="B6447" s="36"/>
      <c r="C6447" s="98"/>
      <c r="D6447" s="98"/>
      <c r="E6447" s="98"/>
      <c r="F6447" s="102"/>
      <c r="G6447" s="103"/>
    </row>
    <row r="6448" spans="1:7" x14ac:dyDescent="0.25">
      <c r="A6448" s="101"/>
      <c r="B6448" s="36"/>
      <c r="C6448" s="98"/>
      <c r="D6448" s="98"/>
      <c r="E6448" s="98"/>
      <c r="F6448" s="102"/>
      <c r="G6448" s="103"/>
    </row>
    <row r="6449" spans="1:7" x14ac:dyDescent="0.25">
      <c r="A6449" s="101"/>
      <c r="B6449" s="36"/>
      <c r="C6449" s="98"/>
      <c r="D6449" s="98"/>
      <c r="E6449" s="98"/>
      <c r="F6449" s="102"/>
      <c r="G6449" s="103"/>
    </row>
    <row r="6450" spans="1:7" x14ac:dyDescent="0.25">
      <c r="A6450" s="101"/>
      <c r="B6450" s="36"/>
      <c r="C6450" s="98"/>
      <c r="D6450" s="98"/>
      <c r="E6450" s="98"/>
      <c r="F6450" s="102"/>
      <c r="G6450" s="103"/>
    </row>
    <row r="6451" spans="1:7" x14ac:dyDescent="0.25">
      <c r="A6451" s="101"/>
      <c r="B6451" s="66"/>
      <c r="C6451" s="98"/>
      <c r="D6451" s="98"/>
      <c r="E6451" s="98"/>
      <c r="F6451" s="102"/>
      <c r="G6451" s="103"/>
    </row>
    <row r="6452" spans="1:7" x14ac:dyDescent="0.25">
      <c r="A6452" s="101"/>
      <c r="B6452" s="36"/>
      <c r="C6452" s="98"/>
      <c r="D6452" s="98"/>
      <c r="E6452" s="98"/>
      <c r="F6452" s="102"/>
      <c r="G6452" s="103"/>
    </row>
    <row r="6453" spans="1:7" x14ac:dyDescent="0.25">
      <c r="A6453" s="101"/>
      <c r="B6453" s="36"/>
      <c r="C6453" s="98"/>
      <c r="D6453" s="98"/>
      <c r="E6453" s="98"/>
      <c r="F6453" s="102"/>
      <c r="G6453" s="103"/>
    </row>
    <row r="6454" spans="1:7" x14ac:dyDescent="0.25">
      <c r="A6454" s="101"/>
      <c r="B6454" s="36"/>
      <c r="C6454" s="98"/>
      <c r="D6454" s="98"/>
      <c r="E6454" s="98"/>
      <c r="F6454" s="102"/>
      <c r="G6454" s="103"/>
    </row>
    <row r="6455" spans="1:7" x14ac:dyDescent="0.25">
      <c r="A6455" s="101"/>
      <c r="B6455" s="36"/>
      <c r="C6455" s="98"/>
      <c r="D6455" s="98"/>
      <c r="E6455" s="98"/>
      <c r="F6455" s="102"/>
      <c r="G6455" s="103"/>
    </row>
    <row r="6456" spans="1:7" x14ac:dyDescent="0.25">
      <c r="A6456" s="101"/>
      <c r="B6456" s="36"/>
      <c r="C6456" s="98"/>
      <c r="D6456" s="98"/>
      <c r="E6456" s="98"/>
      <c r="F6456" s="102"/>
      <c r="G6456" s="103"/>
    </row>
    <row r="6457" spans="1:7" x14ac:dyDescent="0.25">
      <c r="A6457" s="101"/>
      <c r="B6457" s="36"/>
      <c r="C6457" s="98"/>
      <c r="D6457" s="98"/>
      <c r="E6457" s="98"/>
      <c r="F6457" s="102"/>
      <c r="G6457" s="103"/>
    </row>
    <row r="6458" spans="1:7" x14ac:dyDescent="0.25">
      <c r="A6458" s="101"/>
      <c r="B6458" s="36"/>
      <c r="C6458" s="98"/>
      <c r="D6458" s="98"/>
      <c r="E6458" s="98"/>
      <c r="F6458" s="102"/>
      <c r="G6458" s="103"/>
    </row>
    <row r="6459" spans="1:7" x14ac:dyDescent="0.25">
      <c r="A6459" s="101"/>
      <c r="B6459" s="36"/>
      <c r="C6459" s="98"/>
      <c r="D6459" s="98"/>
      <c r="E6459" s="98"/>
      <c r="F6459" s="102"/>
      <c r="G6459" s="103"/>
    </row>
    <row r="6460" spans="1:7" x14ac:dyDescent="0.25">
      <c r="A6460" s="101"/>
      <c r="B6460" s="36"/>
      <c r="C6460" s="98"/>
      <c r="D6460" s="98"/>
      <c r="E6460" s="98"/>
      <c r="F6460" s="102"/>
      <c r="G6460" s="103"/>
    </row>
    <row r="6461" spans="1:7" x14ac:dyDescent="0.25">
      <c r="A6461" s="101"/>
      <c r="B6461" s="36"/>
      <c r="C6461" s="98"/>
      <c r="D6461" s="98"/>
      <c r="E6461" s="98"/>
      <c r="F6461" s="102"/>
      <c r="G6461" s="103"/>
    </row>
    <row r="6462" spans="1:7" x14ac:dyDescent="0.25">
      <c r="A6462" s="101"/>
      <c r="B6462" s="36"/>
      <c r="C6462" s="98"/>
      <c r="D6462" s="98"/>
      <c r="E6462" s="98"/>
      <c r="F6462" s="102"/>
      <c r="G6462" s="103"/>
    </row>
    <row r="6463" spans="1:7" x14ac:dyDescent="0.25">
      <c r="A6463" s="101"/>
      <c r="B6463" s="36"/>
      <c r="C6463" s="98"/>
      <c r="D6463" s="98"/>
      <c r="E6463" s="98"/>
      <c r="F6463" s="102"/>
      <c r="G6463" s="103"/>
    </row>
    <row r="6464" spans="1:7" x14ac:dyDescent="0.25">
      <c r="A6464" s="101"/>
      <c r="B6464" s="36"/>
      <c r="C6464" s="98"/>
      <c r="D6464" s="98"/>
      <c r="E6464" s="98"/>
      <c r="F6464" s="102"/>
      <c r="G6464" s="103"/>
    </row>
    <row r="6465" spans="1:7" x14ac:dyDescent="0.25">
      <c r="A6465" s="101"/>
      <c r="B6465" s="36"/>
      <c r="C6465" s="98"/>
      <c r="D6465" s="98"/>
      <c r="E6465" s="98"/>
      <c r="F6465" s="102"/>
      <c r="G6465" s="103"/>
    </row>
    <row r="6466" spans="1:7" x14ac:dyDescent="0.25">
      <c r="A6466" s="101"/>
      <c r="B6466" s="36"/>
      <c r="C6466" s="98"/>
      <c r="D6466" s="98"/>
      <c r="E6466" s="98"/>
      <c r="F6466" s="102"/>
      <c r="G6466" s="103"/>
    </row>
    <row r="6467" spans="1:7" x14ac:dyDescent="0.25">
      <c r="A6467" s="101"/>
      <c r="B6467" s="36"/>
      <c r="C6467" s="98"/>
      <c r="D6467" s="98"/>
      <c r="E6467" s="98"/>
      <c r="F6467" s="102"/>
      <c r="G6467" s="103"/>
    </row>
    <row r="6468" spans="1:7" x14ac:dyDescent="0.25">
      <c r="A6468" s="101"/>
      <c r="B6468" s="36"/>
      <c r="C6468" s="98"/>
      <c r="D6468" s="98"/>
      <c r="E6468" s="98"/>
      <c r="F6468" s="102"/>
      <c r="G6468" s="103"/>
    </row>
    <row r="6469" spans="1:7" x14ac:dyDescent="0.25">
      <c r="A6469" s="101"/>
      <c r="B6469" s="36"/>
      <c r="C6469" s="98"/>
      <c r="D6469" s="98"/>
      <c r="E6469" s="98"/>
      <c r="F6469" s="102"/>
      <c r="G6469" s="103"/>
    </row>
    <row r="6470" spans="1:7" x14ac:dyDescent="0.25">
      <c r="A6470" s="101"/>
      <c r="B6470" s="36"/>
      <c r="C6470" s="98"/>
      <c r="D6470" s="98"/>
      <c r="E6470" s="98"/>
      <c r="F6470" s="102"/>
      <c r="G6470" s="103"/>
    </row>
    <row r="6471" spans="1:7" x14ac:dyDescent="0.25">
      <c r="A6471" s="101"/>
      <c r="B6471" s="36"/>
      <c r="C6471" s="98"/>
      <c r="D6471" s="98"/>
      <c r="E6471" s="98"/>
      <c r="F6471" s="102"/>
      <c r="G6471" s="103"/>
    </row>
    <row r="6472" spans="1:7" x14ac:dyDescent="0.25">
      <c r="A6472" s="101"/>
      <c r="B6472" s="36"/>
      <c r="C6472" s="98"/>
      <c r="D6472" s="98"/>
      <c r="E6472" s="98"/>
      <c r="F6472" s="102"/>
      <c r="G6472" s="103"/>
    </row>
    <row r="6473" spans="1:7" x14ac:dyDescent="0.25">
      <c r="A6473" s="101"/>
      <c r="B6473" s="36"/>
      <c r="C6473" s="98"/>
      <c r="D6473" s="98"/>
      <c r="E6473" s="98"/>
      <c r="F6473" s="102"/>
      <c r="G6473" s="103"/>
    </row>
    <row r="6474" spans="1:7" x14ac:dyDescent="0.25">
      <c r="A6474" s="101"/>
      <c r="B6474" s="36"/>
      <c r="C6474" s="98"/>
      <c r="D6474" s="98"/>
      <c r="E6474" s="98"/>
      <c r="F6474" s="102"/>
      <c r="G6474" s="103"/>
    </row>
    <row r="6475" spans="1:7" x14ac:dyDescent="0.25">
      <c r="A6475" s="101"/>
      <c r="B6475" s="36"/>
      <c r="C6475" s="98"/>
      <c r="D6475" s="98"/>
      <c r="E6475" s="98"/>
      <c r="F6475" s="102"/>
      <c r="G6475" s="103"/>
    </row>
    <row r="6476" spans="1:7" x14ac:dyDescent="0.25">
      <c r="A6476" s="101"/>
      <c r="B6476" s="36"/>
      <c r="C6476" s="98"/>
      <c r="D6476" s="98"/>
      <c r="E6476" s="98"/>
      <c r="F6476" s="102"/>
      <c r="G6476" s="103"/>
    </row>
    <row r="6477" spans="1:7" x14ac:dyDescent="0.25">
      <c r="A6477" s="101"/>
      <c r="B6477" s="36"/>
      <c r="C6477" s="98"/>
      <c r="D6477" s="98"/>
      <c r="E6477" s="98"/>
      <c r="F6477" s="102"/>
      <c r="G6477" s="103"/>
    </row>
    <row r="6478" spans="1:7" x14ac:dyDescent="0.25">
      <c r="A6478" s="101"/>
      <c r="B6478" s="36"/>
      <c r="C6478" s="98"/>
      <c r="D6478" s="98"/>
      <c r="E6478" s="98"/>
      <c r="F6478" s="102"/>
      <c r="G6478" s="103"/>
    </row>
    <row r="6479" spans="1:7" x14ac:dyDescent="0.25">
      <c r="A6479" s="101"/>
      <c r="B6479" s="36"/>
      <c r="C6479" s="98"/>
      <c r="D6479" s="98"/>
      <c r="E6479" s="98"/>
      <c r="F6479" s="102"/>
      <c r="G6479" s="103"/>
    </row>
    <row r="6480" spans="1:7" x14ac:dyDescent="0.25">
      <c r="A6480" s="101"/>
      <c r="B6480" s="36"/>
      <c r="C6480" s="98"/>
      <c r="D6480" s="98"/>
      <c r="E6480" s="98"/>
      <c r="F6480" s="102"/>
      <c r="G6480" s="103"/>
    </row>
    <row r="6481" spans="1:7" x14ac:dyDescent="0.25">
      <c r="A6481" s="101"/>
      <c r="B6481" s="36"/>
      <c r="C6481" s="98"/>
      <c r="D6481" s="98"/>
      <c r="E6481" s="98"/>
      <c r="F6481" s="102"/>
      <c r="G6481" s="103"/>
    </row>
    <row r="6482" spans="1:7" x14ac:dyDescent="0.25">
      <c r="A6482" s="101"/>
      <c r="B6482" s="36"/>
      <c r="C6482" s="98"/>
      <c r="D6482" s="98"/>
      <c r="E6482" s="98"/>
      <c r="F6482" s="102"/>
      <c r="G6482" s="103"/>
    </row>
    <row r="6483" spans="1:7" x14ac:dyDescent="0.25">
      <c r="A6483" s="101"/>
      <c r="B6483" s="36"/>
      <c r="C6483" s="98"/>
      <c r="D6483" s="98"/>
      <c r="E6483" s="98"/>
      <c r="F6483" s="102"/>
      <c r="G6483" s="103"/>
    </row>
    <row r="6484" spans="1:7" x14ac:dyDescent="0.25">
      <c r="A6484" s="101"/>
      <c r="B6484" s="36"/>
      <c r="C6484" s="98"/>
      <c r="D6484" s="98"/>
      <c r="E6484" s="98"/>
      <c r="F6484" s="102"/>
      <c r="G6484" s="103"/>
    </row>
    <row r="6485" spans="1:7" x14ac:dyDescent="0.25">
      <c r="A6485" s="101"/>
      <c r="B6485" s="36"/>
      <c r="C6485" s="98"/>
      <c r="D6485" s="98"/>
      <c r="E6485" s="98"/>
      <c r="F6485" s="102"/>
      <c r="G6485" s="103"/>
    </row>
    <row r="6486" spans="1:7" x14ac:dyDescent="0.25">
      <c r="A6486" s="101"/>
      <c r="B6486" s="36"/>
      <c r="C6486" s="98"/>
      <c r="D6486" s="98"/>
      <c r="E6486" s="98"/>
      <c r="F6486" s="102"/>
      <c r="G6486" s="103"/>
    </row>
    <row r="6487" spans="1:7" x14ac:dyDescent="0.25">
      <c r="A6487" s="101"/>
      <c r="B6487" s="36"/>
      <c r="C6487" s="98"/>
      <c r="D6487" s="98"/>
      <c r="E6487" s="98"/>
      <c r="F6487" s="102"/>
      <c r="G6487" s="103"/>
    </row>
    <row r="6488" spans="1:7" x14ac:dyDescent="0.25">
      <c r="A6488" s="101"/>
      <c r="B6488" s="36"/>
      <c r="C6488" s="98"/>
      <c r="D6488" s="98"/>
      <c r="E6488" s="98"/>
      <c r="F6488" s="102"/>
      <c r="G6488" s="103"/>
    </row>
    <row r="6489" spans="1:7" x14ac:dyDescent="0.25">
      <c r="A6489" s="101"/>
      <c r="B6489" s="36"/>
      <c r="C6489" s="98"/>
      <c r="D6489" s="98"/>
      <c r="E6489" s="98"/>
      <c r="F6489" s="102"/>
      <c r="G6489" s="103"/>
    </row>
    <row r="6490" spans="1:7" x14ac:dyDescent="0.25">
      <c r="A6490" s="101"/>
      <c r="B6490" s="36"/>
      <c r="C6490" s="98"/>
      <c r="D6490" s="98"/>
      <c r="E6490" s="98"/>
      <c r="F6490" s="102"/>
      <c r="G6490" s="103"/>
    </row>
    <row r="6491" spans="1:7" x14ac:dyDescent="0.25">
      <c r="A6491" s="101"/>
      <c r="B6491" s="36"/>
      <c r="C6491" s="98"/>
      <c r="D6491" s="98"/>
      <c r="E6491" s="98"/>
      <c r="F6491" s="102"/>
      <c r="G6491" s="103"/>
    </row>
    <row r="6492" spans="1:7" x14ac:dyDescent="0.25">
      <c r="A6492" s="101"/>
      <c r="B6492" s="36"/>
      <c r="C6492" s="98"/>
      <c r="D6492" s="98"/>
      <c r="E6492" s="98"/>
      <c r="F6492" s="102"/>
      <c r="G6492" s="103"/>
    </row>
    <row r="6493" spans="1:7" x14ac:dyDescent="0.25">
      <c r="A6493" s="101"/>
      <c r="B6493" s="36"/>
      <c r="C6493" s="98"/>
      <c r="D6493" s="98"/>
      <c r="E6493" s="98"/>
      <c r="F6493" s="102"/>
      <c r="G6493" s="103"/>
    </row>
    <row r="6494" spans="1:7" x14ac:dyDescent="0.25">
      <c r="A6494" s="101"/>
      <c r="B6494" s="12"/>
      <c r="C6494" s="105"/>
      <c r="D6494" s="105"/>
      <c r="E6494" s="105"/>
      <c r="F6494" s="102"/>
      <c r="G6494" s="103"/>
    </row>
    <row r="6495" spans="1:7" x14ac:dyDescent="0.25">
      <c r="A6495" s="101"/>
      <c r="B6495" s="12"/>
      <c r="C6495" s="105"/>
      <c r="D6495" s="105"/>
      <c r="E6495" s="105"/>
      <c r="F6495" s="102"/>
      <c r="G6495" s="103"/>
    </row>
    <row r="6496" spans="1:7" x14ac:dyDescent="0.25">
      <c r="A6496" s="101"/>
      <c r="B6496" s="10"/>
      <c r="C6496" s="105"/>
      <c r="D6496" s="105"/>
      <c r="E6496" s="105"/>
      <c r="F6496" s="102"/>
      <c r="G6496" s="103"/>
    </row>
    <row r="6497" spans="1:7" x14ac:dyDescent="0.25">
      <c r="A6497" s="101"/>
      <c r="B6497" s="10"/>
      <c r="C6497" s="105"/>
      <c r="D6497" s="105"/>
      <c r="E6497" s="105"/>
      <c r="F6497" s="102"/>
      <c r="G6497" s="103"/>
    </row>
    <row r="6498" spans="1:7" x14ac:dyDescent="0.25">
      <c r="A6498" s="101"/>
      <c r="B6498" s="10"/>
      <c r="C6498" s="105"/>
      <c r="D6498" s="105"/>
      <c r="E6498" s="105"/>
      <c r="F6498" s="102"/>
      <c r="G6498" s="103"/>
    </row>
    <row r="6499" spans="1:7" x14ac:dyDescent="0.25">
      <c r="A6499" s="101"/>
      <c r="B6499" s="36"/>
      <c r="C6499" s="105"/>
      <c r="D6499" s="105"/>
      <c r="E6499" s="105"/>
      <c r="F6499" s="102"/>
      <c r="G6499" s="103"/>
    </row>
    <row r="6500" spans="1:7" x14ac:dyDescent="0.25">
      <c r="A6500" s="101"/>
      <c r="B6500" s="36"/>
      <c r="C6500" s="105"/>
      <c r="D6500" s="105"/>
      <c r="E6500" s="105"/>
      <c r="F6500" s="102"/>
      <c r="G6500" s="103"/>
    </row>
    <row r="6501" spans="1:7" x14ac:dyDescent="0.25">
      <c r="A6501" s="101"/>
      <c r="B6501" s="36"/>
      <c r="C6501" s="105"/>
      <c r="D6501" s="105"/>
      <c r="E6501" s="105"/>
      <c r="F6501" s="102"/>
      <c r="G6501" s="103"/>
    </row>
    <row r="6502" spans="1:7" x14ac:dyDescent="0.25">
      <c r="A6502" s="101"/>
      <c r="B6502" s="36"/>
      <c r="C6502" s="105"/>
      <c r="D6502" s="105"/>
      <c r="E6502" s="105"/>
      <c r="F6502" s="102"/>
      <c r="G6502" s="103"/>
    </row>
    <row r="6503" spans="1:7" x14ac:dyDescent="0.25">
      <c r="A6503" s="101"/>
      <c r="B6503" s="36"/>
      <c r="C6503" s="105"/>
      <c r="D6503" s="105"/>
      <c r="E6503" s="105"/>
      <c r="F6503" s="102"/>
      <c r="G6503" s="103"/>
    </row>
    <row r="6504" spans="1:7" x14ac:dyDescent="0.25">
      <c r="A6504" s="101"/>
      <c r="B6504" s="36"/>
      <c r="C6504" s="105"/>
      <c r="D6504" s="105"/>
      <c r="E6504" s="105"/>
      <c r="F6504" s="102"/>
      <c r="G6504" s="103"/>
    </row>
    <row r="6505" spans="1:7" x14ac:dyDescent="0.25">
      <c r="A6505" s="101"/>
      <c r="B6505" s="36"/>
      <c r="C6505" s="105"/>
      <c r="D6505" s="105"/>
      <c r="E6505" s="105"/>
      <c r="F6505" s="102"/>
      <c r="G6505" s="103"/>
    </row>
    <row r="6506" spans="1:7" x14ac:dyDescent="0.25">
      <c r="A6506" s="101"/>
      <c r="B6506" s="36"/>
      <c r="C6506" s="105"/>
      <c r="D6506" s="105"/>
      <c r="E6506" s="105"/>
      <c r="F6506" s="102"/>
      <c r="G6506" s="103"/>
    </row>
    <row r="6507" spans="1:7" x14ac:dyDescent="0.25">
      <c r="A6507" s="101"/>
      <c r="B6507" s="36"/>
      <c r="C6507" s="105"/>
      <c r="D6507" s="105"/>
      <c r="E6507" s="105"/>
      <c r="F6507" s="102"/>
      <c r="G6507" s="103"/>
    </row>
    <row r="6508" spans="1:7" x14ac:dyDescent="0.25">
      <c r="A6508" s="101"/>
      <c r="B6508" s="36"/>
      <c r="C6508" s="105"/>
      <c r="D6508" s="105"/>
      <c r="E6508" s="105"/>
      <c r="F6508" s="102"/>
      <c r="G6508" s="103"/>
    </row>
    <row r="6509" spans="1:7" x14ac:dyDescent="0.25">
      <c r="A6509" s="101"/>
      <c r="B6509" s="36"/>
      <c r="C6509" s="105"/>
      <c r="D6509" s="105"/>
      <c r="E6509" s="105"/>
      <c r="F6509" s="102"/>
      <c r="G6509" s="103"/>
    </row>
    <row r="6510" spans="1:7" x14ac:dyDescent="0.25">
      <c r="A6510" s="101"/>
      <c r="B6510" s="36"/>
      <c r="C6510" s="105"/>
      <c r="D6510" s="105"/>
      <c r="E6510" s="105"/>
      <c r="F6510" s="102"/>
      <c r="G6510" s="103"/>
    </row>
    <row r="6511" spans="1:7" x14ac:dyDescent="0.25">
      <c r="A6511" s="101"/>
      <c r="B6511" s="36"/>
      <c r="C6511" s="105"/>
      <c r="D6511" s="105"/>
      <c r="E6511" s="105"/>
      <c r="F6511" s="102"/>
      <c r="G6511" s="103"/>
    </row>
    <row r="6512" spans="1:7" x14ac:dyDescent="0.25">
      <c r="A6512" s="101"/>
      <c r="B6512" s="36"/>
      <c r="C6512" s="105"/>
      <c r="D6512" s="105"/>
      <c r="E6512" s="105"/>
      <c r="F6512" s="102"/>
      <c r="G6512" s="103"/>
    </row>
    <row r="6513" spans="1:7" x14ac:dyDescent="0.25">
      <c r="A6513" s="101"/>
      <c r="B6513" s="36"/>
      <c r="C6513" s="105"/>
      <c r="D6513" s="105"/>
      <c r="E6513" s="105"/>
      <c r="F6513" s="102"/>
      <c r="G6513" s="103"/>
    </row>
    <row r="6514" spans="1:7" x14ac:dyDescent="0.25">
      <c r="A6514" s="101"/>
      <c r="B6514" s="36"/>
      <c r="C6514" s="105"/>
      <c r="D6514" s="105"/>
      <c r="E6514" s="105"/>
      <c r="F6514" s="102"/>
      <c r="G6514" s="103"/>
    </row>
    <row r="6515" spans="1:7" x14ac:dyDescent="0.25">
      <c r="A6515" s="101"/>
      <c r="B6515" s="36"/>
      <c r="C6515" s="105"/>
      <c r="D6515" s="105"/>
      <c r="E6515" s="105"/>
      <c r="F6515" s="102"/>
      <c r="G6515" s="103"/>
    </row>
    <row r="6516" spans="1:7" x14ac:dyDescent="0.25">
      <c r="A6516" s="101"/>
      <c r="B6516" s="36"/>
      <c r="C6516" s="105"/>
      <c r="D6516" s="105"/>
      <c r="E6516" s="105"/>
      <c r="F6516" s="102"/>
      <c r="G6516" s="103"/>
    </row>
    <row r="6517" spans="1:7" x14ac:dyDescent="0.25">
      <c r="A6517" s="101"/>
      <c r="B6517" s="36"/>
      <c r="C6517" s="105"/>
      <c r="D6517" s="105"/>
      <c r="E6517" s="105"/>
      <c r="F6517" s="102"/>
      <c r="G6517" s="103"/>
    </row>
    <row r="6518" spans="1:7" x14ac:dyDescent="0.25">
      <c r="A6518" s="101"/>
      <c r="B6518" s="36"/>
      <c r="C6518" s="105"/>
      <c r="D6518" s="105"/>
      <c r="E6518" s="105"/>
      <c r="F6518" s="102"/>
      <c r="G6518" s="103"/>
    </row>
    <row r="6519" spans="1:7" x14ac:dyDescent="0.25">
      <c r="A6519" s="101"/>
      <c r="B6519" s="36"/>
      <c r="C6519" s="105"/>
      <c r="D6519" s="105"/>
      <c r="E6519" s="105"/>
      <c r="F6519" s="102"/>
      <c r="G6519" s="103"/>
    </row>
    <row r="6520" spans="1:7" x14ac:dyDescent="0.25">
      <c r="A6520" s="101"/>
      <c r="B6520" s="12"/>
      <c r="C6520" s="105"/>
      <c r="D6520" s="105"/>
      <c r="E6520" s="105"/>
      <c r="F6520" s="102"/>
      <c r="G6520" s="103"/>
    </row>
    <row r="6521" spans="1:7" x14ac:dyDescent="0.25">
      <c r="A6521" s="101"/>
      <c r="B6521" s="36"/>
      <c r="C6521" s="105"/>
      <c r="D6521" s="105"/>
      <c r="E6521" s="105"/>
      <c r="F6521" s="102"/>
      <c r="G6521" s="103"/>
    </row>
    <row r="6522" spans="1:7" x14ac:dyDescent="0.25">
      <c r="A6522" s="101"/>
      <c r="B6522" s="36"/>
      <c r="C6522" s="105"/>
      <c r="D6522" s="105"/>
      <c r="E6522" s="105"/>
      <c r="F6522" s="102"/>
      <c r="G6522" s="103"/>
    </row>
    <row r="6523" spans="1:7" x14ac:dyDescent="0.25">
      <c r="A6523" s="101"/>
      <c r="B6523" s="36"/>
      <c r="C6523" s="105"/>
      <c r="D6523" s="105"/>
      <c r="E6523" s="105"/>
      <c r="F6523" s="102"/>
      <c r="G6523" s="103"/>
    </row>
    <row r="6524" spans="1:7" x14ac:dyDescent="0.25">
      <c r="A6524" s="101"/>
      <c r="B6524" s="36"/>
      <c r="C6524" s="105"/>
      <c r="D6524" s="105"/>
      <c r="E6524" s="105"/>
      <c r="F6524" s="102"/>
      <c r="G6524" s="103"/>
    </row>
    <row r="6525" spans="1:7" x14ac:dyDescent="0.25">
      <c r="A6525" s="101"/>
      <c r="B6525" s="36"/>
      <c r="C6525" s="105"/>
      <c r="D6525" s="105"/>
      <c r="E6525" s="105"/>
      <c r="F6525" s="102"/>
      <c r="G6525" s="103"/>
    </row>
    <row r="6526" spans="1:7" x14ac:dyDescent="0.25">
      <c r="A6526" s="101"/>
      <c r="B6526" s="36"/>
      <c r="C6526" s="105"/>
      <c r="D6526" s="105"/>
      <c r="E6526" s="105"/>
      <c r="F6526" s="102"/>
      <c r="G6526" s="103"/>
    </row>
    <row r="6527" spans="1:7" x14ac:dyDescent="0.25">
      <c r="A6527" s="101"/>
      <c r="B6527" s="36"/>
      <c r="C6527" s="105"/>
      <c r="D6527" s="105"/>
      <c r="E6527" s="105"/>
      <c r="F6527" s="102"/>
      <c r="G6527" s="103"/>
    </row>
    <row r="6528" spans="1:7" x14ac:dyDescent="0.25">
      <c r="A6528" s="101"/>
      <c r="B6528" s="36"/>
      <c r="C6528" s="105"/>
      <c r="D6528" s="105"/>
      <c r="E6528" s="105"/>
      <c r="F6528" s="102"/>
      <c r="G6528" s="103"/>
    </row>
    <row r="6529" spans="1:7" x14ac:dyDescent="0.25">
      <c r="A6529" s="101"/>
      <c r="B6529" s="36"/>
      <c r="C6529" s="105"/>
      <c r="D6529" s="105"/>
      <c r="E6529" s="105"/>
      <c r="F6529" s="102"/>
      <c r="G6529" s="103"/>
    </row>
    <row r="6530" spans="1:7" x14ac:dyDescent="0.25">
      <c r="A6530" s="101"/>
      <c r="B6530" s="36"/>
      <c r="C6530" s="105"/>
      <c r="D6530" s="105"/>
      <c r="E6530" s="105"/>
      <c r="F6530" s="102"/>
      <c r="G6530" s="103"/>
    </row>
    <row r="6531" spans="1:7" x14ac:dyDescent="0.25">
      <c r="A6531" s="101"/>
      <c r="B6531" s="36"/>
      <c r="C6531" s="105"/>
      <c r="D6531" s="105"/>
      <c r="E6531" s="105"/>
      <c r="F6531" s="102"/>
      <c r="G6531" s="103"/>
    </row>
    <row r="6532" spans="1:7" x14ac:dyDescent="0.25">
      <c r="A6532" s="101"/>
      <c r="B6532" s="36"/>
      <c r="C6532" s="105"/>
      <c r="D6532" s="105"/>
      <c r="E6532" s="105"/>
      <c r="F6532" s="102"/>
      <c r="G6532" s="103"/>
    </row>
    <row r="6533" spans="1:7" x14ac:dyDescent="0.25">
      <c r="A6533" s="101"/>
      <c r="B6533" s="36"/>
      <c r="C6533" s="105"/>
      <c r="D6533" s="105"/>
      <c r="E6533" s="105"/>
      <c r="F6533" s="102"/>
      <c r="G6533" s="103"/>
    </row>
    <row r="6534" spans="1:7" x14ac:dyDescent="0.25">
      <c r="A6534" s="101"/>
      <c r="B6534" s="36"/>
      <c r="C6534" s="105"/>
      <c r="D6534" s="105"/>
      <c r="E6534" s="105"/>
      <c r="F6534" s="102"/>
      <c r="G6534" s="103"/>
    </row>
    <row r="6535" spans="1:7" x14ac:dyDescent="0.25">
      <c r="A6535" s="101"/>
      <c r="B6535" s="36"/>
      <c r="C6535" s="105"/>
      <c r="D6535" s="105"/>
      <c r="E6535" s="105"/>
      <c r="F6535" s="102"/>
      <c r="G6535" s="103"/>
    </row>
    <row r="6536" spans="1:7" x14ac:dyDescent="0.25">
      <c r="A6536" s="101"/>
      <c r="B6536" s="36"/>
      <c r="C6536" s="105"/>
      <c r="D6536" s="105"/>
      <c r="E6536" s="105"/>
      <c r="F6536" s="102"/>
      <c r="G6536" s="103"/>
    </row>
    <row r="6537" spans="1:7" x14ac:dyDescent="0.25">
      <c r="A6537" s="101"/>
      <c r="B6537" s="36"/>
      <c r="C6537" s="105"/>
      <c r="D6537" s="105"/>
      <c r="E6537" s="105"/>
      <c r="F6537" s="102"/>
      <c r="G6537" s="103"/>
    </row>
    <row r="6538" spans="1:7" x14ac:dyDescent="0.25">
      <c r="A6538" s="101"/>
      <c r="B6538" s="36"/>
      <c r="C6538" s="105"/>
      <c r="D6538" s="105"/>
      <c r="E6538" s="105"/>
      <c r="F6538" s="102"/>
      <c r="G6538" s="103"/>
    </row>
    <row r="6539" spans="1:7" x14ac:dyDescent="0.25">
      <c r="A6539" s="101"/>
      <c r="B6539" s="36"/>
      <c r="C6539" s="105"/>
      <c r="D6539" s="105"/>
      <c r="E6539" s="105"/>
      <c r="F6539" s="102"/>
      <c r="G6539" s="103"/>
    </row>
    <row r="6540" spans="1:7" x14ac:dyDescent="0.25">
      <c r="A6540" s="101"/>
      <c r="B6540" s="36"/>
      <c r="C6540" s="105"/>
      <c r="D6540" s="105"/>
      <c r="E6540" s="105"/>
      <c r="F6540" s="102"/>
      <c r="G6540" s="103"/>
    </row>
    <row r="6541" spans="1:7" x14ac:dyDescent="0.25">
      <c r="A6541" s="101"/>
      <c r="B6541" s="36"/>
      <c r="C6541" s="105"/>
      <c r="D6541" s="105"/>
      <c r="E6541" s="105"/>
      <c r="F6541" s="102"/>
      <c r="G6541" s="103"/>
    </row>
    <row r="6542" spans="1:7" x14ac:dyDescent="0.25">
      <c r="A6542" s="101"/>
      <c r="B6542" s="36"/>
      <c r="C6542" s="105"/>
      <c r="D6542" s="105"/>
      <c r="E6542" s="105"/>
      <c r="F6542" s="102"/>
      <c r="G6542" s="103"/>
    </row>
    <row r="6543" spans="1:7" x14ac:dyDescent="0.25">
      <c r="A6543" s="101"/>
      <c r="B6543" s="36"/>
      <c r="C6543" s="105"/>
      <c r="D6543" s="105"/>
      <c r="E6543" s="105"/>
      <c r="F6543" s="102"/>
      <c r="G6543" s="103"/>
    </row>
    <row r="6544" spans="1:7" x14ac:dyDescent="0.25">
      <c r="A6544" s="101"/>
      <c r="B6544" s="36"/>
      <c r="C6544" s="105"/>
      <c r="D6544" s="105"/>
      <c r="E6544" s="105"/>
      <c r="F6544" s="102"/>
      <c r="G6544" s="103"/>
    </row>
    <row r="6545" spans="1:7" x14ac:dyDescent="0.25">
      <c r="A6545" s="101"/>
      <c r="B6545" s="36"/>
      <c r="C6545" s="105"/>
      <c r="D6545" s="105"/>
      <c r="E6545" s="105"/>
      <c r="F6545" s="102"/>
      <c r="G6545" s="103"/>
    </row>
    <row r="6546" spans="1:7" x14ac:dyDescent="0.25">
      <c r="A6546" s="101"/>
      <c r="B6546" s="36"/>
      <c r="C6546" s="105"/>
      <c r="D6546" s="105"/>
      <c r="E6546" s="105"/>
      <c r="F6546" s="102"/>
      <c r="G6546" s="103"/>
    </row>
    <row r="6547" spans="1:7" x14ac:dyDescent="0.25">
      <c r="A6547" s="101"/>
      <c r="B6547" s="36"/>
      <c r="C6547" s="105"/>
      <c r="D6547" s="105"/>
      <c r="E6547" s="105"/>
      <c r="F6547" s="102"/>
      <c r="G6547" s="103"/>
    </row>
    <row r="6548" spans="1:7" x14ac:dyDescent="0.25">
      <c r="A6548" s="101"/>
      <c r="B6548" s="36"/>
      <c r="C6548" s="105"/>
      <c r="D6548" s="105"/>
      <c r="E6548" s="105"/>
      <c r="F6548" s="102"/>
      <c r="G6548" s="103"/>
    </row>
    <row r="6549" spans="1:7" x14ac:dyDescent="0.25">
      <c r="A6549" s="101"/>
      <c r="B6549" s="36"/>
      <c r="C6549" s="105"/>
      <c r="D6549" s="105"/>
      <c r="E6549" s="105"/>
      <c r="F6549" s="102"/>
      <c r="G6549" s="103"/>
    </row>
    <row r="6550" spans="1:7" x14ac:dyDescent="0.25">
      <c r="A6550" s="101"/>
      <c r="B6550" s="36"/>
      <c r="C6550" s="105"/>
      <c r="D6550" s="105"/>
      <c r="E6550" s="105"/>
      <c r="F6550" s="102"/>
      <c r="G6550" s="103"/>
    </row>
    <row r="6551" spans="1:7" x14ac:dyDescent="0.25">
      <c r="A6551" s="101"/>
      <c r="B6551" s="36"/>
      <c r="C6551" s="105"/>
      <c r="D6551" s="105"/>
      <c r="E6551" s="105"/>
      <c r="F6551" s="102"/>
      <c r="G6551" s="103"/>
    </row>
    <row r="6552" spans="1:7" x14ac:dyDescent="0.25">
      <c r="A6552" s="101"/>
      <c r="B6552" s="36"/>
      <c r="C6552" s="105"/>
      <c r="D6552" s="105"/>
      <c r="E6552" s="105"/>
      <c r="F6552" s="102"/>
      <c r="G6552" s="103"/>
    </row>
    <row r="6553" spans="1:7" x14ac:dyDescent="0.25">
      <c r="A6553" s="101"/>
      <c r="B6553" s="14"/>
      <c r="C6553" s="105"/>
      <c r="D6553" s="105"/>
      <c r="E6553" s="105"/>
      <c r="F6553" s="102"/>
      <c r="G6553" s="103"/>
    </row>
    <row r="6554" spans="1:7" x14ac:dyDescent="0.25">
      <c r="A6554" s="101"/>
      <c r="B6554" s="36"/>
      <c r="C6554" s="105"/>
      <c r="D6554" s="105"/>
      <c r="E6554" s="105"/>
      <c r="F6554" s="102"/>
      <c r="G6554" s="103"/>
    </row>
    <row r="6555" spans="1:7" x14ac:dyDescent="0.25">
      <c r="A6555" s="101"/>
      <c r="B6555" s="36"/>
      <c r="C6555" s="105"/>
      <c r="D6555" s="105"/>
      <c r="E6555" s="105"/>
      <c r="F6555" s="102"/>
      <c r="G6555" s="103"/>
    </row>
    <row r="6556" spans="1:7" x14ac:dyDescent="0.25">
      <c r="A6556" s="101"/>
      <c r="B6556" s="36"/>
      <c r="C6556" s="105"/>
      <c r="D6556" s="105"/>
      <c r="E6556" s="105"/>
      <c r="F6556" s="102"/>
      <c r="G6556" s="103"/>
    </row>
    <row r="6557" spans="1:7" x14ac:dyDescent="0.25">
      <c r="A6557" s="101"/>
      <c r="B6557" s="36"/>
      <c r="C6557" s="105"/>
      <c r="D6557" s="105"/>
      <c r="E6557" s="105"/>
      <c r="F6557" s="102"/>
      <c r="G6557" s="103"/>
    </row>
    <row r="6558" spans="1:7" x14ac:dyDescent="0.25">
      <c r="A6558" s="101"/>
      <c r="B6558" s="36"/>
      <c r="C6558" s="105"/>
      <c r="D6558" s="105"/>
      <c r="E6558" s="105"/>
      <c r="F6558" s="102"/>
      <c r="G6558" s="103"/>
    </row>
    <row r="6559" spans="1:7" x14ac:dyDescent="0.25">
      <c r="A6559" s="101"/>
      <c r="B6559" s="36"/>
      <c r="C6559" s="105"/>
      <c r="D6559" s="105"/>
      <c r="E6559" s="105"/>
      <c r="F6559" s="102"/>
      <c r="G6559" s="103"/>
    </row>
    <row r="6560" spans="1:7" x14ac:dyDescent="0.25">
      <c r="A6560" s="101"/>
      <c r="B6560" s="36"/>
      <c r="C6560" s="105"/>
      <c r="D6560" s="105"/>
      <c r="E6560" s="105"/>
      <c r="F6560" s="102"/>
      <c r="G6560" s="103"/>
    </row>
    <row r="6561" spans="1:7" x14ac:dyDescent="0.25">
      <c r="A6561" s="101"/>
      <c r="B6561" s="36"/>
      <c r="C6561" s="105"/>
      <c r="D6561" s="105"/>
      <c r="E6561" s="105"/>
      <c r="F6561" s="102"/>
      <c r="G6561" s="103"/>
    </row>
    <row r="6562" spans="1:7" x14ac:dyDescent="0.25">
      <c r="A6562" s="101"/>
      <c r="B6562" s="36"/>
      <c r="C6562" s="105"/>
      <c r="D6562" s="105"/>
      <c r="E6562" s="105"/>
      <c r="F6562" s="102"/>
      <c r="G6562" s="103"/>
    </row>
    <row r="6563" spans="1:7" x14ac:dyDescent="0.25">
      <c r="A6563" s="101"/>
      <c r="B6563" s="36"/>
      <c r="C6563" s="105"/>
      <c r="D6563" s="105"/>
      <c r="E6563" s="105"/>
      <c r="F6563" s="102"/>
      <c r="G6563" s="103"/>
    </row>
    <row r="6564" spans="1:7" x14ac:dyDescent="0.25">
      <c r="A6564" s="101"/>
      <c r="B6564" s="36"/>
      <c r="C6564" s="105"/>
      <c r="D6564" s="105"/>
      <c r="E6564" s="105"/>
      <c r="F6564" s="102"/>
      <c r="G6564" s="103"/>
    </row>
    <row r="6565" spans="1:7" x14ac:dyDescent="0.25">
      <c r="A6565" s="101"/>
      <c r="B6565" s="36"/>
      <c r="C6565" s="105"/>
      <c r="D6565" s="105"/>
      <c r="E6565" s="105"/>
      <c r="F6565" s="102"/>
      <c r="G6565" s="103"/>
    </row>
    <row r="6566" spans="1:7" x14ac:dyDescent="0.25">
      <c r="A6566" s="101"/>
      <c r="B6566" s="36"/>
      <c r="C6566" s="105"/>
      <c r="D6566" s="105"/>
      <c r="E6566" s="105"/>
      <c r="F6566" s="102"/>
      <c r="G6566" s="103"/>
    </row>
    <row r="6567" spans="1:7" x14ac:dyDescent="0.25">
      <c r="A6567" s="101"/>
      <c r="B6567" s="36"/>
      <c r="C6567" s="105"/>
      <c r="D6567" s="105"/>
      <c r="E6567" s="105"/>
      <c r="F6567" s="102"/>
      <c r="G6567" s="103"/>
    </row>
    <row r="6568" spans="1:7" x14ac:dyDescent="0.25">
      <c r="A6568" s="101"/>
      <c r="B6568" s="36"/>
      <c r="C6568" s="105"/>
      <c r="D6568" s="105"/>
      <c r="E6568" s="105"/>
      <c r="F6568" s="102"/>
      <c r="G6568" s="103"/>
    </row>
    <row r="6569" spans="1:7" x14ac:dyDescent="0.25">
      <c r="A6569" s="101"/>
      <c r="B6569" s="36"/>
      <c r="C6569" s="105"/>
      <c r="D6569" s="105"/>
      <c r="E6569" s="105"/>
      <c r="F6569" s="102"/>
      <c r="G6569" s="103"/>
    </row>
    <row r="6570" spans="1:7" x14ac:dyDescent="0.25">
      <c r="A6570" s="101"/>
      <c r="B6570" s="36"/>
      <c r="C6570" s="105"/>
      <c r="D6570" s="105"/>
      <c r="E6570" s="105"/>
      <c r="F6570" s="102"/>
      <c r="G6570" s="103"/>
    </row>
    <row r="6571" spans="1:7" x14ac:dyDescent="0.25">
      <c r="A6571" s="101"/>
      <c r="B6571" s="36"/>
      <c r="C6571" s="105"/>
      <c r="D6571" s="105"/>
      <c r="E6571" s="105"/>
      <c r="F6571" s="102"/>
      <c r="G6571" s="103"/>
    </row>
    <row r="6572" spans="1:7" x14ac:dyDescent="0.25">
      <c r="A6572" s="101"/>
      <c r="B6572" s="36"/>
      <c r="C6572" s="105"/>
      <c r="D6572" s="105"/>
      <c r="E6572" s="105"/>
      <c r="F6572" s="102"/>
      <c r="G6572" s="103"/>
    </row>
    <row r="6573" spans="1:7" x14ac:dyDescent="0.25">
      <c r="A6573" s="101"/>
      <c r="B6573" s="36"/>
      <c r="C6573" s="105"/>
      <c r="D6573" s="105"/>
      <c r="E6573" s="105"/>
      <c r="F6573" s="102"/>
      <c r="G6573" s="103"/>
    </row>
    <row r="6574" spans="1:7" x14ac:dyDescent="0.25">
      <c r="A6574" s="101"/>
      <c r="B6574" s="36"/>
      <c r="C6574" s="105"/>
      <c r="D6574" s="105"/>
      <c r="E6574" s="105"/>
      <c r="F6574" s="102"/>
      <c r="G6574" s="103"/>
    </row>
    <row r="6575" spans="1:7" x14ac:dyDescent="0.25">
      <c r="A6575" s="101"/>
      <c r="B6575" s="36"/>
      <c r="C6575" s="105"/>
      <c r="D6575" s="105"/>
      <c r="E6575" s="105"/>
      <c r="F6575" s="102"/>
      <c r="G6575" s="103"/>
    </row>
    <row r="6576" spans="1:7" x14ac:dyDescent="0.25">
      <c r="A6576" s="101"/>
      <c r="B6576" s="36"/>
      <c r="C6576" s="105"/>
      <c r="D6576" s="105"/>
      <c r="E6576" s="105"/>
      <c r="F6576" s="102"/>
      <c r="G6576" s="103"/>
    </row>
    <row r="6577" spans="1:7" x14ac:dyDescent="0.25">
      <c r="A6577" s="101"/>
      <c r="B6577" s="37"/>
      <c r="C6577" s="105"/>
      <c r="D6577" s="105"/>
      <c r="E6577" s="105"/>
      <c r="F6577" s="102"/>
      <c r="G6577" s="103"/>
    </row>
    <row r="6578" spans="1:7" x14ac:dyDescent="0.25">
      <c r="A6578" s="101"/>
      <c r="B6578" s="37"/>
      <c r="C6578" s="105"/>
      <c r="D6578" s="105"/>
      <c r="E6578" s="105"/>
      <c r="F6578" s="102"/>
      <c r="G6578" s="103"/>
    </row>
    <row r="6579" spans="1:7" x14ac:dyDescent="0.25">
      <c r="A6579" s="101"/>
      <c r="B6579" s="37"/>
      <c r="C6579" s="105"/>
      <c r="D6579" s="105"/>
      <c r="E6579" s="105"/>
      <c r="F6579" s="102"/>
      <c r="G6579" s="103"/>
    </row>
    <row r="6580" spans="1:7" x14ac:dyDescent="0.25">
      <c r="A6580" s="101"/>
      <c r="B6580" s="37"/>
      <c r="C6580" s="105"/>
      <c r="D6580" s="105"/>
      <c r="E6580" s="105"/>
      <c r="F6580" s="102"/>
      <c r="G6580" s="103"/>
    </row>
    <row r="6581" spans="1:7" x14ac:dyDescent="0.25">
      <c r="A6581" s="101"/>
      <c r="B6581" s="37"/>
      <c r="C6581" s="105"/>
      <c r="D6581" s="105"/>
      <c r="E6581" s="105"/>
      <c r="F6581" s="102"/>
      <c r="G6581" s="103"/>
    </row>
    <row r="6582" spans="1:7" x14ac:dyDescent="0.25">
      <c r="A6582" s="101"/>
      <c r="B6582" s="37"/>
      <c r="C6582" s="105"/>
      <c r="D6582" s="105"/>
      <c r="E6582" s="105"/>
      <c r="F6582" s="102"/>
      <c r="G6582" s="103"/>
    </row>
    <row r="6583" spans="1:7" x14ac:dyDescent="0.25">
      <c r="A6583" s="101"/>
      <c r="B6583" s="36"/>
      <c r="C6583" s="105"/>
      <c r="D6583" s="105"/>
      <c r="E6583" s="105"/>
      <c r="F6583" s="102"/>
      <c r="G6583" s="103"/>
    </row>
    <row r="6584" spans="1:7" x14ac:dyDescent="0.25">
      <c r="A6584" s="101"/>
      <c r="B6584" s="36"/>
      <c r="C6584" s="105"/>
      <c r="D6584" s="105"/>
      <c r="E6584" s="105"/>
      <c r="F6584" s="102"/>
      <c r="G6584" s="103"/>
    </row>
    <row r="6585" spans="1:7" x14ac:dyDescent="0.25">
      <c r="A6585" s="101"/>
      <c r="B6585" s="36"/>
      <c r="C6585" s="105"/>
      <c r="D6585" s="105"/>
      <c r="E6585" s="105"/>
      <c r="F6585" s="102"/>
      <c r="G6585" s="103"/>
    </row>
    <row r="6586" spans="1:7" x14ac:dyDescent="0.25">
      <c r="A6586" s="101"/>
      <c r="B6586" s="38"/>
      <c r="C6586" s="105"/>
      <c r="D6586" s="105"/>
      <c r="E6586" s="105"/>
      <c r="F6586" s="102"/>
      <c r="G6586" s="103"/>
    </row>
    <row r="6587" spans="1:7" x14ac:dyDescent="0.25">
      <c r="A6587" s="101"/>
      <c r="B6587" s="39"/>
      <c r="C6587" s="105"/>
      <c r="D6587" s="105"/>
      <c r="E6587" s="105"/>
      <c r="F6587" s="102"/>
      <c r="G6587" s="103"/>
    </row>
    <row r="6588" spans="1:7" x14ac:dyDescent="0.25">
      <c r="A6588" s="101"/>
      <c r="B6588" s="40"/>
      <c r="C6588" s="105"/>
      <c r="D6588" s="105"/>
      <c r="E6588" s="105"/>
      <c r="F6588" s="102"/>
      <c r="G6588" s="103"/>
    </row>
    <row r="6589" spans="1:7" x14ac:dyDescent="0.25">
      <c r="A6589" s="101"/>
      <c r="B6589" s="37"/>
      <c r="C6589" s="105"/>
      <c r="D6589" s="105"/>
      <c r="E6589" s="105"/>
      <c r="F6589" s="102"/>
      <c r="G6589" s="103"/>
    </row>
    <row r="6590" spans="1:7" x14ac:dyDescent="0.25">
      <c r="A6590" s="101"/>
      <c r="B6590" s="40"/>
      <c r="C6590" s="105"/>
      <c r="D6590" s="105"/>
      <c r="E6590" s="105"/>
      <c r="F6590" s="102"/>
      <c r="G6590" s="103"/>
    </row>
    <row r="6591" spans="1:7" x14ac:dyDescent="0.25">
      <c r="A6591" s="101"/>
      <c r="B6591" s="40"/>
      <c r="C6591" s="106"/>
      <c r="D6591" s="106"/>
      <c r="E6591" s="106"/>
      <c r="F6591" s="102"/>
      <c r="G6591" s="103"/>
    </row>
    <row r="6592" spans="1:7" x14ac:dyDescent="0.25">
      <c r="A6592" s="101"/>
      <c r="B6592" s="37"/>
      <c r="C6592" s="107"/>
      <c r="D6592" s="107"/>
      <c r="E6592" s="107"/>
      <c r="F6592" s="102"/>
      <c r="G6592" s="103"/>
    </row>
    <row r="6593" spans="1:7" x14ac:dyDescent="0.25">
      <c r="A6593" s="101"/>
      <c r="B6593" s="40"/>
      <c r="C6593" s="106"/>
      <c r="D6593" s="106"/>
      <c r="E6593" s="106"/>
      <c r="F6593" s="102"/>
      <c r="G6593" s="103"/>
    </row>
    <row r="6594" spans="1:7" x14ac:dyDescent="0.25">
      <c r="A6594" s="101"/>
      <c r="B6594" s="39"/>
      <c r="C6594" s="106"/>
      <c r="D6594" s="106"/>
      <c r="E6594" s="106"/>
      <c r="F6594" s="102"/>
      <c r="G6594" s="103"/>
    </row>
    <row r="6595" spans="1:7" x14ac:dyDescent="0.25">
      <c r="A6595" s="101"/>
      <c r="B6595" s="40"/>
      <c r="C6595" s="106"/>
      <c r="D6595" s="106"/>
      <c r="E6595" s="106"/>
      <c r="F6595" s="102"/>
      <c r="G6595" s="103"/>
    </row>
    <row r="6596" spans="1:7" x14ac:dyDescent="0.25">
      <c r="A6596" s="101"/>
      <c r="B6596" s="37"/>
      <c r="C6596" s="107"/>
      <c r="D6596" s="107"/>
      <c r="E6596" s="107"/>
      <c r="F6596" s="102"/>
      <c r="G6596" s="103"/>
    </row>
    <row r="6597" spans="1:7" x14ac:dyDescent="0.25">
      <c r="A6597" s="101"/>
      <c r="B6597" s="37"/>
      <c r="C6597" s="106"/>
      <c r="D6597" s="106"/>
      <c r="E6597" s="106"/>
      <c r="F6597" s="102"/>
      <c r="G6597" s="103"/>
    </row>
    <row r="6598" spans="1:7" x14ac:dyDescent="0.25">
      <c r="A6598" s="101"/>
      <c r="B6598" s="37"/>
      <c r="C6598" s="107"/>
      <c r="D6598" s="107"/>
      <c r="E6598" s="107"/>
      <c r="F6598" s="102"/>
      <c r="G6598" s="103"/>
    </row>
    <row r="6599" spans="1:7" x14ac:dyDescent="0.25">
      <c r="A6599" s="101"/>
      <c r="B6599" s="37"/>
      <c r="C6599" s="106"/>
      <c r="D6599" s="106"/>
      <c r="E6599" s="106"/>
      <c r="F6599" s="102"/>
      <c r="G6599" s="103"/>
    </row>
    <row r="6600" spans="1:7" x14ac:dyDescent="0.25">
      <c r="A6600" s="101"/>
      <c r="B6600" s="37"/>
      <c r="C6600" s="107"/>
      <c r="D6600" s="107"/>
      <c r="E6600" s="107"/>
      <c r="F6600" s="102"/>
      <c r="G6600" s="103"/>
    </row>
    <row r="6601" spans="1:7" x14ac:dyDescent="0.25">
      <c r="A6601" s="101"/>
      <c r="B6601" s="37"/>
      <c r="C6601" s="106"/>
      <c r="D6601" s="106"/>
      <c r="E6601" s="106"/>
      <c r="F6601" s="102"/>
      <c r="G6601" s="103"/>
    </row>
    <row r="6602" spans="1:7" x14ac:dyDescent="0.25">
      <c r="A6602" s="101"/>
      <c r="B6602" s="37"/>
      <c r="C6602" s="107"/>
      <c r="D6602" s="107"/>
      <c r="E6602" s="107"/>
      <c r="F6602" s="102"/>
      <c r="G6602" s="103"/>
    </row>
    <row r="6603" spans="1:7" x14ac:dyDescent="0.25">
      <c r="A6603" s="101"/>
      <c r="B6603" s="37"/>
      <c r="C6603" s="106"/>
      <c r="D6603" s="106"/>
      <c r="E6603" s="106"/>
      <c r="F6603" s="102"/>
      <c r="G6603" s="103"/>
    </row>
    <row r="6604" spans="1:7" x14ac:dyDescent="0.25">
      <c r="A6604" s="101"/>
      <c r="B6604" s="37"/>
      <c r="C6604" s="106"/>
      <c r="D6604" s="106"/>
      <c r="E6604" s="106"/>
      <c r="F6604" s="102"/>
      <c r="G6604" s="103"/>
    </row>
    <row r="6605" spans="1:7" x14ac:dyDescent="0.25">
      <c r="A6605" s="101"/>
      <c r="B6605" s="37"/>
      <c r="C6605" s="107"/>
      <c r="D6605" s="107"/>
      <c r="E6605" s="107"/>
      <c r="F6605" s="102"/>
      <c r="G6605" s="103"/>
    </row>
    <row r="6606" spans="1:7" x14ac:dyDescent="0.25">
      <c r="A6606" s="101"/>
      <c r="B6606" s="37"/>
      <c r="C6606" s="106"/>
      <c r="D6606" s="106"/>
      <c r="E6606" s="106"/>
      <c r="F6606" s="102"/>
      <c r="G6606" s="103"/>
    </row>
    <row r="6607" spans="1:7" x14ac:dyDescent="0.25">
      <c r="A6607" s="101"/>
      <c r="B6607" s="37"/>
      <c r="C6607" s="106"/>
      <c r="D6607" s="106"/>
      <c r="E6607" s="106"/>
      <c r="F6607" s="102"/>
      <c r="G6607" s="103"/>
    </row>
    <row r="6608" spans="1:7" x14ac:dyDescent="0.25">
      <c r="A6608" s="101"/>
      <c r="B6608" s="37"/>
      <c r="C6608" s="107"/>
      <c r="D6608" s="107"/>
      <c r="E6608" s="107"/>
      <c r="F6608" s="102"/>
      <c r="G6608" s="103"/>
    </row>
    <row r="6609" spans="1:7" x14ac:dyDescent="0.25">
      <c r="A6609" s="101"/>
      <c r="B6609" s="37"/>
      <c r="C6609" s="106"/>
      <c r="D6609" s="106"/>
      <c r="E6609" s="106"/>
      <c r="F6609" s="102"/>
      <c r="G6609" s="103"/>
    </row>
    <row r="6610" spans="1:7" x14ac:dyDescent="0.25">
      <c r="A6610" s="101"/>
      <c r="B6610" s="37"/>
      <c r="C6610" s="107"/>
      <c r="D6610" s="107"/>
      <c r="E6610" s="107"/>
      <c r="F6610" s="102"/>
      <c r="G6610" s="103"/>
    </row>
    <row r="6611" spans="1:7" x14ac:dyDescent="0.25">
      <c r="A6611" s="101"/>
      <c r="B6611" s="37"/>
      <c r="C6611" s="107"/>
      <c r="D6611" s="107"/>
      <c r="E6611" s="107"/>
      <c r="F6611" s="102"/>
      <c r="G6611" s="103"/>
    </row>
    <row r="6612" spans="1:7" x14ac:dyDescent="0.25">
      <c r="A6612" s="101"/>
      <c r="B6612" s="37"/>
      <c r="C6612" s="107"/>
      <c r="D6612" s="107"/>
      <c r="E6612" s="107"/>
      <c r="F6612" s="102"/>
      <c r="G6612" s="103"/>
    </row>
    <row r="6613" spans="1:7" x14ac:dyDescent="0.25">
      <c r="A6613" s="101"/>
      <c r="B6613" s="37"/>
      <c r="C6613" s="107"/>
      <c r="D6613" s="107"/>
      <c r="E6613" s="107"/>
      <c r="F6613" s="102"/>
      <c r="G6613" s="103"/>
    </row>
    <row r="6614" spans="1:7" x14ac:dyDescent="0.25">
      <c r="A6614" s="101"/>
      <c r="B6614" s="37"/>
      <c r="C6614" s="107"/>
      <c r="D6614" s="107"/>
      <c r="E6614" s="107"/>
      <c r="F6614" s="102"/>
      <c r="G6614" s="103"/>
    </row>
    <row r="6615" spans="1:7" x14ac:dyDescent="0.25">
      <c r="A6615" s="101"/>
      <c r="B6615" s="37"/>
      <c r="C6615" s="107"/>
      <c r="D6615" s="107"/>
      <c r="E6615" s="107"/>
      <c r="F6615" s="102"/>
      <c r="G6615" s="103"/>
    </row>
    <row r="6616" spans="1:7" x14ac:dyDescent="0.25">
      <c r="A6616" s="101"/>
      <c r="B6616" s="37"/>
      <c r="C6616" s="107"/>
      <c r="D6616" s="107"/>
      <c r="E6616" s="107"/>
      <c r="F6616" s="102"/>
      <c r="G6616" s="103"/>
    </row>
    <row r="6617" spans="1:7" x14ac:dyDescent="0.25">
      <c r="A6617" s="101"/>
      <c r="B6617" s="37"/>
      <c r="C6617" s="107"/>
      <c r="D6617" s="107"/>
      <c r="E6617" s="107"/>
      <c r="F6617" s="102"/>
      <c r="G6617" s="103"/>
    </row>
    <row r="6618" spans="1:7" x14ac:dyDescent="0.25">
      <c r="A6618" s="101"/>
      <c r="B6618" s="37"/>
      <c r="C6618" s="107"/>
      <c r="D6618" s="107"/>
      <c r="E6618" s="107"/>
      <c r="F6618" s="102"/>
      <c r="G6618" s="103"/>
    </row>
    <row r="6619" spans="1:7" x14ac:dyDescent="0.25">
      <c r="A6619" s="101"/>
      <c r="B6619" s="37"/>
      <c r="C6619" s="107"/>
      <c r="D6619" s="107"/>
      <c r="E6619" s="107"/>
      <c r="F6619" s="102"/>
      <c r="G6619" s="103"/>
    </row>
    <row r="6620" spans="1:7" x14ac:dyDescent="0.25">
      <c r="A6620" s="101"/>
      <c r="B6620" s="37"/>
      <c r="C6620" s="107"/>
      <c r="D6620" s="107"/>
      <c r="E6620" s="107"/>
      <c r="F6620" s="102"/>
      <c r="G6620" s="103"/>
    </row>
    <row r="6621" spans="1:7" x14ac:dyDescent="0.25">
      <c r="A6621" s="101"/>
      <c r="B6621" s="37"/>
      <c r="C6621" s="107"/>
      <c r="D6621" s="107"/>
      <c r="E6621" s="107"/>
      <c r="F6621" s="102"/>
      <c r="G6621" s="103"/>
    </row>
    <row r="6622" spans="1:7" x14ac:dyDescent="0.25">
      <c r="A6622" s="101"/>
      <c r="B6622" s="37"/>
      <c r="C6622" s="107"/>
      <c r="D6622" s="107"/>
      <c r="E6622" s="107"/>
      <c r="F6622" s="102"/>
      <c r="G6622" s="103"/>
    </row>
    <row r="6623" spans="1:7" x14ac:dyDescent="0.25">
      <c r="A6623" s="101"/>
      <c r="B6623" s="37"/>
      <c r="C6623" s="107"/>
      <c r="D6623" s="107"/>
      <c r="E6623" s="107"/>
      <c r="F6623" s="102"/>
      <c r="G6623" s="103"/>
    </row>
    <row r="6624" spans="1:7" x14ac:dyDescent="0.25">
      <c r="A6624" s="101"/>
      <c r="B6624" s="37"/>
      <c r="C6624" s="107"/>
      <c r="D6624" s="107"/>
      <c r="E6624" s="107"/>
      <c r="F6624" s="102"/>
      <c r="G6624" s="103"/>
    </row>
    <row r="6625" spans="1:7" x14ac:dyDescent="0.25">
      <c r="A6625" s="101"/>
      <c r="B6625" s="37"/>
      <c r="C6625" s="107"/>
      <c r="D6625" s="107"/>
      <c r="E6625" s="107"/>
      <c r="F6625" s="102"/>
      <c r="G6625" s="103"/>
    </row>
    <row r="6626" spans="1:7" x14ac:dyDescent="0.25">
      <c r="A6626" s="101"/>
      <c r="B6626" s="37"/>
      <c r="C6626" s="107"/>
      <c r="D6626" s="107"/>
      <c r="E6626" s="107"/>
      <c r="F6626" s="102"/>
      <c r="G6626" s="103"/>
    </row>
    <row r="6627" spans="1:7" x14ac:dyDescent="0.25">
      <c r="A6627" s="101"/>
      <c r="B6627" s="37"/>
      <c r="C6627" s="107"/>
      <c r="D6627" s="107"/>
      <c r="E6627" s="107"/>
      <c r="F6627" s="102"/>
      <c r="G6627" s="103"/>
    </row>
    <row r="6628" spans="1:7" x14ac:dyDescent="0.25">
      <c r="A6628" s="101"/>
      <c r="B6628" s="37"/>
      <c r="C6628" s="107"/>
      <c r="D6628" s="107"/>
      <c r="E6628" s="107"/>
      <c r="F6628" s="102"/>
      <c r="G6628" s="103"/>
    </row>
    <row r="6629" spans="1:7" x14ac:dyDescent="0.25">
      <c r="A6629" s="101"/>
      <c r="B6629" s="37"/>
      <c r="C6629" s="107"/>
      <c r="D6629" s="107"/>
      <c r="E6629" s="107"/>
      <c r="F6629" s="102"/>
      <c r="G6629" s="103"/>
    </row>
    <row r="6630" spans="1:7" x14ac:dyDescent="0.25">
      <c r="A6630" s="101"/>
      <c r="B6630" s="37"/>
      <c r="C6630" s="107"/>
      <c r="D6630" s="107"/>
      <c r="E6630" s="107"/>
      <c r="F6630" s="102"/>
      <c r="G6630" s="103"/>
    </row>
    <row r="6631" spans="1:7" x14ac:dyDescent="0.25">
      <c r="A6631" s="101"/>
      <c r="B6631" s="37"/>
      <c r="C6631" s="107"/>
      <c r="D6631" s="107"/>
      <c r="E6631" s="107"/>
      <c r="F6631" s="102"/>
      <c r="G6631" s="103"/>
    </row>
    <row r="6632" spans="1:7" x14ac:dyDescent="0.25">
      <c r="A6632" s="101"/>
      <c r="B6632" s="37"/>
      <c r="C6632" s="107"/>
      <c r="D6632" s="107"/>
      <c r="E6632" s="107"/>
      <c r="F6632" s="102"/>
      <c r="G6632" s="103"/>
    </row>
    <row r="6633" spans="1:7" x14ac:dyDescent="0.25">
      <c r="A6633" s="101"/>
      <c r="B6633" s="37"/>
      <c r="C6633" s="107"/>
      <c r="D6633" s="107"/>
      <c r="E6633" s="107"/>
      <c r="F6633" s="102"/>
      <c r="G6633" s="103"/>
    </row>
    <row r="6634" spans="1:7" x14ac:dyDescent="0.25">
      <c r="A6634" s="101"/>
      <c r="B6634" s="37"/>
      <c r="C6634" s="107"/>
      <c r="D6634" s="107"/>
      <c r="E6634" s="107"/>
      <c r="F6634" s="102"/>
      <c r="G6634" s="103"/>
    </row>
    <row r="6635" spans="1:7" x14ac:dyDescent="0.25">
      <c r="A6635" s="101"/>
      <c r="B6635" s="37"/>
      <c r="C6635" s="107"/>
      <c r="D6635" s="107"/>
      <c r="E6635" s="107"/>
      <c r="F6635" s="102"/>
      <c r="G6635" s="103"/>
    </row>
    <row r="6636" spans="1:7" x14ac:dyDescent="0.25">
      <c r="A6636" s="101"/>
      <c r="B6636" s="37"/>
      <c r="C6636" s="107"/>
      <c r="D6636" s="107"/>
      <c r="E6636" s="107"/>
      <c r="F6636" s="102"/>
      <c r="G6636" s="103"/>
    </row>
    <row r="6637" spans="1:7" x14ac:dyDescent="0.25">
      <c r="A6637" s="101"/>
      <c r="B6637" s="37"/>
      <c r="C6637" s="107"/>
      <c r="D6637" s="107"/>
      <c r="E6637" s="107"/>
      <c r="F6637" s="102"/>
      <c r="G6637" s="103"/>
    </row>
    <row r="6638" spans="1:7" x14ac:dyDescent="0.25">
      <c r="A6638" s="101"/>
      <c r="B6638" s="37"/>
      <c r="C6638" s="107"/>
      <c r="D6638" s="107"/>
      <c r="E6638" s="107"/>
      <c r="F6638" s="102"/>
      <c r="G6638" s="103"/>
    </row>
    <row r="6639" spans="1:7" x14ac:dyDescent="0.25">
      <c r="A6639" s="101"/>
      <c r="B6639" s="36"/>
      <c r="C6639" s="107"/>
      <c r="D6639" s="107"/>
      <c r="E6639" s="107"/>
      <c r="F6639" s="102"/>
      <c r="G6639" s="103"/>
    </row>
    <row r="6640" spans="1:7" x14ac:dyDescent="0.25">
      <c r="A6640" s="101"/>
      <c r="B6640" s="36"/>
      <c r="C6640" s="107"/>
      <c r="D6640" s="107"/>
      <c r="E6640" s="107"/>
      <c r="F6640" s="102"/>
      <c r="G6640" s="103"/>
    </row>
    <row r="6641" spans="1:7" x14ac:dyDescent="0.25">
      <c r="A6641" s="101"/>
      <c r="B6641" s="36"/>
      <c r="C6641" s="107"/>
      <c r="D6641" s="107"/>
      <c r="E6641" s="107"/>
      <c r="F6641" s="102"/>
      <c r="G6641" s="103"/>
    </row>
    <row r="6642" spans="1:7" x14ac:dyDescent="0.25">
      <c r="A6642" s="101"/>
      <c r="B6642" s="36"/>
      <c r="C6642" s="107"/>
      <c r="D6642" s="107"/>
      <c r="E6642" s="107"/>
      <c r="F6642" s="102"/>
      <c r="G6642" s="103"/>
    </row>
    <row r="6643" spans="1:7" x14ac:dyDescent="0.25">
      <c r="A6643" s="101"/>
      <c r="B6643" s="36"/>
      <c r="C6643" s="107"/>
      <c r="D6643" s="107"/>
      <c r="E6643" s="107"/>
      <c r="F6643" s="102"/>
      <c r="G6643" s="103"/>
    </row>
    <row r="6644" spans="1:7" x14ac:dyDescent="0.25">
      <c r="A6644" s="101"/>
      <c r="B6644" s="36"/>
      <c r="C6644" s="107"/>
      <c r="D6644" s="107"/>
      <c r="E6644" s="107"/>
      <c r="F6644" s="102"/>
      <c r="G6644" s="103"/>
    </row>
    <row r="6645" spans="1:7" x14ac:dyDescent="0.25">
      <c r="A6645" s="101"/>
      <c r="B6645" s="36"/>
      <c r="C6645" s="107"/>
      <c r="D6645" s="107"/>
      <c r="E6645" s="107"/>
      <c r="F6645" s="102"/>
      <c r="G6645" s="103"/>
    </row>
    <row r="6646" spans="1:7" x14ac:dyDescent="0.25">
      <c r="A6646" s="101"/>
      <c r="B6646" s="36"/>
      <c r="C6646" s="107"/>
      <c r="D6646" s="107"/>
      <c r="E6646" s="107"/>
      <c r="F6646" s="102"/>
      <c r="G6646" s="103"/>
    </row>
    <row r="6647" spans="1:7" x14ac:dyDescent="0.25">
      <c r="A6647" s="101"/>
      <c r="B6647" s="36"/>
      <c r="C6647" s="107"/>
      <c r="D6647" s="107"/>
      <c r="E6647" s="107"/>
      <c r="F6647" s="102"/>
      <c r="G6647" s="103"/>
    </row>
    <row r="6648" spans="1:7" x14ac:dyDescent="0.25">
      <c r="A6648" s="101"/>
      <c r="B6648" s="36"/>
      <c r="C6648" s="107"/>
      <c r="D6648" s="107"/>
      <c r="E6648" s="107"/>
      <c r="F6648" s="102"/>
      <c r="G6648" s="103"/>
    </row>
    <row r="6649" spans="1:7" x14ac:dyDescent="0.25">
      <c r="A6649" s="101"/>
      <c r="B6649" s="36"/>
      <c r="C6649" s="107"/>
      <c r="D6649" s="107"/>
      <c r="E6649" s="107"/>
      <c r="F6649" s="102"/>
      <c r="G6649" s="103"/>
    </row>
    <row r="6650" spans="1:7" x14ac:dyDescent="0.25">
      <c r="A6650" s="101"/>
      <c r="B6650" s="36"/>
      <c r="C6650" s="107"/>
      <c r="D6650" s="107"/>
      <c r="E6650" s="107"/>
      <c r="F6650" s="102"/>
      <c r="G6650" s="103"/>
    </row>
    <row r="6651" spans="1:7" x14ac:dyDescent="0.25">
      <c r="A6651" s="101"/>
      <c r="B6651" s="36"/>
      <c r="C6651" s="107"/>
      <c r="D6651" s="107"/>
      <c r="E6651" s="107"/>
      <c r="F6651" s="102"/>
      <c r="G6651" s="103"/>
    </row>
    <row r="6652" spans="1:7" x14ac:dyDescent="0.25">
      <c r="A6652" s="101"/>
      <c r="B6652" s="12"/>
      <c r="C6652" s="107"/>
      <c r="D6652" s="107"/>
      <c r="E6652" s="107"/>
      <c r="F6652" s="102"/>
      <c r="G6652" s="103"/>
    </row>
    <row r="6653" spans="1:7" x14ac:dyDescent="0.25">
      <c r="A6653" s="101"/>
      <c r="B6653" s="36"/>
      <c r="C6653" s="107"/>
      <c r="D6653" s="107"/>
      <c r="E6653" s="107"/>
      <c r="F6653" s="102"/>
      <c r="G6653" s="103"/>
    </row>
    <row r="6654" spans="1:7" x14ac:dyDescent="0.25">
      <c r="A6654" s="101"/>
      <c r="B6654" s="36"/>
      <c r="C6654" s="98"/>
      <c r="D6654" s="98"/>
      <c r="E6654" s="98"/>
      <c r="F6654" s="102"/>
      <c r="G6654" s="103"/>
    </row>
    <row r="6655" spans="1:7" x14ac:dyDescent="0.25">
      <c r="A6655" s="101"/>
      <c r="B6655" s="36"/>
      <c r="C6655" s="98"/>
      <c r="D6655" s="98"/>
      <c r="E6655" s="98"/>
      <c r="F6655" s="102"/>
      <c r="G6655" s="103"/>
    </row>
    <row r="6656" spans="1:7" x14ac:dyDescent="0.25">
      <c r="A6656" s="101"/>
      <c r="B6656" s="36"/>
      <c r="C6656" s="98"/>
      <c r="D6656" s="98"/>
      <c r="E6656" s="98"/>
      <c r="F6656" s="102"/>
      <c r="G6656" s="103"/>
    </row>
    <row r="6657" spans="1:7" x14ac:dyDescent="0.25">
      <c r="A6657" s="101"/>
      <c r="B6657" s="36"/>
      <c r="C6657" s="98"/>
      <c r="D6657" s="98"/>
      <c r="E6657" s="98"/>
      <c r="F6657" s="102"/>
      <c r="G6657" s="103"/>
    </row>
    <row r="6658" spans="1:7" x14ac:dyDescent="0.25">
      <c r="A6658" s="101"/>
      <c r="B6658" s="36"/>
      <c r="C6658" s="98"/>
      <c r="D6658" s="98"/>
      <c r="E6658" s="98"/>
      <c r="F6658" s="102"/>
      <c r="G6658" s="103"/>
    </row>
    <row r="6659" spans="1:7" x14ac:dyDescent="0.25">
      <c r="A6659" s="101"/>
      <c r="B6659" s="36"/>
      <c r="C6659" s="98"/>
      <c r="D6659" s="98"/>
      <c r="E6659" s="98"/>
      <c r="F6659" s="102"/>
      <c r="G6659" s="103"/>
    </row>
    <row r="6660" spans="1:7" x14ac:dyDescent="0.25">
      <c r="A6660" s="101"/>
      <c r="B6660" s="36"/>
      <c r="C6660" s="98"/>
      <c r="D6660" s="98"/>
      <c r="E6660" s="98"/>
      <c r="F6660" s="102"/>
      <c r="G6660" s="103"/>
    </row>
    <row r="6661" spans="1:7" x14ac:dyDescent="0.25">
      <c r="A6661" s="101"/>
      <c r="B6661" s="36"/>
      <c r="C6661" s="98"/>
      <c r="D6661" s="98"/>
      <c r="E6661" s="98"/>
      <c r="F6661" s="102"/>
      <c r="G6661" s="103"/>
    </row>
    <row r="6662" spans="1:7" x14ac:dyDescent="0.25">
      <c r="A6662" s="101"/>
      <c r="B6662" s="36"/>
      <c r="C6662" s="107"/>
      <c r="D6662" s="107"/>
      <c r="E6662" s="107"/>
      <c r="F6662" s="102"/>
      <c r="G6662" s="103"/>
    </row>
    <row r="6663" spans="1:7" x14ac:dyDescent="0.25">
      <c r="A6663" s="101"/>
      <c r="B6663" s="36"/>
      <c r="C6663" s="107"/>
      <c r="D6663" s="107"/>
      <c r="E6663" s="107"/>
      <c r="F6663" s="102"/>
      <c r="G6663" s="103"/>
    </row>
    <row r="6664" spans="1:7" x14ac:dyDescent="0.25">
      <c r="A6664" s="101"/>
      <c r="B6664" s="36"/>
      <c r="C6664" s="98"/>
      <c r="D6664" s="98"/>
      <c r="E6664" s="98"/>
      <c r="F6664" s="102"/>
      <c r="G6664" s="103"/>
    </row>
    <row r="6665" spans="1:7" x14ac:dyDescent="0.25">
      <c r="A6665" s="101"/>
      <c r="B6665" s="36"/>
      <c r="C6665" s="98"/>
      <c r="D6665" s="98"/>
      <c r="E6665" s="98"/>
      <c r="F6665" s="102"/>
      <c r="G6665" s="103"/>
    </row>
    <row r="6666" spans="1:7" x14ac:dyDescent="0.25">
      <c r="A6666" s="101"/>
      <c r="B6666" s="36"/>
      <c r="C6666" s="98"/>
      <c r="D6666" s="98"/>
      <c r="E6666" s="98"/>
      <c r="F6666" s="102"/>
      <c r="G6666" s="103"/>
    </row>
    <row r="6667" spans="1:7" x14ac:dyDescent="0.25">
      <c r="A6667" s="101"/>
      <c r="B6667" s="36"/>
      <c r="C6667" s="98"/>
      <c r="D6667" s="98"/>
      <c r="E6667" s="98"/>
      <c r="F6667" s="102"/>
      <c r="G6667" s="103"/>
    </row>
    <row r="6668" spans="1:7" x14ac:dyDescent="0.25">
      <c r="A6668" s="101"/>
      <c r="B6668" s="36"/>
      <c r="C6668" s="98"/>
      <c r="D6668" s="98"/>
      <c r="E6668" s="98"/>
      <c r="F6668" s="102"/>
      <c r="G6668" s="103"/>
    </row>
    <row r="6669" spans="1:7" x14ac:dyDescent="0.25">
      <c r="A6669" s="101"/>
      <c r="B6669" s="36"/>
      <c r="C6669" s="98"/>
      <c r="D6669" s="98"/>
      <c r="E6669" s="98"/>
      <c r="F6669" s="102"/>
      <c r="G6669" s="103"/>
    </row>
    <row r="6670" spans="1:7" x14ac:dyDescent="0.25">
      <c r="A6670" s="101"/>
      <c r="B6670" s="36"/>
      <c r="C6670" s="98"/>
      <c r="D6670" s="98"/>
      <c r="E6670" s="98"/>
      <c r="F6670" s="102"/>
      <c r="G6670" s="103"/>
    </row>
    <row r="6671" spans="1:7" x14ac:dyDescent="0.25">
      <c r="A6671" s="101"/>
      <c r="B6671" s="36"/>
      <c r="C6671" s="98"/>
      <c r="D6671" s="98"/>
      <c r="E6671" s="98"/>
      <c r="F6671" s="102"/>
      <c r="G6671" s="103"/>
    </row>
    <row r="6672" spans="1:7" x14ac:dyDescent="0.25">
      <c r="A6672" s="101"/>
      <c r="B6672" s="36"/>
      <c r="C6672" s="98"/>
      <c r="D6672" s="98"/>
      <c r="E6672" s="98"/>
      <c r="F6672" s="102"/>
      <c r="G6672" s="103"/>
    </row>
    <row r="6673" spans="1:7" x14ac:dyDescent="0.25">
      <c r="A6673" s="101"/>
      <c r="B6673" s="36"/>
      <c r="C6673" s="98"/>
      <c r="D6673" s="98"/>
      <c r="E6673" s="98"/>
      <c r="F6673" s="102"/>
      <c r="G6673" s="103"/>
    </row>
    <row r="6674" spans="1:7" x14ac:dyDescent="0.25">
      <c r="A6674" s="101"/>
      <c r="B6674" s="14"/>
      <c r="C6674" s="98"/>
      <c r="D6674" s="98"/>
      <c r="E6674" s="98"/>
      <c r="F6674" s="102"/>
      <c r="G6674" s="103"/>
    </row>
    <row r="6675" spans="1:7" x14ac:dyDescent="0.25">
      <c r="A6675" s="101"/>
      <c r="B6675" s="36"/>
      <c r="C6675" s="98"/>
      <c r="D6675" s="98"/>
      <c r="E6675" s="98"/>
      <c r="F6675" s="102"/>
      <c r="G6675" s="103"/>
    </row>
    <row r="6676" spans="1:7" x14ac:dyDescent="0.25">
      <c r="A6676" s="101"/>
      <c r="B6676" s="36"/>
      <c r="C6676" s="98"/>
      <c r="D6676" s="98"/>
      <c r="E6676" s="98"/>
      <c r="F6676" s="102"/>
      <c r="G6676" s="103"/>
    </row>
    <row r="6677" spans="1:7" x14ac:dyDescent="0.25">
      <c r="A6677" s="101"/>
      <c r="B6677" s="36"/>
      <c r="C6677" s="98"/>
      <c r="D6677" s="98"/>
      <c r="E6677" s="98"/>
      <c r="F6677" s="102"/>
      <c r="G6677" s="103"/>
    </row>
    <row r="6678" spans="1:7" x14ac:dyDescent="0.25">
      <c r="A6678" s="101"/>
      <c r="B6678" s="36"/>
      <c r="C6678" s="98"/>
      <c r="D6678" s="98"/>
      <c r="E6678" s="98"/>
      <c r="F6678" s="102"/>
      <c r="G6678" s="103"/>
    </row>
    <row r="6679" spans="1:7" x14ac:dyDescent="0.25">
      <c r="A6679" s="101"/>
      <c r="B6679" s="36"/>
      <c r="C6679" s="98"/>
      <c r="D6679" s="98"/>
      <c r="E6679" s="98"/>
      <c r="F6679" s="102"/>
      <c r="G6679" s="103"/>
    </row>
    <row r="6680" spans="1:7" x14ac:dyDescent="0.25">
      <c r="A6680" s="101"/>
      <c r="B6680" s="36"/>
      <c r="C6680" s="98"/>
      <c r="D6680" s="98"/>
      <c r="E6680" s="98"/>
      <c r="F6680" s="102"/>
      <c r="G6680" s="103"/>
    </row>
    <row r="6681" spans="1:7" x14ac:dyDescent="0.25">
      <c r="A6681" s="101"/>
      <c r="B6681" s="36"/>
      <c r="C6681" s="98"/>
      <c r="D6681" s="98"/>
      <c r="E6681" s="98"/>
      <c r="F6681" s="102"/>
      <c r="G6681" s="103"/>
    </row>
    <row r="6682" spans="1:7" x14ac:dyDescent="0.25">
      <c r="A6682" s="101"/>
      <c r="B6682" s="36"/>
      <c r="C6682" s="98"/>
      <c r="D6682" s="98"/>
      <c r="E6682" s="98"/>
      <c r="F6682" s="102"/>
      <c r="G6682" s="103"/>
    </row>
    <row r="6683" spans="1:7" x14ac:dyDescent="0.25">
      <c r="A6683" s="101"/>
      <c r="B6683" s="36"/>
      <c r="C6683" s="98"/>
      <c r="D6683" s="98"/>
      <c r="E6683" s="98"/>
      <c r="F6683" s="102"/>
      <c r="G6683" s="103"/>
    </row>
    <row r="6684" spans="1:7" x14ac:dyDescent="0.25">
      <c r="A6684" s="101"/>
      <c r="B6684" s="36"/>
      <c r="C6684" s="98"/>
      <c r="D6684" s="98"/>
      <c r="E6684" s="98"/>
      <c r="F6684" s="102"/>
      <c r="G6684" s="103"/>
    </row>
    <row r="6685" spans="1:7" x14ac:dyDescent="0.25">
      <c r="A6685" s="101"/>
      <c r="B6685" s="108"/>
      <c r="C6685" s="109"/>
      <c r="D6685" s="109"/>
      <c r="E6685" s="109"/>
      <c r="F6685" s="102"/>
      <c r="G6685" s="103"/>
    </row>
    <row r="6686" spans="1:7" x14ac:dyDescent="0.25">
      <c r="A6686" s="101"/>
      <c r="B6686" s="41"/>
      <c r="C6686" s="98"/>
      <c r="D6686" s="98"/>
      <c r="E6686" s="98"/>
      <c r="F6686" s="102"/>
      <c r="G6686" s="103"/>
    </row>
    <row r="6687" spans="1:7" x14ac:dyDescent="0.25">
      <c r="A6687" s="101"/>
      <c r="B6687" s="36"/>
      <c r="C6687" s="109"/>
      <c r="D6687" s="109"/>
      <c r="E6687" s="109"/>
      <c r="F6687" s="102"/>
      <c r="G6687" s="103"/>
    </row>
    <row r="6688" spans="1:7" x14ac:dyDescent="0.25">
      <c r="A6688" s="101"/>
      <c r="B6688" s="36"/>
      <c r="C6688" s="98"/>
      <c r="D6688" s="98"/>
      <c r="E6688" s="98"/>
      <c r="F6688" s="102"/>
      <c r="G6688" s="103"/>
    </row>
    <row r="6689" spans="1:7" x14ac:dyDescent="0.25">
      <c r="A6689" s="101"/>
      <c r="B6689" s="36"/>
      <c r="C6689" s="109"/>
      <c r="D6689" s="109"/>
      <c r="E6689" s="109"/>
      <c r="F6689" s="102"/>
      <c r="G6689" s="103"/>
    </row>
    <row r="6690" spans="1:7" x14ac:dyDescent="0.25">
      <c r="A6690" s="101"/>
      <c r="B6690" s="36"/>
      <c r="C6690" s="98"/>
      <c r="D6690" s="98"/>
      <c r="E6690" s="98"/>
      <c r="F6690" s="102"/>
      <c r="G6690" s="103"/>
    </row>
    <row r="6691" spans="1:7" x14ac:dyDescent="0.25">
      <c r="A6691" s="101"/>
      <c r="B6691" s="36"/>
      <c r="C6691" s="109"/>
      <c r="D6691" s="109"/>
      <c r="E6691" s="109"/>
      <c r="F6691" s="102"/>
      <c r="G6691" s="103"/>
    </row>
    <row r="6692" spans="1:7" x14ac:dyDescent="0.25">
      <c r="A6692" s="101"/>
      <c r="B6692" s="36"/>
      <c r="C6692" s="98"/>
      <c r="D6692" s="98"/>
      <c r="E6692" s="98"/>
      <c r="F6692" s="102"/>
      <c r="G6692" s="103"/>
    </row>
    <row r="6693" spans="1:7" x14ac:dyDescent="0.25">
      <c r="A6693" s="101"/>
      <c r="B6693" s="36"/>
      <c r="C6693" s="109"/>
      <c r="D6693" s="109"/>
      <c r="E6693" s="109"/>
      <c r="F6693" s="102"/>
      <c r="G6693" s="103"/>
    </row>
    <row r="6694" spans="1:7" x14ac:dyDescent="0.25">
      <c r="A6694" s="101"/>
      <c r="B6694" s="36"/>
      <c r="C6694" s="98"/>
      <c r="D6694" s="98"/>
      <c r="E6694" s="98"/>
      <c r="F6694" s="102"/>
      <c r="G6694" s="103"/>
    </row>
    <row r="6695" spans="1:7" x14ac:dyDescent="0.25">
      <c r="A6695" s="101"/>
      <c r="B6695" s="36"/>
      <c r="C6695" s="109"/>
      <c r="D6695" s="109"/>
      <c r="E6695" s="109"/>
      <c r="F6695" s="102"/>
      <c r="G6695" s="103"/>
    </row>
    <row r="6696" spans="1:7" x14ac:dyDescent="0.25">
      <c r="A6696" s="101"/>
      <c r="B6696" s="36"/>
      <c r="C6696" s="98"/>
      <c r="D6696" s="98"/>
      <c r="E6696" s="98"/>
      <c r="F6696" s="102"/>
      <c r="G6696" s="103"/>
    </row>
    <row r="6697" spans="1:7" x14ac:dyDescent="0.25">
      <c r="A6697" s="101"/>
      <c r="B6697" s="36"/>
      <c r="C6697" s="109"/>
      <c r="D6697" s="109"/>
      <c r="E6697" s="109"/>
      <c r="F6697" s="102"/>
      <c r="G6697" s="103"/>
    </row>
    <row r="6698" spans="1:7" x14ac:dyDescent="0.25">
      <c r="A6698" s="101"/>
      <c r="B6698" s="36"/>
      <c r="C6698" s="98"/>
      <c r="D6698" s="98"/>
      <c r="E6698" s="98"/>
      <c r="F6698" s="102"/>
      <c r="G6698" s="103"/>
    </row>
    <row r="6699" spans="1:7" x14ac:dyDescent="0.25">
      <c r="A6699" s="101"/>
      <c r="B6699" s="36"/>
      <c r="C6699" s="109"/>
      <c r="D6699" s="109"/>
      <c r="E6699" s="109"/>
      <c r="F6699" s="102"/>
      <c r="G6699" s="103"/>
    </row>
    <row r="6700" spans="1:7" x14ac:dyDescent="0.25">
      <c r="A6700" s="101"/>
      <c r="B6700" s="36"/>
      <c r="C6700" s="98"/>
      <c r="D6700" s="98"/>
      <c r="E6700" s="98"/>
      <c r="F6700" s="102"/>
      <c r="G6700" s="103"/>
    </row>
    <row r="6701" spans="1:7" x14ac:dyDescent="0.25">
      <c r="A6701" s="101"/>
      <c r="B6701" s="36"/>
      <c r="C6701" s="109"/>
      <c r="D6701" s="109"/>
      <c r="E6701" s="109"/>
      <c r="F6701" s="102"/>
      <c r="G6701" s="103"/>
    </row>
    <row r="6702" spans="1:7" x14ac:dyDescent="0.25">
      <c r="A6702" s="101"/>
      <c r="B6702" s="36"/>
      <c r="C6702" s="110"/>
      <c r="D6702" s="111"/>
      <c r="E6702" s="111"/>
      <c r="F6702" s="102"/>
      <c r="G6702" s="103"/>
    </row>
    <row r="6703" spans="1:7" x14ac:dyDescent="0.25">
      <c r="A6703" s="101"/>
      <c r="B6703" s="36"/>
      <c r="C6703" s="110"/>
      <c r="D6703" s="111"/>
      <c r="E6703" s="111"/>
      <c r="F6703" s="102"/>
      <c r="G6703" s="103"/>
    </row>
    <row r="6704" spans="1:7" x14ac:dyDescent="0.25">
      <c r="A6704" s="101"/>
      <c r="B6704" s="36"/>
      <c r="C6704" s="110"/>
      <c r="D6704" s="111"/>
      <c r="E6704" s="111"/>
      <c r="F6704" s="102"/>
      <c r="G6704" s="103"/>
    </row>
    <row r="6705" spans="1:7" x14ac:dyDescent="0.25">
      <c r="A6705" s="101"/>
      <c r="B6705" s="36"/>
      <c r="C6705" s="110"/>
      <c r="D6705" s="111"/>
      <c r="E6705" s="111"/>
      <c r="F6705" s="102"/>
      <c r="G6705" s="103"/>
    </row>
    <row r="6706" spans="1:7" x14ac:dyDescent="0.25">
      <c r="A6706" s="101"/>
      <c r="B6706" s="36"/>
      <c r="C6706" s="110"/>
      <c r="D6706" s="111"/>
      <c r="E6706" s="111"/>
      <c r="F6706" s="102"/>
      <c r="G6706" s="103"/>
    </row>
    <row r="6707" spans="1:7" x14ac:dyDescent="0.25">
      <c r="A6707" s="101"/>
      <c r="B6707" s="36"/>
      <c r="C6707" s="110"/>
      <c r="D6707" s="111"/>
      <c r="E6707" s="111"/>
      <c r="F6707" s="102"/>
      <c r="G6707" s="103"/>
    </row>
    <row r="6708" spans="1:7" x14ac:dyDescent="0.25">
      <c r="A6708" s="101"/>
      <c r="B6708" s="36"/>
      <c r="C6708" s="110"/>
      <c r="D6708" s="111"/>
      <c r="E6708" s="111"/>
      <c r="F6708" s="102"/>
      <c r="G6708" s="103"/>
    </row>
    <row r="6709" spans="1:7" x14ac:dyDescent="0.25">
      <c r="A6709" s="101"/>
      <c r="B6709" s="36"/>
      <c r="C6709" s="110"/>
      <c r="D6709" s="111"/>
      <c r="E6709" s="111"/>
      <c r="F6709" s="102"/>
      <c r="G6709" s="103"/>
    </row>
    <row r="6710" spans="1:7" x14ac:dyDescent="0.25">
      <c r="A6710" s="101"/>
      <c r="B6710" s="36"/>
      <c r="C6710" s="110"/>
      <c r="D6710" s="111"/>
      <c r="E6710" s="111"/>
      <c r="F6710" s="102"/>
      <c r="G6710" s="103"/>
    </row>
    <row r="6711" spans="1:7" x14ac:dyDescent="0.25">
      <c r="A6711" s="101"/>
      <c r="B6711" s="36"/>
      <c r="C6711" s="110"/>
      <c r="D6711" s="111"/>
      <c r="E6711" s="111"/>
      <c r="F6711" s="102"/>
      <c r="G6711" s="103"/>
    </row>
    <row r="6712" spans="1:7" x14ac:dyDescent="0.25">
      <c r="A6712" s="101"/>
      <c r="B6712" s="36"/>
      <c r="C6712" s="110"/>
      <c r="D6712" s="111"/>
      <c r="E6712" s="111"/>
      <c r="F6712" s="102"/>
      <c r="G6712" s="103"/>
    </row>
    <row r="6713" spans="1:7" x14ac:dyDescent="0.25">
      <c r="A6713" s="101"/>
      <c r="B6713" s="36"/>
      <c r="C6713" s="110"/>
      <c r="D6713" s="111"/>
      <c r="E6713" s="111"/>
      <c r="F6713" s="102"/>
      <c r="G6713" s="103"/>
    </row>
    <row r="6714" spans="1:7" x14ac:dyDescent="0.25">
      <c r="A6714" s="101"/>
      <c r="B6714" s="36"/>
      <c r="C6714" s="110"/>
      <c r="D6714" s="111"/>
      <c r="E6714" s="111"/>
      <c r="F6714" s="102"/>
      <c r="G6714" s="103"/>
    </row>
    <row r="6715" spans="1:7" x14ac:dyDescent="0.25">
      <c r="A6715" s="101"/>
      <c r="B6715" s="36"/>
      <c r="C6715" s="110"/>
      <c r="D6715" s="111"/>
      <c r="E6715" s="111"/>
      <c r="F6715" s="102"/>
      <c r="G6715" s="103"/>
    </row>
    <row r="6716" spans="1:7" x14ac:dyDescent="0.25">
      <c r="A6716" s="101"/>
      <c r="B6716" s="36"/>
      <c r="C6716" s="110"/>
      <c r="D6716" s="111"/>
      <c r="E6716" s="111"/>
      <c r="F6716" s="102"/>
      <c r="G6716" s="103"/>
    </row>
    <row r="6717" spans="1:7" x14ac:dyDescent="0.25">
      <c r="A6717" s="101"/>
      <c r="B6717" s="36"/>
      <c r="C6717" s="110"/>
      <c r="D6717" s="111"/>
      <c r="E6717" s="111"/>
      <c r="F6717" s="102"/>
      <c r="G6717" s="103"/>
    </row>
    <row r="6718" spans="1:7" x14ac:dyDescent="0.25">
      <c r="A6718" s="101"/>
      <c r="B6718" s="36"/>
      <c r="C6718" s="110"/>
      <c r="D6718" s="111"/>
      <c r="E6718" s="111"/>
      <c r="F6718" s="102"/>
      <c r="G6718" s="103"/>
    </row>
    <row r="6719" spans="1:7" x14ac:dyDescent="0.25">
      <c r="A6719" s="101"/>
      <c r="B6719" s="36"/>
      <c r="C6719" s="110"/>
      <c r="D6719" s="111"/>
      <c r="E6719" s="111"/>
      <c r="F6719" s="102"/>
      <c r="G6719" s="103"/>
    </row>
    <row r="6720" spans="1:7" x14ac:dyDescent="0.25">
      <c r="A6720" s="101"/>
      <c r="B6720" s="36"/>
      <c r="C6720" s="110"/>
      <c r="D6720" s="111"/>
      <c r="E6720" s="111"/>
      <c r="F6720" s="102"/>
      <c r="G6720" s="103"/>
    </row>
    <row r="6721" spans="1:7" x14ac:dyDescent="0.25">
      <c r="A6721" s="101"/>
      <c r="B6721" s="36"/>
      <c r="C6721" s="110"/>
      <c r="D6721" s="111"/>
      <c r="E6721" s="111"/>
      <c r="F6721" s="102"/>
      <c r="G6721" s="103"/>
    </row>
    <row r="6722" spans="1:7" x14ac:dyDescent="0.25">
      <c r="A6722" s="101"/>
      <c r="B6722" s="36"/>
      <c r="C6722" s="110"/>
      <c r="D6722" s="111"/>
      <c r="E6722" s="111"/>
      <c r="F6722" s="102"/>
      <c r="G6722" s="103"/>
    </row>
    <row r="6723" spans="1:7" x14ac:dyDescent="0.25">
      <c r="A6723" s="101"/>
      <c r="B6723" s="36"/>
      <c r="C6723" s="110"/>
      <c r="D6723" s="111"/>
      <c r="E6723" s="111"/>
      <c r="F6723" s="102"/>
      <c r="G6723" s="103"/>
    </row>
    <row r="6724" spans="1:7" x14ac:dyDescent="0.25">
      <c r="A6724" s="101"/>
      <c r="B6724" s="36"/>
      <c r="C6724" s="110"/>
      <c r="D6724" s="111"/>
      <c r="E6724" s="111"/>
      <c r="F6724" s="102"/>
      <c r="G6724" s="103"/>
    </row>
    <row r="6725" spans="1:7" x14ac:dyDescent="0.25">
      <c r="A6725" s="101"/>
      <c r="B6725" s="36"/>
      <c r="C6725" s="112"/>
      <c r="D6725" s="112"/>
      <c r="E6725" s="112"/>
      <c r="F6725" s="102"/>
      <c r="G6725" s="103"/>
    </row>
    <row r="6726" spans="1:7" x14ac:dyDescent="0.25">
      <c r="A6726" s="101"/>
      <c r="B6726" s="36"/>
      <c r="C6726" s="112"/>
      <c r="D6726" s="112"/>
      <c r="E6726" s="112"/>
      <c r="F6726" s="102"/>
      <c r="G6726" s="103"/>
    </row>
    <row r="6727" spans="1:7" x14ac:dyDescent="0.25">
      <c r="A6727" s="101"/>
      <c r="B6727" s="36"/>
      <c r="C6727" s="112"/>
      <c r="D6727" s="112"/>
      <c r="E6727" s="112"/>
      <c r="F6727" s="102"/>
      <c r="G6727" s="103"/>
    </row>
    <row r="6728" spans="1:7" x14ac:dyDescent="0.25">
      <c r="A6728" s="101"/>
      <c r="B6728" s="36"/>
      <c r="C6728" s="112"/>
      <c r="D6728" s="112"/>
      <c r="E6728" s="112"/>
      <c r="F6728" s="102"/>
      <c r="G6728" s="103"/>
    </row>
    <row r="6729" spans="1:7" x14ac:dyDescent="0.25">
      <c r="A6729" s="101"/>
      <c r="B6729" s="36"/>
      <c r="C6729" s="112"/>
      <c r="D6729" s="112"/>
      <c r="E6729" s="112"/>
      <c r="F6729" s="102"/>
      <c r="G6729" s="103"/>
    </row>
    <row r="6730" spans="1:7" x14ac:dyDescent="0.25">
      <c r="A6730" s="101"/>
      <c r="B6730" s="36"/>
      <c r="C6730" s="112"/>
      <c r="D6730" s="112"/>
      <c r="E6730" s="112"/>
      <c r="F6730" s="102"/>
      <c r="G6730" s="103"/>
    </row>
    <row r="6731" spans="1:7" x14ac:dyDescent="0.25">
      <c r="A6731" s="101"/>
      <c r="B6731" s="36"/>
      <c r="C6731" s="112"/>
      <c r="D6731" s="112"/>
      <c r="E6731" s="112"/>
      <c r="F6731" s="102"/>
      <c r="G6731" s="103"/>
    </row>
    <row r="6732" spans="1:7" x14ac:dyDescent="0.25">
      <c r="A6732" s="101"/>
      <c r="B6732" s="36"/>
      <c r="C6732" s="112"/>
      <c r="D6732" s="112"/>
      <c r="E6732" s="112"/>
      <c r="F6732" s="102"/>
      <c r="G6732" s="103"/>
    </row>
    <row r="6733" spans="1:7" x14ac:dyDescent="0.25">
      <c r="A6733" s="101"/>
      <c r="B6733" s="36"/>
      <c r="C6733" s="112"/>
      <c r="D6733" s="112"/>
      <c r="E6733" s="112"/>
      <c r="F6733" s="102"/>
      <c r="G6733" s="103"/>
    </row>
    <row r="6734" spans="1:7" x14ac:dyDescent="0.25">
      <c r="A6734" s="101"/>
      <c r="B6734" s="36"/>
      <c r="C6734" s="112"/>
      <c r="D6734" s="112"/>
      <c r="E6734" s="112"/>
      <c r="F6734" s="102"/>
      <c r="G6734" s="103"/>
    </row>
    <row r="6735" spans="1:7" x14ac:dyDescent="0.25">
      <c r="A6735" s="101"/>
      <c r="B6735" s="36"/>
      <c r="C6735" s="112"/>
      <c r="D6735" s="112"/>
      <c r="E6735" s="112"/>
      <c r="F6735" s="102"/>
      <c r="G6735" s="103"/>
    </row>
    <row r="6736" spans="1:7" x14ac:dyDescent="0.25">
      <c r="A6736" s="101"/>
      <c r="B6736" s="36"/>
      <c r="C6736" s="112"/>
      <c r="D6736" s="112"/>
      <c r="E6736" s="112"/>
      <c r="F6736" s="102"/>
      <c r="G6736" s="103"/>
    </row>
    <row r="6737" spans="1:7" x14ac:dyDescent="0.25">
      <c r="A6737" s="101"/>
      <c r="B6737" s="36"/>
      <c r="C6737" s="112"/>
      <c r="D6737" s="112"/>
      <c r="E6737" s="112"/>
      <c r="F6737" s="102"/>
      <c r="G6737" s="103"/>
    </row>
    <row r="6738" spans="1:7" x14ac:dyDescent="0.25">
      <c r="A6738" s="101"/>
      <c r="B6738" s="36"/>
      <c r="C6738" s="112"/>
      <c r="D6738" s="112"/>
      <c r="E6738" s="112"/>
      <c r="F6738" s="102"/>
      <c r="G6738" s="103"/>
    </row>
    <row r="6739" spans="1:7" x14ac:dyDescent="0.25">
      <c r="A6739" s="101"/>
      <c r="B6739" s="36"/>
      <c r="C6739" s="112"/>
      <c r="D6739" s="112"/>
      <c r="E6739" s="112"/>
      <c r="F6739" s="102"/>
      <c r="G6739" s="103"/>
    </row>
    <row r="6740" spans="1:7" x14ac:dyDescent="0.25">
      <c r="A6740" s="101"/>
      <c r="B6740" s="36"/>
      <c r="C6740" s="112"/>
      <c r="D6740" s="112"/>
      <c r="E6740" s="112"/>
      <c r="F6740" s="102"/>
      <c r="G6740" s="103"/>
    </row>
    <row r="6741" spans="1:7" x14ac:dyDescent="0.25">
      <c r="A6741" s="101"/>
      <c r="B6741" s="36"/>
      <c r="C6741" s="112"/>
      <c r="D6741" s="112"/>
      <c r="E6741" s="112"/>
      <c r="F6741" s="102"/>
      <c r="G6741" s="103"/>
    </row>
    <row r="6742" spans="1:7" x14ac:dyDescent="0.25">
      <c r="A6742" s="101"/>
      <c r="B6742" s="36"/>
      <c r="C6742" s="112"/>
      <c r="D6742" s="112"/>
      <c r="E6742" s="112"/>
      <c r="F6742" s="102"/>
      <c r="G6742" s="103"/>
    </row>
    <row r="6743" spans="1:7" x14ac:dyDescent="0.25">
      <c r="A6743" s="101"/>
      <c r="B6743" s="36"/>
      <c r="C6743" s="112"/>
      <c r="D6743" s="112"/>
      <c r="E6743" s="112"/>
      <c r="F6743" s="102"/>
      <c r="G6743" s="103"/>
    </row>
    <row r="6744" spans="1:7" x14ac:dyDescent="0.25">
      <c r="A6744" s="101"/>
      <c r="B6744" s="36"/>
      <c r="C6744" s="112"/>
      <c r="D6744" s="112"/>
      <c r="E6744" s="112"/>
      <c r="F6744" s="102"/>
      <c r="G6744" s="103"/>
    </row>
    <row r="6745" spans="1:7" x14ac:dyDescent="0.25">
      <c r="A6745" s="101"/>
      <c r="B6745" s="36"/>
      <c r="C6745" s="112"/>
      <c r="D6745" s="112"/>
      <c r="E6745" s="112"/>
      <c r="F6745" s="102"/>
      <c r="G6745" s="103"/>
    </row>
    <row r="6746" spans="1:7" x14ac:dyDescent="0.25">
      <c r="A6746" s="101"/>
      <c r="B6746" s="36"/>
      <c r="C6746" s="112"/>
      <c r="D6746" s="112"/>
      <c r="E6746" s="112"/>
      <c r="F6746" s="102"/>
      <c r="G6746" s="103"/>
    </row>
    <row r="6747" spans="1:7" x14ac:dyDescent="0.25">
      <c r="A6747" s="101"/>
      <c r="B6747" s="36"/>
      <c r="C6747" s="112"/>
      <c r="D6747" s="112"/>
      <c r="E6747" s="112"/>
      <c r="F6747" s="102"/>
      <c r="G6747" s="103"/>
    </row>
    <row r="6748" spans="1:7" x14ac:dyDescent="0.25">
      <c r="A6748" s="101"/>
      <c r="B6748" s="36"/>
      <c r="C6748" s="112"/>
      <c r="D6748" s="112"/>
      <c r="E6748" s="112"/>
      <c r="F6748" s="102"/>
      <c r="G6748" s="103"/>
    </row>
    <row r="6749" spans="1:7" x14ac:dyDescent="0.25">
      <c r="A6749" s="101"/>
      <c r="B6749" s="36"/>
      <c r="C6749" s="112"/>
      <c r="D6749" s="112"/>
      <c r="E6749" s="112"/>
      <c r="F6749" s="102"/>
      <c r="G6749" s="103"/>
    </row>
    <row r="6750" spans="1:7" x14ac:dyDescent="0.25">
      <c r="A6750" s="101"/>
      <c r="B6750" s="36"/>
      <c r="C6750" s="112"/>
      <c r="D6750" s="112"/>
      <c r="E6750" s="112"/>
      <c r="F6750" s="102"/>
      <c r="G6750" s="103"/>
    </row>
    <row r="6751" spans="1:7" x14ac:dyDescent="0.25">
      <c r="A6751" s="101"/>
      <c r="B6751" s="36"/>
      <c r="C6751" s="112"/>
      <c r="D6751" s="112"/>
      <c r="E6751" s="112"/>
      <c r="F6751" s="102"/>
      <c r="G6751" s="103"/>
    </row>
    <row r="6752" spans="1:7" x14ac:dyDescent="0.25">
      <c r="A6752" s="101"/>
      <c r="B6752" s="36"/>
      <c r="C6752" s="112"/>
      <c r="D6752" s="112"/>
      <c r="E6752" s="112"/>
      <c r="F6752" s="102"/>
      <c r="G6752" s="103"/>
    </row>
    <row r="6753" spans="1:7" x14ac:dyDescent="0.25">
      <c r="A6753" s="101"/>
      <c r="B6753" s="36"/>
      <c r="C6753" s="112"/>
      <c r="D6753" s="112"/>
      <c r="E6753" s="112"/>
      <c r="F6753" s="102"/>
      <c r="G6753" s="103"/>
    </row>
    <row r="6754" spans="1:7" x14ac:dyDescent="0.25">
      <c r="A6754" s="101"/>
      <c r="B6754" s="36"/>
      <c r="C6754" s="112"/>
      <c r="D6754" s="112"/>
      <c r="E6754" s="112"/>
      <c r="F6754" s="102"/>
      <c r="G6754" s="103"/>
    </row>
    <row r="6755" spans="1:7" x14ac:dyDescent="0.25">
      <c r="A6755" s="101"/>
      <c r="B6755" s="36"/>
      <c r="C6755" s="112"/>
      <c r="D6755" s="112"/>
      <c r="E6755" s="112"/>
      <c r="F6755" s="102"/>
      <c r="G6755" s="103"/>
    </row>
    <row r="6756" spans="1:7" x14ac:dyDescent="0.25">
      <c r="A6756" s="101"/>
      <c r="B6756" s="36"/>
      <c r="C6756" s="112"/>
      <c r="D6756" s="112"/>
      <c r="E6756" s="112"/>
      <c r="F6756" s="102"/>
      <c r="G6756" s="103"/>
    </row>
    <row r="6757" spans="1:7" x14ac:dyDescent="0.25">
      <c r="A6757" s="101"/>
      <c r="B6757" s="36"/>
      <c r="C6757" s="112"/>
      <c r="D6757" s="112"/>
      <c r="E6757" s="112"/>
      <c r="F6757" s="102"/>
      <c r="G6757" s="103"/>
    </row>
    <row r="6758" spans="1:7" x14ac:dyDescent="0.25">
      <c r="A6758" s="101"/>
      <c r="B6758" s="36"/>
      <c r="C6758" s="112"/>
      <c r="D6758" s="112"/>
      <c r="E6758" s="112"/>
      <c r="F6758" s="102"/>
      <c r="G6758" s="103"/>
    </row>
    <row r="6759" spans="1:7" x14ac:dyDescent="0.25">
      <c r="A6759" s="101"/>
      <c r="B6759" s="36"/>
      <c r="C6759" s="112"/>
      <c r="D6759" s="112"/>
      <c r="E6759" s="112"/>
      <c r="F6759" s="102"/>
      <c r="G6759" s="103"/>
    </row>
    <row r="6760" spans="1:7" x14ac:dyDescent="0.25">
      <c r="A6760" s="101"/>
      <c r="B6760" s="36"/>
      <c r="C6760" s="112"/>
      <c r="D6760" s="112"/>
      <c r="E6760" s="112"/>
      <c r="F6760" s="102"/>
      <c r="G6760" s="103"/>
    </row>
    <row r="6761" spans="1:7" x14ac:dyDescent="0.25">
      <c r="A6761" s="101"/>
      <c r="B6761" s="36"/>
      <c r="C6761" s="112"/>
      <c r="D6761" s="112"/>
      <c r="E6761" s="112"/>
      <c r="F6761" s="102"/>
      <c r="G6761" s="103"/>
    </row>
    <row r="6762" spans="1:7" x14ac:dyDescent="0.25">
      <c r="A6762" s="101"/>
      <c r="B6762" s="36"/>
      <c r="C6762" s="112"/>
      <c r="D6762" s="112"/>
      <c r="E6762" s="112"/>
      <c r="F6762" s="102"/>
      <c r="G6762" s="103"/>
    </row>
    <row r="6763" spans="1:7" x14ac:dyDescent="0.25">
      <c r="A6763" s="101"/>
      <c r="B6763" s="36"/>
      <c r="C6763" s="112"/>
      <c r="D6763" s="112"/>
      <c r="E6763" s="112"/>
      <c r="F6763" s="102"/>
      <c r="G6763" s="103"/>
    </row>
    <row r="6764" spans="1:7" x14ac:dyDescent="0.25">
      <c r="A6764" s="101"/>
      <c r="B6764" s="36"/>
      <c r="C6764" s="112"/>
      <c r="D6764" s="112"/>
      <c r="E6764" s="112"/>
      <c r="F6764" s="102"/>
      <c r="G6764" s="103"/>
    </row>
    <row r="6765" spans="1:7" x14ac:dyDescent="0.25">
      <c r="A6765" s="101"/>
      <c r="B6765" s="36"/>
      <c r="C6765" s="112"/>
      <c r="D6765" s="112"/>
      <c r="E6765" s="112"/>
      <c r="F6765" s="102"/>
      <c r="G6765" s="103"/>
    </row>
    <row r="6766" spans="1:7" x14ac:dyDescent="0.25">
      <c r="A6766" s="101"/>
      <c r="B6766" s="36"/>
      <c r="C6766" s="112"/>
      <c r="D6766" s="112"/>
      <c r="E6766" s="112"/>
      <c r="F6766" s="102"/>
      <c r="G6766" s="103"/>
    </row>
    <row r="6767" spans="1:7" x14ac:dyDescent="0.25">
      <c r="A6767" s="101"/>
      <c r="B6767" s="36"/>
      <c r="C6767" s="112"/>
      <c r="D6767" s="112"/>
      <c r="E6767" s="112"/>
      <c r="F6767" s="102"/>
      <c r="G6767" s="103"/>
    </row>
    <row r="6768" spans="1:7" x14ac:dyDescent="0.25">
      <c r="A6768" s="101"/>
      <c r="B6768" s="36"/>
      <c r="C6768" s="112"/>
      <c r="D6768" s="112"/>
      <c r="E6768" s="112"/>
      <c r="F6768" s="102"/>
      <c r="G6768" s="103"/>
    </row>
    <row r="6769" spans="1:7" x14ac:dyDescent="0.25">
      <c r="A6769" s="101"/>
      <c r="B6769" s="36"/>
      <c r="C6769" s="112"/>
      <c r="D6769" s="112"/>
      <c r="E6769" s="112"/>
      <c r="F6769" s="102"/>
      <c r="G6769" s="103"/>
    </row>
    <row r="6770" spans="1:7" x14ac:dyDescent="0.25">
      <c r="A6770" s="101"/>
      <c r="B6770" s="36"/>
      <c r="C6770" s="112"/>
      <c r="D6770" s="112"/>
      <c r="E6770" s="112"/>
      <c r="F6770" s="102"/>
      <c r="G6770" s="103"/>
    </row>
    <row r="6771" spans="1:7" x14ac:dyDescent="0.25">
      <c r="A6771" s="101"/>
      <c r="B6771" s="36"/>
      <c r="C6771" s="112"/>
      <c r="D6771" s="112"/>
      <c r="E6771" s="112"/>
      <c r="F6771" s="102"/>
      <c r="G6771" s="103"/>
    </row>
    <row r="6772" spans="1:7" x14ac:dyDescent="0.25">
      <c r="A6772" s="101"/>
      <c r="B6772" s="36"/>
      <c r="C6772" s="112"/>
      <c r="D6772" s="112"/>
      <c r="E6772" s="112"/>
      <c r="F6772" s="102"/>
      <c r="G6772" s="103"/>
    </row>
    <row r="6773" spans="1:7" x14ac:dyDescent="0.25">
      <c r="A6773" s="101"/>
      <c r="B6773" s="36"/>
      <c r="C6773" s="112"/>
      <c r="D6773" s="112"/>
      <c r="E6773" s="112"/>
      <c r="F6773" s="102"/>
      <c r="G6773" s="103"/>
    </row>
    <row r="6774" spans="1:7" x14ac:dyDescent="0.25">
      <c r="A6774" s="101"/>
      <c r="B6774" s="36"/>
      <c r="C6774" s="112"/>
      <c r="D6774" s="112"/>
      <c r="E6774" s="112"/>
      <c r="F6774" s="102"/>
      <c r="G6774" s="103"/>
    </row>
    <row r="6775" spans="1:7" x14ac:dyDescent="0.25">
      <c r="A6775" s="101"/>
      <c r="B6775" s="36"/>
      <c r="C6775" s="112"/>
      <c r="D6775" s="112"/>
      <c r="E6775" s="112"/>
      <c r="F6775" s="102"/>
      <c r="G6775" s="103"/>
    </row>
    <row r="6776" spans="1:7" x14ac:dyDescent="0.25">
      <c r="A6776" s="101"/>
      <c r="B6776" s="36"/>
      <c r="C6776" s="112"/>
      <c r="D6776" s="112"/>
      <c r="E6776" s="112"/>
      <c r="F6776" s="102"/>
      <c r="G6776" s="103"/>
    </row>
    <row r="6777" spans="1:7" x14ac:dyDescent="0.25">
      <c r="A6777" s="101"/>
      <c r="B6777" s="36"/>
      <c r="C6777" s="112"/>
      <c r="D6777" s="112"/>
      <c r="E6777" s="112"/>
      <c r="F6777" s="102"/>
      <c r="G6777" s="103"/>
    </row>
    <row r="6778" spans="1:7" x14ac:dyDescent="0.25">
      <c r="A6778" s="101"/>
      <c r="B6778" s="36"/>
      <c r="C6778" s="112"/>
      <c r="D6778" s="112"/>
      <c r="E6778" s="112"/>
      <c r="F6778" s="102"/>
      <c r="G6778" s="103"/>
    </row>
    <row r="6779" spans="1:7" x14ac:dyDescent="0.25">
      <c r="A6779" s="101"/>
      <c r="B6779" s="36"/>
      <c r="C6779" s="112"/>
      <c r="D6779" s="112"/>
      <c r="E6779" s="112"/>
      <c r="F6779" s="102"/>
      <c r="G6779" s="103"/>
    </row>
    <row r="6780" spans="1:7" x14ac:dyDescent="0.25">
      <c r="A6780" s="101"/>
      <c r="B6780" s="36"/>
      <c r="C6780" s="112"/>
      <c r="D6780" s="112"/>
      <c r="E6780" s="112"/>
      <c r="F6780" s="102"/>
      <c r="G6780" s="103"/>
    </row>
    <row r="6781" spans="1:7" x14ac:dyDescent="0.25">
      <c r="A6781" s="101"/>
      <c r="B6781" s="36"/>
      <c r="C6781" s="105"/>
      <c r="D6781" s="105"/>
      <c r="E6781" s="105"/>
      <c r="F6781" s="102"/>
      <c r="G6781" s="103"/>
    </row>
    <row r="6782" spans="1:7" x14ac:dyDescent="0.25">
      <c r="A6782" s="101"/>
      <c r="B6782" s="36"/>
      <c r="C6782" s="105"/>
      <c r="D6782" s="105"/>
      <c r="E6782" s="105"/>
      <c r="F6782" s="102"/>
      <c r="G6782" s="103"/>
    </row>
    <row r="6783" spans="1:7" x14ac:dyDescent="0.25">
      <c r="A6783" s="101"/>
      <c r="B6783" s="36"/>
      <c r="C6783" s="105"/>
      <c r="D6783" s="105"/>
      <c r="E6783" s="105"/>
      <c r="F6783" s="102"/>
      <c r="G6783" s="103"/>
    </row>
    <row r="6784" spans="1:7" x14ac:dyDescent="0.25">
      <c r="A6784" s="101"/>
      <c r="B6784" s="36"/>
      <c r="C6784" s="105"/>
      <c r="D6784" s="105"/>
      <c r="E6784" s="105"/>
      <c r="F6784" s="102"/>
      <c r="G6784" s="103"/>
    </row>
    <row r="6785" spans="1:7" x14ac:dyDescent="0.25">
      <c r="A6785" s="101"/>
      <c r="B6785" s="36"/>
      <c r="C6785" s="105"/>
      <c r="D6785" s="105"/>
      <c r="E6785" s="105"/>
      <c r="F6785" s="102"/>
      <c r="G6785" s="103"/>
    </row>
    <row r="6786" spans="1:7" x14ac:dyDescent="0.25">
      <c r="A6786" s="101"/>
      <c r="B6786" s="36"/>
      <c r="C6786" s="105"/>
      <c r="D6786" s="105"/>
      <c r="E6786" s="105"/>
      <c r="F6786" s="102"/>
      <c r="G6786" s="103"/>
    </row>
    <row r="6787" spans="1:7" x14ac:dyDescent="0.25">
      <c r="A6787" s="101"/>
      <c r="B6787" s="36"/>
      <c r="C6787" s="105"/>
      <c r="D6787" s="105"/>
      <c r="E6787" s="105"/>
      <c r="F6787" s="102"/>
      <c r="G6787" s="103"/>
    </row>
    <row r="6788" spans="1:7" x14ac:dyDescent="0.25">
      <c r="A6788" s="101"/>
      <c r="B6788" s="36"/>
      <c r="C6788" s="105"/>
      <c r="D6788" s="105"/>
      <c r="E6788" s="105"/>
      <c r="F6788" s="102"/>
      <c r="G6788" s="103"/>
    </row>
    <row r="6789" spans="1:7" x14ac:dyDescent="0.25">
      <c r="A6789" s="101"/>
      <c r="B6789" s="36"/>
      <c r="C6789" s="105"/>
      <c r="D6789" s="105"/>
      <c r="E6789" s="105"/>
      <c r="F6789" s="102"/>
      <c r="G6789" s="103"/>
    </row>
    <row r="6790" spans="1:7" x14ac:dyDescent="0.25">
      <c r="A6790" s="101"/>
      <c r="B6790" s="36"/>
      <c r="C6790" s="105"/>
      <c r="D6790" s="105"/>
      <c r="E6790" s="105"/>
      <c r="F6790" s="102"/>
      <c r="G6790" s="103"/>
    </row>
    <row r="6791" spans="1:7" x14ac:dyDescent="0.25">
      <c r="A6791" s="101"/>
      <c r="B6791" s="36"/>
      <c r="C6791" s="105"/>
      <c r="D6791" s="105"/>
      <c r="E6791" s="105"/>
      <c r="F6791" s="102"/>
      <c r="G6791" s="103"/>
    </row>
    <row r="6792" spans="1:7" x14ac:dyDescent="0.25">
      <c r="A6792" s="101"/>
      <c r="B6792" s="36"/>
      <c r="C6792" s="105"/>
      <c r="D6792" s="105"/>
      <c r="E6792" s="105"/>
      <c r="F6792" s="102"/>
      <c r="G6792" s="103"/>
    </row>
    <row r="6793" spans="1:7" x14ac:dyDescent="0.25">
      <c r="A6793" s="101"/>
      <c r="B6793" s="36"/>
      <c r="C6793" s="105"/>
      <c r="D6793" s="105"/>
      <c r="E6793" s="105"/>
      <c r="F6793" s="102"/>
      <c r="G6793" s="103"/>
    </row>
    <row r="6794" spans="1:7" x14ac:dyDescent="0.25">
      <c r="A6794" s="101"/>
      <c r="B6794" s="36"/>
      <c r="C6794" s="105"/>
      <c r="D6794" s="105"/>
      <c r="E6794" s="105"/>
      <c r="F6794" s="102"/>
      <c r="G6794" s="103"/>
    </row>
    <row r="6795" spans="1:7" x14ac:dyDescent="0.25">
      <c r="A6795" s="101"/>
      <c r="B6795" s="36"/>
      <c r="C6795" s="105"/>
      <c r="D6795" s="105"/>
      <c r="E6795" s="105"/>
      <c r="F6795" s="102"/>
      <c r="G6795" s="103"/>
    </row>
    <row r="6796" spans="1:7" x14ac:dyDescent="0.25">
      <c r="A6796" s="101"/>
      <c r="B6796" s="36"/>
      <c r="C6796" s="105"/>
      <c r="D6796" s="105"/>
      <c r="E6796" s="105"/>
      <c r="F6796" s="102"/>
      <c r="G6796" s="103"/>
    </row>
    <row r="6797" spans="1:7" x14ac:dyDescent="0.25">
      <c r="A6797" s="101"/>
      <c r="B6797" s="36"/>
      <c r="C6797" s="105"/>
      <c r="D6797" s="105"/>
      <c r="E6797" s="105"/>
      <c r="F6797" s="102"/>
      <c r="G6797" s="103"/>
    </row>
    <row r="6798" spans="1:7" x14ac:dyDescent="0.25">
      <c r="A6798" s="101"/>
      <c r="B6798" s="36"/>
      <c r="C6798" s="105"/>
      <c r="D6798" s="105"/>
      <c r="E6798" s="105"/>
      <c r="F6798" s="102"/>
      <c r="G6798" s="103"/>
    </row>
    <row r="6799" spans="1:7" x14ac:dyDescent="0.25">
      <c r="A6799" s="101"/>
      <c r="B6799" s="36"/>
      <c r="C6799" s="105"/>
      <c r="D6799" s="105"/>
      <c r="E6799" s="105"/>
      <c r="F6799" s="102"/>
      <c r="G6799" s="103"/>
    </row>
    <row r="6800" spans="1:7" x14ac:dyDescent="0.25">
      <c r="A6800" s="101"/>
      <c r="B6800" s="36"/>
      <c r="C6800" s="105"/>
      <c r="D6800" s="105"/>
      <c r="E6800" s="105"/>
      <c r="F6800" s="102"/>
      <c r="G6800" s="103"/>
    </row>
    <row r="6801" spans="1:7" x14ac:dyDescent="0.25">
      <c r="A6801" s="101"/>
      <c r="B6801" s="36"/>
      <c r="C6801" s="98"/>
      <c r="D6801" s="98"/>
      <c r="E6801" s="98"/>
      <c r="F6801" s="102"/>
      <c r="G6801" s="103"/>
    </row>
    <row r="6802" spans="1:7" x14ac:dyDescent="0.25">
      <c r="A6802" s="101"/>
      <c r="B6802" s="36"/>
      <c r="C6802" s="98"/>
      <c r="D6802" s="98"/>
      <c r="E6802" s="98"/>
      <c r="F6802" s="102"/>
      <c r="G6802" s="103"/>
    </row>
    <row r="6803" spans="1:7" x14ac:dyDescent="0.25">
      <c r="A6803" s="101"/>
      <c r="B6803" s="36"/>
      <c r="C6803" s="98"/>
      <c r="D6803" s="98"/>
      <c r="E6803" s="98"/>
      <c r="F6803" s="102"/>
      <c r="G6803" s="103"/>
    </row>
    <row r="6804" spans="1:7" x14ac:dyDescent="0.25">
      <c r="A6804" s="101"/>
      <c r="B6804" s="36"/>
      <c r="C6804" s="98"/>
      <c r="D6804" s="98"/>
      <c r="E6804" s="98"/>
      <c r="F6804" s="102"/>
      <c r="G6804" s="103"/>
    </row>
    <row r="6805" spans="1:7" x14ac:dyDescent="0.25">
      <c r="A6805" s="101"/>
      <c r="B6805" s="36"/>
      <c r="C6805" s="98"/>
      <c r="D6805" s="98"/>
      <c r="E6805" s="98"/>
      <c r="F6805" s="102"/>
      <c r="G6805" s="103"/>
    </row>
    <row r="6806" spans="1:7" x14ac:dyDescent="0.25">
      <c r="A6806" s="101"/>
      <c r="B6806" s="36"/>
      <c r="C6806" s="98"/>
      <c r="D6806" s="98"/>
      <c r="E6806" s="98"/>
      <c r="F6806" s="102"/>
      <c r="G6806" s="103"/>
    </row>
    <row r="6807" spans="1:7" x14ac:dyDescent="0.25">
      <c r="A6807" s="101"/>
      <c r="B6807" s="36"/>
      <c r="C6807" s="98"/>
      <c r="D6807" s="98"/>
      <c r="E6807" s="98"/>
      <c r="F6807" s="102"/>
      <c r="G6807" s="103"/>
    </row>
    <row r="6808" spans="1:7" x14ac:dyDescent="0.25">
      <c r="A6808" s="101"/>
      <c r="B6808" s="36"/>
      <c r="C6808" s="98"/>
      <c r="D6808" s="98"/>
      <c r="E6808" s="98"/>
      <c r="F6808" s="102"/>
      <c r="G6808" s="103"/>
    </row>
    <row r="6809" spans="1:7" x14ac:dyDescent="0.25">
      <c r="A6809" s="101"/>
      <c r="B6809" s="36"/>
      <c r="C6809" s="98"/>
      <c r="D6809" s="98"/>
      <c r="E6809" s="98"/>
      <c r="F6809" s="102"/>
      <c r="G6809" s="103"/>
    </row>
    <row r="6810" spans="1:7" x14ac:dyDescent="0.25">
      <c r="A6810" s="101"/>
      <c r="B6810" s="36"/>
      <c r="C6810" s="98"/>
      <c r="D6810" s="98"/>
      <c r="E6810" s="98"/>
      <c r="F6810" s="102"/>
      <c r="G6810" s="103"/>
    </row>
    <row r="6811" spans="1:7" x14ac:dyDescent="0.25">
      <c r="A6811" s="101"/>
      <c r="B6811" s="10"/>
      <c r="C6811" s="98"/>
      <c r="D6811" s="98"/>
      <c r="E6811" s="98"/>
      <c r="F6811" s="102"/>
      <c r="G6811" s="103"/>
    </row>
    <row r="6812" spans="1:7" x14ac:dyDescent="0.25">
      <c r="A6812" s="101"/>
      <c r="B6812" s="36"/>
      <c r="C6812" s="98"/>
      <c r="D6812" s="98"/>
      <c r="E6812" s="98"/>
      <c r="F6812" s="102"/>
      <c r="G6812" s="103"/>
    </row>
    <row r="6813" spans="1:7" x14ac:dyDescent="0.25">
      <c r="A6813" s="101"/>
      <c r="B6813" s="36"/>
      <c r="C6813" s="98"/>
      <c r="D6813" s="98"/>
      <c r="E6813" s="98"/>
      <c r="F6813" s="102"/>
      <c r="G6813" s="103"/>
    </row>
    <row r="6814" spans="1:7" x14ac:dyDescent="0.25">
      <c r="A6814" s="101"/>
      <c r="B6814" s="36"/>
      <c r="C6814" s="98"/>
      <c r="D6814" s="98"/>
      <c r="E6814" s="98"/>
      <c r="F6814" s="102"/>
      <c r="G6814" s="103"/>
    </row>
    <row r="6815" spans="1:7" x14ac:dyDescent="0.25">
      <c r="A6815" s="101"/>
      <c r="B6815" s="36"/>
      <c r="C6815" s="98"/>
      <c r="D6815" s="98"/>
      <c r="E6815" s="98"/>
      <c r="F6815" s="102"/>
      <c r="G6815" s="103"/>
    </row>
    <row r="6816" spans="1:7" x14ac:dyDescent="0.25">
      <c r="A6816" s="101"/>
      <c r="B6816" s="36"/>
      <c r="C6816" s="98"/>
      <c r="D6816" s="98"/>
      <c r="E6816" s="98"/>
      <c r="F6816" s="102"/>
      <c r="G6816" s="103"/>
    </row>
    <row r="6817" spans="1:7" x14ac:dyDescent="0.25">
      <c r="A6817" s="101"/>
      <c r="B6817" s="36"/>
      <c r="C6817" s="98"/>
      <c r="D6817" s="98"/>
      <c r="E6817" s="98"/>
      <c r="F6817" s="102"/>
      <c r="G6817" s="103"/>
    </row>
    <row r="6818" spans="1:7" x14ac:dyDescent="0.25">
      <c r="A6818" s="101"/>
      <c r="B6818" s="36"/>
      <c r="C6818" s="98"/>
      <c r="D6818" s="98"/>
      <c r="E6818" s="98"/>
      <c r="F6818" s="102"/>
      <c r="G6818" s="103"/>
    </row>
    <row r="6819" spans="1:7" x14ac:dyDescent="0.25">
      <c r="A6819" s="101"/>
      <c r="B6819" s="36"/>
      <c r="C6819" s="98"/>
      <c r="D6819" s="98"/>
      <c r="E6819" s="98"/>
      <c r="F6819" s="102"/>
      <c r="G6819" s="103"/>
    </row>
    <row r="6820" spans="1:7" x14ac:dyDescent="0.25">
      <c r="A6820" s="101"/>
      <c r="B6820" s="36"/>
      <c r="C6820" s="98"/>
      <c r="D6820" s="98"/>
      <c r="E6820" s="98"/>
      <c r="F6820" s="102"/>
      <c r="G6820" s="103"/>
    </row>
    <row r="6821" spans="1:7" x14ac:dyDescent="0.25">
      <c r="A6821" s="101"/>
      <c r="B6821" s="36"/>
      <c r="C6821" s="98"/>
      <c r="D6821" s="98"/>
      <c r="E6821" s="98"/>
      <c r="F6821" s="102"/>
      <c r="G6821" s="103"/>
    </row>
    <row r="6822" spans="1:7" x14ac:dyDescent="0.25">
      <c r="A6822" s="101"/>
      <c r="B6822" s="10"/>
      <c r="C6822" s="98"/>
      <c r="D6822" s="98"/>
      <c r="E6822" s="98"/>
      <c r="F6822" s="102"/>
      <c r="G6822" s="103"/>
    </row>
    <row r="6823" spans="1:7" x14ac:dyDescent="0.25">
      <c r="A6823" s="101"/>
      <c r="B6823" s="36"/>
      <c r="C6823" s="98"/>
      <c r="D6823" s="98"/>
      <c r="E6823" s="98"/>
      <c r="F6823" s="102"/>
      <c r="G6823" s="103"/>
    </row>
    <row r="6824" spans="1:7" x14ac:dyDescent="0.25">
      <c r="A6824" s="101"/>
      <c r="B6824" s="10"/>
      <c r="C6824" s="98"/>
      <c r="D6824" s="98"/>
      <c r="E6824" s="98"/>
      <c r="F6824" s="102"/>
      <c r="G6824" s="103"/>
    </row>
    <row r="6825" spans="1:7" x14ac:dyDescent="0.25">
      <c r="A6825" s="101"/>
      <c r="B6825" s="36"/>
      <c r="C6825" s="98"/>
      <c r="D6825" s="98"/>
      <c r="E6825" s="98"/>
      <c r="F6825" s="102"/>
      <c r="G6825" s="103"/>
    </row>
    <row r="6826" spans="1:7" x14ac:dyDescent="0.25">
      <c r="A6826" s="101"/>
      <c r="B6826" s="36"/>
      <c r="C6826" s="98"/>
      <c r="D6826" s="98"/>
      <c r="E6826" s="98"/>
      <c r="F6826" s="102"/>
      <c r="G6826" s="103"/>
    </row>
    <row r="6827" spans="1:7" x14ac:dyDescent="0.25">
      <c r="A6827" s="101"/>
      <c r="B6827" s="36"/>
      <c r="C6827" s="98"/>
      <c r="D6827" s="98"/>
      <c r="E6827" s="98"/>
      <c r="F6827" s="102"/>
      <c r="G6827" s="103"/>
    </row>
    <row r="6828" spans="1:7" x14ac:dyDescent="0.25">
      <c r="A6828" s="101"/>
      <c r="B6828" s="36"/>
      <c r="C6828" s="98"/>
      <c r="D6828" s="98"/>
      <c r="E6828" s="98"/>
      <c r="F6828" s="102"/>
      <c r="G6828" s="103"/>
    </row>
    <row r="6829" spans="1:7" x14ac:dyDescent="0.25">
      <c r="A6829" s="101"/>
      <c r="B6829" s="36"/>
      <c r="C6829" s="98"/>
      <c r="D6829" s="98"/>
      <c r="E6829" s="98"/>
      <c r="F6829" s="102"/>
      <c r="G6829" s="103"/>
    </row>
    <row r="6830" spans="1:7" x14ac:dyDescent="0.25">
      <c r="A6830" s="101"/>
      <c r="B6830" s="36"/>
      <c r="C6830" s="98"/>
      <c r="D6830" s="98"/>
      <c r="E6830" s="98"/>
      <c r="F6830" s="102"/>
      <c r="G6830" s="103"/>
    </row>
    <row r="6831" spans="1:7" x14ac:dyDescent="0.25">
      <c r="A6831" s="101"/>
      <c r="B6831" s="36"/>
      <c r="C6831" s="98"/>
      <c r="D6831" s="98"/>
      <c r="E6831" s="98"/>
      <c r="F6831" s="102"/>
      <c r="G6831" s="103"/>
    </row>
    <row r="6832" spans="1:7" x14ac:dyDescent="0.25">
      <c r="A6832" s="101"/>
      <c r="B6832" s="36"/>
      <c r="C6832" s="98"/>
      <c r="D6832" s="98"/>
      <c r="E6832" s="98"/>
      <c r="F6832" s="102"/>
      <c r="G6832" s="103"/>
    </row>
    <row r="6833" spans="1:7" x14ac:dyDescent="0.25">
      <c r="A6833" s="101"/>
      <c r="B6833" s="36"/>
      <c r="C6833" s="98"/>
      <c r="D6833" s="98"/>
      <c r="E6833" s="98"/>
      <c r="F6833" s="102"/>
      <c r="G6833" s="103"/>
    </row>
    <row r="6834" spans="1:7" x14ac:dyDescent="0.25">
      <c r="A6834" s="101"/>
      <c r="B6834" s="12"/>
      <c r="C6834" s="98"/>
      <c r="D6834" s="98"/>
      <c r="E6834" s="98"/>
      <c r="F6834" s="102"/>
      <c r="G6834" s="103"/>
    </row>
    <row r="6835" spans="1:7" x14ac:dyDescent="0.25">
      <c r="A6835" s="101"/>
      <c r="B6835" s="36"/>
      <c r="C6835" s="98"/>
      <c r="D6835" s="98"/>
      <c r="E6835" s="98"/>
      <c r="F6835" s="102"/>
      <c r="G6835" s="103"/>
    </row>
    <row r="6836" spans="1:7" x14ac:dyDescent="0.25">
      <c r="A6836" s="101"/>
      <c r="B6836" s="36"/>
      <c r="C6836" s="98"/>
      <c r="D6836" s="98"/>
      <c r="E6836" s="98"/>
      <c r="F6836" s="102"/>
      <c r="G6836" s="103"/>
    </row>
    <row r="6837" spans="1:7" x14ac:dyDescent="0.25">
      <c r="A6837" s="101"/>
      <c r="B6837" s="36"/>
      <c r="C6837" s="98"/>
      <c r="D6837" s="98"/>
      <c r="E6837" s="98"/>
      <c r="F6837" s="102"/>
      <c r="G6837" s="103"/>
    </row>
    <row r="6838" spans="1:7" x14ac:dyDescent="0.25">
      <c r="A6838" s="101"/>
      <c r="B6838" s="36"/>
      <c r="C6838" s="98"/>
      <c r="D6838" s="98"/>
      <c r="E6838" s="98"/>
      <c r="F6838" s="102"/>
      <c r="G6838" s="103"/>
    </row>
    <row r="6839" spans="1:7" x14ac:dyDescent="0.25">
      <c r="A6839" s="101"/>
      <c r="B6839" s="36"/>
      <c r="C6839" s="98"/>
      <c r="D6839" s="98"/>
      <c r="E6839" s="98"/>
      <c r="F6839" s="102"/>
      <c r="G6839" s="103"/>
    </row>
    <row r="6840" spans="1:7" x14ac:dyDescent="0.25">
      <c r="A6840" s="101"/>
      <c r="B6840" s="36"/>
      <c r="C6840" s="98"/>
      <c r="D6840" s="98"/>
      <c r="E6840" s="98"/>
      <c r="F6840" s="102"/>
      <c r="G6840" s="103"/>
    </row>
    <row r="6841" spans="1:7" x14ac:dyDescent="0.25">
      <c r="A6841" s="101"/>
      <c r="B6841" s="36"/>
      <c r="C6841" s="98"/>
      <c r="D6841" s="98"/>
      <c r="E6841" s="98"/>
      <c r="F6841" s="102"/>
      <c r="G6841" s="103"/>
    </row>
    <row r="6842" spans="1:7" x14ac:dyDescent="0.25">
      <c r="A6842" s="101"/>
      <c r="B6842" s="36"/>
      <c r="C6842" s="98"/>
      <c r="D6842" s="98"/>
      <c r="E6842" s="98"/>
      <c r="F6842" s="102"/>
      <c r="G6842" s="103"/>
    </row>
    <row r="6843" spans="1:7" x14ac:dyDescent="0.25">
      <c r="A6843" s="101"/>
      <c r="B6843" s="12"/>
      <c r="C6843" s="98"/>
      <c r="D6843" s="98"/>
      <c r="E6843" s="98"/>
      <c r="F6843" s="102"/>
      <c r="G6843" s="103"/>
    </row>
    <row r="6844" spans="1:7" x14ac:dyDescent="0.25">
      <c r="A6844" s="101"/>
      <c r="B6844" s="36"/>
      <c r="C6844" s="98"/>
      <c r="D6844" s="98"/>
      <c r="E6844" s="98"/>
      <c r="F6844" s="102"/>
      <c r="G6844" s="103"/>
    </row>
    <row r="6845" spans="1:7" x14ac:dyDescent="0.25">
      <c r="A6845" s="101"/>
      <c r="B6845" s="36"/>
      <c r="C6845" s="98"/>
      <c r="D6845" s="98"/>
      <c r="E6845" s="98"/>
      <c r="F6845" s="102"/>
      <c r="G6845" s="103"/>
    </row>
    <row r="6846" spans="1:7" x14ac:dyDescent="0.25">
      <c r="A6846" s="101"/>
      <c r="B6846" s="36"/>
      <c r="C6846" s="98"/>
      <c r="D6846" s="98"/>
      <c r="E6846" s="98"/>
      <c r="F6846" s="102"/>
      <c r="G6846" s="103"/>
    </row>
    <row r="6847" spans="1:7" x14ac:dyDescent="0.25">
      <c r="A6847" s="101"/>
      <c r="B6847" s="36"/>
      <c r="C6847" s="98"/>
      <c r="D6847" s="98"/>
      <c r="E6847" s="98"/>
      <c r="F6847" s="102"/>
      <c r="G6847" s="103"/>
    </row>
    <row r="6848" spans="1:7" x14ac:dyDescent="0.25">
      <c r="A6848" s="101"/>
      <c r="B6848" s="36"/>
      <c r="C6848" s="98"/>
      <c r="D6848" s="98"/>
      <c r="E6848" s="98"/>
      <c r="F6848" s="102"/>
      <c r="G6848" s="103"/>
    </row>
    <row r="6849" spans="1:7" x14ac:dyDescent="0.25">
      <c r="A6849" s="101"/>
      <c r="B6849" s="12"/>
      <c r="C6849" s="98"/>
      <c r="D6849" s="98"/>
      <c r="E6849" s="98"/>
      <c r="F6849" s="102"/>
      <c r="G6849" s="103"/>
    </row>
    <row r="6850" spans="1:7" x14ac:dyDescent="0.25">
      <c r="A6850" s="101"/>
      <c r="B6850" s="36"/>
      <c r="C6850" s="98"/>
      <c r="D6850" s="98"/>
      <c r="E6850" s="98"/>
      <c r="F6850" s="102"/>
      <c r="G6850" s="103"/>
    </row>
    <row r="6851" spans="1:7" x14ac:dyDescent="0.25">
      <c r="A6851" s="101"/>
      <c r="B6851" s="12"/>
      <c r="C6851" s="98"/>
      <c r="D6851" s="98"/>
      <c r="E6851" s="98"/>
      <c r="F6851" s="102"/>
      <c r="G6851" s="103"/>
    </row>
    <row r="6852" spans="1:7" x14ac:dyDescent="0.25">
      <c r="A6852" s="101"/>
      <c r="B6852" s="36"/>
      <c r="C6852" s="98"/>
      <c r="D6852" s="98"/>
      <c r="E6852" s="98"/>
      <c r="F6852" s="102"/>
      <c r="G6852" s="103"/>
    </row>
    <row r="6853" spans="1:7" x14ac:dyDescent="0.25">
      <c r="A6853" s="101"/>
      <c r="B6853" s="36"/>
      <c r="C6853" s="98"/>
      <c r="D6853" s="98"/>
      <c r="E6853" s="98"/>
      <c r="F6853" s="102"/>
      <c r="G6853" s="103"/>
    </row>
    <row r="6854" spans="1:7" x14ac:dyDescent="0.25">
      <c r="A6854" s="101"/>
      <c r="B6854" s="36"/>
      <c r="C6854" s="98"/>
      <c r="D6854" s="98"/>
      <c r="E6854" s="98"/>
      <c r="F6854" s="102"/>
      <c r="G6854" s="103"/>
    </row>
    <row r="6855" spans="1:7" x14ac:dyDescent="0.25">
      <c r="A6855" s="101"/>
      <c r="B6855" s="36"/>
      <c r="C6855" s="98"/>
      <c r="D6855" s="98"/>
      <c r="E6855" s="98"/>
      <c r="F6855" s="102"/>
      <c r="G6855" s="103"/>
    </row>
    <row r="6856" spans="1:7" x14ac:dyDescent="0.25">
      <c r="A6856" s="101"/>
      <c r="B6856" s="36"/>
      <c r="C6856" s="98"/>
      <c r="D6856" s="98"/>
      <c r="E6856" s="98"/>
      <c r="F6856" s="102"/>
      <c r="G6856" s="103"/>
    </row>
    <row r="6857" spans="1:7" x14ac:dyDescent="0.25">
      <c r="A6857" s="101"/>
      <c r="B6857" s="36"/>
      <c r="C6857" s="98"/>
      <c r="D6857" s="98"/>
      <c r="E6857" s="98"/>
      <c r="F6857" s="102"/>
      <c r="G6857" s="103"/>
    </row>
    <row r="6858" spans="1:7" x14ac:dyDescent="0.25">
      <c r="A6858" s="101"/>
      <c r="B6858" s="36"/>
      <c r="C6858" s="98"/>
      <c r="D6858" s="98"/>
      <c r="E6858" s="98"/>
      <c r="F6858" s="102"/>
      <c r="G6858" s="103"/>
    </row>
    <row r="6859" spans="1:7" x14ac:dyDescent="0.25">
      <c r="A6859" s="101"/>
      <c r="B6859" s="36"/>
      <c r="C6859" s="98"/>
      <c r="D6859" s="98"/>
      <c r="E6859" s="98"/>
      <c r="F6859" s="102"/>
      <c r="G6859" s="103"/>
    </row>
    <row r="6860" spans="1:7" x14ac:dyDescent="0.25">
      <c r="A6860" s="101"/>
      <c r="B6860" s="36"/>
      <c r="C6860" s="98"/>
      <c r="D6860" s="98"/>
      <c r="E6860" s="98"/>
      <c r="F6860" s="102"/>
      <c r="G6860" s="103"/>
    </row>
    <row r="6861" spans="1:7" x14ac:dyDescent="0.25">
      <c r="A6861" s="101"/>
      <c r="B6861" s="36"/>
      <c r="C6861" s="98"/>
      <c r="D6861" s="98"/>
      <c r="E6861" s="98"/>
      <c r="F6861" s="102"/>
      <c r="G6861" s="103"/>
    </row>
    <row r="6862" spans="1:7" x14ac:dyDescent="0.25">
      <c r="A6862" s="101"/>
      <c r="B6862" s="36"/>
      <c r="C6862" s="98"/>
      <c r="D6862" s="98"/>
      <c r="E6862" s="98"/>
      <c r="F6862" s="102"/>
      <c r="G6862" s="103"/>
    </row>
    <row r="6863" spans="1:7" x14ac:dyDescent="0.25">
      <c r="A6863" s="101"/>
      <c r="B6863" s="36"/>
      <c r="C6863" s="98"/>
      <c r="D6863" s="98"/>
      <c r="E6863" s="98"/>
      <c r="F6863" s="102"/>
      <c r="G6863" s="103"/>
    </row>
    <row r="6864" spans="1:7" x14ac:dyDescent="0.25">
      <c r="A6864" s="101"/>
      <c r="B6864" s="36"/>
      <c r="C6864" s="98"/>
      <c r="D6864" s="98"/>
      <c r="E6864" s="98"/>
      <c r="F6864" s="102"/>
      <c r="G6864" s="103"/>
    </row>
    <row r="6865" spans="1:7" x14ac:dyDescent="0.25">
      <c r="A6865" s="101"/>
      <c r="B6865" s="36"/>
      <c r="C6865" s="98"/>
      <c r="D6865" s="98"/>
      <c r="E6865" s="98"/>
      <c r="F6865" s="102"/>
      <c r="G6865" s="103"/>
    </row>
    <row r="6866" spans="1:7" x14ac:dyDescent="0.25">
      <c r="A6866" s="101"/>
      <c r="B6866" s="36"/>
      <c r="C6866" s="98"/>
      <c r="D6866" s="98"/>
      <c r="E6866" s="98"/>
      <c r="F6866" s="102"/>
      <c r="G6866" s="103"/>
    </row>
    <row r="6867" spans="1:7" x14ac:dyDescent="0.25">
      <c r="A6867" s="101"/>
      <c r="B6867" s="12"/>
      <c r="C6867" s="98"/>
      <c r="D6867" s="98"/>
      <c r="E6867" s="98"/>
      <c r="F6867" s="102"/>
      <c r="G6867" s="103"/>
    </row>
    <row r="6868" spans="1:7" x14ac:dyDescent="0.25">
      <c r="A6868" s="101"/>
      <c r="B6868" s="36"/>
      <c r="C6868" s="98"/>
      <c r="D6868" s="98"/>
      <c r="E6868" s="98"/>
      <c r="F6868" s="102"/>
      <c r="G6868" s="103"/>
    </row>
    <row r="6869" spans="1:7" x14ac:dyDescent="0.25">
      <c r="A6869" s="101"/>
      <c r="B6869" s="36"/>
      <c r="C6869" s="98"/>
      <c r="D6869" s="98"/>
      <c r="E6869" s="98"/>
      <c r="F6869" s="102"/>
      <c r="G6869" s="103"/>
    </row>
    <row r="6870" spans="1:7" x14ac:dyDescent="0.25">
      <c r="A6870" s="101"/>
      <c r="B6870" s="36"/>
      <c r="C6870" s="98"/>
      <c r="D6870" s="98"/>
      <c r="E6870" s="98"/>
      <c r="F6870" s="102"/>
      <c r="G6870" s="103"/>
    </row>
    <row r="6871" spans="1:7" x14ac:dyDescent="0.25">
      <c r="A6871" s="101"/>
      <c r="B6871" s="36"/>
      <c r="C6871" s="98"/>
      <c r="D6871" s="98"/>
      <c r="E6871" s="98"/>
      <c r="F6871" s="102"/>
      <c r="G6871" s="103"/>
    </row>
    <row r="6872" spans="1:7" x14ac:dyDescent="0.25">
      <c r="A6872" s="101"/>
      <c r="B6872" s="36"/>
      <c r="C6872" s="98"/>
      <c r="D6872" s="98"/>
      <c r="E6872" s="98"/>
      <c r="F6872" s="102"/>
      <c r="G6872" s="103"/>
    </row>
    <row r="6873" spans="1:7" x14ac:dyDescent="0.25">
      <c r="A6873" s="101"/>
      <c r="B6873" s="36"/>
      <c r="C6873" s="98"/>
      <c r="D6873" s="98"/>
      <c r="E6873" s="98"/>
      <c r="F6873" s="102"/>
      <c r="G6873" s="103"/>
    </row>
    <row r="6874" spans="1:7" x14ac:dyDescent="0.25">
      <c r="A6874" s="101"/>
      <c r="B6874" s="36"/>
      <c r="C6874" s="98"/>
      <c r="D6874" s="98"/>
      <c r="E6874" s="98"/>
      <c r="F6874" s="102"/>
      <c r="G6874" s="103"/>
    </row>
    <row r="6875" spans="1:7" x14ac:dyDescent="0.25">
      <c r="A6875" s="101"/>
      <c r="B6875" s="36"/>
      <c r="C6875" s="98"/>
      <c r="D6875" s="98"/>
      <c r="E6875" s="98"/>
      <c r="F6875" s="102"/>
      <c r="G6875" s="103"/>
    </row>
    <row r="6876" spans="1:7" x14ac:dyDescent="0.25">
      <c r="A6876" s="101"/>
      <c r="B6876" s="36"/>
      <c r="C6876" s="98"/>
      <c r="D6876" s="98"/>
      <c r="E6876" s="98"/>
      <c r="F6876" s="102"/>
      <c r="G6876" s="103"/>
    </row>
    <row r="6877" spans="1:7" x14ac:dyDescent="0.25">
      <c r="A6877" s="101"/>
      <c r="B6877" s="36"/>
      <c r="C6877" s="98"/>
      <c r="D6877" s="98"/>
      <c r="E6877" s="98"/>
      <c r="F6877" s="102"/>
      <c r="G6877" s="103"/>
    </row>
    <row r="6878" spans="1:7" x14ac:dyDescent="0.25">
      <c r="A6878" s="101"/>
      <c r="B6878" s="36"/>
      <c r="C6878" s="98"/>
      <c r="D6878" s="98"/>
      <c r="E6878" s="98"/>
      <c r="F6878" s="102"/>
      <c r="G6878" s="103"/>
    </row>
    <row r="6879" spans="1:7" x14ac:dyDescent="0.25">
      <c r="A6879" s="101"/>
      <c r="B6879" s="36"/>
      <c r="C6879" s="98"/>
      <c r="D6879" s="98"/>
      <c r="E6879" s="98"/>
      <c r="F6879" s="102"/>
      <c r="G6879" s="103"/>
    </row>
    <row r="6880" spans="1:7" x14ac:dyDescent="0.25">
      <c r="A6880" s="101"/>
      <c r="B6880" s="36"/>
      <c r="C6880" s="98"/>
      <c r="D6880" s="98"/>
      <c r="E6880" s="98"/>
      <c r="F6880" s="102"/>
      <c r="G6880" s="103"/>
    </row>
    <row r="6881" spans="1:7" x14ac:dyDescent="0.25">
      <c r="A6881" s="101"/>
      <c r="B6881" s="36"/>
      <c r="C6881" s="98"/>
      <c r="D6881" s="98"/>
      <c r="E6881" s="98"/>
      <c r="F6881" s="102"/>
      <c r="G6881" s="103"/>
    </row>
    <row r="6882" spans="1:7" x14ac:dyDescent="0.25">
      <c r="A6882" s="101"/>
      <c r="B6882" s="36"/>
      <c r="C6882" s="98"/>
      <c r="D6882" s="98"/>
      <c r="E6882" s="98"/>
      <c r="F6882" s="102"/>
      <c r="G6882" s="103"/>
    </row>
    <row r="6883" spans="1:7" x14ac:dyDescent="0.25">
      <c r="A6883" s="101"/>
      <c r="B6883" s="36"/>
      <c r="C6883" s="98"/>
      <c r="D6883" s="98"/>
      <c r="E6883" s="98"/>
      <c r="F6883" s="102"/>
      <c r="G6883" s="103"/>
    </row>
    <row r="6884" spans="1:7" x14ac:dyDescent="0.25">
      <c r="A6884" s="101"/>
      <c r="B6884" s="36"/>
      <c r="C6884" s="98"/>
      <c r="D6884" s="98"/>
      <c r="E6884" s="98"/>
      <c r="F6884" s="102"/>
      <c r="G6884" s="103"/>
    </row>
    <row r="6885" spans="1:7" x14ac:dyDescent="0.25">
      <c r="A6885" s="101"/>
      <c r="B6885" s="36"/>
      <c r="C6885" s="98"/>
      <c r="D6885" s="98"/>
      <c r="E6885" s="98"/>
      <c r="F6885" s="102"/>
      <c r="G6885" s="103"/>
    </row>
    <row r="6886" spans="1:7" x14ac:dyDescent="0.25">
      <c r="A6886" s="101"/>
      <c r="B6886" s="36"/>
      <c r="C6886" s="98"/>
      <c r="D6886" s="98"/>
      <c r="E6886" s="98"/>
      <c r="F6886" s="102"/>
      <c r="G6886" s="103"/>
    </row>
    <row r="6887" spans="1:7" x14ac:dyDescent="0.25">
      <c r="A6887" s="101"/>
      <c r="B6887" s="36"/>
      <c r="C6887" s="98"/>
      <c r="D6887" s="98"/>
      <c r="E6887" s="98"/>
      <c r="F6887" s="102"/>
      <c r="G6887" s="103"/>
    </row>
    <row r="6888" spans="1:7" x14ac:dyDescent="0.25">
      <c r="A6888" s="101"/>
      <c r="B6888" s="36"/>
      <c r="C6888" s="98"/>
      <c r="D6888" s="98"/>
      <c r="E6888" s="98"/>
      <c r="F6888" s="102"/>
      <c r="G6888" s="103"/>
    </row>
    <row r="6889" spans="1:7" x14ac:dyDescent="0.25">
      <c r="A6889" s="101"/>
      <c r="B6889" s="36"/>
      <c r="C6889" s="98"/>
      <c r="D6889" s="98"/>
      <c r="E6889" s="98"/>
      <c r="F6889" s="102"/>
      <c r="G6889" s="103"/>
    </row>
    <row r="6890" spans="1:7" x14ac:dyDescent="0.25">
      <c r="A6890" s="101"/>
      <c r="B6890" s="36"/>
      <c r="C6890" s="98"/>
      <c r="D6890" s="98"/>
      <c r="E6890" s="98"/>
      <c r="F6890" s="102"/>
      <c r="G6890" s="103"/>
    </row>
    <row r="6891" spans="1:7" x14ac:dyDescent="0.25">
      <c r="A6891" s="101"/>
      <c r="B6891" s="36"/>
      <c r="C6891" s="98"/>
      <c r="D6891" s="98"/>
      <c r="E6891" s="98"/>
      <c r="F6891" s="102"/>
      <c r="G6891" s="103"/>
    </row>
    <row r="6892" spans="1:7" x14ac:dyDescent="0.25">
      <c r="A6892" s="101"/>
      <c r="B6892" s="36"/>
      <c r="C6892" s="98"/>
      <c r="D6892" s="98"/>
      <c r="E6892" s="98"/>
      <c r="F6892" s="102"/>
      <c r="G6892" s="103"/>
    </row>
    <row r="6893" spans="1:7" x14ac:dyDescent="0.25">
      <c r="A6893" s="101"/>
      <c r="B6893" s="12"/>
      <c r="C6893" s="98"/>
      <c r="D6893" s="98"/>
      <c r="E6893" s="98"/>
      <c r="F6893" s="102"/>
      <c r="G6893" s="103"/>
    </row>
    <row r="6894" spans="1:7" x14ac:dyDescent="0.25">
      <c r="A6894" s="101"/>
      <c r="B6894" s="10"/>
      <c r="C6894" s="98"/>
      <c r="D6894" s="98"/>
      <c r="E6894" s="98"/>
      <c r="F6894" s="102"/>
      <c r="G6894" s="103"/>
    </row>
    <row r="6895" spans="1:7" x14ac:dyDescent="0.25">
      <c r="A6895" s="101"/>
      <c r="B6895" s="10"/>
      <c r="C6895" s="98"/>
      <c r="D6895" s="98"/>
      <c r="E6895" s="98"/>
      <c r="F6895" s="102"/>
      <c r="G6895" s="103"/>
    </row>
    <row r="6896" spans="1:7" x14ac:dyDescent="0.25">
      <c r="A6896" s="101"/>
      <c r="B6896" s="36"/>
      <c r="C6896" s="98"/>
      <c r="D6896" s="98"/>
      <c r="E6896" s="98"/>
      <c r="F6896" s="102"/>
      <c r="G6896" s="103"/>
    </row>
    <row r="6897" spans="1:7" x14ac:dyDescent="0.25">
      <c r="A6897" s="101"/>
      <c r="B6897" s="36"/>
      <c r="C6897" s="98"/>
      <c r="D6897" s="98"/>
      <c r="E6897" s="98"/>
      <c r="F6897" s="102"/>
      <c r="G6897" s="103"/>
    </row>
    <row r="6898" spans="1:7" x14ac:dyDescent="0.25">
      <c r="A6898" s="101"/>
      <c r="B6898" s="12"/>
      <c r="C6898" s="98"/>
      <c r="D6898" s="98"/>
      <c r="E6898" s="98"/>
      <c r="F6898" s="102"/>
      <c r="G6898" s="103"/>
    </row>
    <row r="6899" spans="1:7" x14ac:dyDescent="0.25">
      <c r="A6899" s="101"/>
      <c r="B6899" s="12"/>
      <c r="C6899" s="98"/>
      <c r="D6899" s="98"/>
      <c r="E6899" s="98"/>
      <c r="F6899" s="102"/>
      <c r="G6899" s="103"/>
    </row>
    <row r="6900" spans="1:7" x14ac:dyDescent="0.25">
      <c r="A6900" s="101"/>
      <c r="B6900" s="36"/>
      <c r="C6900" s="98"/>
      <c r="D6900" s="98"/>
      <c r="E6900" s="98"/>
      <c r="F6900" s="102"/>
      <c r="G6900" s="103"/>
    </row>
    <row r="6901" spans="1:7" x14ac:dyDescent="0.25">
      <c r="A6901" s="101"/>
      <c r="B6901" s="36"/>
      <c r="C6901" s="98"/>
      <c r="D6901" s="98"/>
      <c r="E6901" s="98"/>
      <c r="F6901" s="102"/>
      <c r="G6901" s="103"/>
    </row>
    <row r="6902" spans="1:7" x14ac:dyDescent="0.25">
      <c r="A6902" s="101"/>
      <c r="B6902" s="36"/>
      <c r="C6902" s="98"/>
      <c r="D6902" s="98"/>
      <c r="E6902" s="98"/>
      <c r="F6902" s="102"/>
      <c r="G6902" s="103"/>
    </row>
    <row r="6903" spans="1:7" x14ac:dyDescent="0.25">
      <c r="A6903" s="101"/>
      <c r="B6903" s="36"/>
      <c r="C6903" s="98"/>
      <c r="D6903" s="98"/>
      <c r="E6903" s="98"/>
      <c r="F6903" s="102"/>
      <c r="G6903" s="103"/>
    </row>
    <row r="6904" spans="1:7" x14ac:dyDescent="0.25">
      <c r="A6904" s="101"/>
      <c r="B6904" s="36"/>
      <c r="C6904" s="98"/>
      <c r="D6904" s="98"/>
      <c r="E6904" s="98"/>
      <c r="F6904" s="102"/>
      <c r="G6904" s="103"/>
    </row>
    <row r="6905" spans="1:7" x14ac:dyDescent="0.25">
      <c r="A6905" s="101"/>
      <c r="B6905" s="36"/>
      <c r="C6905" s="98"/>
      <c r="D6905" s="98"/>
      <c r="E6905" s="98"/>
      <c r="F6905" s="102"/>
      <c r="G6905" s="103"/>
    </row>
    <row r="6906" spans="1:7" x14ac:dyDescent="0.25">
      <c r="A6906" s="101"/>
      <c r="B6906" s="36"/>
      <c r="C6906" s="98"/>
      <c r="D6906" s="98"/>
      <c r="E6906" s="98"/>
      <c r="F6906" s="102"/>
      <c r="G6906" s="103"/>
    </row>
    <row r="6907" spans="1:7" x14ac:dyDescent="0.25">
      <c r="A6907" s="101"/>
      <c r="B6907" s="36"/>
      <c r="C6907" s="98"/>
      <c r="D6907" s="98"/>
      <c r="E6907" s="98"/>
      <c r="F6907" s="102"/>
      <c r="G6907" s="103"/>
    </row>
    <row r="6908" spans="1:7" x14ac:dyDescent="0.25">
      <c r="A6908" s="101"/>
      <c r="B6908" s="36"/>
      <c r="C6908" s="98"/>
      <c r="D6908" s="98"/>
      <c r="E6908" s="98"/>
      <c r="F6908" s="102"/>
      <c r="G6908" s="103"/>
    </row>
    <row r="6909" spans="1:7" x14ac:dyDescent="0.25">
      <c r="A6909" s="101"/>
      <c r="B6909" s="36"/>
      <c r="C6909" s="98"/>
      <c r="D6909" s="98"/>
      <c r="E6909" s="98"/>
      <c r="F6909" s="102"/>
      <c r="G6909" s="103"/>
    </row>
    <row r="6910" spans="1:7" x14ac:dyDescent="0.25">
      <c r="A6910" s="101"/>
      <c r="B6910" s="36"/>
      <c r="C6910" s="98"/>
      <c r="D6910" s="98"/>
      <c r="E6910" s="98"/>
      <c r="F6910" s="102"/>
      <c r="G6910" s="103"/>
    </row>
    <row r="6911" spans="1:7" x14ac:dyDescent="0.25">
      <c r="A6911" s="101"/>
      <c r="B6911" s="36"/>
      <c r="C6911" s="98"/>
      <c r="D6911" s="98"/>
      <c r="E6911" s="98"/>
      <c r="F6911" s="102"/>
      <c r="G6911" s="103"/>
    </row>
    <row r="6912" spans="1:7" x14ac:dyDescent="0.25">
      <c r="A6912" s="101"/>
      <c r="B6912" s="36"/>
      <c r="C6912" s="98"/>
      <c r="D6912" s="98"/>
      <c r="E6912" s="98"/>
      <c r="F6912" s="102"/>
      <c r="G6912" s="103"/>
    </row>
    <row r="6913" spans="1:7" x14ac:dyDescent="0.25">
      <c r="A6913" s="101"/>
      <c r="B6913" s="36"/>
      <c r="C6913" s="98"/>
      <c r="D6913" s="98"/>
      <c r="E6913" s="98"/>
      <c r="F6913" s="102"/>
      <c r="G6913" s="103"/>
    </row>
    <row r="6914" spans="1:7" x14ac:dyDescent="0.25">
      <c r="A6914" s="101"/>
      <c r="B6914" s="36"/>
      <c r="C6914" s="98"/>
      <c r="D6914" s="98"/>
      <c r="E6914" s="98"/>
      <c r="F6914" s="102"/>
      <c r="G6914" s="103"/>
    </row>
    <row r="6915" spans="1:7" x14ac:dyDescent="0.25">
      <c r="A6915" s="101"/>
      <c r="B6915" s="36"/>
      <c r="C6915" s="98"/>
      <c r="D6915" s="98"/>
      <c r="E6915" s="98"/>
      <c r="F6915" s="102"/>
      <c r="G6915" s="103"/>
    </row>
    <row r="6916" spans="1:7" x14ac:dyDescent="0.25">
      <c r="A6916" s="101"/>
      <c r="B6916" s="36"/>
      <c r="C6916" s="98"/>
      <c r="D6916" s="98"/>
      <c r="E6916" s="98"/>
      <c r="F6916" s="102"/>
      <c r="G6916" s="103"/>
    </row>
    <row r="6917" spans="1:7" x14ac:dyDescent="0.25">
      <c r="A6917" s="101"/>
      <c r="B6917" s="36"/>
      <c r="C6917" s="98"/>
      <c r="D6917" s="98"/>
      <c r="E6917" s="98"/>
      <c r="F6917" s="102"/>
      <c r="G6917" s="103"/>
    </row>
    <row r="6918" spans="1:7" x14ac:dyDescent="0.25">
      <c r="A6918" s="101"/>
      <c r="B6918" s="36"/>
      <c r="C6918" s="98"/>
      <c r="D6918" s="98"/>
      <c r="E6918" s="98"/>
      <c r="F6918" s="102"/>
      <c r="G6918" s="103"/>
    </row>
    <row r="6919" spans="1:7" x14ac:dyDescent="0.25">
      <c r="A6919" s="101"/>
      <c r="B6919" s="36"/>
      <c r="C6919" s="98"/>
      <c r="D6919" s="98"/>
      <c r="E6919" s="98"/>
      <c r="F6919" s="102"/>
      <c r="G6919" s="103"/>
    </row>
    <row r="6920" spans="1:7" x14ac:dyDescent="0.25">
      <c r="A6920" s="101"/>
      <c r="B6920" s="36"/>
      <c r="C6920" s="98"/>
      <c r="D6920" s="98"/>
      <c r="E6920" s="98"/>
      <c r="F6920" s="102"/>
      <c r="G6920" s="103"/>
    </row>
    <row r="6921" spans="1:7" x14ac:dyDescent="0.25">
      <c r="A6921" s="101"/>
      <c r="B6921" s="12"/>
      <c r="C6921" s="98"/>
      <c r="D6921" s="98"/>
      <c r="E6921" s="98"/>
      <c r="F6921" s="102"/>
      <c r="G6921" s="103"/>
    </row>
    <row r="6922" spans="1:7" x14ac:dyDescent="0.25">
      <c r="A6922" s="101"/>
      <c r="B6922" s="10"/>
      <c r="C6922" s="98"/>
      <c r="D6922" s="98"/>
      <c r="E6922" s="98"/>
      <c r="F6922" s="102"/>
      <c r="G6922" s="103"/>
    </row>
    <row r="6923" spans="1:7" x14ac:dyDescent="0.25">
      <c r="A6923" s="101"/>
      <c r="B6923" s="36"/>
      <c r="C6923" s="98"/>
      <c r="D6923" s="98"/>
      <c r="E6923" s="98"/>
      <c r="F6923" s="102"/>
      <c r="G6923" s="103"/>
    </row>
    <row r="6924" spans="1:7" x14ac:dyDescent="0.25">
      <c r="A6924" s="101"/>
      <c r="B6924" s="36"/>
      <c r="C6924" s="98"/>
      <c r="D6924" s="98"/>
      <c r="E6924" s="98"/>
      <c r="F6924" s="102"/>
      <c r="G6924" s="103"/>
    </row>
    <row r="6925" spans="1:7" x14ac:dyDescent="0.25">
      <c r="A6925" s="101"/>
      <c r="B6925" s="36"/>
      <c r="C6925" s="98"/>
      <c r="D6925" s="98"/>
      <c r="E6925" s="98"/>
      <c r="F6925" s="102"/>
      <c r="G6925" s="103"/>
    </row>
    <row r="6926" spans="1:7" x14ac:dyDescent="0.25">
      <c r="A6926" s="101"/>
      <c r="B6926" s="36"/>
      <c r="C6926" s="98"/>
      <c r="D6926" s="98"/>
      <c r="E6926" s="98"/>
      <c r="F6926" s="102"/>
      <c r="G6926" s="103"/>
    </row>
    <row r="6927" spans="1:7" x14ac:dyDescent="0.25">
      <c r="A6927" s="101"/>
      <c r="B6927" s="36"/>
      <c r="C6927" s="98"/>
      <c r="D6927" s="98"/>
      <c r="E6927" s="98"/>
      <c r="F6927" s="102"/>
      <c r="G6927" s="103"/>
    </row>
    <row r="6928" spans="1:7" x14ac:dyDescent="0.25">
      <c r="A6928" s="101"/>
      <c r="B6928" s="36"/>
      <c r="C6928" s="98"/>
      <c r="D6928" s="98"/>
      <c r="E6928" s="98"/>
      <c r="F6928" s="102"/>
      <c r="G6928" s="103"/>
    </row>
    <row r="6929" spans="1:7" x14ac:dyDescent="0.25">
      <c r="A6929" s="101"/>
      <c r="B6929" s="36"/>
      <c r="C6929" s="98"/>
      <c r="D6929" s="98"/>
      <c r="E6929" s="98"/>
      <c r="F6929" s="102"/>
      <c r="G6929" s="103"/>
    </row>
    <row r="6930" spans="1:7" x14ac:dyDescent="0.25">
      <c r="A6930" s="101"/>
      <c r="B6930" s="36"/>
      <c r="C6930" s="98"/>
      <c r="D6930" s="98"/>
      <c r="E6930" s="98"/>
      <c r="F6930" s="102"/>
      <c r="G6930" s="103"/>
    </row>
    <row r="6931" spans="1:7" x14ac:dyDescent="0.25">
      <c r="A6931" s="101"/>
      <c r="B6931" s="36"/>
      <c r="C6931" s="98"/>
      <c r="D6931" s="98"/>
      <c r="E6931" s="98"/>
      <c r="F6931" s="102"/>
      <c r="G6931" s="103"/>
    </row>
    <row r="6932" spans="1:7" x14ac:dyDescent="0.25">
      <c r="A6932" s="101"/>
      <c r="B6932" s="36"/>
      <c r="C6932" s="98"/>
      <c r="D6932" s="98"/>
      <c r="E6932" s="98"/>
      <c r="F6932" s="102"/>
      <c r="G6932" s="103"/>
    </row>
    <row r="6933" spans="1:7" x14ac:dyDescent="0.25">
      <c r="A6933" s="101"/>
      <c r="B6933" s="36"/>
      <c r="C6933" s="98"/>
      <c r="D6933" s="98"/>
      <c r="E6933" s="98"/>
      <c r="F6933" s="102"/>
      <c r="G6933" s="103"/>
    </row>
    <row r="6934" spans="1:7" x14ac:dyDescent="0.25">
      <c r="A6934" s="101"/>
      <c r="B6934" s="36"/>
      <c r="C6934" s="98"/>
      <c r="D6934" s="98"/>
      <c r="E6934" s="98"/>
      <c r="F6934" s="102"/>
      <c r="G6934" s="103"/>
    </row>
    <row r="6935" spans="1:7" x14ac:dyDescent="0.25">
      <c r="A6935" s="101"/>
      <c r="B6935" s="36"/>
      <c r="C6935" s="98"/>
      <c r="D6935" s="98"/>
      <c r="E6935" s="98"/>
      <c r="F6935" s="102"/>
      <c r="G6935" s="103"/>
    </row>
    <row r="6936" spans="1:7" x14ac:dyDescent="0.25">
      <c r="A6936" s="101"/>
      <c r="B6936" s="36"/>
      <c r="C6936" s="98"/>
      <c r="D6936" s="98"/>
      <c r="E6936" s="98"/>
      <c r="F6936" s="102"/>
      <c r="G6936" s="103"/>
    </row>
    <row r="6937" spans="1:7" x14ac:dyDescent="0.25">
      <c r="A6937" s="101"/>
      <c r="B6937" s="36"/>
      <c r="C6937" s="98"/>
      <c r="D6937" s="98"/>
      <c r="E6937" s="98"/>
      <c r="F6937" s="102"/>
      <c r="G6937" s="103"/>
    </row>
    <row r="6938" spans="1:7" x14ac:dyDescent="0.25">
      <c r="A6938" s="101"/>
      <c r="B6938" s="36"/>
      <c r="C6938" s="98"/>
      <c r="D6938" s="98"/>
      <c r="E6938" s="98"/>
      <c r="F6938" s="102"/>
      <c r="G6938" s="103"/>
    </row>
    <row r="6939" spans="1:7" x14ac:dyDescent="0.25">
      <c r="A6939" s="101"/>
      <c r="B6939" s="36"/>
      <c r="C6939" s="98"/>
      <c r="D6939" s="98"/>
      <c r="E6939" s="98"/>
      <c r="F6939" s="102"/>
      <c r="G6939" s="103"/>
    </row>
    <row r="6940" spans="1:7" x14ac:dyDescent="0.25">
      <c r="A6940" s="101"/>
      <c r="B6940" s="36"/>
      <c r="C6940" s="98"/>
      <c r="D6940" s="98"/>
      <c r="E6940" s="98"/>
      <c r="F6940" s="102"/>
      <c r="G6940" s="103"/>
    </row>
    <row r="6941" spans="1:7" x14ac:dyDescent="0.25">
      <c r="A6941" s="101"/>
      <c r="B6941" s="36"/>
      <c r="C6941" s="98"/>
      <c r="D6941" s="98"/>
      <c r="E6941" s="98"/>
      <c r="F6941" s="102"/>
      <c r="G6941" s="103"/>
    </row>
    <row r="6942" spans="1:7" x14ac:dyDescent="0.25">
      <c r="A6942" s="101"/>
      <c r="B6942" s="36"/>
      <c r="C6942" s="98"/>
      <c r="D6942" s="98"/>
      <c r="E6942" s="98"/>
      <c r="F6942" s="102"/>
      <c r="G6942" s="103"/>
    </row>
    <row r="6943" spans="1:7" x14ac:dyDescent="0.25">
      <c r="A6943" s="101"/>
      <c r="B6943" s="36"/>
      <c r="C6943" s="98"/>
      <c r="D6943" s="98"/>
      <c r="E6943" s="98"/>
      <c r="F6943" s="102"/>
      <c r="G6943" s="103"/>
    </row>
    <row r="6944" spans="1:7" x14ac:dyDescent="0.25">
      <c r="A6944" s="101"/>
      <c r="B6944" s="36"/>
      <c r="C6944" s="98"/>
      <c r="D6944" s="98"/>
      <c r="E6944" s="98"/>
      <c r="F6944" s="102"/>
      <c r="G6944" s="103"/>
    </row>
    <row r="6945" spans="1:7" x14ac:dyDescent="0.25">
      <c r="A6945" s="101"/>
      <c r="B6945" s="36"/>
      <c r="C6945" s="98"/>
      <c r="D6945" s="98"/>
      <c r="E6945" s="98"/>
      <c r="F6945" s="102"/>
      <c r="G6945" s="103"/>
    </row>
    <row r="6946" spans="1:7" x14ac:dyDescent="0.25">
      <c r="A6946" s="101"/>
      <c r="B6946" s="36"/>
      <c r="C6946" s="98"/>
      <c r="D6946" s="98"/>
      <c r="E6946" s="98"/>
      <c r="F6946" s="102"/>
      <c r="G6946" s="103"/>
    </row>
    <row r="6947" spans="1:7" x14ac:dyDescent="0.25">
      <c r="A6947" s="101"/>
      <c r="B6947" s="36"/>
      <c r="C6947" s="98"/>
      <c r="D6947" s="98"/>
      <c r="E6947" s="98"/>
      <c r="F6947" s="102"/>
      <c r="G6947" s="103"/>
    </row>
    <row r="6948" spans="1:7" x14ac:dyDescent="0.25">
      <c r="A6948" s="101"/>
      <c r="B6948" s="36"/>
      <c r="C6948" s="98"/>
      <c r="D6948" s="98"/>
      <c r="E6948" s="98"/>
      <c r="F6948" s="102"/>
      <c r="G6948" s="103"/>
    </row>
    <row r="6949" spans="1:7" x14ac:dyDescent="0.25">
      <c r="A6949" s="101"/>
      <c r="B6949" s="36"/>
      <c r="C6949" s="98"/>
      <c r="D6949" s="98"/>
      <c r="E6949" s="98"/>
      <c r="F6949" s="102"/>
      <c r="G6949" s="103"/>
    </row>
    <row r="6950" spans="1:7" x14ac:dyDescent="0.25">
      <c r="A6950" s="101"/>
      <c r="B6950" s="36"/>
      <c r="C6950" s="98"/>
      <c r="D6950" s="98"/>
      <c r="E6950" s="98"/>
      <c r="F6950" s="102"/>
      <c r="G6950" s="103"/>
    </row>
    <row r="6951" spans="1:7" x14ac:dyDescent="0.25">
      <c r="A6951" s="101"/>
      <c r="B6951" s="36"/>
      <c r="C6951" s="98"/>
      <c r="D6951" s="98"/>
      <c r="E6951" s="98"/>
      <c r="F6951" s="102"/>
      <c r="G6951" s="103"/>
    </row>
    <row r="6952" spans="1:7" x14ac:dyDescent="0.25">
      <c r="A6952" s="101"/>
      <c r="B6952" s="36"/>
      <c r="C6952" s="98"/>
      <c r="D6952" s="98"/>
      <c r="E6952" s="98"/>
      <c r="F6952" s="102"/>
      <c r="G6952" s="103"/>
    </row>
    <row r="6953" spans="1:7" x14ac:dyDescent="0.25">
      <c r="A6953" s="101"/>
      <c r="B6953" s="10"/>
      <c r="C6953" s="98"/>
      <c r="D6953" s="98"/>
      <c r="E6953" s="98"/>
      <c r="F6953" s="102"/>
      <c r="G6953" s="103"/>
    </row>
    <row r="6954" spans="1:7" x14ac:dyDescent="0.25">
      <c r="A6954" s="101"/>
      <c r="B6954" s="36"/>
      <c r="C6954" s="98"/>
      <c r="D6954" s="98"/>
      <c r="E6954" s="98"/>
      <c r="F6954" s="102"/>
      <c r="G6954" s="103"/>
    </row>
    <row r="6955" spans="1:7" x14ac:dyDescent="0.25">
      <c r="A6955" s="101"/>
      <c r="B6955" s="12"/>
      <c r="C6955" s="98"/>
      <c r="D6955" s="98"/>
      <c r="E6955" s="98"/>
      <c r="F6955" s="102"/>
      <c r="G6955" s="103"/>
    </row>
    <row r="6956" spans="1:7" x14ac:dyDescent="0.25">
      <c r="A6956" s="101"/>
      <c r="B6956" s="10"/>
      <c r="C6956" s="98"/>
      <c r="D6956" s="98"/>
      <c r="E6956" s="98"/>
      <c r="F6956" s="102"/>
      <c r="G6956" s="103"/>
    </row>
    <row r="6957" spans="1:7" x14ac:dyDescent="0.25">
      <c r="A6957" s="101"/>
      <c r="B6957" s="36"/>
      <c r="C6957" s="98"/>
      <c r="D6957" s="98"/>
      <c r="E6957" s="98"/>
      <c r="F6957" s="102"/>
      <c r="G6957" s="103"/>
    </row>
    <row r="6958" spans="1:7" x14ac:dyDescent="0.25">
      <c r="A6958" s="101"/>
      <c r="B6958" s="36"/>
      <c r="C6958" s="98"/>
      <c r="D6958" s="98"/>
      <c r="E6958" s="98"/>
      <c r="F6958" s="102"/>
      <c r="G6958" s="103"/>
    </row>
    <row r="6959" spans="1:7" x14ac:dyDescent="0.25">
      <c r="A6959" s="101"/>
      <c r="B6959" s="36"/>
      <c r="C6959" s="98"/>
      <c r="D6959" s="98"/>
      <c r="E6959" s="98"/>
      <c r="F6959" s="102"/>
      <c r="G6959" s="103"/>
    </row>
    <row r="6960" spans="1:7" x14ac:dyDescent="0.25">
      <c r="A6960" s="101"/>
      <c r="B6960" s="36"/>
      <c r="C6960" s="98"/>
      <c r="D6960" s="98"/>
      <c r="E6960" s="98"/>
      <c r="F6960" s="102"/>
      <c r="G6960" s="103"/>
    </row>
    <row r="6961" spans="1:7" x14ac:dyDescent="0.25">
      <c r="A6961" s="101"/>
      <c r="B6961" s="36"/>
      <c r="C6961" s="98"/>
      <c r="D6961" s="98"/>
      <c r="E6961" s="98"/>
      <c r="F6961" s="102"/>
      <c r="G6961" s="103"/>
    </row>
    <row r="6962" spans="1:7" x14ac:dyDescent="0.25">
      <c r="A6962" s="101"/>
      <c r="B6962" s="36"/>
      <c r="C6962" s="98"/>
      <c r="D6962" s="98"/>
      <c r="E6962" s="98"/>
      <c r="F6962" s="102"/>
      <c r="G6962" s="103"/>
    </row>
    <row r="6963" spans="1:7" x14ac:dyDescent="0.25">
      <c r="A6963" s="101"/>
      <c r="B6963" s="36"/>
      <c r="C6963" s="98"/>
      <c r="D6963" s="98"/>
      <c r="E6963" s="98"/>
      <c r="F6963" s="102"/>
      <c r="G6963" s="103"/>
    </row>
    <row r="6964" spans="1:7" x14ac:dyDescent="0.25">
      <c r="A6964" s="101"/>
      <c r="B6964" s="36"/>
      <c r="C6964" s="98"/>
      <c r="D6964" s="98"/>
      <c r="E6964" s="98"/>
      <c r="F6964" s="102"/>
      <c r="G6964" s="103"/>
    </row>
    <row r="6965" spans="1:7" x14ac:dyDescent="0.25">
      <c r="A6965" s="101"/>
      <c r="B6965" s="36"/>
      <c r="C6965" s="98"/>
      <c r="D6965" s="98"/>
      <c r="E6965" s="98"/>
      <c r="F6965" s="102"/>
      <c r="G6965" s="103"/>
    </row>
    <row r="6966" spans="1:7" x14ac:dyDescent="0.25">
      <c r="A6966" s="101"/>
      <c r="B6966" s="12"/>
      <c r="C6966" s="98"/>
      <c r="D6966" s="98"/>
      <c r="E6966" s="98"/>
      <c r="F6966" s="102"/>
      <c r="G6966" s="103"/>
    </row>
    <row r="6967" spans="1:7" x14ac:dyDescent="0.25">
      <c r="A6967" s="101"/>
      <c r="B6967" s="36"/>
      <c r="C6967" s="98"/>
      <c r="D6967" s="98"/>
      <c r="E6967" s="98"/>
      <c r="F6967" s="102"/>
      <c r="G6967" s="103"/>
    </row>
    <row r="6968" spans="1:7" x14ac:dyDescent="0.25">
      <c r="A6968" s="101"/>
      <c r="B6968" s="36"/>
      <c r="C6968" s="98"/>
      <c r="D6968" s="98"/>
      <c r="E6968" s="98"/>
      <c r="F6968" s="102"/>
      <c r="G6968" s="103"/>
    </row>
    <row r="6969" spans="1:7" x14ac:dyDescent="0.25">
      <c r="A6969" s="101"/>
      <c r="B6969" s="36"/>
      <c r="C6969" s="98"/>
      <c r="D6969" s="98"/>
      <c r="E6969" s="98"/>
      <c r="F6969" s="102"/>
      <c r="G6969" s="103"/>
    </row>
    <row r="6970" spans="1:7" x14ac:dyDescent="0.25">
      <c r="A6970" s="101"/>
      <c r="B6970" s="36"/>
      <c r="C6970" s="98"/>
      <c r="D6970" s="98"/>
      <c r="E6970" s="98"/>
      <c r="F6970" s="102"/>
      <c r="G6970" s="103"/>
    </row>
    <row r="6971" spans="1:7" x14ac:dyDescent="0.25">
      <c r="A6971" s="101"/>
      <c r="B6971" s="36"/>
      <c r="C6971" s="98"/>
      <c r="D6971" s="98"/>
      <c r="E6971" s="98"/>
      <c r="F6971" s="102"/>
      <c r="G6971" s="103"/>
    </row>
    <row r="6972" spans="1:7" x14ac:dyDescent="0.25">
      <c r="A6972" s="101"/>
      <c r="B6972" s="36"/>
      <c r="C6972" s="98"/>
      <c r="D6972" s="98"/>
      <c r="E6972" s="98"/>
      <c r="F6972" s="102"/>
      <c r="G6972" s="103"/>
    </row>
    <row r="6973" spans="1:7" x14ac:dyDescent="0.25">
      <c r="A6973" s="101"/>
      <c r="B6973" s="36"/>
      <c r="C6973" s="98"/>
      <c r="D6973" s="98"/>
      <c r="E6973" s="98"/>
      <c r="F6973" s="102"/>
      <c r="G6973" s="103"/>
    </row>
    <row r="6974" spans="1:7" x14ac:dyDescent="0.25">
      <c r="A6974" s="101"/>
      <c r="B6974" s="36"/>
      <c r="C6974" s="98"/>
      <c r="D6974" s="98"/>
      <c r="E6974" s="98"/>
      <c r="F6974" s="102"/>
      <c r="G6974" s="103"/>
    </row>
    <row r="6975" spans="1:7" x14ac:dyDescent="0.25">
      <c r="A6975" s="101"/>
      <c r="B6975" s="36"/>
      <c r="C6975" s="98"/>
      <c r="D6975" s="98"/>
      <c r="E6975" s="98"/>
      <c r="F6975" s="102"/>
      <c r="G6975" s="103"/>
    </row>
    <row r="6976" spans="1:7" x14ac:dyDescent="0.25">
      <c r="A6976" s="101"/>
      <c r="B6976" s="36"/>
      <c r="C6976" s="98"/>
      <c r="D6976" s="98"/>
      <c r="E6976" s="98"/>
      <c r="F6976" s="102"/>
      <c r="G6976" s="103"/>
    </row>
    <row r="6977" spans="1:7" x14ac:dyDescent="0.25">
      <c r="A6977" s="101"/>
      <c r="B6977" s="36"/>
      <c r="C6977" s="98"/>
      <c r="D6977" s="98"/>
      <c r="E6977" s="98"/>
      <c r="F6977" s="102"/>
      <c r="G6977" s="103"/>
    </row>
    <row r="6978" spans="1:7" x14ac:dyDescent="0.25">
      <c r="A6978" s="101"/>
      <c r="B6978" s="36"/>
      <c r="C6978" s="98"/>
      <c r="D6978" s="98"/>
      <c r="E6978" s="98"/>
      <c r="F6978" s="102"/>
      <c r="G6978" s="103"/>
    </row>
    <row r="6979" spans="1:7" x14ac:dyDescent="0.25">
      <c r="A6979" s="101"/>
      <c r="B6979" s="36"/>
      <c r="C6979" s="98"/>
      <c r="D6979" s="98"/>
      <c r="E6979" s="98"/>
      <c r="F6979" s="102"/>
      <c r="G6979" s="103"/>
    </row>
    <row r="6980" spans="1:7" x14ac:dyDescent="0.25">
      <c r="A6980" s="101"/>
      <c r="B6980" s="36"/>
      <c r="C6980" s="98"/>
      <c r="D6980" s="98"/>
      <c r="E6980" s="98"/>
      <c r="F6980" s="102"/>
      <c r="G6980" s="103"/>
    </row>
    <row r="6981" spans="1:7" x14ac:dyDescent="0.25">
      <c r="A6981" s="101"/>
      <c r="B6981" s="10"/>
      <c r="C6981" s="98"/>
      <c r="D6981" s="98"/>
      <c r="E6981" s="98"/>
      <c r="F6981" s="102"/>
      <c r="G6981" s="103"/>
    </row>
    <row r="6982" spans="1:7" x14ac:dyDescent="0.25">
      <c r="A6982" s="101"/>
      <c r="B6982" s="36"/>
      <c r="C6982" s="98"/>
      <c r="D6982" s="98"/>
      <c r="E6982" s="98"/>
      <c r="F6982" s="102"/>
      <c r="G6982" s="103"/>
    </row>
    <row r="6983" spans="1:7" x14ac:dyDescent="0.25">
      <c r="A6983" s="101"/>
      <c r="B6983" s="10"/>
      <c r="C6983" s="98"/>
      <c r="D6983" s="98"/>
      <c r="E6983" s="98"/>
      <c r="F6983" s="102"/>
      <c r="G6983" s="103"/>
    </row>
    <row r="6984" spans="1:7" x14ac:dyDescent="0.25">
      <c r="A6984" s="101"/>
      <c r="B6984" s="36"/>
      <c r="C6984" s="98"/>
      <c r="D6984" s="98"/>
      <c r="E6984" s="98"/>
      <c r="F6984" s="102"/>
      <c r="G6984" s="103"/>
    </row>
    <row r="6985" spans="1:7" x14ac:dyDescent="0.25">
      <c r="A6985" s="101"/>
      <c r="B6985" s="36"/>
      <c r="C6985" s="98"/>
      <c r="D6985" s="98"/>
      <c r="E6985" s="98"/>
      <c r="F6985" s="102"/>
      <c r="G6985" s="103"/>
    </row>
    <row r="6986" spans="1:7" x14ac:dyDescent="0.25">
      <c r="A6986" s="101"/>
      <c r="B6986" s="36"/>
      <c r="C6986" s="98"/>
      <c r="D6986" s="98"/>
      <c r="E6986" s="98"/>
      <c r="F6986" s="102"/>
      <c r="G6986" s="103"/>
    </row>
    <row r="6987" spans="1:7" x14ac:dyDescent="0.25">
      <c r="A6987" s="101"/>
      <c r="B6987" s="36"/>
      <c r="C6987" s="98"/>
      <c r="D6987" s="98"/>
      <c r="E6987" s="98"/>
      <c r="F6987" s="102"/>
      <c r="G6987" s="103"/>
    </row>
    <row r="6988" spans="1:7" x14ac:dyDescent="0.25">
      <c r="A6988" s="101"/>
      <c r="B6988" s="36"/>
      <c r="C6988" s="98"/>
      <c r="D6988" s="98"/>
      <c r="E6988" s="98"/>
      <c r="F6988" s="102"/>
      <c r="G6988" s="103"/>
    </row>
    <row r="6989" spans="1:7" x14ac:dyDescent="0.25">
      <c r="A6989" s="101"/>
      <c r="B6989" s="36"/>
      <c r="C6989" s="98"/>
      <c r="D6989" s="98"/>
      <c r="E6989" s="98"/>
      <c r="F6989" s="102"/>
      <c r="G6989" s="103"/>
    </row>
    <row r="6990" spans="1:7" x14ac:dyDescent="0.25">
      <c r="A6990" s="101"/>
      <c r="B6990" s="36"/>
      <c r="C6990" s="98"/>
      <c r="D6990" s="98"/>
      <c r="E6990" s="98"/>
      <c r="F6990" s="102"/>
      <c r="G6990" s="103"/>
    </row>
    <row r="6991" spans="1:7" x14ac:dyDescent="0.25">
      <c r="A6991" s="101"/>
      <c r="B6991" s="36"/>
      <c r="C6991" s="98"/>
      <c r="D6991" s="98"/>
      <c r="E6991" s="98"/>
      <c r="F6991" s="102"/>
      <c r="G6991" s="103"/>
    </row>
    <row r="6992" spans="1:7" x14ac:dyDescent="0.25">
      <c r="A6992" s="101"/>
      <c r="B6992" s="36"/>
      <c r="C6992" s="98"/>
      <c r="D6992" s="98"/>
      <c r="E6992" s="98"/>
      <c r="F6992" s="102"/>
      <c r="G6992" s="103"/>
    </row>
    <row r="6993" spans="1:7" x14ac:dyDescent="0.25">
      <c r="A6993" s="101"/>
      <c r="B6993" s="36"/>
      <c r="C6993" s="98"/>
      <c r="D6993" s="98"/>
      <c r="E6993" s="98"/>
      <c r="F6993" s="102"/>
      <c r="G6993" s="103"/>
    </row>
    <row r="6994" spans="1:7" x14ac:dyDescent="0.25">
      <c r="A6994" s="101"/>
      <c r="B6994" s="36"/>
      <c r="C6994" s="98"/>
      <c r="D6994" s="98"/>
      <c r="E6994" s="98"/>
      <c r="F6994" s="102"/>
      <c r="G6994" s="103"/>
    </row>
    <row r="6995" spans="1:7" x14ac:dyDescent="0.25">
      <c r="A6995" s="101"/>
      <c r="B6995" s="36"/>
      <c r="C6995" s="98"/>
      <c r="D6995" s="98"/>
      <c r="E6995" s="98"/>
      <c r="F6995" s="102"/>
      <c r="G6995" s="103"/>
    </row>
    <row r="6996" spans="1:7" x14ac:dyDescent="0.25">
      <c r="A6996" s="101"/>
      <c r="B6996" s="12"/>
      <c r="C6996" s="98"/>
      <c r="D6996" s="98"/>
      <c r="E6996" s="98"/>
      <c r="F6996" s="102"/>
      <c r="G6996" s="103"/>
    </row>
    <row r="6997" spans="1:7" x14ac:dyDescent="0.25">
      <c r="A6997" s="101"/>
      <c r="B6997" s="36"/>
      <c r="C6997" s="98"/>
      <c r="D6997" s="98"/>
      <c r="E6997" s="98"/>
      <c r="F6997" s="102"/>
      <c r="G6997" s="103"/>
    </row>
    <row r="6998" spans="1:7" x14ac:dyDescent="0.25">
      <c r="A6998" s="101"/>
      <c r="B6998" s="36"/>
      <c r="C6998" s="98"/>
      <c r="D6998" s="98"/>
      <c r="E6998" s="98"/>
      <c r="F6998" s="102"/>
      <c r="G6998" s="103"/>
    </row>
    <row r="6999" spans="1:7" x14ac:dyDescent="0.25">
      <c r="A6999" s="101"/>
      <c r="B6999" s="36"/>
      <c r="C6999" s="98"/>
      <c r="D6999" s="98"/>
      <c r="E6999" s="98"/>
      <c r="F6999" s="102"/>
      <c r="G6999" s="103"/>
    </row>
    <row r="7000" spans="1:7" x14ac:dyDescent="0.25">
      <c r="A7000" s="101"/>
      <c r="B7000" s="36"/>
      <c r="C7000" s="98"/>
      <c r="D7000" s="98"/>
      <c r="E7000" s="98"/>
      <c r="F7000" s="102"/>
      <c r="G7000" s="103"/>
    </row>
    <row r="7001" spans="1:7" x14ac:dyDescent="0.25">
      <c r="A7001" s="101"/>
      <c r="B7001" s="36"/>
      <c r="C7001" s="98"/>
      <c r="D7001" s="98"/>
      <c r="E7001" s="98"/>
      <c r="F7001" s="102"/>
      <c r="G7001" s="103"/>
    </row>
    <row r="7002" spans="1:7" x14ac:dyDescent="0.25">
      <c r="A7002" s="101"/>
      <c r="B7002" s="36"/>
      <c r="C7002" s="98"/>
      <c r="D7002" s="98"/>
      <c r="E7002" s="98"/>
      <c r="F7002" s="102"/>
      <c r="G7002" s="103"/>
    </row>
    <row r="7003" spans="1:7" x14ac:dyDescent="0.25">
      <c r="A7003" s="101"/>
      <c r="B7003" s="36"/>
      <c r="C7003" s="98"/>
      <c r="D7003" s="98"/>
      <c r="E7003" s="98"/>
      <c r="F7003" s="102"/>
      <c r="G7003" s="103"/>
    </row>
    <row r="7004" spans="1:7" x14ac:dyDescent="0.25">
      <c r="A7004" s="101"/>
      <c r="B7004" s="36"/>
      <c r="C7004" s="98"/>
      <c r="D7004" s="98"/>
      <c r="E7004" s="98"/>
      <c r="F7004" s="102"/>
      <c r="G7004" s="103"/>
    </row>
    <row r="7005" spans="1:7" x14ac:dyDescent="0.25">
      <c r="A7005" s="101"/>
      <c r="B7005" s="36"/>
      <c r="C7005" s="98"/>
      <c r="D7005" s="98"/>
      <c r="E7005" s="98"/>
      <c r="F7005" s="102"/>
      <c r="G7005" s="103"/>
    </row>
    <row r="7006" spans="1:7" x14ac:dyDescent="0.25">
      <c r="A7006" s="101"/>
      <c r="B7006" s="36"/>
      <c r="C7006" s="98"/>
      <c r="D7006" s="98"/>
      <c r="E7006" s="98"/>
      <c r="F7006" s="102"/>
      <c r="G7006" s="103"/>
    </row>
    <row r="7007" spans="1:7" x14ac:dyDescent="0.25">
      <c r="A7007" s="101"/>
      <c r="B7007" s="36"/>
      <c r="C7007" s="98"/>
      <c r="D7007" s="98"/>
      <c r="E7007" s="98"/>
      <c r="F7007" s="102"/>
      <c r="G7007" s="103"/>
    </row>
    <row r="7008" spans="1:7" x14ac:dyDescent="0.25">
      <c r="A7008" s="101"/>
      <c r="B7008" s="36"/>
      <c r="C7008" s="98"/>
      <c r="D7008" s="98"/>
      <c r="E7008" s="98"/>
      <c r="F7008" s="102"/>
      <c r="G7008" s="103"/>
    </row>
    <row r="7009" spans="1:7" x14ac:dyDescent="0.25">
      <c r="A7009" s="101"/>
      <c r="B7009" s="36"/>
      <c r="C7009" s="98"/>
      <c r="D7009" s="98"/>
      <c r="E7009" s="98"/>
      <c r="F7009" s="102"/>
      <c r="G7009" s="103"/>
    </row>
    <row r="7010" spans="1:7" x14ac:dyDescent="0.25">
      <c r="A7010" s="101"/>
      <c r="B7010" s="36"/>
      <c r="C7010" s="98"/>
      <c r="D7010" s="98"/>
      <c r="E7010" s="98"/>
      <c r="F7010" s="102"/>
      <c r="G7010" s="103"/>
    </row>
    <row r="7011" spans="1:7" x14ac:dyDescent="0.25">
      <c r="A7011" s="101"/>
      <c r="B7011" s="36"/>
      <c r="C7011" s="98"/>
      <c r="D7011" s="98"/>
      <c r="E7011" s="98"/>
      <c r="F7011" s="102"/>
      <c r="G7011" s="103"/>
    </row>
    <row r="7012" spans="1:7" x14ac:dyDescent="0.25">
      <c r="A7012" s="101"/>
      <c r="B7012" s="36"/>
      <c r="C7012" s="98"/>
      <c r="D7012" s="98"/>
      <c r="E7012" s="98"/>
      <c r="F7012" s="102"/>
      <c r="G7012" s="103"/>
    </row>
    <row r="7013" spans="1:7" x14ac:dyDescent="0.25">
      <c r="A7013" s="101"/>
      <c r="B7013" s="36"/>
      <c r="C7013" s="98"/>
      <c r="D7013" s="98"/>
      <c r="E7013" s="98"/>
      <c r="F7013" s="102"/>
      <c r="G7013" s="103"/>
    </row>
    <row r="7014" spans="1:7" x14ac:dyDescent="0.25">
      <c r="A7014" s="101"/>
      <c r="B7014" s="36"/>
      <c r="C7014" s="98"/>
      <c r="D7014" s="98"/>
      <c r="E7014" s="98"/>
      <c r="F7014" s="102"/>
      <c r="G7014" s="103"/>
    </row>
    <row r="7015" spans="1:7" x14ac:dyDescent="0.25">
      <c r="A7015" s="101"/>
      <c r="B7015" s="36"/>
      <c r="C7015" s="98"/>
      <c r="D7015" s="98"/>
      <c r="E7015" s="98"/>
      <c r="F7015" s="102"/>
      <c r="G7015" s="103"/>
    </row>
    <row r="7016" spans="1:7" x14ac:dyDescent="0.25">
      <c r="A7016" s="101"/>
      <c r="B7016" s="36"/>
      <c r="C7016" s="98"/>
      <c r="D7016" s="98"/>
      <c r="E7016" s="98"/>
      <c r="F7016" s="102"/>
      <c r="G7016" s="103"/>
    </row>
    <row r="7017" spans="1:7" x14ac:dyDescent="0.25">
      <c r="A7017" s="101"/>
      <c r="B7017" s="36"/>
      <c r="C7017" s="98"/>
      <c r="D7017" s="98"/>
      <c r="E7017" s="98"/>
      <c r="F7017" s="102"/>
      <c r="G7017" s="103"/>
    </row>
    <row r="7018" spans="1:7" x14ac:dyDescent="0.25">
      <c r="A7018" s="101"/>
      <c r="B7018" s="36"/>
      <c r="C7018" s="98"/>
      <c r="D7018" s="98"/>
      <c r="E7018" s="98"/>
      <c r="F7018" s="102"/>
      <c r="G7018" s="103"/>
    </row>
    <row r="7019" spans="1:7" x14ac:dyDescent="0.25">
      <c r="A7019" s="101"/>
      <c r="B7019" s="36"/>
      <c r="C7019" s="98"/>
      <c r="D7019" s="98"/>
      <c r="E7019" s="98"/>
      <c r="F7019" s="102"/>
      <c r="G7019" s="103"/>
    </row>
    <row r="7020" spans="1:7" x14ac:dyDescent="0.25">
      <c r="A7020" s="101"/>
      <c r="B7020" s="36"/>
      <c r="C7020" s="98"/>
      <c r="D7020" s="98"/>
      <c r="E7020" s="98"/>
      <c r="F7020" s="102"/>
      <c r="G7020" s="103"/>
    </row>
    <row r="7021" spans="1:7" x14ac:dyDescent="0.25">
      <c r="A7021" s="101"/>
      <c r="B7021" s="36"/>
      <c r="C7021" s="98"/>
      <c r="D7021" s="98"/>
      <c r="E7021" s="98"/>
      <c r="F7021" s="102"/>
      <c r="G7021" s="103"/>
    </row>
    <row r="7022" spans="1:7" x14ac:dyDescent="0.25">
      <c r="A7022" s="101"/>
      <c r="B7022" s="36"/>
      <c r="C7022" s="98"/>
      <c r="D7022" s="98"/>
      <c r="E7022" s="98"/>
      <c r="F7022" s="102"/>
      <c r="G7022" s="103"/>
    </row>
    <row r="7023" spans="1:7" x14ac:dyDescent="0.25">
      <c r="A7023" s="101"/>
      <c r="B7023" s="36"/>
      <c r="C7023" s="98"/>
      <c r="D7023" s="98"/>
      <c r="E7023" s="98"/>
      <c r="F7023" s="102"/>
      <c r="G7023" s="103"/>
    </row>
    <row r="7024" spans="1:7" x14ac:dyDescent="0.25">
      <c r="A7024" s="101"/>
      <c r="B7024" s="36"/>
      <c r="C7024" s="98"/>
      <c r="D7024" s="98"/>
      <c r="E7024" s="98"/>
      <c r="F7024" s="102"/>
      <c r="G7024" s="103"/>
    </row>
    <row r="7025" spans="1:7" x14ac:dyDescent="0.25">
      <c r="A7025" s="101"/>
      <c r="B7025" s="36"/>
      <c r="C7025" s="98"/>
      <c r="D7025" s="98"/>
      <c r="E7025" s="98"/>
      <c r="F7025" s="102"/>
      <c r="G7025" s="103"/>
    </row>
    <row r="7026" spans="1:7" x14ac:dyDescent="0.25">
      <c r="A7026" s="101"/>
      <c r="B7026" s="12"/>
      <c r="C7026" s="98"/>
      <c r="D7026" s="98"/>
      <c r="E7026" s="98"/>
      <c r="F7026" s="102"/>
      <c r="G7026" s="103"/>
    </row>
    <row r="7027" spans="1:7" x14ac:dyDescent="0.25">
      <c r="A7027" s="101"/>
      <c r="B7027" s="36"/>
      <c r="C7027" s="98"/>
      <c r="D7027" s="98"/>
      <c r="E7027" s="98"/>
      <c r="F7027" s="102"/>
      <c r="G7027" s="103"/>
    </row>
    <row r="7028" spans="1:7" x14ac:dyDescent="0.25">
      <c r="A7028" s="101"/>
      <c r="B7028" s="36"/>
      <c r="C7028" s="98"/>
      <c r="D7028" s="98"/>
      <c r="E7028" s="98"/>
      <c r="F7028" s="102"/>
      <c r="G7028" s="103"/>
    </row>
    <row r="7029" spans="1:7" x14ac:dyDescent="0.25">
      <c r="A7029" s="101"/>
      <c r="B7029" s="36"/>
      <c r="C7029" s="98"/>
      <c r="D7029" s="98"/>
      <c r="E7029" s="98"/>
      <c r="F7029" s="102"/>
      <c r="G7029" s="103"/>
    </row>
    <row r="7030" spans="1:7" x14ac:dyDescent="0.25">
      <c r="A7030" s="101"/>
      <c r="B7030" s="36"/>
      <c r="C7030" s="98"/>
      <c r="D7030" s="98"/>
      <c r="E7030" s="98"/>
      <c r="F7030" s="102"/>
      <c r="G7030" s="103"/>
    </row>
    <row r="7031" spans="1:7" x14ac:dyDescent="0.25">
      <c r="A7031" s="101"/>
      <c r="B7031" s="36"/>
      <c r="C7031" s="98"/>
      <c r="D7031" s="98"/>
      <c r="E7031" s="98"/>
      <c r="F7031" s="102"/>
      <c r="G7031" s="103"/>
    </row>
    <row r="7032" spans="1:7" x14ac:dyDescent="0.25">
      <c r="A7032" s="101"/>
      <c r="B7032" s="36"/>
      <c r="C7032" s="98"/>
      <c r="D7032" s="98"/>
      <c r="E7032" s="98"/>
      <c r="F7032" s="102"/>
      <c r="G7032" s="103"/>
    </row>
    <row r="7033" spans="1:7" x14ac:dyDescent="0.25">
      <c r="A7033" s="101"/>
      <c r="B7033" s="36"/>
      <c r="C7033" s="98"/>
      <c r="D7033" s="98"/>
      <c r="E7033" s="98"/>
      <c r="F7033" s="102"/>
      <c r="G7033" s="103"/>
    </row>
    <row r="7034" spans="1:7" x14ac:dyDescent="0.25">
      <c r="A7034" s="101"/>
      <c r="B7034" s="36"/>
      <c r="C7034" s="98"/>
      <c r="D7034" s="98"/>
      <c r="E7034" s="98"/>
      <c r="F7034" s="102"/>
      <c r="G7034" s="103"/>
    </row>
    <row r="7035" spans="1:7" x14ac:dyDescent="0.25">
      <c r="A7035" s="101"/>
      <c r="B7035" s="36"/>
      <c r="C7035" s="98"/>
      <c r="D7035" s="98"/>
      <c r="E7035" s="98"/>
      <c r="F7035" s="102"/>
      <c r="G7035" s="103"/>
    </row>
    <row r="7036" spans="1:7" x14ac:dyDescent="0.25">
      <c r="A7036" s="101"/>
      <c r="B7036" s="36"/>
      <c r="C7036" s="98"/>
      <c r="D7036" s="98"/>
      <c r="E7036" s="98"/>
      <c r="F7036" s="102"/>
      <c r="G7036" s="103"/>
    </row>
    <row r="7037" spans="1:7" x14ac:dyDescent="0.25">
      <c r="A7037" s="101"/>
      <c r="B7037" s="36"/>
      <c r="C7037" s="98"/>
      <c r="D7037" s="98"/>
      <c r="E7037" s="98"/>
      <c r="F7037" s="102"/>
      <c r="G7037" s="103"/>
    </row>
    <row r="7038" spans="1:7" x14ac:dyDescent="0.25">
      <c r="A7038" s="101"/>
      <c r="B7038" s="36"/>
      <c r="C7038" s="98"/>
      <c r="D7038" s="98"/>
      <c r="E7038" s="98"/>
      <c r="F7038" s="102"/>
      <c r="G7038" s="103"/>
    </row>
    <row r="7039" spans="1:7" x14ac:dyDescent="0.25">
      <c r="A7039" s="101"/>
      <c r="B7039" s="36"/>
      <c r="C7039" s="98"/>
      <c r="D7039" s="98"/>
      <c r="E7039" s="98"/>
      <c r="F7039" s="102"/>
      <c r="G7039" s="103"/>
    </row>
    <row r="7040" spans="1:7" x14ac:dyDescent="0.25">
      <c r="A7040" s="101"/>
      <c r="B7040" s="36"/>
      <c r="C7040" s="98"/>
      <c r="D7040" s="98"/>
      <c r="E7040" s="98"/>
      <c r="F7040" s="102"/>
      <c r="G7040" s="103"/>
    </row>
    <row r="7041" spans="1:7" x14ac:dyDescent="0.25">
      <c r="A7041" s="101"/>
      <c r="B7041" s="36"/>
      <c r="C7041" s="98"/>
      <c r="D7041" s="98"/>
      <c r="E7041" s="98"/>
      <c r="F7041" s="102"/>
      <c r="G7041" s="103"/>
    </row>
    <row r="7042" spans="1:7" x14ac:dyDescent="0.25">
      <c r="A7042" s="101"/>
      <c r="B7042" s="36"/>
      <c r="C7042" s="98"/>
      <c r="D7042" s="98"/>
      <c r="E7042" s="98"/>
      <c r="F7042" s="102"/>
      <c r="G7042" s="103"/>
    </row>
    <row r="7043" spans="1:7" x14ac:dyDescent="0.25">
      <c r="A7043" s="101"/>
      <c r="B7043" s="36"/>
      <c r="C7043" s="98"/>
      <c r="D7043" s="98"/>
      <c r="E7043" s="98"/>
      <c r="F7043" s="102"/>
      <c r="G7043" s="103"/>
    </row>
    <row r="7044" spans="1:7" x14ac:dyDescent="0.25">
      <c r="A7044" s="101"/>
      <c r="B7044" s="36"/>
      <c r="C7044" s="98"/>
      <c r="D7044" s="98"/>
      <c r="E7044" s="98"/>
      <c r="F7044" s="102"/>
      <c r="G7044" s="103"/>
    </row>
    <row r="7045" spans="1:7" x14ac:dyDescent="0.25">
      <c r="A7045" s="101"/>
      <c r="B7045" s="36"/>
      <c r="C7045" s="98"/>
      <c r="D7045" s="98"/>
      <c r="E7045" s="98"/>
      <c r="F7045" s="102"/>
      <c r="G7045" s="103"/>
    </row>
    <row r="7046" spans="1:7" x14ac:dyDescent="0.25">
      <c r="A7046" s="101"/>
      <c r="B7046" s="36"/>
      <c r="C7046" s="98"/>
      <c r="D7046" s="98"/>
      <c r="E7046" s="98"/>
      <c r="F7046" s="102"/>
      <c r="G7046" s="103"/>
    </row>
    <row r="7047" spans="1:7" x14ac:dyDescent="0.25">
      <c r="A7047" s="101"/>
      <c r="B7047" s="36"/>
      <c r="C7047" s="98"/>
      <c r="D7047" s="98"/>
      <c r="E7047" s="98"/>
      <c r="F7047" s="102"/>
      <c r="G7047" s="103"/>
    </row>
    <row r="7048" spans="1:7" x14ac:dyDescent="0.25">
      <c r="A7048" s="101"/>
      <c r="B7048" s="36"/>
      <c r="C7048" s="98"/>
      <c r="D7048" s="98"/>
      <c r="E7048" s="98"/>
      <c r="F7048" s="102"/>
      <c r="G7048" s="103"/>
    </row>
    <row r="7049" spans="1:7" x14ac:dyDescent="0.25">
      <c r="A7049" s="101"/>
      <c r="B7049" s="36"/>
      <c r="C7049" s="98"/>
      <c r="D7049" s="98"/>
      <c r="E7049" s="98"/>
      <c r="F7049" s="102"/>
      <c r="G7049" s="103"/>
    </row>
    <row r="7050" spans="1:7" x14ac:dyDescent="0.25">
      <c r="A7050" s="101"/>
      <c r="B7050" s="36"/>
      <c r="C7050" s="98"/>
      <c r="D7050" s="98"/>
      <c r="E7050" s="98"/>
      <c r="F7050" s="102"/>
      <c r="G7050" s="103"/>
    </row>
    <row r="7051" spans="1:7" x14ac:dyDescent="0.25">
      <c r="A7051" s="101"/>
      <c r="B7051" s="36"/>
      <c r="C7051" s="98"/>
      <c r="D7051" s="98"/>
      <c r="E7051" s="98"/>
      <c r="F7051" s="102"/>
      <c r="G7051" s="103"/>
    </row>
    <row r="7052" spans="1:7" x14ac:dyDescent="0.25">
      <c r="A7052" s="101"/>
      <c r="B7052" s="36"/>
      <c r="C7052" s="98"/>
      <c r="D7052" s="98"/>
      <c r="E7052" s="98"/>
      <c r="F7052" s="102"/>
      <c r="G7052" s="103"/>
    </row>
    <row r="7053" spans="1:7" x14ac:dyDescent="0.25">
      <c r="A7053" s="101"/>
      <c r="B7053" s="36"/>
      <c r="C7053" s="98"/>
      <c r="D7053" s="98"/>
      <c r="E7053" s="98"/>
      <c r="F7053" s="102"/>
      <c r="G7053" s="103"/>
    </row>
    <row r="7054" spans="1:7" x14ac:dyDescent="0.25">
      <c r="A7054" s="101"/>
      <c r="B7054" s="36"/>
      <c r="C7054" s="98"/>
      <c r="D7054" s="98"/>
      <c r="E7054" s="98"/>
      <c r="F7054" s="102"/>
      <c r="G7054" s="103"/>
    </row>
    <row r="7055" spans="1:7" x14ac:dyDescent="0.25">
      <c r="A7055" s="101"/>
      <c r="B7055" s="36"/>
      <c r="C7055" s="98"/>
      <c r="D7055" s="98"/>
      <c r="E7055" s="98"/>
      <c r="F7055" s="102"/>
      <c r="G7055" s="103"/>
    </row>
    <row r="7056" spans="1:7" x14ac:dyDescent="0.25">
      <c r="A7056" s="101"/>
      <c r="B7056" s="36"/>
      <c r="C7056" s="98"/>
      <c r="D7056" s="98"/>
      <c r="E7056" s="98"/>
      <c r="F7056" s="102"/>
      <c r="G7056" s="103"/>
    </row>
    <row r="7057" spans="1:7" x14ac:dyDescent="0.25">
      <c r="A7057" s="101"/>
      <c r="B7057" s="36"/>
      <c r="C7057" s="98"/>
      <c r="D7057" s="98"/>
      <c r="E7057" s="98"/>
      <c r="F7057" s="102"/>
      <c r="G7057" s="103"/>
    </row>
    <row r="7058" spans="1:7" x14ac:dyDescent="0.25">
      <c r="A7058" s="101"/>
      <c r="B7058" s="36"/>
      <c r="C7058" s="98"/>
      <c r="D7058" s="98"/>
      <c r="E7058" s="98"/>
      <c r="F7058" s="102"/>
      <c r="G7058" s="103"/>
    </row>
    <row r="7059" spans="1:7" x14ac:dyDescent="0.25">
      <c r="A7059" s="101"/>
      <c r="B7059" s="12"/>
      <c r="C7059" s="98"/>
      <c r="D7059" s="98"/>
      <c r="E7059" s="98"/>
      <c r="F7059" s="102"/>
      <c r="G7059" s="103"/>
    </row>
    <row r="7060" spans="1:7" x14ac:dyDescent="0.25">
      <c r="A7060" s="101"/>
      <c r="B7060" s="36"/>
      <c r="C7060" s="98"/>
      <c r="D7060" s="98"/>
      <c r="E7060" s="98"/>
      <c r="F7060" s="102"/>
      <c r="G7060" s="103"/>
    </row>
    <row r="7061" spans="1:7" x14ac:dyDescent="0.25">
      <c r="A7061" s="101"/>
      <c r="B7061" s="36"/>
      <c r="C7061" s="98"/>
      <c r="D7061" s="98"/>
      <c r="E7061" s="98"/>
      <c r="F7061" s="102"/>
      <c r="G7061" s="103"/>
    </row>
    <row r="7062" spans="1:7" x14ac:dyDescent="0.25">
      <c r="A7062" s="101"/>
      <c r="B7062" s="36"/>
      <c r="C7062" s="98"/>
      <c r="D7062" s="98"/>
      <c r="E7062" s="98"/>
      <c r="F7062" s="102"/>
      <c r="G7062" s="103"/>
    </row>
    <row r="7063" spans="1:7" x14ac:dyDescent="0.25">
      <c r="A7063" s="101"/>
      <c r="B7063" s="36"/>
      <c r="C7063" s="98"/>
      <c r="D7063" s="98"/>
      <c r="E7063" s="98"/>
      <c r="F7063" s="102"/>
      <c r="G7063" s="103"/>
    </row>
    <row r="7064" spans="1:7" x14ac:dyDescent="0.25">
      <c r="A7064" s="101"/>
      <c r="B7064" s="10"/>
      <c r="C7064" s="98"/>
      <c r="D7064" s="98"/>
      <c r="E7064" s="98"/>
      <c r="F7064" s="102"/>
      <c r="G7064" s="103"/>
    </row>
    <row r="7065" spans="1:7" x14ac:dyDescent="0.25">
      <c r="A7065" s="101"/>
      <c r="B7065" s="36"/>
      <c r="C7065" s="98"/>
      <c r="D7065" s="98"/>
      <c r="E7065" s="98"/>
      <c r="F7065" s="102"/>
      <c r="G7065" s="103"/>
    </row>
    <row r="7066" spans="1:7" x14ac:dyDescent="0.25">
      <c r="A7066" s="101"/>
      <c r="B7066" s="36"/>
      <c r="C7066" s="98"/>
      <c r="D7066" s="98"/>
      <c r="E7066" s="98"/>
      <c r="F7066" s="102"/>
      <c r="G7066" s="103"/>
    </row>
    <row r="7067" spans="1:7" x14ac:dyDescent="0.25">
      <c r="A7067" s="101"/>
      <c r="B7067" s="36"/>
      <c r="C7067" s="98"/>
      <c r="D7067" s="98"/>
      <c r="E7067" s="98"/>
      <c r="F7067" s="102"/>
      <c r="G7067" s="103"/>
    </row>
    <row r="7068" spans="1:7" x14ac:dyDescent="0.25">
      <c r="A7068" s="101"/>
      <c r="B7068" s="36"/>
      <c r="C7068" s="98"/>
      <c r="D7068" s="98"/>
      <c r="E7068" s="98"/>
      <c r="F7068" s="102"/>
      <c r="G7068" s="103"/>
    </row>
    <row r="7069" spans="1:7" x14ac:dyDescent="0.25">
      <c r="A7069" s="101"/>
      <c r="B7069" s="36"/>
      <c r="C7069" s="98"/>
      <c r="D7069" s="98"/>
      <c r="E7069" s="98"/>
      <c r="F7069" s="102"/>
      <c r="G7069" s="103"/>
    </row>
    <row r="7070" spans="1:7" x14ac:dyDescent="0.25">
      <c r="A7070" s="101"/>
      <c r="B7070" s="36"/>
      <c r="C7070" s="98"/>
      <c r="D7070" s="98"/>
      <c r="E7070" s="98"/>
      <c r="F7070" s="102"/>
      <c r="G7070" s="103"/>
    </row>
    <row r="7071" spans="1:7" x14ac:dyDescent="0.25">
      <c r="A7071" s="101"/>
      <c r="B7071" s="36"/>
      <c r="C7071" s="98"/>
      <c r="D7071" s="98"/>
      <c r="E7071" s="98"/>
      <c r="F7071" s="102"/>
      <c r="G7071" s="103"/>
    </row>
    <row r="7072" spans="1:7" x14ac:dyDescent="0.25">
      <c r="A7072" s="101"/>
      <c r="B7072" s="36"/>
      <c r="C7072" s="98"/>
      <c r="D7072" s="98"/>
      <c r="E7072" s="98"/>
      <c r="F7072" s="102"/>
      <c r="G7072" s="103"/>
    </row>
    <row r="7073" spans="1:7" x14ac:dyDescent="0.25">
      <c r="A7073" s="101"/>
      <c r="B7073" s="36"/>
      <c r="C7073" s="98"/>
      <c r="D7073" s="98"/>
      <c r="E7073" s="98"/>
      <c r="F7073" s="102"/>
      <c r="G7073" s="103"/>
    </row>
    <row r="7074" spans="1:7" x14ac:dyDescent="0.25">
      <c r="A7074" s="101"/>
      <c r="B7074" s="36"/>
      <c r="C7074" s="98"/>
      <c r="D7074" s="98"/>
      <c r="E7074" s="98"/>
      <c r="F7074" s="102"/>
      <c r="G7074" s="103"/>
    </row>
    <row r="7075" spans="1:7" x14ac:dyDescent="0.25">
      <c r="A7075" s="101"/>
      <c r="B7075" s="36"/>
      <c r="C7075" s="98"/>
      <c r="D7075" s="98"/>
      <c r="E7075" s="98"/>
      <c r="F7075" s="102"/>
      <c r="G7075" s="103"/>
    </row>
    <row r="7076" spans="1:7" x14ac:dyDescent="0.25">
      <c r="A7076" s="101"/>
      <c r="B7076" s="36"/>
      <c r="C7076" s="98"/>
      <c r="D7076" s="98"/>
      <c r="E7076" s="98"/>
      <c r="F7076" s="102"/>
      <c r="G7076" s="103"/>
    </row>
    <row r="7077" spans="1:7" x14ac:dyDescent="0.25">
      <c r="A7077" s="101"/>
      <c r="B7077" s="36"/>
      <c r="C7077" s="98"/>
      <c r="D7077" s="98"/>
      <c r="E7077" s="98"/>
      <c r="F7077" s="102"/>
      <c r="G7077" s="103"/>
    </row>
    <row r="7078" spans="1:7" x14ac:dyDescent="0.25">
      <c r="A7078" s="101"/>
      <c r="B7078" s="36"/>
      <c r="C7078" s="98"/>
      <c r="D7078" s="98"/>
      <c r="E7078" s="98"/>
      <c r="F7078" s="102"/>
      <c r="G7078" s="103"/>
    </row>
    <row r="7079" spans="1:7" x14ac:dyDescent="0.25">
      <c r="A7079" s="101"/>
      <c r="B7079" s="36"/>
      <c r="C7079" s="98"/>
      <c r="D7079" s="98"/>
      <c r="E7079" s="98"/>
      <c r="F7079" s="102"/>
      <c r="G7079" s="103"/>
    </row>
    <row r="7080" spans="1:7" x14ac:dyDescent="0.25">
      <c r="A7080" s="101"/>
      <c r="B7080" s="36"/>
      <c r="C7080" s="98"/>
      <c r="D7080" s="98"/>
      <c r="E7080" s="98"/>
      <c r="F7080" s="102"/>
      <c r="G7080" s="103"/>
    </row>
    <row r="7081" spans="1:7" x14ac:dyDescent="0.25">
      <c r="A7081" s="101"/>
      <c r="B7081" s="36"/>
      <c r="C7081" s="98"/>
      <c r="D7081" s="98"/>
      <c r="E7081" s="98"/>
      <c r="F7081" s="102"/>
      <c r="G7081" s="103"/>
    </row>
    <row r="7082" spans="1:7" x14ac:dyDescent="0.25">
      <c r="A7082" s="101"/>
      <c r="B7082" s="36"/>
      <c r="C7082" s="98"/>
      <c r="D7082" s="98"/>
      <c r="E7082" s="98"/>
      <c r="F7082" s="102"/>
      <c r="G7082" s="103"/>
    </row>
    <row r="7083" spans="1:7" x14ac:dyDescent="0.25">
      <c r="A7083" s="101"/>
      <c r="B7083" s="36"/>
      <c r="C7083" s="98"/>
      <c r="D7083" s="98"/>
      <c r="E7083" s="98"/>
      <c r="F7083" s="102"/>
      <c r="G7083" s="103"/>
    </row>
    <row r="7084" spans="1:7" x14ac:dyDescent="0.25">
      <c r="A7084" s="101"/>
      <c r="B7084" s="36"/>
      <c r="C7084" s="98"/>
      <c r="D7084" s="98"/>
      <c r="E7084" s="98"/>
      <c r="F7084" s="102"/>
      <c r="G7084" s="103"/>
    </row>
    <row r="7085" spans="1:7" x14ac:dyDescent="0.25">
      <c r="A7085" s="101"/>
      <c r="B7085" s="36"/>
      <c r="C7085" s="98"/>
      <c r="D7085" s="98"/>
      <c r="E7085" s="98"/>
      <c r="F7085" s="102"/>
      <c r="G7085" s="103"/>
    </row>
    <row r="7086" spans="1:7" x14ac:dyDescent="0.25">
      <c r="A7086" s="101"/>
      <c r="B7086" s="36"/>
      <c r="C7086" s="98"/>
      <c r="D7086" s="98"/>
      <c r="E7086" s="98"/>
      <c r="F7086" s="102"/>
      <c r="G7086" s="103"/>
    </row>
    <row r="7087" spans="1:7" x14ac:dyDescent="0.25">
      <c r="A7087" s="101"/>
      <c r="B7087" s="36"/>
      <c r="C7087" s="98"/>
      <c r="D7087" s="98"/>
      <c r="E7087" s="98"/>
      <c r="F7087" s="102"/>
      <c r="G7087" s="103"/>
    </row>
    <row r="7088" spans="1:7" x14ac:dyDescent="0.25">
      <c r="A7088" s="101"/>
      <c r="B7088" s="36"/>
      <c r="C7088" s="98"/>
      <c r="D7088" s="98"/>
      <c r="E7088" s="98"/>
      <c r="F7088" s="102"/>
      <c r="G7088" s="103"/>
    </row>
    <row r="7089" spans="1:7" x14ac:dyDescent="0.25">
      <c r="A7089" s="101"/>
      <c r="B7089" s="36"/>
      <c r="C7089" s="98"/>
      <c r="D7089" s="98"/>
      <c r="E7089" s="98"/>
      <c r="F7089" s="102"/>
      <c r="G7089" s="103"/>
    </row>
    <row r="7090" spans="1:7" x14ac:dyDescent="0.25">
      <c r="A7090" s="101"/>
      <c r="B7090" s="36"/>
      <c r="C7090" s="98"/>
      <c r="D7090" s="98"/>
      <c r="E7090" s="98"/>
      <c r="F7090" s="102"/>
      <c r="G7090" s="103"/>
    </row>
    <row r="7091" spans="1:7" x14ac:dyDescent="0.25">
      <c r="A7091" s="101"/>
      <c r="B7091" s="36"/>
      <c r="C7091" s="98"/>
      <c r="D7091" s="98"/>
      <c r="E7091" s="98"/>
      <c r="F7091" s="102"/>
      <c r="G7091" s="103"/>
    </row>
    <row r="7092" spans="1:7" x14ac:dyDescent="0.25">
      <c r="A7092" s="101"/>
      <c r="B7092" s="36"/>
      <c r="C7092" s="98"/>
      <c r="D7092" s="98"/>
      <c r="E7092" s="98"/>
      <c r="F7092" s="102"/>
      <c r="G7092" s="103"/>
    </row>
    <row r="7093" spans="1:7" x14ac:dyDescent="0.25">
      <c r="A7093" s="101"/>
      <c r="B7093" s="36"/>
      <c r="C7093" s="98"/>
      <c r="D7093" s="98"/>
      <c r="E7093" s="98"/>
      <c r="F7093" s="102"/>
      <c r="G7093" s="103"/>
    </row>
    <row r="7094" spans="1:7" x14ac:dyDescent="0.25">
      <c r="A7094" s="101"/>
      <c r="B7094" s="36"/>
      <c r="C7094" s="98"/>
      <c r="D7094" s="98"/>
      <c r="E7094" s="98"/>
      <c r="F7094" s="102"/>
      <c r="G7094" s="103"/>
    </row>
    <row r="7095" spans="1:7" x14ac:dyDescent="0.25">
      <c r="A7095" s="101"/>
      <c r="B7095" s="36"/>
      <c r="C7095" s="98"/>
      <c r="D7095" s="98"/>
      <c r="E7095" s="98"/>
      <c r="F7095" s="102"/>
      <c r="G7095" s="103"/>
    </row>
    <row r="7096" spans="1:7" x14ac:dyDescent="0.25">
      <c r="A7096" s="101"/>
      <c r="B7096" s="36"/>
      <c r="C7096" s="98"/>
      <c r="D7096" s="98"/>
      <c r="E7096" s="98"/>
      <c r="F7096" s="102"/>
      <c r="G7096" s="103"/>
    </row>
    <row r="7097" spans="1:7" x14ac:dyDescent="0.25">
      <c r="A7097" s="101"/>
      <c r="B7097" s="36"/>
      <c r="C7097" s="98"/>
      <c r="D7097" s="98"/>
      <c r="E7097" s="98"/>
      <c r="F7097" s="102"/>
      <c r="G7097" s="103"/>
    </row>
    <row r="7098" spans="1:7" x14ac:dyDescent="0.25">
      <c r="A7098" s="101"/>
      <c r="B7098" s="36"/>
      <c r="C7098" s="98"/>
      <c r="D7098" s="98"/>
      <c r="E7098" s="98"/>
      <c r="F7098" s="102"/>
      <c r="G7098" s="103"/>
    </row>
    <row r="7099" spans="1:7" x14ac:dyDescent="0.25">
      <c r="A7099" s="101"/>
      <c r="B7099" s="36"/>
      <c r="C7099" s="98"/>
      <c r="D7099" s="98"/>
      <c r="E7099" s="98"/>
      <c r="F7099" s="102"/>
      <c r="G7099" s="103"/>
    </row>
    <row r="7100" spans="1:7" x14ac:dyDescent="0.25">
      <c r="A7100" s="101"/>
      <c r="B7100" s="36"/>
      <c r="C7100" s="98"/>
      <c r="D7100" s="98"/>
      <c r="E7100" s="98"/>
      <c r="F7100" s="102"/>
      <c r="G7100" s="103"/>
    </row>
    <row r="7101" spans="1:7" x14ac:dyDescent="0.25">
      <c r="A7101" s="101"/>
      <c r="B7101" s="36"/>
      <c r="C7101" s="98"/>
      <c r="D7101" s="98"/>
      <c r="E7101" s="98"/>
      <c r="F7101" s="102"/>
      <c r="G7101" s="103"/>
    </row>
    <row r="7102" spans="1:7" x14ac:dyDescent="0.25">
      <c r="A7102" s="101"/>
      <c r="B7102" s="36"/>
      <c r="C7102" s="98"/>
      <c r="D7102" s="98"/>
      <c r="E7102" s="98"/>
      <c r="F7102" s="102"/>
      <c r="G7102" s="103"/>
    </row>
    <row r="7103" spans="1:7" x14ac:dyDescent="0.25">
      <c r="A7103" s="101"/>
      <c r="B7103" s="36"/>
      <c r="C7103" s="98"/>
      <c r="D7103" s="98"/>
      <c r="E7103" s="98"/>
      <c r="F7103" s="102"/>
      <c r="G7103" s="103"/>
    </row>
    <row r="7104" spans="1:7" x14ac:dyDescent="0.25">
      <c r="A7104" s="101"/>
      <c r="B7104" s="36"/>
      <c r="C7104" s="98"/>
      <c r="D7104" s="98"/>
      <c r="E7104" s="98"/>
      <c r="F7104" s="102"/>
      <c r="G7104" s="103"/>
    </row>
    <row r="7105" spans="1:7" x14ac:dyDescent="0.25">
      <c r="A7105" s="101"/>
      <c r="B7105" s="36"/>
      <c r="C7105" s="98"/>
      <c r="D7105" s="98"/>
      <c r="E7105" s="98"/>
      <c r="F7105" s="102"/>
      <c r="G7105" s="103"/>
    </row>
    <row r="7106" spans="1:7" x14ac:dyDescent="0.25">
      <c r="A7106" s="101"/>
      <c r="B7106" s="36"/>
      <c r="C7106" s="98"/>
      <c r="D7106" s="98"/>
      <c r="E7106" s="98"/>
      <c r="F7106" s="102"/>
      <c r="G7106" s="103"/>
    </row>
    <row r="7107" spans="1:7" x14ac:dyDescent="0.25">
      <c r="A7107" s="101"/>
      <c r="B7107" s="36"/>
      <c r="C7107" s="98"/>
      <c r="D7107" s="98"/>
      <c r="E7107" s="98"/>
      <c r="F7107" s="102"/>
      <c r="G7107" s="103"/>
    </row>
    <row r="7108" spans="1:7" x14ac:dyDescent="0.25">
      <c r="A7108" s="101"/>
      <c r="B7108" s="36"/>
      <c r="C7108" s="98"/>
      <c r="D7108" s="98"/>
      <c r="E7108" s="98"/>
      <c r="F7108" s="102"/>
      <c r="G7108" s="103"/>
    </row>
    <row r="7109" spans="1:7" x14ac:dyDescent="0.25">
      <c r="A7109" s="101"/>
      <c r="B7109" s="36"/>
      <c r="C7109" s="98"/>
      <c r="D7109" s="98"/>
      <c r="E7109" s="98"/>
      <c r="F7109" s="102"/>
      <c r="G7109" s="103"/>
    </row>
    <row r="7110" spans="1:7" x14ac:dyDescent="0.25">
      <c r="A7110" s="101"/>
      <c r="B7110" s="36"/>
      <c r="C7110" s="98"/>
      <c r="D7110" s="98"/>
      <c r="E7110" s="98"/>
      <c r="F7110" s="102"/>
      <c r="G7110" s="103"/>
    </row>
    <row r="7111" spans="1:7" x14ac:dyDescent="0.25">
      <c r="A7111" s="101"/>
      <c r="B7111" s="36"/>
      <c r="C7111" s="98"/>
      <c r="D7111" s="98"/>
      <c r="E7111" s="98"/>
      <c r="F7111" s="102"/>
      <c r="G7111" s="103"/>
    </row>
    <row r="7112" spans="1:7" x14ac:dyDescent="0.25">
      <c r="A7112" s="101"/>
      <c r="B7112" s="36"/>
      <c r="C7112" s="98"/>
      <c r="D7112" s="98"/>
      <c r="E7112" s="98"/>
      <c r="F7112" s="102"/>
      <c r="G7112" s="103"/>
    </row>
    <row r="7113" spans="1:7" x14ac:dyDescent="0.25">
      <c r="A7113" s="101"/>
      <c r="B7113" s="36"/>
      <c r="C7113" s="98"/>
      <c r="D7113" s="98"/>
      <c r="E7113" s="98"/>
      <c r="F7113" s="102"/>
      <c r="G7113" s="103"/>
    </row>
    <row r="7114" spans="1:7" x14ac:dyDescent="0.25">
      <c r="A7114" s="101"/>
      <c r="B7114" s="36"/>
      <c r="C7114" s="98"/>
      <c r="D7114" s="98"/>
      <c r="E7114" s="98"/>
      <c r="F7114" s="102"/>
      <c r="G7114" s="103"/>
    </row>
    <row r="7115" spans="1:7" x14ac:dyDescent="0.25">
      <c r="A7115" s="101"/>
      <c r="B7115" s="36"/>
      <c r="C7115" s="98"/>
      <c r="D7115" s="98"/>
      <c r="E7115" s="98"/>
      <c r="F7115" s="102"/>
      <c r="G7115" s="103"/>
    </row>
    <row r="7116" spans="1:7" x14ac:dyDescent="0.25">
      <c r="A7116" s="101"/>
      <c r="B7116" s="36"/>
      <c r="C7116" s="98"/>
      <c r="D7116" s="98"/>
      <c r="E7116" s="98"/>
      <c r="F7116" s="102"/>
      <c r="G7116" s="103"/>
    </row>
    <row r="7117" spans="1:7" x14ac:dyDescent="0.25">
      <c r="A7117" s="101"/>
      <c r="B7117" s="36"/>
      <c r="C7117" s="98"/>
      <c r="D7117" s="98"/>
      <c r="E7117" s="98"/>
      <c r="F7117" s="102"/>
      <c r="G7117" s="103"/>
    </row>
    <row r="7118" spans="1:7" x14ac:dyDescent="0.25">
      <c r="A7118" s="101"/>
      <c r="B7118" s="36"/>
      <c r="C7118" s="98"/>
      <c r="D7118" s="98"/>
      <c r="E7118" s="98"/>
      <c r="F7118" s="102"/>
      <c r="G7118" s="103"/>
    </row>
    <row r="7119" spans="1:7" x14ac:dyDescent="0.25">
      <c r="A7119" s="101"/>
      <c r="B7119" s="36"/>
      <c r="C7119" s="98"/>
      <c r="D7119" s="98"/>
      <c r="E7119" s="98"/>
      <c r="F7119" s="102"/>
      <c r="G7119" s="103"/>
    </row>
    <row r="7120" spans="1:7" x14ac:dyDescent="0.25">
      <c r="A7120" s="101"/>
      <c r="B7120" s="36"/>
      <c r="C7120" s="98"/>
      <c r="D7120" s="98"/>
      <c r="E7120" s="98"/>
      <c r="F7120" s="102"/>
      <c r="G7120" s="103"/>
    </row>
    <row r="7121" spans="1:7" x14ac:dyDescent="0.25">
      <c r="A7121" s="101"/>
      <c r="B7121" s="36"/>
      <c r="C7121" s="98"/>
      <c r="D7121" s="98"/>
      <c r="E7121" s="98"/>
      <c r="F7121" s="102"/>
      <c r="G7121" s="103"/>
    </row>
    <row r="7122" spans="1:7" x14ac:dyDescent="0.25">
      <c r="A7122" s="101"/>
      <c r="B7122" s="36"/>
      <c r="C7122" s="98"/>
      <c r="D7122" s="98"/>
      <c r="E7122" s="98"/>
      <c r="F7122" s="102"/>
      <c r="G7122" s="103"/>
    </row>
    <row r="7123" spans="1:7" x14ac:dyDescent="0.25">
      <c r="A7123" s="101"/>
      <c r="B7123" s="36"/>
      <c r="C7123" s="98"/>
      <c r="D7123" s="98"/>
      <c r="E7123" s="98"/>
      <c r="F7123" s="102"/>
      <c r="G7123" s="103"/>
    </row>
    <row r="7124" spans="1:7" x14ac:dyDescent="0.25">
      <c r="A7124" s="101"/>
      <c r="B7124" s="36"/>
      <c r="C7124" s="98"/>
      <c r="D7124" s="98"/>
      <c r="E7124" s="98"/>
      <c r="F7124" s="102"/>
      <c r="G7124" s="103"/>
    </row>
    <row r="7125" spans="1:7" x14ac:dyDescent="0.25">
      <c r="A7125" s="101"/>
      <c r="B7125" s="36"/>
      <c r="C7125" s="98"/>
      <c r="D7125" s="98"/>
      <c r="E7125" s="98"/>
      <c r="F7125" s="102"/>
      <c r="G7125" s="103"/>
    </row>
    <row r="7126" spans="1:7" x14ac:dyDescent="0.25">
      <c r="A7126" s="101"/>
      <c r="B7126" s="10"/>
      <c r="C7126" s="98"/>
      <c r="D7126" s="98"/>
      <c r="E7126" s="98"/>
      <c r="F7126" s="102"/>
      <c r="G7126" s="103"/>
    </row>
    <row r="7127" spans="1:7" x14ac:dyDescent="0.25">
      <c r="A7127" s="101"/>
      <c r="B7127" s="36"/>
      <c r="C7127" s="98"/>
      <c r="D7127" s="98"/>
      <c r="E7127" s="98"/>
      <c r="F7127" s="102"/>
      <c r="G7127" s="103"/>
    </row>
    <row r="7128" spans="1:7" x14ac:dyDescent="0.25">
      <c r="A7128" s="101"/>
      <c r="B7128" s="36"/>
      <c r="C7128" s="98"/>
      <c r="D7128" s="98"/>
      <c r="E7128" s="98"/>
      <c r="F7128" s="102"/>
      <c r="G7128" s="103"/>
    </row>
    <row r="7129" spans="1:7" x14ac:dyDescent="0.25">
      <c r="A7129" s="101"/>
      <c r="B7129" s="12"/>
      <c r="C7129" s="98"/>
      <c r="D7129" s="98"/>
      <c r="E7129" s="98"/>
      <c r="F7129" s="102"/>
      <c r="G7129" s="103"/>
    </row>
    <row r="7130" spans="1:7" x14ac:dyDescent="0.25">
      <c r="A7130" s="101"/>
      <c r="B7130" s="36"/>
      <c r="C7130" s="98"/>
      <c r="D7130" s="98"/>
      <c r="E7130" s="98"/>
      <c r="F7130" s="102"/>
      <c r="G7130" s="103"/>
    </row>
    <row r="7131" spans="1:7" x14ac:dyDescent="0.25">
      <c r="A7131" s="101"/>
      <c r="B7131" s="36"/>
      <c r="C7131" s="98"/>
      <c r="D7131" s="98"/>
      <c r="E7131" s="98"/>
      <c r="F7131" s="102"/>
      <c r="G7131" s="103"/>
    </row>
    <row r="7132" spans="1:7" x14ac:dyDescent="0.25">
      <c r="A7132" s="101"/>
      <c r="B7132" s="36"/>
      <c r="C7132" s="98"/>
      <c r="D7132" s="98"/>
      <c r="E7132" s="98"/>
      <c r="F7132" s="102"/>
      <c r="G7132" s="103"/>
    </row>
    <row r="7133" spans="1:7" x14ac:dyDescent="0.25">
      <c r="A7133" s="101"/>
      <c r="B7133" s="36"/>
      <c r="C7133" s="98"/>
      <c r="D7133" s="98"/>
      <c r="E7133" s="98"/>
      <c r="F7133" s="102"/>
      <c r="G7133" s="103"/>
    </row>
    <row r="7134" spans="1:7" x14ac:dyDescent="0.25">
      <c r="A7134" s="101"/>
      <c r="B7134" s="36"/>
      <c r="C7134" s="98"/>
      <c r="D7134" s="98"/>
      <c r="E7134" s="98"/>
      <c r="F7134" s="102"/>
      <c r="G7134" s="103"/>
    </row>
    <row r="7135" spans="1:7" x14ac:dyDescent="0.25">
      <c r="A7135" s="101"/>
      <c r="B7135" s="36"/>
      <c r="C7135" s="98"/>
      <c r="D7135" s="98"/>
      <c r="E7135" s="98"/>
      <c r="F7135" s="102"/>
      <c r="G7135" s="103"/>
    </row>
    <row r="7136" spans="1:7" x14ac:dyDescent="0.25">
      <c r="A7136" s="101"/>
      <c r="B7136" s="36"/>
      <c r="C7136" s="98"/>
      <c r="D7136" s="98"/>
      <c r="E7136" s="98"/>
      <c r="F7136" s="102"/>
      <c r="G7136" s="103"/>
    </row>
    <row r="7137" spans="1:7" x14ac:dyDescent="0.25">
      <c r="A7137" s="101"/>
      <c r="B7137" s="36"/>
      <c r="C7137" s="98"/>
      <c r="D7137" s="98"/>
      <c r="E7137" s="98"/>
      <c r="F7137" s="102"/>
      <c r="G7137" s="103"/>
    </row>
    <row r="7138" spans="1:7" x14ac:dyDescent="0.25">
      <c r="A7138" s="101"/>
      <c r="B7138" s="36"/>
      <c r="C7138" s="98"/>
      <c r="D7138" s="98"/>
      <c r="E7138" s="98"/>
      <c r="F7138" s="102"/>
      <c r="G7138" s="103"/>
    </row>
    <row r="7139" spans="1:7" x14ac:dyDescent="0.25">
      <c r="A7139" s="101"/>
      <c r="B7139" s="36"/>
      <c r="C7139" s="98"/>
      <c r="D7139" s="98"/>
      <c r="E7139" s="98"/>
      <c r="F7139" s="102"/>
      <c r="G7139" s="103"/>
    </row>
    <row r="7140" spans="1:7" x14ac:dyDescent="0.25">
      <c r="A7140" s="101"/>
      <c r="B7140" s="36"/>
      <c r="C7140" s="98"/>
      <c r="D7140" s="98"/>
      <c r="E7140" s="98"/>
      <c r="F7140" s="102"/>
      <c r="G7140" s="103"/>
    </row>
    <row r="7141" spans="1:7" x14ac:dyDescent="0.25">
      <c r="A7141" s="101"/>
      <c r="B7141" s="36"/>
      <c r="C7141" s="98"/>
      <c r="D7141" s="98"/>
      <c r="E7141" s="98"/>
      <c r="F7141" s="102"/>
      <c r="G7141" s="103"/>
    </row>
    <row r="7142" spans="1:7" x14ac:dyDescent="0.25">
      <c r="A7142" s="101"/>
      <c r="B7142" s="36"/>
      <c r="C7142" s="98"/>
      <c r="D7142" s="98"/>
      <c r="E7142" s="98"/>
      <c r="F7142" s="102"/>
      <c r="G7142" s="103"/>
    </row>
    <row r="7143" spans="1:7" x14ac:dyDescent="0.25">
      <c r="A7143" s="101"/>
      <c r="B7143" s="36"/>
      <c r="C7143" s="98"/>
      <c r="D7143" s="98"/>
      <c r="E7143" s="98"/>
      <c r="F7143" s="102"/>
      <c r="G7143" s="103"/>
    </row>
    <row r="7144" spans="1:7" x14ac:dyDescent="0.25">
      <c r="A7144" s="101"/>
      <c r="B7144" s="36"/>
      <c r="C7144" s="98"/>
      <c r="D7144" s="98"/>
      <c r="E7144" s="98"/>
      <c r="F7144" s="102"/>
      <c r="G7144" s="103"/>
    </row>
    <row r="7145" spans="1:7" x14ac:dyDescent="0.25">
      <c r="A7145" s="101"/>
      <c r="B7145" s="36"/>
      <c r="C7145" s="98"/>
      <c r="D7145" s="98"/>
      <c r="E7145" s="98"/>
      <c r="F7145" s="102"/>
      <c r="G7145" s="103"/>
    </row>
    <row r="7146" spans="1:7" x14ac:dyDescent="0.25">
      <c r="A7146" s="101"/>
      <c r="B7146" s="36"/>
      <c r="C7146" s="98"/>
      <c r="D7146" s="98"/>
      <c r="E7146" s="98"/>
      <c r="F7146" s="102"/>
      <c r="G7146" s="103"/>
    </row>
    <row r="7147" spans="1:7" x14ac:dyDescent="0.25">
      <c r="A7147" s="101"/>
      <c r="B7147" s="36"/>
      <c r="C7147" s="98"/>
      <c r="D7147" s="98"/>
      <c r="E7147" s="98"/>
      <c r="F7147" s="102"/>
      <c r="G7147" s="103"/>
    </row>
    <row r="7148" spans="1:7" x14ac:dyDescent="0.25">
      <c r="A7148" s="101"/>
      <c r="B7148" s="36"/>
      <c r="C7148" s="98"/>
      <c r="D7148" s="98"/>
      <c r="E7148" s="98"/>
      <c r="F7148" s="102"/>
      <c r="G7148" s="103"/>
    </row>
    <row r="7149" spans="1:7" x14ac:dyDescent="0.25">
      <c r="A7149" s="101"/>
      <c r="B7149" s="36"/>
      <c r="C7149" s="98"/>
      <c r="D7149" s="98"/>
      <c r="E7149" s="98"/>
      <c r="F7149" s="102"/>
      <c r="G7149" s="103"/>
    </row>
    <row r="7150" spans="1:7" x14ac:dyDescent="0.25">
      <c r="A7150" s="101"/>
      <c r="B7150" s="36"/>
      <c r="C7150" s="98"/>
      <c r="D7150" s="98"/>
      <c r="E7150" s="98"/>
      <c r="F7150" s="102"/>
      <c r="G7150" s="103"/>
    </row>
    <row r="7151" spans="1:7" x14ac:dyDescent="0.25">
      <c r="A7151" s="101"/>
      <c r="B7151" s="36"/>
      <c r="C7151" s="98"/>
      <c r="D7151" s="98"/>
      <c r="E7151" s="98"/>
      <c r="F7151" s="102"/>
      <c r="G7151" s="103"/>
    </row>
    <row r="7152" spans="1:7" x14ac:dyDescent="0.25">
      <c r="A7152" s="101"/>
      <c r="B7152" s="36"/>
      <c r="C7152" s="98"/>
      <c r="D7152" s="98"/>
      <c r="E7152" s="98"/>
      <c r="F7152" s="102"/>
      <c r="G7152" s="103"/>
    </row>
    <row r="7153" spans="1:7" x14ac:dyDescent="0.25">
      <c r="A7153" s="101"/>
      <c r="B7153" s="36"/>
      <c r="C7153" s="98"/>
      <c r="D7153" s="98"/>
      <c r="E7153" s="98"/>
      <c r="F7153" s="102"/>
      <c r="G7153" s="103"/>
    </row>
    <row r="7154" spans="1:7" x14ac:dyDescent="0.25">
      <c r="A7154" s="101"/>
      <c r="B7154" s="36"/>
      <c r="C7154" s="98"/>
      <c r="D7154" s="98"/>
      <c r="E7154" s="98"/>
      <c r="F7154" s="102"/>
      <c r="G7154" s="103"/>
    </row>
    <row r="7155" spans="1:7" x14ac:dyDescent="0.25">
      <c r="A7155" s="101"/>
      <c r="B7155" s="36"/>
      <c r="C7155" s="98"/>
      <c r="D7155" s="98"/>
      <c r="E7155" s="98"/>
      <c r="F7155" s="102"/>
      <c r="G7155" s="103"/>
    </row>
    <row r="7156" spans="1:7" x14ac:dyDescent="0.25">
      <c r="A7156" s="101"/>
      <c r="B7156" s="36"/>
      <c r="C7156" s="98"/>
      <c r="D7156" s="98"/>
      <c r="E7156" s="98"/>
      <c r="F7156" s="102"/>
      <c r="G7156" s="103"/>
    </row>
    <row r="7157" spans="1:7" x14ac:dyDescent="0.25">
      <c r="A7157" s="101"/>
      <c r="B7157" s="36"/>
      <c r="C7157" s="98"/>
      <c r="D7157" s="98"/>
      <c r="E7157" s="98"/>
      <c r="F7157" s="102"/>
      <c r="G7157" s="103"/>
    </row>
    <row r="7158" spans="1:7" x14ac:dyDescent="0.25">
      <c r="A7158" s="101"/>
      <c r="B7158" s="36"/>
      <c r="C7158" s="98"/>
      <c r="D7158" s="98"/>
      <c r="E7158" s="98"/>
      <c r="F7158" s="102"/>
      <c r="G7158" s="103"/>
    </row>
    <row r="7159" spans="1:7" x14ac:dyDescent="0.25">
      <c r="A7159" s="101"/>
      <c r="B7159" s="36"/>
      <c r="C7159" s="98"/>
      <c r="D7159" s="98"/>
      <c r="E7159" s="98"/>
      <c r="F7159" s="102"/>
      <c r="G7159" s="103"/>
    </row>
    <row r="7160" spans="1:7" x14ac:dyDescent="0.25">
      <c r="A7160" s="101"/>
      <c r="B7160" s="36"/>
      <c r="C7160" s="98"/>
      <c r="D7160" s="98"/>
      <c r="E7160" s="98"/>
      <c r="F7160" s="102"/>
      <c r="G7160" s="103"/>
    </row>
    <row r="7161" spans="1:7" x14ac:dyDescent="0.25">
      <c r="A7161" s="101"/>
      <c r="B7161" s="36"/>
      <c r="C7161" s="98"/>
      <c r="D7161" s="98"/>
      <c r="E7161" s="98"/>
      <c r="F7161" s="102"/>
      <c r="G7161" s="103"/>
    </row>
    <row r="7162" spans="1:7" x14ac:dyDescent="0.25">
      <c r="A7162" s="101"/>
      <c r="B7162" s="36"/>
      <c r="C7162" s="98"/>
      <c r="D7162" s="98"/>
      <c r="E7162" s="98"/>
      <c r="F7162" s="102"/>
      <c r="G7162" s="103"/>
    </row>
    <row r="7163" spans="1:7" x14ac:dyDescent="0.25">
      <c r="A7163" s="101"/>
      <c r="B7163" s="36"/>
      <c r="C7163" s="98"/>
      <c r="D7163" s="98"/>
      <c r="E7163" s="98"/>
      <c r="F7163" s="102"/>
      <c r="G7163" s="103"/>
    </row>
    <row r="7164" spans="1:7" x14ac:dyDescent="0.25">
      <c r="A7164" s="101"/>
      <c r="B7164" s="36"/>
      <c r="C7164" s="98"/>
      <c r="D7164" s="98"/>
      <c r="E7164" s="98"/>
      <c r="F7164" s="102"/>
      <c r="G7164" s="103"/>
    </row>
    <row r="7165" spans="1:7" x14ac:dyDescent="0.25">
      <c r="A7165" s="101"/>
      <c r="B7165" s="36"/>
      <c r="C7165" s="98"/>
      <c r="D7165" s="98"/>
      <c r="E7165" s="98"/>
      <c r="F7165" s="102"/>
      <c r="G7165" s="103"/>
    </row>
    <row r="7166" spans="1:7" x14ac:dyDescent="0.25">
      <c r="A7166" s="101"/>
      <c r="B7166" s="36"/>
      <c r="C7166" s="98"/>
      <c r="D7166" s="98"/>
      <c r="E7166" s="98"/>
      <c r="F7166" s="102"/>
      <c r="G7166" s="103"/>
    </row>
    <row r="7167" spans="1:7" x14ac:dyDescent="0.25">
      <c r="A7167" s="101"/>
      <c r="B7167" s="36"/>
      <c r="C7167" s="98"/>
      <c r="D7167" s="98"/>
      <c r="E7167" s="98"/>
      <c r="F7167" s="102"/>
      <c r="G7167" s="103"/>
    </row>
    <row r="7168" spans="1:7" x14ac:dyDescent="0.25">
      <c r="A7168" s="101"/>
      <c r="B7168" s="36"/>
      <c r="C7168" s="98"/>
      <c r="D7168" s="98"/>
      <c r="E7168" s="98"/>
      <c r="F7168" s="102"/>
      <c r="G7168" s="103"/>
    </row>
    <row r="7169" spans="1:7" x14ac:dyDescent="0.25">
      <c r="A7169" s="101"/>
      <c r="B7169" s="36"/>
      <c r="C7169" s="98"/>
      <c r="D7169" s="98"/>
      <c r="E7169" s="98"/>
      <c r="F7169" s="102"/>
      <c r="G7169" s="103"/>
    </row>
    <row r="7170" spans="1:7" x14ac:dyDescent="0.25">
      <c r="A7170" s="101"/>
      <c r="B7170" s="36"/>
      <c r="C7170" s="98"/>
      <c r="D7170" s="98"/>
      <c r="E7170" s="98"/>
      <c r="F7170" s="102"/>
      <c r="G7170" s="103"/>
    </row>
    <row r="7171" spans="1:7" x14ac:dyDescent="0.25">
      <c r="A7171" s="101"/>
      <c r="B7171" s="36"/>
      <c r="C7171" s="98"/>
      <c r="D7171" s="98"/>
      <c r="E7171" s="98"/>
      <c r="F7171" s="102"/>
      <c r="G7171" s="103"/>
    </row>
    <row r="7172" spans="1:7" x14ac:dyDescent="0.25">
      <c r="A7172" s="101"/>
      <c r="B7172" s="36"/>
      <c r="C7172" s="98"/>
      <c r="D7172" s="98"/>
      <c r="E7172" s="98"/>
      <c r="F7172" s="102"/>
      <c r="G7172" s="103"/>
    </row>
    <row r="7173" spans="1:7" x14ac:dyDescent="0.25">
      <c r="A7173" s="101"/>
      <c r="B7173" s="36"/>
      <c r="C7173" s="98"/>
      <c r="D7173" s="98"/>
      <c r="E7173" s="98"/>
      <c r="F7173" s="102"/>
      <c r="G7173" s="103"/>
    </row>
    <row r="7174" spans="1:7" x14ac:dyDescent="0.25">
      <c r="A7174" s="101"/>
      <c r="B7174" s="36"/>
      <c r="C7174" s="98"/>
      <c r="D7174" s="98"/>
      <c r="E7174" s="98"/>
      <c r="F7174" s="102"/>
      <c r="G7174" s="103"/>
    </row>
    <row r="7175" spans="1:7" x14ac:dyDescent="0.25">
      <c r="A7175" s="101"/>
      <c r="B7175" s="36"/>
      <c r="C7175" s="98"/>
      <c r="D7175" s="98"/>
      <c r="E7175" s="98"/>
      <c r="F7175" s="102"/>
      <c r="G7175" s="103"/>
    </row>
    <row r="7176" spans="1:7" x14ac:dyDescent="0.25">
      <c r="A7176" s="101"/>
      <c r="B7176" s="36"/>
      <c r="C7176" s="98"/>
      <c r="D7176" s="98"/>
      <c r="E7176" s="98"/>
      <c r="F7176" s="102"/>
      <c r="G7176" s="103"/>
    </row>
    <row r="7177" spans="1:7" x14ac:dyDescent="0.25">
      <c r="A7177" s="101"/>
      <c r="B7177" s="36"/>
      <c r="C7177" s="98"/>
      <c r="D7177" s="98"/>
      <c r="E7177" s="98"/>
      <c r="F7177" s="102"/>
      <c r="G7177" s="103"/>
    </row>
    <row r="7178" spans="1:7" x14ac:dyDescent="0.25">
      <c r="A7178" s="101"/>
      <c r="B7178" s="36"/>
      <c r="C7178" s="98"/>
      <c r="D7178" s="98"/>
      <c r="E7178" s="98"/>
      <c r="F7178" s="102"/>
      <c r="G7178" s="103"/>
    </row>
    <row r="7179" spans="1:7" x14ac:dyDescent="0.25">
      <c r="A7179" s="101"/>
      <c r="B7179" s="36"/>
      <c r="C7179" s="98"/>
      <c r="D7179" s="98"/>
      <c r="E7179" s="98"/>
      <c r="F7179" s="102"/>
      <c r="G7179" s="103"/>
    </row>
    <row r="7180" spans="1:7" x14ac:dyDescent="0.25">
      <c r="A7180" s="101"/>
      <c r="B7180" s="36"/>
      <c r="C7180" s="98"/>
      <c r="D7180" s="98"/>
      <c r="E7180" s="98"/>
      <c r="F7180" s="102"/>
      <c r="G7180" s="103"/>
    </row>
    <row r="7181" spans="1:7" x14ac:dyDescent="0.25">
      <c r="A7181" s="101"/>
      <c r="B7181" s="36"/>
      <c r="C7181" s="98"/>
      <c r="D7181" s="98"/>
      <c r="E7181" s="98"/>
      <c r="F7181" s="102"/>
      <c r="G7181" s="103"/>
    </row>
    <row r="7182" spans="1:7" x14ac:dyDescent="0.25">
      <c r="A7182" s="101"/>
      <c r="B7182" s="36"/>
      <c r="C7182" s="98"/>
      <c r="D7182" s="98"/>
      <c r="E7182" s="98"/>
      <c r="F7182" s="102"/>
      <c r="G7182" s="103"/>
    </row>
    <row r="7183" spans="1:7" x14ac:dyDescent="0.25">
      <c r="A7183" s="101"/>
      <c r="B7183" s="36"/>
      <c r="C7183" s="98"/>
      <c r="D7183" s="98"/>
      <c r="E7183" s="98"/>
      <c r="F7183" s="102"/>
      <c r="G7183" s="103"/>
    </row>
    <row r="7184" spans="1:7" x14ac:dyDescent="0.25">
      <c r="A7184" s="101"/>
      <c r="B7184" s="36"/>
      <c r="C7184" s="98"/>
      <c r="D7184" s="98"/>
      <c r="E7184" s="98"/>
      <c r="F7184" s="102"/>
      <c r="G7184" s="103"/>
    </row>
    <row r="7185" spans="1:7" x14ac:dyDescent="0.25">
      <c r="A7185" s="101"/>
      <c r="B7185" s="36"/>
      <c r="C7185" s="98"/>
      <c r="D7185" s="98"/>
      <c r="E7185" s="98"/>
      <c r="F7185" s="102"/>
      <c r="G7185" s="103"/>
    </row>
    <row r="7186" spans="1:7" x14ac:dyDescent="0.25">
      <c r="A7186" s="101"/>
      <c r="B7186" s="36"/>
      <c r="C7186" s="98"/>
      <c r="D7186" s="98"/>
      <c r="E7186" s="98"/>
      <c r="F7186" s="102"/>
      <c r="G7186" s="103"/>
    </row>
    <row r="7187" spans="1:7" x14ac:dyDescent="0.25">
      <c r="A7187" s="101"/>
      <c r="B7187" s="36"/>
      <c r="C7187" s="98"/>
      <c r="D7187" s="98"/>
      <c r="E7187" s="98"/>
      <c r="F7187" s="102"/>
      <c r="G7187" s="103"/>
    </row>
    <row r="7188" spans="1:7" x14ac:dyDescent="0.25">
      <c r="A7188" s="101"/>
      <c r="B7188" s="36"/>
      <c r="C7188" s="98"/>
      <c r="D7188" s="98"/>
      <c r="E7188" s="98"/>
      <c r="F7188" s="102"/>
      <c r="G7188" s="103"/>
    </row>
    <row r="7189" spans="1:7" x14ac:dyDescent="0.25">
      <c r="A7189" s="101"/>
      <c r="B7189" s="36"/>
      <c r="C7189" s="98"/>
      <c r="D7189" s="98"/>
      <c r="E7189" s="98"/>
      <c r="F7189" s="102"/>
      <c r="G7189" s="103"/>
    </row>
    <row r="7190" spans="1:7" x14ac:dyDescent="0.25">
      <c r="A7190" s="101"/>
      <c r="B7190" s="36"/>
      <c r="C7190" s="98"/>
      <c r="D7190" s="98"/>
      <c r="E7190" s="98"/>
      <c r="F7190" s="102"/>
      <c r="G7190" s="103"/>
    </row>
    <row r="7191" spans="1:7" x14ac:dyDescent="0.25">
      <c r="A7191" s="101"/>
      <c r="B7191" s="36"/>
      <c r="C7191" s="98"/>
      <c r="D7191" s="98"/>
      <c r="E7191" s="98"/>
      <c r="F7191" s="102"/>
      <c r="G7191" s="103"/>
    </row>
    <row r="7192" spans="1:7" x14ac:dyDescent="0.25">
      <c r="A7192" s="101"/>
      <c r="B7192" s="36"/>
      <c r="C7192" s="98"/>
      <c r="D7192" s="98"/>
      <c r="E7192" s="98"/>
      <c r="F7192" s="102"/>
      <c r="G7192" s="103"/>
    </row>
    <row r="7193" spans="1:7" x14ac:dyDescent="0.25">
      <c r="A7193" s="101"/>
      <c r="B7193" s="36"/>
      <c r="C7193" s="98"/>
      <c r="D7193" s="98"/>
      <c r="E7193" s="98"/>
      <c r="F7193" s="102"/>
      <c r="G7193" s="103"/>
    </row>
    <row r="7194" spans="1:7" x14ac:dyDescent="0.25">
      <c r="A7194" s="101"/>
      <c r="B7194" s="36"/>
      <c r="C7194" s="98"/>
      <c r="D7194" s="98"/>
      <c r="E7194" s="98"/>
      <c r="F7194" s="102"/>
      <c r="G7194" s="103"/>
    </row>
    <row r="7195" spans="1:7" x14ac:dyDescent="0.25">
      <c r="A7195" s="101"/>
      <c r="B7195" s="36"/>
      <c r="C7195" s="98"/>
      <c r="D7195" s="98"/>
      <c r="E7195" s="98"/>
      <c r="F7195" s="102"/>
      <c r="G7195" s="103"/>
    </row>
    <row r="7196" spans="1:7" x14ac:dyDescent="0.25">
      <c r="A7196" s="101"/>
      <c r="B7196" s="36"/>
      <c r="C7196" s="98"/>
      <c r="D7196" s="98"/>
      <c r="E7196" s="98"/>
      <c r="F7196" s="102"/>
      <c r="G7196" s="103"/>
    </row>
    <row r="7197" spans="1:7" x14ac:dyDescent="0.25">
      <c r="A7197" s="101"/>
      <c r="B7197" s="36"/>
      <c r="C7197" s="98"/>
      <c r="D7197" s="98"/>
      <c r="E7197" s="98"/>
      <c r="F7197" s="102"/>
      <c r="G7197" s="103"/>
    </row>
    <row r="7198" spans="1:7" x14ac:dyDescent="0.25">
      <c r="A7198" s="101"/>
      <c r="B7198" s="36"/>
      <c r="C7198" s="98"/>
      <c r="D7198" s="98"/>
      <c r="E7198" s="98"/>
      <c r="F7198" s="102"/>
      <c r="G7198" s="103"/>
    </row>
    <row r="7199" spans="1:7" x14ac:dyDescent="0.25">
      <c r="A7199" s="101"/>
      <c r="B7199" s="36"/>
      <c r="C7199" s="98"/>
      <c r="D7199" s="98"/>
      <c r="E7199" s="98"/>
      <c r="F7199" s="102"/>
      <c r="G7199" s="103"/>
    </row>
    <row r="7200" spans="1:7" x14ac:dyDescent="0.25">
      <c r="A7200" s="101"/>
      <c r="B7200" s="36"/>
      <c r="C7200" s="98"/>
      <c r="D7200" s="98"/>
      <c r="E7200" s="98"/>
      <c r="F7200" s="102"/>
      <c r="G7200" s="103"/>
    </row>
    <row r="7201" spans="1:7" x14ac:dyDescent="0.25">
      <c r="A7201" s="101"/>
      <c r="B7201" s="36"/>
      <c r="C7201" s="98"/>
      <c r="D7201" s="98"/>
      <c r="E7201" s="98"/>
      <c r="F7201" s="102"/>
      <c r="G7201" s="103"/>
    </row>
    <row r="7202" spans="1:7" x14ac:dyDescent="0.25">
      <c r="A7202" s="101"/>
      <c r="B7202" s="36"/>
      <c r="C7202" s="98"/>
      <c r="D7202" s="98"/>
      <c r="E7202" s="98"/>
      <c r="F7202" s="102"/>
      <c r="G7202" s="103"/>
    </row>
    <row r="7203" spans="1:7" x14ac:dyDescent="0.25">
      <c r="A7203" s="101"/>
      <c r="B7203" s="36"/>
      <c r="C7203" s="98"/>
      <c r="D7203" s="98"/>
      <c r="E7203" s="98"/>
      <c r="F7203" s="102"/>
      <c r="G7203" s="103"/>
    </row>
    <row r="7204" spans="1:7" x14ac:dyDescent="0.25">
      <c r="A7204" s="101"/>
      <c r="B7204" s="36"/>
      <c r="C7204" s="98"/>
      <c r="D7204" s="98"/>
      <c r="E7204" s="98"/>
      <c r="F7204" s="102"/>
      <c r="G7204" s="103"/>
    </row>
    <row r="7205" spans="1:7" x14ac:dyDescent="0.25">
      <c r="A7205" s="101"/>
      <c r="B7205" s="36"/>
      <c r="C7205" s="98"/>
      <c r="D7205" s="98"/>
      <c r="E7205" s="98"/>
      <c r="F7205" s="102"/>
      <c r="G7205" s="103"/>
    </row>
    <row r="7206" spans="1:7" x14ac:dyDescent="0.25">
      <c r="A7206" s="101"/>
      <c r="B7206" s="36"/>
      <c r="C7206" s="98"/>
      <c r="D7206" s="98"/>
      <c r="E7206" s="98"/>
      <c r="F7206" s="102"/>
      <c r="G7206" s="103"/>
    </row>
    <row r="7207" spans="1:7" x14ac:dyDescent="0.25">
      <c r="A7207" s="101"/>
      <c r="B7207" s="36"/>
      <c r="C7207" s="98"/>
      <c r="D7207" s="98"/>
      <c r="E7207" s="98"/>
      <c r="F7207" s="102"/>
      <c r="G7207" s="103"/>
    </row>
    <row r="7208" spans="1:7" x14ac:dyDescent="0.25">
      <c r="A7208" s="101"/>
      <c r="B7208" s="36"/>
      <c r="C7208" s="98"/>
      <c r="D7208" s="98"/>
      <c r="E7208" s="98"/>
      <c r="F7208" s="102"/>
      <c r="G7208" s="103"/>
    </row>
    <row r="7209" spans="1:7" x14ac:dyDescent="0.25">
      <c r="A7209" s="101"/>
      <c r="B7209" s="36"/>
      <c r="C7209" s="98"/>
      <c r="D7209" s="98"/>
      <c r="E7209" s="98"/>
      <c r="F7209" s="102"/>
      <c r="G7209" s="103"/>
    </row>
    <row r="7210" spans="1:7" x14ac:dyDescent="0.25">
      <c r="A7210" s="101"/>
      <c r="B7210" s="36"/>
      <c r="C7210" s="98"/>
      <c r="D7210" s="98"/>
      <c r="E7210" s="98"/>
      <c r="F7210" s="102"/>
      <c r="G7210" s="103"/>
    </row>
    <row r="7211" spans="1:7" x14ac:dyDescent="0.25">
      <c r="A7211" s="101"/>
      <c r="B7211" s="36"/>
      <c r="C7211" s="98"/>
      <c r="D7211" s="98"/>
      <c r="E7211" s="98"/>
      <c r="F7211" s="102"/>
      <c r="G7211" s="103"/>
    </row>
    <row r="7212" spans="1:7" x14ac:dyDescent="0.25">
      <c r="A7212" s="101"/>
      <c r="B7212" s="36"/>
      <c r="C7212" s="98"/>
      <c r="D7212" s="98"/>
      <c r="E7212" s="98"/>
      <c r="F7212" s="102"/>
      <c r="G7212" s="103"/>
    </row>
    <row r="7213" spans="1:7" x14ac:dyDescent="0.25">
      <c r="A7213" s="101"/>
      <c r="B7213" s="36"/>
      <c r="C7213" s="98"/>
      <c r="D7213" s="98"/>
      <c r="E7213" s="98"/>
      <c r="F7213" s="102"/>
      <c r="G7213" s="103"/>
    </row>
    <row r="7214" spans="1:7" x14ac:dyDescent="0.25">
      <c r="A7214" s="101"/>
      <c r="B7214" s="36"/>
      <c r="C7214" s="98"/>
      <c r="D7214" s="98"/>
      <c r="E7214" s="98"/>
      <c r="F7214" s="102"/>
      <c r="G7214" s="103"/>
    </row>
    <row r="7215" spans="1:7" x14ac:dyDescent="0.25">
      <c r="A7215" s="101"/>
      <c r="B7215" s="36"/>
      <c r="C7215" s="98"/>
      <c r="D7215" s="98"/>
      <c r="E7215" s="98"/>
      <c r="F7215" s="102"/>
      <c r="G7215" s="103"/>
    </row>
    <row r="7216" spans="1:7" x14ac:dyDescent="0.25">
      <c r="A7216" s="101"/>
      <c r="B7216" s="36"/>
      <c r="C7216" s="98"/>
      <c r="D7216" s="98"/>
      <c r="E7216" s="98"/>
      <c r="F7216" s="102"/>
      <c r="G7216" s="103"/>
    </row>
    <row r="7217" spans="1:7" x14ac:dyDescent="0.25">
      <c r="A7217" s="101"/>
      <c r="B7217" s="36"/>
      <c r="C7217" s="98"/>
      <c r="D7217" s="98"/>
      <c r="E7217" s="98"/>
      <c r="F7217" s="102"/>
      <c r="G7217" s="103"/>
    </row>
    <row r="7218" spans="1:7" x14ac:dyDescent="0.25">
      <c r="A7218" s="101"/>
      <c r="B7218" s="36"/>
      <c r="C7218" s="98"/>
      <c r="D7218" s="98"/>
      <c r="E7218" s="98"/>
      <c r="F7218" s="102"/>
      <c r="G7218" s="103"/>
    </row>
    <row r="7219" spans="1:7" x14ac:dyDescent="0.25">
      <c r="A7219" s="101"/>
      <c r="B7219" s="36"/>
      <c r="C7219" s="98"/>
      <c r="D7219" s="98"/>
      <c r="E7219" s="98"/>
      <c r="F7219" s="102"/>
      <c r="G7219" s="103"/>
    </row>
    <row r="7220" spans="1:7" x14ac:dyDescent="0.25">
      <c r="A7220" s="101"/>
      <c r="B7220" s="36"/>
      <c r="C7220" s="98"/>
      <c r="D7220" s="98"/>
      <c r="E7220" s="98"/>
      <c r="F7220" s="102"/>
      <c r="G7220" s="103"/>
    </row>
    <row r="7221" spans="1:7" x14ac:dyDescent="0.25">
      <c r="A7221" s="101"/>
      <c r="B7221" s="36"/>
      <c r="C7221" s="98"/>
      <c r="D7221" s="98"/>
      <c r="E7221" s="98"/>
      <c r="F7221" s="102"/>
      <c r="G7221" s="103"/>
    </row>
    <row r="7222" spans="1:7" x14ac:dyDescent="0.25">
      <c r="A7222" s="101"/>
      <c r="B7222" s="36"/>
      <c r="C7222" s="98"/>
      <c r="D7222" s="98"/>
      <c r="E7222" s="98"/>
      <c r="F7222" s="102"/>
      <c r="G7222" s="103"/>
    </row>
    <row r="7223" spans="1:7" x14ac:dyDescent="0.25">
      <c r="A7223" s="101"/>
      <c r="B7223" s="36"/>
      <c r="C7223" s="98"/>
      <c r="D7223" s="98"/>
      <c r="E7223" s="98"/>
      <c r="F7223" s="102"/>
      <c r="G7223" s="103"/>
    </row>
    <row r="7224" spans="1:7" x14ac:dyDescent="0.25">
      <c r="A7224" s="101"/>
      <c r="B7224" s="36"/>
      <c r="C7224" s="98"/>
      <c r="D7224" s="98"/>
      <c r="E7224" s="98"/>
      <c r="F7224" s="102"/>
      <c r="G7224" s="103"/>
    </row>
    <row r="7225" spans="1:7" x14ac:dyDescent="0.25">
      <c r="A7225" s="101"/>
      <c r="B7225" s="36"/>
      <c r="C7225" s="98"/>
      <c r="D7225" s="98"/>
      <c r="E7225" s="98"/>
      <c r="F7225" s="102"/>
      <c r="G7225" s="103"/>
    </row>
    <row r="7226" spans="1:7" x14ac:dyDescent="0.25">
      <c r="A7226" s="101"/>
      <c r="B7226" s="36"/>
      <c r="C7226" s="98"/>
      <c r="D7226" s="98"/>
      <c r="E7226" s="98"/>
      <c r="F7226" s="102"/>
      <c r="G7226" s="103"/>
    </row>
    <row r="7227" spans="1:7" x14ac:dyDescent="0.25">
      <c r="A7227" s="101"/>
      <c r="B7227" s="36"/>
      <c r="C7227" s="98"/>
      <c r="D7227" s="98"/>
      <c r="E7227" s="98"/>
      <c r="F7227" s="102"/>
      <c r="G7227" s="103"/>
    </row>
    <row r="7228" spans="1:7" x14ac:dyDescent="0.25">
      <c r="A7228" s="101"/>
      <c r="B7228" s="36"/>
      <c r="C7228" s="98"/>
      <c r="D7228" s="98"/>
      <c r="E7228" s="98"/>
      <c r="F7228" s="102"/>
      <c r="G7228" s="103"/>
    </row>
    <row r="7229" spans="1:7" x14ac:dyDescent="0.25">
      <c r="A7229" s="101"/>
      <c r="B7229" s="36"/>
      <c r="C7229" s="98"/>
      <c r="D7229" s="98"/>
      <c r="E7229" s="98"/>
      <c r="F7229" s="102"/>
      <c r="G7229" s="103"/>
    </row>
    <row r="7230" spans="1:7" x14ac:dyDescent="0.25">
      <c r="A7230" s="101"/>
      <c r="B7230" s="36"/>
      <c r="C7230" s="98"/>
      <c r="D7230" s="98"/>
      <c r="E7230" s="98"/>
      <c r="F7230" s="102"/>
      <c r="G7230" s="103"/>
    </row>
    <row r="7231" spans="1:7" x14ac:dyDescent="0.25">
      <c r="A7231" s="101"/>
      <c r="B7231" s="36"/>
      <c r="C7231" s="98"/>
      <c r="D7231" s="98"/>
      <c r="E7231" s="98"/>
      <c r="F7231" s="102"/>
      <c r="G7231" s="103"/>
    </row>
    <row r="7232" spans="1:7" x14ac:dyDescent="0.25">
      <c r="A7232" s="101"/>
      <c r="B7232" s="36"/>
      <c r="C7232" s="98"/>
      <c r="D7232" s="98"/>
      <c r="E7232" s="98"/>
      <c r="F7232" s="102"/>
      <c r="G7232" s="103"/>
    </row>
    <row r="7233" spans="1:7" x14ac:dyDescent="0.25">
      <c r="A7233" s="101"/>
      <c r="B7233" s="36"/>
      <c r="C7233" s="98"/>
      <c r="D7233" s="98"/>
      <c r="E7233" s="98"/>
      <c r="F7233" s="102"/>
      <c r="G7233" s="103"/>
    </row>
    <row r="7234" spans="1:7" x14ac:dyDescent="0.25">
      <c r="A7234" s="101"/>
      <c r="B7234" s="36"/>
      <c r="C7234" s="98"/>
      <c r="D7234" s="98"/>
      <c r="E7234" s="98"/>
      <c r="F7234" s="102"/>
      <c r="G7234" s="103"/>
    </row>
    <row r="7235" spans="1:7" x14ac:dyDescent="0.25">
      <c r="A7235" s="101"/>
      <c r="B7235" s="36"/>
      <c r="C7235" s="98"/>
      <c r="D7235" s="98"/>
      <c r="E7235" s="98"/>
      <c r="F7235" s="102"/>
      <c r="G7235" s="103"/>
    </row>
    <row r="7236" spans="1:7" x14ac:dyDescent="0.25">
      <c r="A7236" s="101"/>
      <c r="B7236" s="36"/>
      <c r="C7236" s="98"/>
      <c r="D7236" s="98"/>
      <c r="E7236" s="98"/>
      <c r="F7236" s="102"/>
      <c r="G7236" s="103"/>
    </row>
    <row r="7237" spans="1:7" x14ac:dyDescent="0.25">
      <c r="A7237" s="101"/>
      <c r="B7237" s="36"/>
      <c r="C7237" s="98"/>
      <c r="D7237" s="98"/>
      <c r="E7237" s="98"/>
      <c r="F7237" s="102"/>
      <c r="G7237" s="103"/>
    </row>
    <row r="7238" spans="1:7" x14ac:dyDescent="0.25">
      <c r="A7238" s="101"/>
      <c r="B7238" s="36"/>
      <c r="C7238" s="98"/>
      <c r="D7238" s="98"/>
      <c r="E7238" s="98"/>
      <c r="F7238" s="102"/>
      <c r="G7238" s="103"/>
    </row>
    <row r="7239" spans="1:7" x14ac:dyDescent="0.25">
      <c r="A7239" s="101"/>
      <c r="B7239" s="36"/>
      <c r="C7239" s="98"/>
      <c r="D7239" s="98"/>
      <c r="E7239" s="98"/>
      <c r="F7239" s="102"/>
      <c r="G7239" s="103"/>
    </row>
    <row r="7240" spans="1:7" x14ac:dyDescent="0.25">
      <c r="A7240" s="101"/>
      <c r="B7240" s="36"/>
      <c r="C7240" s="98"/>
      <c r="D7240" s="98"/>
      <c r="E7240" s="98"/>
      <c r="F7240" s="102"/>
      <c r="G7240" s="103"/>
    </row>
    <row r="7241" spans="1:7" x14ac:dyDescent="0.25">
      <c r="A7241" s="101"/>
      <c r="B7241" s="36"/>
      <c r="C7241" s="98"/>
      <c r="D7241" s="98"/>
      <c r="E7241" s="98"/>
      <c r="F7241" s="102"/>
      <c r="G7241" s="103"/>
    </row>
    <row r="7242" spans="1:7" x14ac:dyDescent="0.25">
      <c r="A7242" s="101"/>
      <c r="B7242" s="36"/>
      <c r="C7242" s="98"/>
      <c r="D7242" s="98"/>
      <c r="E7242" s="98"/>
      <c r="F7242" s="102"/>
      <c r="G7242" s="103"/>
    </row>
    <row r="7243" spans="1:7" x14ac:dyDescent="0.25">
      <c r="A7243" s="101"/>
      <c r="B7243" s="36"/>
      <c r="C7243" s="98"/>
      <c r="D7243" s="98"/>
      <c r="E7243" s="98"/>
      <c r="F7243" s="102"/>
      <c r="G7243" s="103"/>
    </row>
    <row r="7244" spans="1:7" x14ac:dyDescent="0.25">
      <c r="A7244" s="101"/>
      <c r="B7244" s="36"/>
      <c r="C7244" s="98"/>
      <c r="D7244" s="98"/>
      <c r="E7244" s="98"/>
      <c r="F7244" s="102"/>
      <c r="G7244" s="103"/>
    </row>
    <row r="7245" spans="1:7" x14ac:dyDescent="0.25">
      <c r="A7245" s="101"/>
      <c r="B7245" s="36"/>
      <c r="C7245" s="98"/>
      <c r="D7245" s="98"/>
      <c r="E7245" s="98"/>
      <c r="F7245" s="102"/>
      <c r="G7245" s="103"/>
    </row>
    <row r="7246" spans="1:7" x14ac:dyDescent="0.25">
      <c r="A7246" s="101"/>
      <c r="B7246" s="36"/>
      <c r="C7246" s="98"/>
      <c r="D7246" s="98"/>
      <c r="E7246" s="98"/>
      <c r="F7246" s="102"/>
      <c r="G7246" s="103"/>
    </row>
    <row r="7247" spans="1:7" x14ac:dyDescent="0.25">
      <c r="A7247" s="101"/>
      <c r="B7247" s="36"/>
      <c r="C7247" s="98"/>
      <c r="D7247" s="98"/>
      <c r="E7247" s="98"/>
      <c r="F7247" s="102"/>
      <c r="G7247" s="103"/>
    </row>
    <row r="7248" spans="1:7" x14ac:dyDescent="0.25">
      <c r="A7248" s="101"/>
      <c r="B7248" s="41"/>
      <c r="C7248" s="98"/>
      <c r="D7248" s="98"/>
      <c r="E7248" s="98"/>
      <c r="F7248" s="102"/>
      <c r="G7248" s="103"/>
    </row>
    <row r="7249" spans="1:7" x14ac:dyDescent="0.25">
      <c r="A7249" s="101"/>
      <c r="B7249" s="36"/>
      <c r="C7249" s="98"/>
      <c r="D7249" s="98"/>
      <c r="E7249" s="98"/>
      <c r="F7249" s="102"/>
      <c r="G7249" s="103"/>
    </row>
    <row r="7250" spans="1:7" x14ac:dyDescent="0.25">
      <c r="A7250" s="101"/>
      <c r="B7250" s="36"/>
      <c r="C7250" s="98"/>
      <c r="D7250" s="98"/>
      <c r="E7250" s="98"/>
      <c r="F7250" s="102"/>
      <c r="G7250" s="103"/>
    </row>
    <row r="7251" spans="1:7" x14ac:dyDescent="0.25">
      <c r="A7251" s="101"/>
      <c r="B7251" s="36"/>
      <c r="C7251" s="109"/>
      <c r="D7251" s="109"/>
      <c r="E7251" s="109"/>
      <c r="F7251" s="102"/>
      <c r="G7251" s="103"/>
    </row>
    <row r="7252" spans="1:7" x14ac:dyDescent="0.25">
      <c r="A7252" s="101"/>
      <c r="B7252" s="36"/>
      <c r="C7252" s="109"/>
      <c r="D7252" s="109"/>
      <c r="E7252" s="109"/>
      <c r="F7252" s="102"/>
      <c r="G7252" s="103"/>
    </row>
    <row r="7253" spans="1:7" x14ac:dyDescent="0.25">
      <c r="A7253" s="101"/>
      <c r="B7253" s="36"/>
      <c r="C7253" s="109"/>
      <c r="D7253" s="109"/>
      <c r="E7253" s="109"/>
      <c r="F7253" s="102"/>
      <c r="G7253" s="103"/>
    </row>
    <row r="7254" spans="1:7" x14ac:dyDescent="0.25">
      <c r="A7254" s="101"/>
      <c r="B7254" s="36"/>
      <c r="C7254" s="109"/>
      <c r="D7254" s="109"/>
      <c r="E7254" s="109"/>
      <c r="F7254" s="102"/>
      <c r="G7254" s="103"/>
    </row>
    <row r="7255" spans="1:7" x14ac:dyDescent="0.25">
      <c r="A7255" s="101"/>
      <c r="B7255" s="36"/>
      <c r="C7255" s="109"/>
      <c r="D7255" s="109"/>
      <c r="E7255" s="109"/>
      <c r="F7255" s="102"/>
      <c r="G7255" s="103"/>
    </row>
    <row r="7256" spans="1:7" x14ac:dyDescent="0.25">
      <c r="A7256" s="101"/>
      <c r="B7256" s="36"/>
      <c r="C7256" s="109"/>
      <c r="D7256" s="109"/>
      <c r="E7256" s="109"/>
      <c r="F7256" s="102"/>
      <c r="G7256" s="103"/>
    </row>
    <row r="7257" spans="1:7" x14ac:dyDescent="0.25">
      <c r="A7257" s="101"/>
      <c r="B7257" s="36"/>
      <c r="C7257" s="109"/>
      <c r="D7257" s="109"/>
      <c r="E7257" s="109"/>
      <c r="F7257" s="102"/>
      <c r="G7257" s="103"/>
    </row>
    <row r="7258" spans="1:7" x14ac:dyDescent="0.25">
      <c r="A7258" s="101"/>
      <c r="B7258" s="36"/>
      <c r="C7258" s="109"/>
      <c r="D7258" s="109"/>
      <c r="E7258" s="109"/>
      <c r="F7258" s="102"/>
      <c r="G7258" s="103"/>
    </row>
    <row r="7259" spans="1:7" x14ac:dyDescent="0.25">
      <c r="A7259" s="101"/>
      <c r="B7259" s="36"/>
      <c r="C7259" s="109"/>
      <c r="D7259" s="109"/>
      <c r="E7259" s="109"/>
      <c r="F7259" s="102"/>
      <c r="G7259" s="103"/>
    </row>
    <row r="7260" spans="1:7" x14ac:dyDescent="0.25">
      <c r="A7260" s="101"/>
      <c r="B7260" s="36"/>
      <c r="C7260" s="109"/>
      <c r="D7260" s="109"/>
      <c r="E7260" s="109"/>
      <c r="F7260" s="102"/>
      <c r="G7260" s="103"/>
    </row>
    <row r="7261" spans="1:7" x14ac:dyDescent="0.25">
      <c r="A7261" s="101"/>
      <c r="B7261" s="36"/>
      <c r="C7261" s="109"/>
      <c r="D7261" s="109"/>
      <c r="E7261" s="109"/>
      <c r="F7261" s="102"/>
      <c r="G7261" s="103"/>
    </row>
    <row r="7262" spans="1:7" x14ac:dyDescent="0.25">
      <c r="A7262" s="101"/>
      <c r="B7262" s="36"/>
      <c r="C7262" s="109"/>
      <c r="D7262" s="109"/>
      <c r="E7262" s="109"/>
      <c r="F7262" s="102"/>
      <c r="G7262" s="103"/>
    </row>
    <row r="7263" spans="1:7" x14ac:dyDescent="0.25">
      <c r="A7263" s="101"/>
      <c r="B7263" s="36"/>
      <c r="C7263" s="109"/>
      <c r="D7263" s="109"/>
      <c r="E7263" s="109"/>
      <c r="F7263" s="102"/>
      <c r="G7263" s="103"/>
    </row>
    <row r="7264" spans="1:7" x14ac:dyDescent="0.25">
      <c r="A7264" s="101"/>
      <c r="B7264" s="36"/>
      <c r="C7264" s="109"/>
      <c r="D7264" s="109"/>
      <c r="E7264" s="109"/>
      <c r="F7264" s="102"/>
      <c r="G7264" s="103"/>
    </row>
    <row r="7265" spans="1:7" x14ac:dyDescent="0.25">
      <c r="A7265" s="101"/>
      <c r="B7265" s="36"/>
      <c r="C7265" s="109"/>
      <c r="D7265" s="109"/>
      <c r="E7265" s="109"/>
      <c r="F7265" s="102"/>
      <c r="G7265" s="103"/>
    </row>
    <row r="7266" spans="1:7" x14ac:dyDescent="0.25">
      <c r="A7266" s="101"/>
      <c r="B7266" s="36"/>
      <c r="C7266" s="109"/>
      <c r="D7266" s="109"/>
      <c r="E7266" s="109"/>
      <c r="F7266" s="102"/>
      <c r="G7266" s="103"/>
    </row>
    <row r="7267" spans="1:7" x14ac:dyDescent="0.25">
      <c r="A7267" s="101"/>
      <c r="B7267" s="36"/>
      <c r="C7267" s="109"/>
      <c r="D7267" s="109"/>
      <c r="E7267" s="109"/>
      <c r="F7267" s="102"/>
      <c r="G7267" s="103"/>
    </row>
    <row r="7268" spans="1:7" x14ac:dyDescent="0.25">
      <c r="A7268" s="101"/>
      <c r="B7268" s="36"/>
      <c r="C7268" s="109"/>
      <c r="D7268" s="109"/>
      <c r="E7268" s="109"/>
      <c r="F7268" s="102"/>
      <c r="G7268" s="103"/>
    </row>
    <row r="7269" spans="1:7" x14ac:dyDescent="0.25">
      <c r="A7269" s="101"/>
      <c r="B7269" s="36"/>
      <c r="C7269" s="109"/>
      <c r="D7269" s="109"/>
      <c r="E7269" s="109"/>
      <c r="F7269" s="102"/>
      <c r="G7269" s="103"/>
    </row>
    <row r="7270" spans="1:7" x14ac:dyDescent="0.25">
      <c r="A7270" s="101"/>
      <c r="B7270" s="36"/>
      <c r="C7270" s="109"/>
      <c r="D7270" s="109"/>
      <c r="E7270" s="109"/>
      <c r="F7270" s="102"/>
      <c r="G7270" s="103"/>
    </row>
    <row r="7271" spans="1:7" x14ac:dyDescent="0.25">
      <c r="A7271" s="101"/>
      <c r="B7271" s="36"/>
      <c r="C7271" s="98"/>
      <c r="D7271" s="98"/>
      <c r="E7271" s="98"/>
      <c r="F7271" s="102"/>
      <c r="G7271" s="103"/>
    </row>
    <row r="7272" spans="1:7" x14ac:dyDescent="0.25">
      <c r="A7272" s="101"/>
      <c r="B7272" s="36"/>
      <c r="C7272" s="98"/>
      <c r="D7272" s="98"/>
      <c r="E7272" s="98"/>
      <c r="F7272" s="102"/>
      <c r="G7272" s="103"/>
    </row>
    <row r="7273" spans="1:7" x14ac:dyDescent="0.25">
      <c r="A7273" s="101"/>
      <c r="B7273" s="36"/>
      <c r="C7273" s="98"/>
      <c r="D7273" s="98"/>
      <c r="E7273" s="98"/>
      <c r="F7273" s="102"/>
      <c r="G7273" s="103"/>
    </row>
    <row r="7274" spans="1:7" x14ac:dyDescent="0.25">
      <c r="A7274" s="101"/>
      <c r="B7274" s="36"/>
      <c r="C7274" s="98"/>
      <c r="D7274" s="98"/>
      <c r="E7274" s="98"/>
      <c r="F7274" s="102"/>
      <c r="G7274" s="103"/>
    </row>
    <row r="7275" spans="1:7" x14ac:dyDescent="0.25">
      <c r="A7275" s="101"/>
      <c r="B7275" s="36"/>
      <c r="C7275" s="98"/>
      <c r="D7275" s="98"/>
      <c r="E7275" s="98"/>
      <c r="F7275" s="102"/>
      <c r="G7275" s="103"/>
    </row>
    <row r="7276" spans="1:7" x14ac:dyDescent="0.25">
      <c r="A7276" s="101"/>
      <c r="B7276" s="36"/>
      <c r="C7276" s="98"/>
      <c r="D7276" s="98"/>
      <c r="E7276" s="98"/>
      <c r="F7276" s="102"/>
      <c r="G7276" s="103"/>
    </row>
    <row r="7277" spans="1:7" x14ac:dyDescent="0.25">
      <c r="A7277" s="101"/>
      <c r="B7277" s="36"/>
      <c r="C7277" s="98"/>
      <c r="D7277" s="98"/>
      <c r="E7277" s="98"/>
      <c r="F7277" s="102"/>
      <c r="G7277" s="103"/>
    </row>
    <row r="7278" spans="1:7" x14ac:dyDescent="0.25">
      <c r="A7278" s="101"/>
      <c r="B7278" s="36"/>
      <c r="C7278" s="98"/>
      <c r="D7278" s="98"/>
      <c r="E7278" s="98"/>
      <c r="F7278" s="102"/>
      <c r="G7278" s="103"/>
    </row>
    <row r="7279" spans="1:7" x14ac:dyDescent="0.25">
      <c r="A7279" s="101"/>
      <c r="B7279" s="36"/>
      <c r="C7279" s="98"/>
      <c r="D7279" s="98"/>
      <c r="E7279" s="98"/>
      <c r="F7279" s="102"/>
      <c r="G7279" s="103"/>
    </row>
    <row r="7280" spans="1:7" x14ac:dyDescent="0.25">
      <c r="A7280" s="101"/>
      <c r="B7280" s="36"/>
      <c r="C7280" s="98"/>
      <c r="D7280" s="98"/>
      <c r="E7280" s="98"/>
      <c r="F7280" s="102"/>
      <c r="G7280" s="103"/>
    </row>
    <row r="7281" spans="1:7" x14ac:dyDescent="0.25">
      <c r="A7281" s="101"/>
      <c r="B7281" s="36"/>
      <c r="C7281" s="98"/>
      <c r="D7281" s="98"/>
      <c r="E7281" s="98"/>
      <c r="F7281" s="102"/>
      <c r="G7281" s="103"/>
    </row>
    <row r="7282" spans="1:7" x14ac:dyDescent="0.25">
      <c r="A7282" s="101"/>
      <c r="B7282" s="36"/>
      <c r="C7282" s="98"/>
      <c r="D7282" s="98"/>
      <c r="E7282" s="98"/>
      <c r="F7282" s="102"/>
      <c r="G7282" s="103"/>
    </row>
    <row r="7283" spans="1:7" x14ac:dyDescent="0.25">
      <c r="A7283" s="101"/>
      <c r="B7283" s="36"/>
      <c r="C7283" s="98"/>
      <c r="D7283" s="98"/>
      <c r="E7283" s="98"/>
      <c r="F7283" s="102"/>
      <c r="G7283" s="103"/>
    </row>
    <row r="7284" spans="1:7" x14ac:dyDescent="0.25">
      <c r="A7284" s="101"/>
      <c r="B7284" s="36"/>
      <c r="C7284" s="98"/>
      <c r="D7284" s="98"/>
      <c r="E7284" s="98"/>
      <c r="F7284" s="102"/>
      <c r="G7284" s="103"/>
    </row>
    <row r="7285" spans="1:7" x14ac:dyDescent="0.25">
      <c r="A7285" s="101"/>
      <c r="B7285" s="36"/>
      <c r="C7285" s="98"/>
      <c r="D7285" s="98"/>
      <c r="E7285" s="98"/>
      <c r="F7285" s="102"/>
      <c r="G7285" s="103"/>
    </row>
    <row r="7286" spans="1:7" x14ac:dyDescent="0.25">
      <c r="A7286" s="101"/>
      <c r="B7286" s="36"/>
      <c r="C7286" s="98"/>
      <c r="D7286" s="98"/>
      <c r="E7286" s="98"/>
      <c r="F7286" s="102"/>
      <c r="G7286" s="103"/>
    </row>
    <row r="7287" spans="1:7" x14ac:dyDescent="0.25">
      <c r="A7287" s="101"/>
      <c r="B7287" s="36"/>
      <c r="C7287" s="98"/>
      <c r="D7287" s="98"/>
      <c r="E7287" s="98"/>
      <c r="F7287" s="102"/>
      <c r="G7287" s="103"/>
    </row>
    <row r="7288" spans="1:7" x14ac:dyDescent="0.25">
      <c r="A7288" s="101"/>
      <c r="B7288" s="36"/>
      <c r="C7288" s="98"/>
      <c r="D7288" s="98"/>
      <c r="E7288" s="98"/>
      <c r="F7288" s="102"/>
      <c r="G7288" s="103"/>
    </row>
    <row r="7289" spans="1:7" x14ac:dyDescent="0.25">
      <c r="A7289" s="101"/>
      <c r="B7289" s="36"/>
      <c r="C7289" s="98"/>
      <c r="D7289" s="98"/>
      <c r="E7289" s="98"/>
      <c r="F7289" s="102"/>
      <c r="G7289" s="103"/>
    </row>
    <row r="7290" spans="1:7" x14ac:dyDescent="0.25">
      <c r="A7290" s="101"/>
      <c r="B7290" s="36"/>
      <c r="C7290" s="98"/>
      <c r="D7290" s="98"/>
      <c r="E7290" s="98"/>
      <c r="F7290" s="102"/>
      <c r="G7290" s="103"/>
    </row>
    <row r="7291" spans="1:7" x14ac:dyDescent="0.25">
      <c r="A7291" s="101"/>
      <c r="B7291" s="36"/>
      <c r="C7291" s="98"/>
      <c r="D7291" s="98"/>
      <c r="E7291" s="98"/>
      <c r="F7291" s="102"/>
      <c r="G7291" s="103"/>
    </row>
    <row r="7292" spans="1:7" x14ac:dyDescent="0.25">
      <c r="A7292" s="101"/>
      <c r="B7292" s="36"/>
      <c r="C7292" s="98"/>
      <c r="D7292" s="98"/>
      <c r="E7292" s="98"/>
      <c r="F7292" s="102"/>
      <c r="G7292" s="103"/>
    </row>
    <row r="7293" spans="1:7" x14ac:dyDescent="0.25">
      <c r="A7293" s="101"/>
      <c r="B7293" s="36"/>
      <c r="C7293" s="98"/>
      <c r="D7293" s="98"/>
      <c r="E7293" s="98"/>
      <c r="F7293" s="102"/>
      <c r="G7293" s="103"/>
    </row>
    <row r="7294" spans="1:7" x14ac:dyDescent="0.25">
      <c r="A7294" s="101"/>
      <c r="B7294" s="36"/>
      <c r="C7294" s="98"/>
      <c r="D7294" s="98"/>
      <c r="E7294" s="98"/>
      <c r="F7294" s="102"/>
      <c r="G7294" s="103"/>
    </row>
    <row r="7295" spans="1:7" x14ac:dyDescent="0.25">
      <c r="A7295" s="101"/>
      <c r="B7295" s="36"/>
      <c r="C7295" s="98"/>
      <c r="D7295" s="98"/>
      <c r="E7295" s="98"/>
      <c r="F7295" s="102"/>
      <c r="G7295" s="103"/>
    </row>
    <row r="7296" spans="1:7" x14ac:dyDescent="0.25">
      <c r="A7296" s="101"/>
      <c r="B7296" s="36"/>
      <c r="C7296" s="98"/>
      <c r="D7296" s="98"/>
      <c r="E7296" s="98"/>
      <c r="F7296" s="102"/>
      <c r="G7296" s="103"/>
    </row>
    <row r="7297" spans="1:7" x14ac:dyDescent="0.25">
      <c r="A7297" s="101"/>
      <c r="B7297" s="36"/>
      <c r="C7297" s="98"/>
      <c r="D7297" s="98"/>
      <c r="E7297" s="98"/>
      <c r="F7297" s="102"/>
      <c r="G7297" s="103"/>
    </row>
    <row r="7298" spans="1:7" x14ac:dyDescent="0.25">
      <c r="A7298" s="101"/>
      <c r="B7298" s="36"/>
      <c r="C7298" s="98"/>
      <c r="D7298" s="98"/>
      <c r="E7298" s="98"/>
      <c r="F7298" s="102"/>
      <c r="G7298" s="103"/>
    </row>
    <row r="7299" spans="1:7" x14ac:dyDescent="0.25">
      <c r="A7299" s="101"/>
      <c r="B7299" s="36"/>
      <c r="C7299" s="98"/>
      <c r="D7299" s="98"/>
      <c r="E7299" s="98"/>
      <c r="F7299" s="102"/>
      <c r="G7299" s="103"/>
    </row>
    <row r="7300" spans="1:7" x14ac:dyDescent="0.25">
      <c r="A7300" s="101"/>
      <c r="B7300" s="36"/>
      <c r="C7300" s="98"/>
      <c r="D7300" s="98"/>
      <c r="E7300" s="98"/>
      <c r="F7300" s="102"/>
      <c r="G7300" s="103"/>
    </row>
    <row r="7301" spans="1:7" x14ac:dyDescent="0.25">
      <c r="A7301" s="101"/>
      <c r="B7301" s="36"/>
      <c r="C7301" s="98"/>
      <c r="D7301" s="98"/>
      <c r="E7301" s="98"/>
      <c r="F7301" s="102"/>
      <c r="G7301" s="103"/>
    </row>
    <row r="7302" spans="1:7" x14ac:dyDescent="0.25">
      <c r="A7302" s="101"/>
      <c r="B7302" s="36"/>
      <c r="C7302" s="98"/>
      <c r="D7302" s="98"/>
      <c r="E7302" s="98"/>
      <c r="F7302" s="102"/>
      <c r="G7302" s="103"/>
    </row>
    <row r="7303" spans="1:7" x14ac:dyDescent="0.25">
      <c r="A7303" s="101"/>
      <c r="B7303" s="36"/>
      <c r="C7303" s="98"/>
      <c r="D7303" s="98"/>
      <c r="E7303" s="98"/>
      <c r="F7303" s="102"/>
      <c r="G7303" s="103"/>
    </row>
    <row r="7304" spans="1:7" x14ac:dyDescent="0.25">
      <c r="A7304" s="97"/>
      <c r="B7304" s="37"/>
      <c r="C7304" s="98"/>
      <c r="D7304" s="98"/>
      <c r="E7304" s="98"/>
      <c r="F7304" s="99"/>
      <c r="G7304" s="100"/>
    </row>
    <row r="7305" spans="1:7" x14ac:dyDescent="0.25">
      <c r="A7305" s="97"/>
      <c r="B7305" s="37"/>
      <c r="C7305" s="98"/>
      <c r="D7305" s="98"/>
      <c r="E7305" s="98"/>
      <c r="F7305" s="99"/>
      <c r="G7305" s="100"/>
    </row>
    <row r="7306" spans="1:7" x14ac:dyDescent="0.25">
      <c r="A7306" s="97"/>
      <c r="B7306" s="37"/>
      <c r="C7306" s="98"/>
      <c r="D7306" s="98"/>
      <c r="E7306" s="98"/>
      <c r="F7306" s="99"/>
      <c r="G7306" s="100"/>
    </row>
    <row r="7307" spans="1:7" x14ac:dyDescent="0.25">
      <c r="A7307" s="97"/>
      <c r="B7307" s="37"/>
      <c r="C7307" s="98"/>
      <c r="D7307" s="98"/>
      <c r="E7307" s="98"/>
      <c r="F7307" s="99"/>
      <c r="G7307" s="100"/>
    </row>
    <row r="7308" spans="1:7" x14ac:dyDescent="0.25">
      <c r="A7308" s="97"/>
      <c r="B7308" s="37"/>
      <c r="C7308" s="98"/>
      <c r="D7308" s="98"/>
      <c r="E7308" s="98"/>
      <c r="F7308" s="99"/>
      <c r="G7308" s="100"/>
    </row>
    <row r="7309" spans="1:7" x14ac:dyDescent="0.25">
      <c r="A7309" s="97"/>
      <c r="B7309" s="37"/>
      <c r="C7309" s="98"/>
      <c r="D7309" s="98"/>
      <c r="E7309" s="98"/>
      <c r="F7309" s="99"/>
      <c r="G7309" s="100"/>
    </row>
    <row r="7310" spans="1:7" x14ac:dyDescent="0.25">
      <c r="A7310" s="97"/>
      <c r="B7310" s="37"/>
      <c r="C7310" s="98"/>
      <c r="D7310" s="98"/>
      <c r="E7310" s="98"/>
      <c r="F7310" s="99"/>
      <c r="G7310" s="100"/>
    </row>
    <row r="7311" spans="1:7" x14ac:dyDescent="0.25">
      <c r="A7311" s="97"/>
      <c r="B7311" s="37"/>
      <c r="C7311" s="98"/>
      <c r="D7311" s="98"/>
      <c r="E7311" s="98"/>
      <c r="F7311" s="99"/>
      <c r="G7311" s="100"/>
    </row>
    <row r="7312" spans="1:7" x14ac:dyDescent="0.25">
      <c r="A7312" s="97"/>
      <c r="B7312" s="37"/>
      <c r="C7312" s="98"/>
      <c r="D7312" s="98"/>
      <c r="E7312" s="98"/>
      <c r="F7312" s="99"/>
      <c r="G7312" s="100"/>
    </row>
    <row r="7313" spans="1:7" x14ac:dyDescent="0.25">
      <c r="A7313" s="97"/>
      <c r="B7313" s="37"/>
      <c r="C7313" s="98"/>
      <c r="D7313" s="98"/>
      <c r="E7313" s="98"/>
      <c r="F7313" s="99"/>
      <c r="G7313" s="100"/>
    </row>
    <row r="7314" spans="1:7" x14ac:dyDescent="0.25">
      <c r="A7314" s="97"/>
      <c r="B7314" s="37"/>
      <c r="C7314" s="98"/>
      <c r="D7314" s="98"/>
      <c r="E7314" s="98"/>
      <c r="F7314" s="99"/>
      <c r="G7314" s="100"/>
    </row>
    <row r="7315" spans="1:7" x14ac:dyDescent="0.25">
      <c r="A7315" s="97"/>
      <c r="B7315" s="37"/>
      <c r="C7315" s="98"/>
      <c r="D7315" s="98"/>
      <c r="E7315" s="98"/>
      <c r="F7315" s="99"/>
      <c r="G7315" s="100"/>
    </row>
    <row r="7316" spans="1:7" x14ac:dyDescent="0.25">
      <c r="A7316" s="97"/>
      <c r="B7316" s="37"/>
      <c r="C7316" s="98"/>
      <c r="D7316" s="98"/>
      <c r="E7316" s="98"/>
      <c r="F7316" s="99"/>
      <c r="G7316" s="100"/>
    </row>
    <row r="7317" spans="1:7" x14ac:dyDescent="0.25">
      <c r="A7317" s="97"/>
      <c r="B7317" s="37"/>
      <c r="C7317" s="98"/>
      <c r="D7317" s="98"/>
      <c r="E7317" s="98"/>
      <c r="F7317" s="99"/>
      <c r="G7317" s="100"/>
    </row>
    <row r="7318" spans="1:7" x14ac:dyDescent="0.25">
      <c r="A7318" s="97"/>
      <c r="B7318" s="37"/>
      <c r="C7318" s="98"/>
      <c r="D7318" s="98"/>
      <c r="E7318" s="98"/>
      <c r="F7318" s="99"/>
      <c r="G7318" s="100"/>
    </row>
    <row r="7319" spans="1:7" x14ac:dyDescent="0.25">
      <c r="A7319" s="97"/>
      <c r="B7319" s="37"/>
      <c r="C7319" s="98"/>
      <c r="D7319" s="98"/>
      <c r="E7319" s="98"/>
      <c r="F7319" s="99"/>
      <c r="G7319" s="100"/>
    </row>
    <row r="7320" spans="1:7" x14ac:dyDescent="0.25">
      <c r="A7320" s="97"/>
      <c r="B7320" s="37"/>
      <c r="C7320" s="98"/>
      <c r="D7320" s="98"/>
      <c r="E7320" s="98"/>
      <c r="F7320" s="99"/>
      <c r="G7320" s="100"/>
    </row>
    <row r="7321" spans="1:7" x14ac:dyDescent="0.25">
      <c r="A7321" s="97"/>
      <c r="B7321" s="37"/>
      <c r="C7321" s="98"/>
      <c r="D7321" s="98"/>
      <c r="E7321" s="98"/>
      <c r="F7321" s="99"/>
      <c r="G7321" s="100"/>
    </row>
    <row r="7322" spans="1:7" x14ac:dyDescent="0.25">
      <c r="A7322" s="97"/>
      <c r="B7322" s="37"/>
      <c r="C7322" s="98"/>
      <c r="D7322" s="98"/>
      <c r="E7322" s="98"/>
      <c r="F7322" s="99"/>
      <c r="G7322" s="100"/>
    </row>
    <row r="7323" spans="1:7" x14ac:dyDescent="0.25">
      <c r="A7323" s="97"/>
      <c r="B7323" s="37"/>
      <c r="C7323" s="98"/>
      <c r="D7323" s="98"/>
      <c r="E7323" s="98"/>
      <c r="F7323" s="99"/>
      <c r="G7323" s="100"/>
    </row>
    <row r="7324" spans="1:7" x14ac:dyDescent="0.25">
      <c r="A7324" s="97"/>
      <c r="B7324" s="37"/>
      <c r="C7324" s="98"/>
      <c r="D7324" s="98"/>
      <c r="E7324" s="98"/>
      <c r="F7324" s="99"/>
      <c r="G7324" s="100"/>
    </row>
    <row r="7325" spans="1:7" x14ac:dyDescent="0.25">
      <c r="A7325" s="97"/>
      <c r="B7325" s="37"/>
      <c r="C7325" s="98"/>
      <c r="D7325" s="98"/>
      <c r="E7325" s="98"/>
      <c r="F7325" s="99"/>
      <c r="G7325" s="100"/>
    </row>
    <row r="7326" spans="1:7" x14ac:dyDescent="0.25">
      <c r="A7326" s="97"/>
      <c r="B7326" s="37"/>
      <c r="C7326" s="98"/>
      <c r="D7326" s="98"/>
      <c r="E7326" s="98"/>
      <c r="F7326" s="99"/>
      <c r="G7326" s="100"/>
    </row>
    <row r="7327" spans="1:7" x14ac:dyDescent="0.25">
      <c r="A7327" s="97"/>
      <c r="B7327" s="37"/>
      <c r="C7327" s="98"/>
      <c r="D7327" s="98"/>
      <c r="E7327" s="98"/>
      <c r="F7327" s="99"/>
      <c r="G7327" s="100"/>
    </row>
    <row r="7328" spans="1:7" x14ac:dyDescent="0.25">
      <c r="A7328" s="97"/>
      <c r="B7328" s="37"/>
      <c r="C7328" s="98"/>
      <c r="D7328" s="98"/>
      <c r="E7328" s="98"/>
      <c r="F7328" s="99"/>
      <c r="G7328" s="100"/>
    </row>
    <row r="7329" spans="1:7" x14ac:dyDescent="0.25">
      <c r="A7329" s="97"/>
      <c r="B7329" s="37"/>
      <c r="C7329" s="98"/>
      <c r="D7329" s="98"/>
      <c r="E7329" s="98"/>
      <c r="F7329" s="99"/>
      <c r="G7329" s="100"/>
    </row>
    <row r="7330" spans="1:7" x14ac:dyDescent="0.25">
      <c r="A7330" s="97"/>
      <c r="B7330" s="37"/>
      <c r="C7330" s="98"/>
      <c r="D7330" s="98"/>
      <c r="E7330" s="98"/>
      <c r="F7330" s="99"/>
      <c r="G7330" s="100"/>
    </row>
    <row r="7331" spans="1:7" x14ac:dyDescent="0.25">
      <c r="A7331" s="97"/>
      <c r="B7331" s="37"/>
      <c r="C7331" s="98"/>
      <c r="D7331" s="98"/>
      <c r="E7331" s="98"/>
      <c r="F7331" s="99"/>
      <c r="G7331" s="100"/>
    </row>
    <row r="7332" spans="1:7" x14ac:dyDescent="0.25">
      <c r="A7332" s="97"/>
      <c r="B7332" s="37"/>
      <c r="C7332" s="98"/>
      <c r="D7332" s="98"/>
      <c r="E7332" s="98"/>
      <c r="F7332" s="99"/>
      <c r="G7332" s="100"/>
    </row>
    <row r="7333" spans="1:7" x14ac:dyDescent="0.25">
      <c r="A7333" s="97"/>
      <c r="B7333" s="37"/>
      <c r="C7333" s="98"/>
      <c r="D7333" s="98"/>
      <c r="E7333" s="98"/>
      <c r="F7333" s="99"/>
      <c r="G7333" s="100"/>
    </row>
    <row r="7334" spans="1:7" x14ac:dyDescent="0.25">
      <c r="A7334" s="97"/>
      <c r="B7334" s="37"/>
      <c r="C7334" s="98"/>
      <c r="D7334" s="98"/>
      <c r="E7334" s="98"/>
      <c r="F7334" s="99"/>
      <c r="G7334" s="100"/>
    </row>
    <row r="7335" spans="1:7" x14ac:dyDescent="0.25">
      <c r="A7335" s="97"/>
      <c r="B7335" s="37"/>
      <c r="C7335" s="98"/>
      <c r="D7335" s="98"/>
      <c r="E7335" s="98"/>
      <c r="F7335" s="99"/>
      <c r="G7335" s="100"/>
    </row>
    <row r="7336" spans="1:7" x14ac:dyDescent="0.25">
      <c r="A7336" s="97"/>
      <c r="B7336" s="37"/>
      <c r="C7336" s="98"/>
      <c r="D7336" s="98"/>
      <c r="E7336" s="98"/>
      <c r="F7336" s="99"/>
      <c r="G7336" s="100"/>
    </row>
    <row r="7337" spans="1:7" x14ac:dyDescent="0.25">
      <c r="A7337" s="97"/>
      <c r="B7337" s="37"/>
      <c r="C7337" s="98"/>
      <c r="D7337" s="98"/>
      <c r="E7337" s="98"/>
      <c r="F7337" s="99"/>
      <c r="G7337" s="100"/>
    </row>
    <row r="7338" spans="1:7" x14ac:dyDescent="0.25">
      <c r="A7338" s="97"/>
      <c r="B7338" s="37"/>
      <c r="C7338" s="98"/>
      <c r="D7338" s="98"/>
      <c r="E7338" s="98"/>
      <c r="F7338" s="99"/>
      <c r="G7338" s="100"/>
    </row>
    <row r="7339" spans="1:7" x14ac:dyDescent="0.25">
      <c r="A7339" s="97"/>
      <c r="B7339" s="37"/>
      <c r="C7339" s="98"/>
      <c r="D7339" s="98"/>
      <c r="E7339" s="98"/>
      <c r="F7339" s="99"/>
      <c r="G7339" s="100"/>
    </row>
    <row r="7340" spans="1:7" x14ac:dyDescent="0.25">
      <c r="A7340" s="97"/>
      <c r="B7340" s="37"/>
      <c r="C7340" s="98"/>
      <c r="D7340" s="98"/>
      <c r="E7340" s="98"/>
      <c r="F7340" s="99"/>
      <c r="G7340" s="100"/>
    </row>
    <row r="7341" spans="1:7" x14ac:dyDescent="0.25">
      <c r="A7341" s="97"/>
      <c r="B7341" s="37"/>
      <c r="C7341" s="98"/>
      <c r="D7341" s="98"/>
      <c r="E7341" s="98"/>
      <c r="F7341" s="99"/>
      <c r="G7341" s="100"/>
    </row>
    <row r="7342" spans="1:7" x14ac:dyDescent="0.25">
      <c r="A7342" s="97"/>
      <c r="B7342" s="37"/>
      <c r="C7342" s="98"/>
      <c r="D7342" s="98"/>
      <c r="E7342" s="98"/>
      <c r="F7342" s="99"/>
      <c r="G7342" s="100"/>
    </row>
    <row r="7343" spans="1:7" x14ac:dyDescent="0.25">
      <c r="A7343" s="97"/>
      <c r="B7343" s="37"/>
      <c r="C7343" s="98"/>
      <c r="D7343" s="98"/>
      <c r="E7343" s="98"/>
      <c r="F7343" s="99"/>
      <c r="G7343" s="100"/>
    </row>
    <row r="7344" spans="1:7" x14ac:dyDescent="0.25">
      <c r="A7344" s="97"/>
      <c r="B7344" s="37"/>
      <c r="C7344" s="98"/>
      <c r="D7344" s="98"/>
      <c r="E7344" s="98"/>
      <c r="F7344" s="99"/>
      <c r="G7344" s="100"/>
    </row>
    <row r="7345" spans="1:7" x14ac:dyDescent="0.25">
      <c r="A7345" s="97"/>
      <c r="B7345" s="37"/>
      <c r="C7345" s="98"/>
      <c r="D7345" s="98"/>
      <c r="E7345" s="98"/>
      <c r="F7345" s="99"/>
      <c r="G7345" s="100"/>
    </row>
    <row r="7346" spans="1:7" x14ac:dyDescent="0.25">
      <c r="A7346" s="97"/>
      <c r="B7346" s="37"/>
      <c r="C7346" s="98"/>
      <c r="D7346" s="98"/>
      <c r="E7346" s="98"/>
      <c r="F7346" s="99"/>
      <c r="G7346" s="100"/>
    </row>
    <row r="7347" spans="1:7" x14ac:dyDescent="0.25">
      <c r="A7347" s="97"/>
      <c r="B7347" s="37"/>
      <c r="C7347" s="98"/>
      <c r="D7347" s="98"/>
      <c r="E7347" s="98"/>
      <c r="F7347" s="99"/>
      <c r="G7347" s="100"/>
    </row>
    <row r="7348" spans="1:7" x14ac:dyDescent="0.25">
      <c r="A7348" s="97"/>
      <c r="B7348" s="37"/>
      <c r="C7348" s="98"/>
      <c r="D7348" s="98"/>
      <c r="E7348" s="98"/>
      <c r="F7348" s="99"/>
      <c r="G7348" s="100"/>
    </row>
    <row r="7349" spans="1:7" x14ac:dyDescent="0.25">
      <c r="A7349" s="97"/>
      <c r="B7349" s="37"/>
      <c r="C7349" s="98"/>
      <c r="D7349" s="98"/>
      <c r="E7349" s="98"/>
      <c r="F7349" s="99"/>
      <c r="G7349" s="100"/>
    </row>
    <row r="7350" spans="1:7" x14ac:dyDescent="0.25">
      <c r="A7350" s="97"/>
      <c r="B7350" s="37"/>
      <c r="C7350" s="98"/>
      <c r="D7350" s="98"/>
      <c r="E7350" s="98"/>
      <c r="F7350" s="99"/>
      <c r="G7350" s="100"/>
    </row>
    <row r="7351" spans="1:7" x14ac:dyDescent="0.25">
      <c r="A7351" s="97"/>
      <c r="B7351" s="37"/>
      <c r="C7351" s="98"/>
      <c r="D7351" s="98"/>
      <c r="E7351" s="98"/>
      <c r="F7351" s="99"/>
      <c r="G7351" s="100"/>
    </row>
    <row r="7352" spans="1:7" x14ac:dyDescent="0.25">
      <c r="A7352" s="97"/>
      <c r="B7352" s="37"/>
      <c r="C7352" s="98"/>
      <c r="D7352" s="98"/>
      <c r="E7352" s="98"/>
      <c r="F7352" s="99"/>
      <c r="G7352" s="100"/>
    </row>
    <row r="7353" spans="1:7" x14ac:dyDescent="0.25">
      <c r="A7353" s="97"/>
      <c r="B7353" s="37"/>
      <c r="C7353" s="98"/>
      <c r="D7353" s="98"/>
      <c r="E7353" s="98"/>
      <c r="F7353" s="99"/>
      <c r="G7353" s="100"/>
    </row>
    <row r="7354" spans="1:7" x14ac:dyDescent="0.25">
      <c r="A7354" s="97"/>
      <c r="B7354" s="37"/>
      <c r="C7354" s="98"/>
      <c r="D7354" s="98"/>
      <c r="E7354" s="98"/>
      <c r="F7354" s="99"/>
      <c r="G7354" s="100"/>
    </row>
    <row r="7355" spans="1:7" x14ac:dyDescent="0.25">
      <c r="A7355" s="97"/>
      <c r="B7355" s="37"/>
      <c r="C7355" s="98"/>
      <c r="D7355" s="98"/>
      <c r="E7355" s="98"/>
      <c r="F7355" s="99"/>
      <c r="G7355" s="100"/>
    </row>
    <row r="7356" spans="1:7" x14ac:dyDescent="0.25">
      <c r="A7356" s="97"/>
      <c r="B7356" s="37"/>
      <c r="C7356" s="98"/>
      <c r="D7356" s="98"/>
      <c r="E7356" s="98"/>
      <c r="F7356" s="99"/>
      <c r="G7356" s="100"/>
    </row>
    <row r="7357" spans="1:7" x14ac:dyDescent="0.25">
      <c r="A7357" s="97"/>
      <c r="B7357" s="37"/>
      <c r="C7357" s="98"/>
      <c r="D7357" s="98"/>
      <c r="E7357" s="98"/>
      <c r="F7357" s="99"/>
      <c r="G7357" s="100"/>
    </row>
    <row r="7358" spans="1:7" x14ac:dyDescent="0.25">
      <c r="A7358" s="97"/>
      <c r="B7358" s="37"/>
      <c r="C7358" s="98"/>
      <c r="D7358" s="98"/>
      <c r="E7358" s="98"/>
      <c r="F7358" s="99"/>
      <c r="G7358" s="100"/>
    </row>
    <row r="7359" spans="1:7" x14ac:dyDescent="0.25">
      <c r="A7359" s="97"/>
      <c r="B7359" s="37"/>
      <c r="C7359" s="98"/>
      <c r="D7359" s="98"/>
      <c r="E7359" s="98"/>
      <c r="F7359" s="99"/>
      <c r="G7359" s="100"/>
    </row>
    <row r="7360" spans="1:7" x14ac:dyDescent="0.25">
      <c r="A7360" s="97"/>
      <c r="B7360" s="94"/>
      <c r="C7360" s="98"/>
      <c r="D7360" s="98"/>
      <c r="E7360" s="98"/>
      <c r="F7360" s="99"/>
      <c r="G7360" s="100"/>
    </row>
    <row r="7361" spans="1:7" x14ac:dyDescent="0.25">
      <c r="A7361" s="97"/>
      <c r="B7361" s="37"/>
      <c r="C7361" s="98"/>
      <c r="D7361" s="98"/>
      <c r="E7361" s="98"/>
      <c r="F7361" s="99"/>
      <c r="G7361" s="100"/>
    </row>
    <row r="7362" spans="1:7" x14ac:dyDescent="0.25">
      <c r="A7362" s="97"/>
      <c r="B7362" s="37"/>
      <c r="C7362" s="98"/>
      <c r="D7362" s="98"/>
      <c r="E7362" s="98"/>
      <c r="F7362" s="99"/>
      <c r="G7362" s="100"/>
    </row>
    <row r="7363" spans="1:7" x14ac:dyDescent="0.25">
      <c r="A7363" s="97"/>
      <c r="B7363" s="37"/>
      <c r="C7363" s="98"/>
      <c r="D7363" s="98"/>
      <c r="E7363" s="98"/>
      <c r="F7363" s="99"/>
      <c r="G7363" s="100"/>
    </row>
    <row r="7364" spans="1:7" x14ac:dyDescent="0.25">
      <c r="A7364" s="97"/>
      <c r="B7364" s="37"/>
      <c r="C7364" s="98"/>
      <c r="D7364" s="98"/>
      <c r="E7364" s="98"/>
      <c r="F7364" s="99"/>
      <c r="G7364" s="100"/>
    </row>
    <row r="7365" spans="1:7" x14ac:dyDescent="0.25">
      <c r="A7365" s="97"/>
      <c r="B7365" s="37"/>
      <c r="C7365" s="98"/>
      <c r="D7365" s="98"/>
      <c r="E7365" s="98"/>
      <c r="F7365" s="99"/>
      <c r="G7365" s="100"/>
    </row>
    <row r="7366" spans="1:7" x14ac:dyDescent="0.25">
      <c r="A7366" s="97"/>
      <c r="B7366" s="37"/>
      <c r="C7366" s="98"/>
      <c r="D7366" s="98"/>
      <c r="E7366" s="98"/>
      <c r="F7366" s="99"/>
      <c r="G7366" s="100"/>
    </row>
    <row r="7367" spans="1:7" x14ac:dyDescent="0.25">
      <c r="A7367" s="97"/>
      <c r="B7367" s="37"/>
      <c r="C7367" s="98"/>
      <c r="D7367" s="98"/>
      <c r="E7367" s="98"/>
      <c r="F7367" s="99"/>
      <c r="G7367" s="100"/>
    </row>
    <row r="7368" spans="1:7" x14ac:dyDescent="0.25">
      <c r="A7368" s="97"/>
      <c r="B7368" s="37"/>
      <c r="C7368" s="98"/>
      <c r="D7368" s="98"/>
      <c r="E7368" s="98"/>
      <c r="F7368" s="99"/>
      <c r="G7368" s="100"/>
    </row>
    <row r="7369" spans="1:7" x14ac:dyDescent="0.25">
      <c r="A7369" s="97"/>
      <c r="B7369" s="94"/>
      <c r="C7369" s="98"/>
      <c r="D7369" s="98"/>
      <c r="E7369" s="98"/>
      <c r="F7369" s="99"/>
      <c r="G7369" s="100"/>
    </row>
    <row r="7370" spans="1:7" x14ac:dyDescent="0.25">
      <c r="A7370" s="97"/>
      <c r="B7370" s="36"/>
      <c r="C7370" s="98"/>
      <c r="D7370" s="98"/>
      <c r="E7370" s="98"/>
      <c r="F7370" s="99"/>
      <c r="G7370" s="100"/>
    </row>
    <row r="7371" spans="1:7" x14ac:dyDescent="0.25">
      <c r="A7371" s="97"/>
      <c r="B7371" s="36"/>
      <c r="C7371" s="98"/>
      <c r="D7371" s="98"/>
      <c r="E7371" s="98"/>
      <c r="F7371" s="99"/>
      <c r="G7371" s="100"/>
    </row>
    <row r="7372" spans="1:7" x14ac:dyDescent="0.25">
      <c r="A7372" s="97"/>
      <c r="B7372" s="36"/>
      <c r="C7372" s="98"/>
      <c r="D7372" s="98"/>
      <c r="E7372" s="98"/>
      <c r="F7372" s="99"/>
      <c r="G7372" s="100"/>
    </row>
    <row r="7373" spans="1:7" x14ac:dyDescent="0.25">
      <c r="A7373" s="97"/>
      <c r="B7373" s="68"/>
      <c r="C7373" s="109"/>
      <c r="D7373" s="109"/>
      <c r="E7373" s="109"/>
      <c r="F7373" s="99"/>
      <c r="G7373" s="100"/>
    </row>
    <row r="7374" spans="1:7" x14ac:dyDescent="0.25">
      <c r="A7374" s="97"/>
      <c r="B7374" s="37"/>
      <c r="C7374" s="109"/>
      <c r="D7374" s="109"/>
      <c r="E7374" s="109"/>
      <c r="F7374" s="99"/>
      <c r="G7374" s="100"/>
    </row>
    <row r="7375" spans="1:7" x14ac:dyDescent="0.25">
      <c r="A7375" s="97"/>
      <c r="B7375" s="37"/>
      <c r="C7375" s="109"/>
      <c r="D7375" s="109"/>
      <c r="E7375" s="109"/>
      <c r="F7375" s="99"/>
      <c r="G7375" s="100"/>
    </row>
    <row r="7376" spans="1:7" x14ac:dyDescent="0.25">
      <c r="A7376" s="97"/>
      <c r="B7376" s="37"/>
      <c r="C7376" s="109"/>
      <c r="D7376" s="109"/>
      <c r="E7376" s="109"/>
      <c r="F7376" s="99"/>
      <c r="G7376" s="100"/>
    </row>
    <row r="7377" spans="1:7" x14ac:dyDescent="0.25">
      <c r="A7377" s="97"/>
      <c r="B7377" s="37"/>
      <c r="C7377" s="109"/>
      <c r="D7377" s="109"/>
      <c r="E7377" s="109"/>
      <c r="F7377" s="99"/>
      <c r="G7377" s="100"/>
    </row>
    <row r="7378" spans="1:7" x14ac:dyDescent="0.25">
      <c r="A7378" s="97"/>
      <c r="B7378" s="37"/>
      <c r="C7378" s="109"/>
      <c r="D7378" s="109"/>
      <c r="E7378" s="109"/>
      <c r="F7378" s="99"/>
      <c r="G7378" s="100"/>
    </row>
    <row r="7379" spans="1:7" x14ac:dyDescent="0.25">
      <c r="A7379" s="97"/>
      <c r="B7379" s="37"/>
      <c r="C7379" s="109"/>
      <c r="D7379" s="109"/>
      <c r="E7379" s="109"/>
      <c r="F7379" s="99"/>
      <c r="G7379" s="100"/>
    </row>
    <row r="7380" spans="1:7" x14ac:dyDescent="0.25">
      <c r="A7380" s="97"/>
      <c r="B7380" s="37"/>
      <c r="C7380" s="109"/>
      <c r="D7380" s="109"/>
      <c r="E7380" s="109"/>
      <c r="F7380" s="99"/>
      <c r="G7380" s="100"/>
    </row>
    <row r="7381" spans="1:7" x14ac:dyDescent="0.25">
      <c r="A7381" s="97"/>
      <c r="B7381" s="37"/>
      <c r="C7381" s="109"/>
      <c r="D7381" s="109"/>
      <c r="E7381" s="109"/>
      <c r="F7381" s="99"/>
      <c r="G7381" s="100"/>
    </row>
    <row r="7382" spans="1:7" x14ac:dyDescent="0.25">
      <c r="A7382" s="97"/>
      <c r="B7382" s="37"/>
      <c r="C7382" s="109"/>
      <c r="D7382" s="109"/>
      <c r="E7382" s="109"/>
      <c r="F7382" s="99"/>
      <c r="G7382" s="100"/>
    </row>
    <row r="7383" spans="1:7" x14ac:dyDescent="0.25">
      <c r="A7383" s="97"/>
      <c r="B7383" s="37"/>
      <c r="C7383" s="109"/>
      <c r="D7383" s="109"/>
      <c r="E7383" s="109"/>
      <c r="F7383" s="99"/>
      <c r="G7383" s="100"/>
    </row>
    <row r="7384" spans="1:7" x14ac:dyDescent="0.25">
      <c r="A7384" s="97"/>
      <c r="B7384" s="37"/>
      <c r="C7384" s="109"/>
      <c r="D7384" s="109"/>
      <c r="E7384" s="109"/>
      <c r="F7384" s="99"/>
      <c r="G7384" s="100"/>
    </row>
    <row r="7385" spans="1:7" x14ac:dyDescent="0.25">
      <c r="A7385" s="97"/>
      <c r="B7385" s="37"/>
      <c r="C7385" s="109"/>
      <c r="D7385" s="109"/>
      <c r="E7385" s="109"/>
      <c r="F7385" s="99"/>
      <c r="G7385" s="100"/>
    </row>
    <row r="7386" spans="1:7" x14ac:dyDescent="0.25">
      <c r="A7386" s="97"/>
      <c r="B7386" s="37"/>
      <c r="C7386" s="109"/>
      <c r="D7386" s="109"/>
      <c r="E7386" s="109"/>
      <c r="F7386" s="99"/>
      <c r="G7386" s="100"/>
    </row>
    <row r="7387" spans="1:7" x14ac:dyDescent="0.25">
      <c r="A7387" s="97"/>
      <c r="B7387" s="37"/>
      <c r="C7387" s="109"/>
      <c r="D7387" s="109"/>
      <c r="E7387" s="109"/>
      <c r="F7387" s="99"/>
      <c r="G7387" s="100"/>
    </row>
    <row r="7388" spans="1:7" x14ac:dyDescent="0.25">
      <c r="A7388" s="101"/>
      <c r="B7388" s="36"/>
      <c r="C7388" s="109"/>
      <c r="D7388" s="109"/>
      <c r="E7388" s="109"/>
      <c r="F7388" s="102"/>
      <c r="G7388" s="103"/>
    </row>
    <row r="7389" spans="1:7" x14ac:dyDescent="0.25">
      <c r="A7389" s="101"/>
      <c r="B7389" s="36"/>
      <c r="C7389" s="109"/>
      <c r="D7389" s="109"/>
      <c r="E7389" s="109"/>
      <c r="F7389" s="102"/>
      <c r="G7389" s="103"/>
    </row>
    <row r="7390" spans="1:7" x14ac:dyDescent="0.25">
      <c r="A7390" s="101"/>
      <c r="B7390" s="36"/>
      <c r="C7390" s="109"/>
      <c r="D7390" s="109"/>
      <c r="E7390" s="109"/>
      <c r="F7390" s="102"/>
      <c r="G7390" s="103"/>
    </row>
    <row r="7391" spans="1:7" x14ac:dyDescent="0.25">
      <c r="A7391" s="101"/>
      <c r="B7391" s="36"/>
      <c r="C7391" s="109"/>
      <c r="D7391" s="109"/>
      <c r="E7391" s="109"/>
      <c r="F7391" s="102"/>
      <c r="G7391" s="103"/>
    </row>
    <row r="7392" spans="1:7" x14ac:dyDescent="0.25">
      <c r="A7392" s="101"/>
      <c r="B7392" s="36"/>
      <c r="C7392" s="109"/>
      <c r="D7392" s="109"/>
      <c r="E7392" s="109"/>
      <c r="F7392" s="102"/>
      <c r="G7392" s="103"/>
    </row>
    <row r="7393" spans="1:7" x14ac:dyDescent="0.25">
      <c r="A7393" s="101"/>
      <c r="B7393" s="36"/>
      <c r="C7393" s="109"/>
      <c r="D7393" s="109"/>
      <c r="E7393" s="109"/>
      <c r="F7393" s="102"/>
      <c r="G7393" s="103"/>
    </row>
    <row r="7394" spans="1:7" x14ac:dyDescent="0.25">
      <c r="A7394" s="101"/>
      <c r="B7394" s="36"/>
      <c r="C7394" s="109"/>
      <c r="D7394" s="109"/>
      <c r="E7394" s="109"/>
      <c r="F7394" s="102"/>
      <c r="G7394" s="103"/>
    </row>
    <row r="7395" spans="1:7" x14ac:dyDescent="0.25">
      <c r="A7395" s="101"/>
      <c r="B7395" s="36"/>
      <c r="C7395" s="109"/>
      <c r="D7395" s="109"/>
      <c r="E7395" s="109"/>
      <c r="F7395" s="102"/>
      <c r="G7395" s="103"/>
    </row>
    <row r="7396" spans="1:7" x14ac:dyDescent="0.25">
      <c r="A7396" s="101"/>
      <c r="B7396" s="36"/>
      <c r="C7396" s="109"/>
      <c r="D7396" s="109"/>
      <c r="E7396" s="109"/>
      <c r="F7396" s="102"/>
      <c r="G7396" s="103"/>
    </row>
    <row r="7397" spans="1:7" x14ac:dyDescent="0.25">
      <c r="A7397" s="101"/>
      <c r="B7397" s="36"/>
      <c r="C7397" s="109"/>
      <c r="D7397" s="109"/>
      <c r="E7397" s="109"/>
      <c r="F7397" s="102"/>
      <c r="G7397" s="103"/>
    </row>
    <row r="7398" spans="1:7" x14ac:dyDescent="0.25">
      <c r="A7398" s="101"/>
      <c r="B7398" s="36"/>
      <c r="C7398" s="109"/>
      <c r="D7398" s="109"/>
      <c r="E7398" s="109"/>
      <c r="F7398" s="102"/>
      <c r="G7398" s="103"/>
    </row>
    <row r="7399" spans="1:7" x14ac:dyDescent="0.25">
      <c r="A7399" s="101"/>
      <c r="B7399" s="36"/>
      <c r="C7399" s="109"/>
      <c r="D7399" s="109"/>
      <c r="E7399" s="109"/>
      <c r="F7399" s="102"/>
      <c r="G7399" s="103"/>
    </row>
    <row r="7400" spans="1:7" x14ac:dyDescent="0.25">
      <c r="A7400" s="101"/>
      <c r="B7400" s="36"/>
      <c r="C7400" s="109"/>
      <c r="D7400" s="109"/>
      <c r="E7400" s="109"/>
      <c r="F7400" s="102"/>
      <c r="G7400" s="103"/>
    </row>
    <row r="7401" spans="1:7" x14ac:dyDescent="0.25">
      <c r="A7401" s="101"/>
      <c r="B7401" s="36"/>
      <c r="C7401" s="109"/>
      <c r="D7401" s="109"/>
      <c r="E7401" s="109"/>
      <c r="F7401" s="102"/>
      <c r="G7401" s="103"/>
    </row>
    <row r="7402" spans="1:7" x14ac:dyDescent="0.25">
      <c r="A7402" s="101"/>
      <c r="B7402" s="36"/>
      <c r="C7402" s="109"/>
      <c r="D7402" s="109"/>
      <c r="E7402" s="109"/>
      <c r="F7402" s="102"/>
      <c r="G7402" s="103"/>
    </row>
    <row r="7403" spans="1:7" x14ac:dyDescent="0.25">
      <c r="A7403" s="101"/>
      <c r="B7403" s="36"/>
      <c r="C7403" s="109"/>
      <c r="D7403" s="109"/>
      <c r="E7403" s="109"/>
      <c r="F7403" s="102"/>
      <c r="G7403" s="103"/>
    </row>
    <row r="7404" spans="1:7" x14ac:dyDescent="0.25">
      <c r="A7404" s="101"/>
      <c r="B7404" s="36"/>
      <c r="C7404" s="109"/>
      <c r="D7404" s="109"/>
      <c r="E7404" s="109"/>
      <c r="F7404" s="102"/>
      <c r="G7404" s="103"/>
    </row>
    <row r="7405" spans="1:7" x14ac:dyDescent="0.25">
      <c r="A7405" s="101"/>
      <c r="B7405" s="36"/>
      <c r="C7405" s="109"/>
      <c r="D7405" s="109"/>
      <c r="E7405" s="109"/>
      <c r="F7405" s="102"/>
      <c r="G7405" s="103"/>
    </row>
    <row r="7406" spans="1:7" x14ac:dyDescent="0.25">
      <c r="A7406" s="101"/>
      <c r="B7406" s="36"/>
      <c r="C7406" s="109"/>
      <c r="D7406" s="109"/>
      <c r="E7406" s="109"/>
      <c r="F7406" s="102"/>
      <c r="G7406" s="103"/>
    </row>
    <row r="7407" spans="1:7" x14ac:dyDescent="0.25">
      <c r="A7407" s="101"/>
      <c r="B7407" s="36"/>
      <c r="C7407" s="109"/>
      <c r="D7407" s="109"/>
      <c r="E7407" s="109"/>
      <c r="F7407" s="102"/>
      <c r="G7407" s="103"/>
    </row>
    <row r="7408" spans="1:7" x14ac:dyDescent="0.25">
      <c r="A7408" s="101"/>
      <c r="B7408" s="36"/>
      <c r="C7408" s="109"/>
      <c r="D7408" s="109"/>
      <c r="E7408" s="109"/>
      <c r="F7408" s="102"/>
      <c r="G7408" s="103"/>
    </row>
    <row r="7409" spans="1:7" x14ac:dyDescent="0.25">
      <c r="A7409" s="101"/>
      <c r="B7409" s="36"/>
      <c r="C7409" s="98"/>
      <c r="D7409" s="98"/>
      <c r="E7409" s="98"/>
      <c r="F7409" s="102"/>
      <c r="G7409" s="103"/>
    </row>
    <row r="7410" spans="1:7" x14ac:dyDescent="0.25">
      <c r="A7410" s="101"/>
      <c r="B7410" s="36"/>
      <c r="C7410" s="98"/>
      <c r="D7410" s="98"/>
      <c r="E7410" s="98"/>
      <c r="F7410" s="102"/>
      <c r="G7410" s="103"/>
    </row>
    <row r="7411" spans="1:7" x14ac:dyDescent="0.25">
      <c r="A7411" s="101"/>
      <c r="B7411" s="36"/>
      <c r="C7411" s="109"/>
      <c r="D7411" s="109"/>
      <c r="E7411" s="109"/>
      <c r="F7411" s="102"/>
      <c r="G7411" s="103"/>
    </row>
    <row r="7412" spans="1:7" x14ac:dyDescent="0.25">
      <c r="A7412" s="101"/>
      <c r="B7412" s="36"/>
      <c r="C7412" s="109"/>
      <c r="D7412" s="109"/>
      <c r="E7412" s="109"/>
      <c r="F7412" s="102"/>
      <c r="G7412" s="103"/>
    </row>
    <row r="7413" spans="1:7" x14ac:dyDescent="0.25">
      <c r="A7413" s="101"/>
      <c r="B7413" s="36"/>
      <c r="C7413" s="109"/>
      <c r="D7413" s="109"/>
      <c r="E7413" s="109"/>
      <c r="F7413" s="102"/>
      <c r="G7413" s="103"/>
    </row>
    <row r="7414" spans="1:7" x14ac:dyDescent="0.25">
      <c r="A7414" s="101"/>
      <c r="B7414" s="36"/>
      <c r="C7414" s="109"/>
      <c r="D7414" s="109"/>
      <c r="E7414" s="109"/>
      <c r="F7414" s="102"/>
      <c r="G7414" s="103"/>
    </row>
    <row r="7415" spans="1:7" x14ac:dyDescent="0.25">
      <c r="A7415" s="101"/>
      <c r="B7415" s="36"/>
      <c r="C7415" s="109"/>
      <c r="D7415" s="109"/>
      <c r="E7415" s="109"/>
      <c r="F7415" s="102"/>
      <c r="G7415" s="103"/>
    </row>
    <row r="7416" spans="1:7" x14ac:dyDescent="0.25">
      <c r="A7416" s="101"/>
      <c r="B7416" s="36"/>
      <c r="C7416" s="109"/>
      <c r="D7416" s="109"/>
      <c r="E7416" s="109"/>
      <c r="F7416" s="102"/>
      <c r="G7416" s="103"/>
    </row>
    <row r="7417" spans="1:7" x14ac:dyDescent="0.25">
      <c r="A7417" s="101"/>
      <c r="B7417" s="36"/>
      <c r="C7417" s="109"/>
      <c r="D7417" s="109"/>
      <c r="E7417" s="109"/>
      <c r="F7417" s="102"/>
      <c r="G7417" s="103"/>
    </row>
    <row r="7418" spans="1:7" x14ac:dyDescent="0.25">
      <c r="A7418" s="101"/>
      <c r="B7418" s="36"/>
      <c r="C7418" s="109"/>
      <c r="D7418" s="109"/>
      <c r="E7418" s="109"/>
      <c r="F7418" s="102"/>
      <c r="G7418" s="103"/>
    </row>
    <row r="7419" spans="1:7" x14ac:dyDescent="0.25">
      <c r="A7419" s="101"/>
      <c r="B7419" s="36"/>
      <c r="C7419" s="109"/>
      <c r="D7419" s="109"/>
      <c r="E7419" s="109"/>
      <c r="F7419" s="102"/>
      <c r="G7419" s="103"/>
    </row>
    <row r="7420" spans="1:7" x14ac:dyDescent="0.25">
      <c r="A7420" s="101"/>
      <c r="B7420" s="36"/>
      <c r="C7420" s="109"/>
      <c r="D7420" s="109"/>
      <c r="E7420" s="109"/>
      <c r="F7420" s="102"/>
      <c r="G7420" s="103"/>
    </row>
    <row r="7421" spans="1:7" x14ac:dyDescent="0.25">
      <c r="A7421" s="101"/>
      <c r="B7421" s="36"/>
      <c r="C7421" s="109"/>
      <c r="D7421" s="109"/>
      <c r="E7421" s="109"/>
      <c r="F7421" s="102"/>
      <c r="G7421" s="103"/>
    </row>
    <row r="7422" spans="1:7" x14ac:dyDescent="0.25">
      <c r="A7422" s="101"/>
      <c r="B7422" s="36"/>
      <c r="C7422" s="109"/>
      <c r="D7422" s="109"/>
      <c r="E7422" s="109"/>
      <c r="F7422" s="102"/>
      <c r="G7422" s="103"/>
    </row>
    <row r="7423" spans="1:7" x14ac:dyDescent="0.25">
      <c r="A7423" s="101"/>
      <c r="B7423" s="36"/>
      <c r="C7423" s="109"/>
      <c r="D7423" s="109"/>
      <c r="E7423" s="109"/>
      <c r="F7423" s="102"/>
      <c r="G7423" s="103"/>
    </row>
    <row r="7424" spans="1:7" x14ac:dyDescent="0.25">
      <c r="A7424" s="101"/>
      <c r="B7424" s="36"/>
      <c r="C7424" s="109"/>
      <c r="D7424" s="109"/>
      <c r="E7424" s="109"/>
      <c r="F7424" s="102"/>
      <c r="G7424" s="103"/>
    </row>
    <row r="7425" spans="1:7" x14ac:dyDescent="0.25">
      <c r="A7425" s="101"/>
      <c r="B7425" s="36"/>
      <c r="C7425" s="98"/>
      <c r="D7425" s="98"/>
      <c r="E7425" s="98"/>
      <c r="F7425" s="102"/>
      <c r="G7425" s="103"/>
    </row>
    <row r="7426" spans="1:7" x14ac:dyDescent="0.25">
      <c r="A7426" s="101"/>
      <c r="B7426" s="36"/>
      <c r="C7426" s="98"/>
      <c r="D7426" s="98"/>
      <c r="E7426" s="98"/>
      <c r="F7426" s="102"/>
      <c r="G7426" s="103"/>
    </row>
    <row r="7427" spans="1:7" x14ac:dyDescent="0.25">
      <c r="A7427" s="101"/>
      <c r="B7427" s="36"/>
      <c r="C7427" s="98"/>
      <c r="D7427" s="98"/>
      <c r="E7427" s="98"/>
      <c r="F7427" s="102"/>
      <c r="G7427" s="103"/>
    </row>
    <row r="7428" spans="1:7" x14ac:dyDescent="0.25">
      <c r="A7428" s="101"/>
      <c r="B7428" s="36"/>
      <c r="C7428" s="98"/>
      <c r="D7428" s="98"/>
      <c r="E7428" s="98"/>
      <c r="F7428" s="102"/>
      <c r="G7428" s="103"/>
    </row>
    <row r="7429" spans="1:7" x14ac:dyDescent="0.25">
      <c r="A7429" s="101"/>
      <c r="B7429" s="36"/>
      <c r="C7429" s="98"/>
      <c r="D7429" s="98"/>
      <c r="E7429" s="98"/>
      <c r="F7429" s="102"/>
      <c r="G7429" s="103"/>
    </row>
    <row r="7430" spans="1:7" x14ac:dyDescent="0.25">
      <c r="A7430" s="101"/>
      <c r="B7430" s="36"/>
      <c r="C7430" s="98"/>
      <c r="D7430" s="98"/>
      <c r="E7430" s="98"/>
      <c r="F7430" s="102"/>
      <c r="G7430" s="103"/>
    </row>
    <row r="7431" spans="1:7" x14ac:dyDescent="0.25">
      <c r="A7431" s="101"/>
      <c r="B7431" s="36"/>
      <c r="C7431" s="98"/>
      <c r="D7431" s="98"/>
      <c r="E7431" s="98"/>
      <c r="F7431" s="102"/>
      <c r="G7431" s="103"/>
    </row>
    <row r="7432" spans="1:7" x14ac:dyDescent="0.25">
      <c r="A7432" s="101"/>
      <c r="B7432" s="36"/>
      <c r="C7432" s="98"/>
      <c r="D7432" s="98"/>
      <c r="E7432" s="98"/>
      <c r="F7432" s="102"/>
      <c r="G7432" s="103"/>
    </row>
    <row r="7433" spans="1:7" x14ac:dyDescent="0.25">
      <c r="A7433" s="101"/>
      <c r="B7433" s="36"/>
      <c r="C7433" s="98"/>
      <c r="D7433" s="98"/>
      <c r="E7433" s="98"/>
      <c r="F7433" s="102"/>
      <c r="G7433" s="103"/>
    </row>
    <row r="7434" spans="1:7" x14ac:dyDescent="0.25">
      <c r="A7434" s="101"/>
      <c r="B7434" s="36"/>
      <c r="C7434" s="98"/>
      <c r="D7434" s="98"/>
      <c r="E7434" s="98"/>
      <c r="F7434" s="102"/>
      <c r="G7434" s="103"/>
    </row>
    <row r="7435" spans="1:7" x14ac:dyDescent="0.25">
      <c r="A7435" s="101"/>
      <c r="B7435" s="36"/>
      <c r="C7435" s="98"/>
      <c r="D7435" s="98"/>
      <c r="E7435" s="98"/>
      <c r="F7435" s="102"/>
      <c r="G7435" s="103"/>
    </row>
    <row r="7436" spans="1:7" x14ac:dyDescent="0.25">
      <c r="A7436" s="101"/>
      <c r="B7436" s="36"/>
      <c r="C7436" s="98"/>
      <c r="D7436" s="98"/>
      <c r="E7436" s="98"/>
      <c r="F7436" s="102"/>
      <c r="G7436" s="103"/>
    </row>
    <row r="7437" spans="1:7" x14ac:dyDescent="0.25">
      <c r="A7437" s="101"/>
      <c r="B7437" s="36"/>
      <c r="C7437" s="98"/>
      <c r="D7437" s="98"/>
      <c r="E7437" s="98"/>
      <c r="F7437" s="102"/>
      <c r="G7437" s="103"/>
    </row>
    <row r="7438" spans="1:7" x14ac:dyDescent="0.25">
      <c r="A7438" s="101"/>
      <c r="B7438" s="36"/>
      <c r="C7438" s="98"/>
      <c r="D7438" s="98"/>
      <c r="E7438" s="98"/>
      <c r="F7438" s="102"/>
      <c r="G7438" s="103"/>
    </row>
    <row r="7439" spans="1:7" x14ac:dyDescent="0.25">
      <c r="A7439" s="101"/>
      <c r="B7439" s="36"/>
      <c r="C7439" s="98"/>
      <c r="D7439" s="98"/>
      <c r="E7439" s="98"/>
      <c r="F7439" s="102"/>
      <c r="G7439" s="103"/>
    </row>
    <row r="7440" spans="1:7" x14ac:dyDescent="0.25">
      <c r="A7440" s="101"/>
      <c r="B7440" s="36"/>
      <c r="C7440" s="98"/>
      <c r="D7440" s="98"/>
      <c r="E7440" s="98"/>
      <c r="F7440" s="102"/>
      <c r="G7440" s="103"/>
    </row>
    <row r="7441" spans="1:7" x14ac:dyDescent="0.25">
      <c r="A7441" s="101"/>
      <c r="B7441" s="36"/>
      <c r="C7441" s="98"/>
      <c r="D7441" s="98"/>
      <c r="E7441" s="98"/>
      <c r="F7441" s="102"/>
      <c r="G7441" s="103"/>
    </row>
    <row r="7442" spans="1:7" x14ac:dyDescent="0.25">
      <c r="A7442" s="101"/>
      <c r="B7442" s="36"/>
      <c r="C7442" s="98"/>
      <c r="D7442" s="98"/>
      <c r="E7442" s="98"/>
      <c r="F7442" s="102"/>
      <c r="G7442" s="103"/>
    </row>
    <row r="7443" spans="1:7" x14ac:dyDescent="0.25">
      <c r="A7443" s="101"/>
      <c r="B7443" s="36"/>
      <c r="C7443" s="98"/>
      <c r="D7443" s="98"/>
      <c r="E7443" s="98"/>
      <c r="F7443" s="102"/>
      <c r="G7443" s="103"/>
    </row>
    <row r="7444" spans="1:7" x14ac:dyDescent="0.25">
      <c r="A7444" s="97"/>
      <c r="B7444" s="37"/>
      <c r="C7444" s="107"/>
      <c r="D7444" s="107"/>
      <c r="E7444" s="107"/>
      <c r="F7444" s="99"/>
      <c r="G7444" s="100"/>
    </row>
    <row r="7445" spans="1:7" x14ac:dyDescent="0.25">
      <c r="A7445" s="97"/>
      <c r="B7445" s="37"/>
      <c r="C7445" s="107"/>
      <c r="D7445" s="107"/>
      <c r="E7445" s="107"/>
      <c r="F7445" s="99"/>
      <c r="G7445" s="100"/>
    </row>
    <row r="7446" spans="1:7" x14ac:dyDescent="0.25">
      <c r="A7446" s="97"/>
      <c r="B7446" s="37"/>
      <c r="C7446" s="107"/>
      <c r="D7446" s="107"/>
      <c r="E7446" s="107"/>
      <c r="F7446" s="99"/>
      <c r="G7446" s="100"/>
    </row>
    <row r="7447" spans="1:7" x14ac:dyDescent="0.25">
      <c r="A7447" s="97"/>
      <c r="B7447" s="37"/>
      <c r="C7447" s="107"/>
      <c r="D7447" s="107"/>
      <c r="E7447" s="107"/>
      <c r="F7447" s="99"/>
      <c r="G7447" s="100"/>
    </row>
    <row r="7448" spans="1:7" x14ac:dyDescent="0.25">
      <c r="A7448" s="97"/>
      <c r="B7448" s="37"/>
      <c r="C7448" s="107"/>
      <c r="D7448" s="107"/>
      <c r="E7448" s="107"/>
      <c r="F7448" s="99"/>
      <c r="G7448" s="100"/>
    </row>
    <row r="7449" spans="1:7" x14ac:dyDescent="0.25">
      <c r="A7449" s="97"/>
      <c r="B7449" s="37"/>
      <c r="C7449" s="107"/>
      <c r="D7449" s="107"/>
      <c r="E7449" s="107"/>
      <c r="F7449" s="99"/>
      <c r="G7449" s="100"/>
    </row>
    <row r="7450" spans="1:7" x14ac:dyDescent="0.25">
      <c r="A7450" s="97"/>
      <c r="B7450" s="37"/>
      <c r="C7450" s="107"/>
      <c r="D7450" s="107"/>
      <c r="E7450" s="107"/>
      <c r="F7450" s="99"/>
      <c r="G7450" s="100"/>
    </row>
    <row r="7451" spans="1:7" x14ac:dyDescent="0.25">
      <c r="A7451" s="97"/>
      <c r="B7451" s="37"/>
      <c r="C7451" s="107"/>
      <c r="D7451" s="107"/>
      <c r="E7451" s="107"/>
      <c r="F7451" s="99"/>
      <c r="G7451" s="100"/>
    </row>
    <row r="7452" spans="1:7" x14ac:dyDescent="0.25">
      <c r="A7452" s="97"/>
      <c r="B7452" s="37"/>
      <c r="C7452" s="107"/>
      <c r="D7452" s="107"/>
      <c r="E7452" s="107"/>
      <c r="F7452" s="99"/>
      <c r="G7452" s="100"/>
    </row>
    <row r="7453" spans="1:7" x14ac:dyDescent="0.25">
      <c r="A7453" s="97"/>
      <c r="B7453" s="37"/>
      <c r="C7453" s="107"/>
      <c r="D7453" s="107"/>
      <c r="E7453" s="107"/>
      <c r="F7453" s="99"/>
      <c r="G7453" s="100"/>
    </row>
    <row r="7454" spans="1:7" x14ac:dyDescent="0.25">
      <c r="A7454" s="97"/>
      <c r="B7454" s="37"/>
      <c r="C7454" s="113"/>
      <c r="D7454" s="113"/>
      <c r="E7454" s="113"/>
      <c r="F7454" s="99"/>
      <c r="G7454" s="100"/>
    </row>
    <row r="7455" spans="1:7" x14ac:dyDescent="0.25">
      <c r="A7455" s="97"/>
      <c r="B7455" s="37"/>
      <c r="C7455" s="113"/>
      <c r="D7455" s="113"/>
      <c r="E7455" s="113"/>
      <c r="F7455" s="99"/>
      <c r="G7455" s="100"/>
    </row>
    <row r="7456" spans="1:7" x14ac:dyDescent="0.25">
      <c r="A7456" s="97"/>
      <c r="B7456" s="37"/>
      <c r="C7456" s="113"/>
      <c r="D7456" s="113"/>
      <c r="E7456" s="113"/>
      <c r="F7456" s="99"/>
      <c r="G7456" s="100"/>
    </row>
    <row r="7457" spans="1:7" x14ac:dyDescent="0.25">
      <c r="A7457" s="97"/>
      <c r="B7457" s="37"/>
      <c r="C7457" s="113"/>
      <c r="D7457" s="113"/>
      <c r="E7457" s="113"/>
      <c r="F7457" s="99"/>
      <c r="G7457" s="100"/>
    </row>
    <row r="7458" spans="1:7" x14ac:dyDescent="0.25">
      <c r="A7458" s="97"/>
      <c r="B7458" s="37"/>
      <c r="C7458" s="113"/>
      <c r="D7458" s="113"/>
      <c r="E7458" s="113"/>
      <c r="F7458" s="99"/>
      <c r="G7458" s="100"/>
    </row>
    <row r="7459" spans="1:7" x14ac:dyDescent="0.25">
      <c r="A7459" s="97"/>
      <c r="B7459" s="37"/>
      <c r="C7459" s="113"/>
      <c r="D7459" s="113"/>
      <c r="E7459" s="113"/>
      <c r="F7459" s="99"/>
      <c r="G7459" s="100"/>
    </row>
    <row r="7460" spans="1:7" x14ac:dyDescent="0.25">
      <c r="A7460" s="97"/>
      <c r="B7460" s="37"/>
      <c r="C7460" s="113"/>
      <c r="D7460" s="113"/>
      <c r="E7460" s="113"/>
      <c r="F7460" s="99"/>
      <c r="G7460" s="100"/>
    </row>
    <row r="7461" spans="1:7" x14ac:dyDescent="0.25">
      <c r="A7461" s="97"/>
      <c r="B7461" s="37"/>
      <c r="C7461" s="113"/>
      <c r="D7461" s="113"/>
      <c r="E7461" s="113"/>
      <c r="F7461" s="99"/>
      <c r="G7461" s="100"/>
    </row>
    <row r="7462" spans="1:7" x14ac:dyDescent="0.25">
      <c r="A7462" s="97"/>
      <c r="B7462" s="37"/>
      <c r="C7462" s="113"/>
      <c r="D7462" s="113"/>
      <c r="E7462" s="113"/>
      <c r="F7462" s="99"/>
      <c r="G7462" s="100"/>
    </row>
    <row r="7463" spans="1:7" x14ac:dyDescent="0.25">
      <c r="A7463" s="97"/>
      <c r="B7463" s="37"/>
      <c r="C7463" s="113"/>
      <c r="D7463" s="113"/>
      <c r="E7463" s="113"/>
      <c r="F7463" s="99"/>
      <c r="G7463" s="100"/>
    </row>
    <row r="7464" spans="1:7" x14ac:dyDescent="0.25">
      <c r="A7464" s="97"/>
      <c r="B7464" s="37"/>
      <c r="C7464" s="113"/>
      <c r="D7464" s="113"/>
      <c r="E7464" s="113"/>
      <c r="F7464" s="99"/>
      <c r="G7464" s="100"/>
    </row>
    <row r="7465" spans="1:7" x14ac:dyDescent="0.25">
      <c r="A7465" s="97"/>
      <c r="B7465" s="37"/>
      <c r="C7465" s="113"/>
      <c r="D7465" s="113"/>
      <c r="E7465" s="113"/>
      <c r="F7465" s="99"/>
      <c r="G7465" s="100"/>
    </row>
    <row r="7466" spans="1:7" x14ac:dyDescent="0.25">
      <c r="A7466" s="97"/>
      <c r="B7466" s="37"/>
      <c r="C7466" s="113"/>
      <c r="D7466" s="113"/>
      <c r="E7466" s="113"/>
      <c r="F7466" s="99"/>
      <c r="G7466" s="100"/>
    </row>
    <row r="7467" spans="1:7" x14ac:dyDescent="0.25">
      <c r="A7467" s="97"/>
      <c r="B7467" s="37"/>
      <c r="C7467" s="113"/>
      <c r="D7467" s="113"/>
      <c r="E7467" s="113"/>
      <c r="F7467" s="99"/>
      <c r="G7467" s="100"/>
    </row>
    <row r="7468" spans="1:7" x14ac:dyDescent="0.25">
      <c r="A7468" s="97"/>
      <c r="B7468" s="37"/>
      <c r="C7468" s="107"/>
      <c r="D7468" s="107"/>
      <c r="E7468" s="107"/>
      <c r="F7468" s="99"/>
      <c r="G7468" s="100"/>
    </row>
    <row r="7469" spans="1:7" x14ac:dyDescent="0.25">
      <c r="A7469" s="97"/>
      <c r="B7469" s="37"/>
      <c r="C7469" s="107"/>
      <c r="D7469" s="107"/>
      <c r="E7469" s="107"/>
      <c r="F7469" s="99"/>
      <c r="G7469" s="100"/>
    </row>
    <row r="7470" spans="1:7" x14ac:dyDescent="0.25">
      <c r="A7470" s="97"/>
      <c r="B7470" s="37"/>
      <c r="C7470" s="107"/>
      <c r="D7470" s="107"/>
      <c r="E7470" s="107"/>
      <c r="F7470" s="99"/>
      <c r="G7470" s="100"/>
    </row>
    <row r="7471" spans="1:7" x14ac:dyDescent="0.25">
      <c r="A7471" s="97"/>
      <c r="B7471" s="37"/>
      <c r="C7471" s="113"/>
      <c r="D7471" s="113"/>
      <c r="E7471" s="113"/>
      <c r="F7471" s="99"/>
      <c r="G7471" s="100"/>
    </row>
    <row r="7472" spans="1:7" x14ac:dyDescent="0.25">
      <c r="A7472" s="97"/>
      <c r="B7472" s="37"/>
      <c r="C7472" s="113"/>
      <c r="D7472" s="113"/>
      <c r="E7472" s="113"/>
      <c r="F7472" s="99"/>
      <c r="G7472" s="100"/>
    </row>
    <row r="7473" spans="1:7" x14ac:dyDescent="0.25">
      <c r="A7473" s="97"/>
      <c r="B7473" s="37"/>
      <c r="C7473" s="113"/>
      <c r="D7473" s="113"/>
      <c r="E7473" s="113"/>
      <c r="F7473" s="99"/>
      <c r="G7473" s="100"/>
    </row>
    <row r="7474" spans="1:7" x14ac:dyDescent="0.25">
      <c r="A7474" s="97"/>
      <c r="B7474" s="37"/>
      <c r="C7474" s="113"/>
      <c r="D7474" s="113"/>
      <c r="E7474" s="113"/>
      <c r="F7474" s="99"/>
      <c r="G7474" s="100"/>
    </row>
    <row r="7475" spans="1:7" x14ac:dyDescent="0.25">
      <c r="A7475" s="97"/>
      <c r="B7475" s="37"/>
      <c r="C7475" s="113"/>
      <c r="D7475" s="113"/>
      <c r="E7475" s="113"/>
      <c r="F7475" s="99"/>
      <c r="G7475" s="100"/>
    </row>
    <row r="7476" spans="1:7" x14ac:dyDescent="0.25">
      <c r="A7476" s="97"/>
      <c r="B7476" s="37"/>
      <c r="C7476" s="113"/>
      <c r="D7476" s="113"/>
      <c r="E7476" s="113"/>
      <c r="F7476" s="99"/>
      <c r="G7476" s="100"/>
    </row>
    <row r="7477" spans="1:7" x14ac:dyDescent="0.25">
      <c r="A7477" s="97"/>
      <c r="B7477" s="37"/>
      <c r="C7477" s="113"/>
      <c r="D7477" s="113"/>
      <c r="E7477" s="113"/>
      <c r="F7477" s="99"/>
      <c r="G7477" s="100"/>
    </row>
    <row r="7478" spans="1:7" x14ac:dyDescent="0.25">
      <c r="A7478" s="97"/>
      <c r="B7478" s="37"/>
      <c r="C7478" s="113"/>
      <c r="D7478" s="113"/>
      <c r="E7478" s="113"/>
      <c r="F7478" s="99"/>
      <c r="G7478" s="100"/>
    </row>
    <row r="7479" spans="1:7" x14ac:dyDescent="0.25">
      <c r="A7479" s="97"/>
      <c r="B7479" s="37"/>
      <c r="C7479" s="113"/>
      <c r="D7479" s="113"/>
      <c r="E7479" s="113"/>
      <c r="F7479" s="99"/>
      <c r="G7479" s="100"/>
    </row>
    <row r="7480" spans="1:7" x14ac:dyDescent="0.25">
      <c r="A7480" s="97"/>
      <c r="B7480" s="95"/>
      <c r="C7480" s="113"/>
      <c r="D7480" s="113"/>
      <c r="E7480" s="113"/>
      <c r="F7480" s="99"/>
      <c r="G7480" s="100"/>
    </row>
    <row r="7481" spans="1:7" x14ac:dyDescent="0.25">
      <c r="A7481" s="97"/>
      <c r="B7481" s="37"/>
      <c r="C7481" s="107"/>
      <c r="D7481" s="107"/>
      <c r="E7481" s="107"/>
      <c r="F7481" s="99"/>
      <c r="G7481" s="100"/>
    </row>
    <row r="7482" spans="1:7" x14ac:dyDescent="0.25">
      <c r="A7482" s="97"/>
      <c r="B7482" s="37"/>
      <c r="C7482" s="107"/>
      <c r="D7482" s="107"/>
      <c r="E7482" s="107"/>
      <c r="F7482" s="99"/>
      <c r="G7482" s="100"/>
    </row>
    <row r="7483" spans="1:7" x14ac:dyDescent="0.25">
      <c r="A7483" s="97"/>
      <c r="B7483" s="37"/>
      <c r="C7483" s="107"/>
      <c r="D7483" s="107"/>
      <c r="E7483" s="107"/>
      <c r="F7483" s="99"/>
      <c r="G7483" s="100"/>
    </row>
    <row r="7484" spans="1:7" x14ac:dyDescent="0.25">
      <c r="A7484" s="97"/>
      <c r="B7484" s="37"/>
      <c r="C7484" s="107"/>
      <c r="D7484" s="107"/>
      <c r="E7484" s="107"/>
      <c r="F7484" s="99"/>
      <c r="G7484" s="100"/>
    </row>
    <row r="7485" spans="1:7" x14ac:dyDescent="0.25">
      <c r="A7485" s="97"/>
      <c r="B7485" s="37"/>
      <c r="C7485" s="107"/>
      <c r="D7485" s="107"/>
      <c r="E7485" s="107"/>
      <c r="F7485" s="99"/>
      <c r="G7485" s="100"/>
    </row>
    <row r="7486" spans="1:7" x14ac:dyDescent="0.25">
      <c r="A7486" s="97"/>
      <c r="B7486" s="37"/>
      <c r="C7486" s="107"/>
      <c r="D7486" s="107"/>
      <c r="E7486" s="107"/>
      <c r="F7486" s="99"/>
      <c r="G7486" s="100"/>
    </row>
    <row r="7487" spans="1:7" x14ac:dyDescent="0.25">
      <c r="A7487" s="97"/>
      <c r="B7487" s="37"/>
      <c r="C7487" s="107"/>
      <c r="D7487" s="107"/>
      <c r="E7487" s="107"/>
      <c r="F7487" s="99"/>
      <c r="G7487" s="100"/>
    </row>
    <row r="7488" spans="1:7" x14ac:dyDescent="0.25">
      <c r="A7488" s="97"/>
      <c r="B7488" s="37"/>
      <c r="C7488" s="113"/>
      <c r="D7488" s="113"/>
      <c r="E7488" s="113"/>
      <c r="F7488" s="99"/>
      <c r="G7488" s="100"/>
    </row>
    <row r="7489" spans="1:7" x14ac:dyDescent="0.25">
      <c r="A7489" s="97"/>
      <c r="B7489" s="37"/>
      <c r="C7489" s="113"/>
      <c r="D7489" s="113"/>
      <c r="E7489" s="113"/>
      <c r="F7489" s="99"/>
      <c r="G7489" s="100"/>
    </row>
    <row r="7490" spans="1:7" x14ac:dyDescent="0.25">
      <c r="A7490" s="97"/>
      <c r="B7490" s="37"/>
      <c r="C7490" s="113"/>
      <c r="D7490" s="113"/>
      <c r="E7490" s="113"/>
      <c r="F7490" s="99"/>
      <c r="G7490" s="100"/>
    </row>
    <row r="7491" spans="1:7" x14ac:dyDescent="0.25">
      <c r="A7491" s="97"/>
      <c r="B7491" s="37"/>
      <c r="C7491" s="113"/>
      <c r="D7491" s="113"/>
      <c r="E7491" s="113"/>
      <c r="F7491" s="99"/>
      <c r="G7491" s="100"/>
    </row>
    <row r="7492" spans="1:7" x14ac:dyDescent="0.25">
      <c r="A7492" s="97"/>
      <c r="B7492" s="37"/>
      <c r="C7492" s="113"/>
      <c r="D7492" s="113"/>
      <c r="E7492" s="113"/>
      <c r="F7492" s="99"/>
      <c r="G7492" s="100"/>
    </row>
    <row r="7493" spans="1:7" x14ac:dyDescent="0.25">
      <c r="A7493" s="97"/>
      <c r="B7493" s="37"/>
      <c r="C7493" s="113"/>
      <c r="D7493" s="113"/>
      <c r="E7493" s="113"/>
      <c r="F7493" s="99"/>
      <c r="G7493" s="100"/>
    </row>
    <row r="7494" spans="1:7" x14ac:dyDescent="0.25">
      <c r="A7494" s="97"/>
      <c r="B7494" s="37"/>
      <c r="C7494" s="113"/>
      <c r="D7494" s="113"/>
      <c r="E7494" s="113"/>
      <c r="F7494" s="99"/>
      <c r="G7494" s="100"/>
    </row>
    <row r="7495" spans="1:7" x14ac:dyDescent="0.25">
      <c r="A7495" s="97"/>
      <c r="B7495" s="37"/>
      <c r="C7495" s="113"/>
      <c r="D7495" s="113"/>
      <c r="E7495" s="113"/>
      <c r="F7495" s="99"/>
      <c r="G7495" s="100"/>
    </row>
    <row r="7496" spans="1:7" x14ac:dyDescent="0.25">
      <c r="A7496" s="97"/>
      <c r="B7496" s="37"/>
      <c r="C7496" s="113"/>
      <c r="D7496" s="113"/>
      <c r="E7496" s="113"/>
      <c r="F7496" s="99"/>
      <c r="G7496" s="100"/>
    </row>
    <row r="7497" spans="1:7" x14ac:dyDescent="0.25">
      <c r="A7497" s="97"/>
      <c r="B7497" s="37"/>
      <c r="C7497" s="107"/>
      <c r="D7497" s="107"/>
      <c r="E7497" s="107"/>
      <c r="F7497" s="99"/>
      <c r="G7497" s="100"/>
    </row>
    <row r="7498" spans="1:7" x14ac:dyDescent="0.25">
      <c r="A7498" s="97"/>
      <c r="B7498" s="36"/>
      <c r="C7498" s="107"/>
      <c r="D7498" s="107"/>
      <c r="E7498" s="107"/>
      <c r="F7498" s="99"/>
      <c r="G7498" s="100"/>
    </row>
    <row r="7499" spans="1:7" x14ac:dyDescent="0.25">
      <c r="A7499" s="97"/>
      <c r="B7499" s="36"/>
      <c r="C7499" s="113"/>
      <c r="D7499" s="113"/>
      <c r="E7499" s="113"/>
      <c r="F7499" s="99"/>
      <c r="G7499" s="100"/>
    </row>
    <row r="7500" spans="1:7" x14ac:dyDescent="0.25">
      <c r="A7500" s="97"/>
      <c r="B7500" s="36"/>
      <c r="C7500" s="113"/>
      <c r="D7500" s="113"/>
      <c r="E7500" s="113"/>
      <c r="F7500" s="99"/>
      <c r="G7500" s="100"/>
    </row>
    <row r="7501" spans="1:7" x14ac:dyDescent="0.25">
      <c r="A7501" s="97"/>
      <c r="B7501" s="36"/>
      <c r="C7501" s="113"/>
      <c r="D7501" s="113"/>
      <c r="E7501" s="113"/>
      <c r="F7501" s="99"/>
      <c r="G7501" s="100"/>
    </row>
    <row r="7502" spans="1:7" x14ac:dyDescent="0.25">
      <c r="A7502" s="97"/>
      <c r="B7502" s="36"/>
      <c r="C7502" s="113"/>
      <c r="D7502" s="113"/>
      <c r="E7502" s="113"/>
      <c r="F7502" s="99"/>
      <c r="G7502" s="100"/>
    </row>
    <row r="7503" spans="1:7" x14ac:dyDescent="0.25">
      <c r="A7503" s="97"/>
      <c r="B7503" s="36"/>
      <c r="C7503" s="113"/>
      <c r="D7503" s="113"/>
      <c r="E7503" s="113"/>
      <c r="F7503" s="99"/>
      <c r="G7503" s="100"/>
    </row>
    <row r="7504" spans="1:7" x14ac:dyDescent="0.25">
      <c r="A7504" s="97"/>
      <c r="B7504" s="36"/>
      <c r="C7504" s="113"/>
      <c r="D7504" s="113"/>
      <c r="E7504" s="113"/>
      <c r="F7504" s="99"/>
      <c r="G7504" s="100"/>
    </row>
    <row r="7505" spans="1:7" x14ac:dyDescent="0.25">
      <c r="A7505" s="97"/>
      <c r="B7505" s="36"/>
      <c r="C7505" s="113"/>
      <c r="D7505" s="113"/>
      <c r="E7505" s="113"/>
      <c r="F7505" s="99"/>
      <c r="G7505" s="100"/>
    </row>
    <row r="7506" spans="1:7" x14ac:dyDescent="0.25">
      <c r="A7506" s="97"/>
      <c r="B7506" s="36"/>
      <c r="C7506" s="113"/>
      <c r="D7506" s="113"/>
      <c r="E7506" s="113"/>
      <c r="F7506" s="99"/>
      <c r="G7506" s="100"/>
    </row>
    <row r="7507" spans="1:7" x14ac:dyDescent="0.25">
      <c r="A7507" s="97"/>
      <c r="B7507" s="36"/>
      <c r="C7507" s="113"/>
      <c r="D7507" s="113"/>
      <c r="E7507" s="113"/>
      <c r="F7507" s="99"/>
      <c r="G7507" s="100"/>
    </row>
    <row r="7508" spans="1:7" x14ac:dyDescent="0.25">
      <c r="A7508" s="97"/>
      <c r="B7508" s="36"/>
      <c r="C7508" s="113"/>
      <c r="D7508" s="113"/>
      <c r="E7508" s="113"/>
      <c r="F7508" s="99"/>
      <c r="G7508" s="100"/>
    </row>
    <row r="7509" spans="1:7" x14ac:dyDescent="0.25">
      <c r="A7509" s="97"/>
      <c r="B7509" s="36"/>
      <c r="C7509" s="113"/>
      <c r="D7509" s="113"/>
      <c r="E7509" s="113"/>
      <c r="F7509" s="99"/>
      <c r="G7509" s="100"/>
    </row>
    <row r="7510" spans="1:7" x14ac:dyDescent="0.25">
      <c r="A7510" s="97"/>
      <c r="B7510" s="36"/>
      <c r="C7510" s="113"/>
      <c r="D7510" s="113"/>
      <c r="E7510" s="113"/>
      <c r="F7510" s="99"/>
      <c r="G7510" s="100"/>
    </row>
    <row r="7511" spans="1:7" x14ac:dyDescent="0.25">
      <c r="A7511" s="97"/>
      <c r="B7511" s="36"/>
      <c r="C7511" s="113"/>
      <c r="D7511" s="113"/>
      <c r="E7511" s="113"/>
      <c r="F7511" s="99"/>
      <c r="G7511" s="100"/>
    </row>
    <row r="7512" spans="1:7" x14ac:dyDescent="0.25">
      <c r="A7512" s="97"/>
      <c r="B7512" s="36"/>
      <c r="C7512" s="113"/>
      <c r="D7512" s="113"/>
      <c r="E7512" s="113"/>
      <c r="F7512" s="99"/>
      <c r="G7512" s="100"/>
    </row>
    <row r="7513" spans="1:7" x14ac:dyDescent="0.25">
      <c r="A7513" s="97"/>
      <c r="B7513" s="36"/>
      <c r="C7513" s="113"/>
      <c r="D7513" s="113"/>
      <c r="E7513" s="113"/>
      <c r="F7513" s="99"/>
      <c r="G7513" s="100"/>
    </row>
    <row r="7514" spans="1:7" x14ac:dyDescent="0.25">
      <c r="A7514" s="97"/>
      <c r="B7514" s="36"/>
      <c r="C7514" s="113"/>
      <c r="D7514" s="113"/>
      <c r="E7514" s="113"/>
      <c r="F7514" s="99"/>
      <c r="G7514" s="100"/>
    </row>
    <row r="7515" spans="1:7" x14ac:dyDescent="0.25">
      <c r="A7515" s="97"/>
      <c r="B7515" s="36"/>
      <c r="C7515" s="113"/>
      <c r="D7515" s="113"/>
      <c r="E7515" s="113"/>
      <c r="F7515" s="99"/>
      <c r="G7515" s="100"/>
    </row>
    <row r="7516" spans="1:7" x14ac:dyDescent="0.25">
      <c r="A7516" s="97"/>
      <c r="B7516" s="36"/>
      <c r="C7516" s="113"/>
      <c r="D7516" s="113"/>
      <c r="E7516" s="113"/>
      <c r="F7516" s="99"/>
      <c r="G7516" s="100"/>
    </row>
    <row r="7517" spans="1:7" x14ac:dyDescent="0.25">
      <c r="A7517" s="97"/>
      <c r="B7517" s="36"/>
      <c r="C7517" s="113"/>
      <c r="D7517" s="113"/>
      <c r="E7517" s="113"/>
      <c r="F7517" s="99"/>
      <c r="G7517" s="100"/>
    </row>
    <row r="7518" spans="1:7" x14ac:dyDescent="0.25">
      <c r="A7518" s="97"/>
      <c r="B7518" s="36"/>
      <c r="C7518" s="113"/>
      <c r="D7518" s="113"/>
      <c r="E7518" s="113"/>
      <c r="F7518" s="99"/>
      <c r="G7518" s="100"/>
    </row>
    <row r="7519" spans="1:7" x14ac:dyDescent="0.25">
      <c r="A7519" s="97"/>
      <c r="B7519" s="36"/>
      <c r="C7519" s="113"/>
      <c r="D7519" s="113"/>
      <c r="E7519" s="113"/>
      <c r="F7519" s="99"/>
      <c r="G7519" s="100"/>
    </row>
    <row r="7520" spans="1:7" x14ac:dyDescent="0.25">
      <c r="A7520" s="97"/>
      <c r="B7520" s="41"/>
      <c r="C7520" s="113"/>
      <c r="D7520" s="113"/>
      <c r="E7520" s="113"/>
      <c r="F7520" s="99"/>
      <c r="G7520" s="100"/>
    </row>
    <row r="7521" spans="1:7" x14ac:dyDescent="0.25">
      <c r="A7521" s="97"/>
      <c r="B7521" s="36"/>
      <c r="C7521" s="113"/>
      <c r="D7521" s="113"/>
      <c r="E7521" s="113"/>
      <c r="F7521" s="99"/>
      <c r="G7521" s="100"/>
    </row>
    <row r="7522" spans="1:7" x14ac:dyDescent="0.25">
      <c r="A7522" s="97"/>
      <c r="B7522" s="36"/>
      <c r="C7522" s="113"/>
      <c r="D7522" s="113"/>
      <c r="E7522" s="113"/>
      <c r="F7522" s="99"/>
      <c r="G7522" s="100"/>
    </row>
    <row r="7523" spans="1:7" x14ac:dyDescent="0.25">
      <c r="A7523" s="97"/>
      <c r="B7523" s="36"/>
      <c r="C7523" s="113"/>
      <c r="D7523" s="113"/>
      <c r="E7523" s="113"/>
      <c r="F7523" s="99"/>
      <c r="G7523" s="100"/>
    </row>
    <row r="7524" spans="1:7" x14ac:dyDescent="0.25">
      <c r="A7524" s="97"/>
      <c r="B7524" s="36"/>
      <c r="C7524" s="113"/>
      <c r="D7524" s="113"/>
      <c r="E7524" s="113"/>
      <c r="F7524" s="99"/>
      <c r="G7524" s="100"/>
    </row>
    <row r="7525" spans="1:7" x14ac:dyDescent="0.25">
      <c r="A7525" s="97"/>
      <c r="B7525" s="36"/>
      <c r="C7525" s="113"/>
      <c r="D7525" s="113"/>
      <c r="E7525" s="113"/>
      <c r="F7525" s="99"/>
      <c r="G7525" s="100"/>
    </row>
    <row r="7526" spans="1:7" x14ac:dyDescent="0.25">
      <c r="A7526" s="97"/>
      <c r="B7526" s="36"/>
      <c r="C7526" s="113"/>
      <c r="D7526" s="113"/>
      <c r="E7526" s="113"/>
      <c r="F7526" s="99"/>
      <c r="G7526" s="100"/>
    </row>
    <row r="7527" spans="1:7" x14ac:dyDescent="0.25">
      <c r="A7527" s="97"/>
      <c r="B7527" s="36"/>
      <c r="C7527" s="113"/>
      <c r="D7527" s="113"/>
      <c r="E7527" s="113"/>
      <c r="F7527" s="99"/>
      <c r="G7527" s="100"/>
    </row>
    <row r="7528" spans="1:7" x14ac:dyDescent="0.25">
      <c r="A7528" s="97"/>
      <c r="B7528" s="95"/>
      <c r="C7528" s="113"/>
      <c r="D7528" s="113"/>
      <c r="E7528" s="113"/>
      <c r="F7528" s="99"/>
      <c r="G7528" s="100"/>
    </row>
    <row r="7529" spans="1:7" x14ac:dyDescent="0.25">
      <c r="A7529" s="97"/>
      <c r="B7529" s="36"/>
      <c r="C7529" s="113"/>
      <c r="D7529" s="113"/>
      <c r="E7529" s="113"/>
      <c r="F7529" s="99"/>
      <c r="G7529" s="100"/>
    </row>
    <row r="7530" spans="1:7" x14ac:dyDescent="0.25">
      <c r="A7530" s="97"/>
      <c r="B7530" s="36"/>
      <c r="C7530" s="113"/>
      <c r="D7530" s="113"/>
      <c r="E7530" s="113"/>
      <c r="F7530" s="99"/>
      <c r="G7530" s="100"/>
    </row>
    <row r="7531" spans="1:7" x14ac:dyDescent="0.25">
      <c r="A7531" s="97"/>
      <c r="B7531" s="36"/>
      <c r="C7531" s="113"/>
      <c r="D7531" s="113"/>
      <c r="E7531" s="113"/>
      <c r="F7531" s="99"/>
      <c r="G7531" s="100"/>
    </row>
    <row r="7532" spans="1:7" x14ac:dyDescent="0.25">
      <c r="A7532" s="97"/>
      <c r="B7532" s="36"/>
      <c r="C7532" s="113"/>
      <c r="D7532" s="113"/>
      <c r="E7532" s="113"/>
      <c r="F7532" s="99"/>
      <c r="G7532" s="100"/>
    </row>
    <row r="7533" spans="1:7" x14ac:dyDescent="0.25">
      <c r="A7533" s="101"/>
      <c r="B7533" s="36"/>
      <c r="C7533" s="113"/>
      <c r="D7533" s="113"/>
      <c r="E7533" s="113"/>
      <c r="F7533" s="102"/>
      <c r="G7533" s="103"/>
    </row>
    <row r="7534" spans="1:7" x14ac:dyDescent="0.25">
      <c r="A7534" s="101"/>
      <c r="B7534" s="36"/>
      <c r="C7534" s="113"/>
      <c r="D7534" s="113"/>
      <c r="E7534" s="113"/>
      <c r="F7534" s="102"/>
      <c r="G7534" s="103"/>
    </row>
    <row r="7535" spans="1:7" x14ac:dyDescent="0.25">
      <c r="A7535" s="101"/>
      <c r="B7535" s="36"/>
      <c r="C7535" s="113"/>
      <c r="D7535" s="113"/>
      <c r="E7535" s="113"/>
      <c r="F7535" s="102"/>
      <c r="G7535" s="103"/>
    </row>
    <row r="7536" spans="1:7" x14ac:dyDescent="0.25">
      <c r="A7536" s="101"/>
      <c r="B7536" s="36"/>
      <c r="C7536" s="113"/>
      <c r="D7536" s="113"/>
      <c r="E7536" s="113"/>
      <c r="F7536" s="102"/>
      <c r="G7536" s="103"/>
    </row>
    <row r="7537" spans="1:7" x14ac:dyDescent="0.25">
      <c r="A7537" s="101"/>
      <c r="B7537" s="36"/>
      <c r="C7537" s="113"/>
      <c r="D7537" s="113"/>
      <c r="E7537" s="113"/>
      <c r="F7537" s="102"/>
      <c r="G7537" s="103"/>
    </row>
    <row r="7538" spans="1:7" x14ac:dyDescent="0.25">
      <c r="A7538" s="101"/>
      <c r="B7538" s="36"/>
      <c r="C7538" s="113"/>
      <c r="D7538" s="113"/>
      <c r="E7538" s="113"/>
      <c r="F7538" s="102"/>
      <c r="G7538" s="103"/>
    </row>
    <row r="7539" spans="1:7" x14ac:dyDescent="0.25">
      <c r="A7539" s="101"/>
      <c r="B7539" s="36"/>
      <c r="C7539" s="113"/>
      <c r="D7539" s="113"/>
      <c r="E7539" s="113"/>
      <c r="F7539" s="102"/>
      <c r="G7539" s="103"/>
    </row>
    <row r="7540" spans="1:7" x14ac:dyDescent="0.25">
      <c r="A7540" s="101"/>
      <c r="B7540" s="36"/>
      <c r="C7540" s="113"/>
      <c r="D7540" s="113"/>
      <c r="E7540" s="113"/>
      <c r="F7540" s="102"/>
      <c r="G7540" s="103"/>
    </row>
    <row r="7541" spans="1:7" x14ac:dyDescent="0.25">
      <c r="A7541" s="101"/>
      <c r="B7541" s="36"/>
      <c r="C7541" s="113"/>
      <c r="D7541" s="113"/>
      <c r="E7541" s="113"/>
      <c r="F7541" s="102"/>
      <c r="G7541" s="103"/>
    </row>
    <row r="7542" spans="1:7" x14ac:dyDescent="0.25">
      <c r="A7542" s="101"/>
      <c r="B7542" s="36"/>
      <c r="C7542" s="113"/>
      <c r="D7542" s="113"/>
      <c r="E7542" s="113"/>
      <c r="F7542" s="102"/>
      <c r="G7542" s="103"/>
    </row>
    <row r="7543" spans="1:7" x14ac:dyDescent="0.25">
      <c r="A7543" s="101"/>
      <c r="B7543" s="36"/>
      <c r="C7543" s="113"/>
      <c r="D7543" s="113"/>
      <c r="E7543" s="113"/>
      <c r="F7543" s="102"/>
      <c r="G7543" s="103"/>
    </row>
    <row r="7544" spans="1:7" x14ac:dyDescent="0.25">
      <c r="A7544" s="101"/>
      <c r="B7544" s="36"/>
      <c r="C7544" s="113"/>
      <c r="D7544" s="113"/>
      <c r="E7544" s="113"/>
      <c r="F7544" s="102"/>
      <c r="G7544" s="103"/>
    </row>
    <row r="7545" spans="1:7" x14ac:dyDescent="0.25">
      <c r="A7545" s="101"/>
      <c r="B7545" s="36"/>
      <c r="C7545" s="113"/>
      <c r="D7545" s="113"/>
      <c r="E7545" s="113"/>
      <c r="F7545" s="102"/>
      <c r="G7545" s="103"/>
    </row>
    <row r="7546" spans="1:7" x14ac:dyDescent="0.25">
      <c r="A7546" s="101"/>
      <c r="B7546" s="36"/>
      <c r="C7546" s="113"/>
      <c r="D7546" s="113"/>
      <c r="E7546" s="113"/>
      <c r="F7546" s="102"/>
      <c r="G7546" s="103"/>
    </row>
    <row r="7547" spans="1:7" x14ac:dyDescent="0.25">
      <c r="A7547" s="101"/>
      <c r="B7547" s="36"/>
      <c r="C7547" s="113"/>
      <c r="D7547" s="113"/>
      <c r="E7547" s="113"/>
      <c r="F7547" s="102"/>
      <c r="G7547" s="103"/>
    </row>
    <row r="7548" spans="1:7" x14ac:dyDescent="0.25">
      <c r="A7548" s="101"/>
      <c r="B7548" s="36"/>
      <c r="C7548" s="113"/>
      <c r="D7548" s="113"/>
      <c r="E7548" s="113"/>
      <c r="F7548" s="102"/>
      <c r="G7548" s="103"/>
    </row>
    <row r="7549" spans="1:7" x14ac:dyDescent="0.25">
      <c r="A7549" s="101"/>
      <c r="B7549" s="36"/>
      <c r="C7549" s="98"/>
      <c r="D7549" s="98"/>
      <c r="E7549" s="98"/>
      <c r="F7549" s="102"/>
      <c r="G7549" s="103"/>
    </row>
    <row r="7550" spans="1:7" x14ac:dyDescent="0.25">
      <c r="A7550" s="101"/>
      <c r="B7550" s="36"/>
      <c r="C7550" s="109"/>
      <c r="D7550" s="109"/>
      <c r="E7550" s="109"/>
      <c r="F7550" s="102"/>
      <c r="G7550" s="103"/>
    </row>
    <row r="7551" spans="1:7" x14ac:dyDescent="0.25">
      <c r="A7551" s="101"/>
      <c r="B7551" s="36"/>
      <c r="C7551" s="109"/>
      <c r="D7551" s="109"/>
      <c r="E7551" s="109"/>
      <c r="F7551" s="102"/>
      <c r="G7551" s="103"/>
    </row>
    <row r="7552" spans="1:7" x14ac:dyDescent="0.25">
      <c r="A7552" s="101"/>
      <c r="B7552" s="36"/>
      <c r="C7552" s="109"/>
      <c r="D7552" s="109"/>
      <c r="E7552" s="109"/>
      <c r="F7552" s="102"/>
      <c r="G7552" s="103"/>
    </row>
    <row r="7553" spans="1:7" x14ac:dyDescent="0.25">
      <c r="A7553" s="101"/>
      <c r="B7553" s="36"/>
      <c r="C7553" s="109"/>
      <c r="D7553" s="109"/>
      <c r="E7553" s="109"/>
      <c r="F7553" s="102"/>
      <c r="G7553" s="103"/>
    </row>
    <row r="7554" spans="1:7" x14ac:dyDescent="0.25">
      <c r="A7554" s="101"/>
      <c r="B7554" s="36"/>
      <c r="C7554" s="109"/>
      <c r="D7554" s="109"/>
      <c r="E7554" s="109"/>
      <c r="F7554" s="102"/>
      <c r="G7554" s="103"/>
    </row>
    <row r="7555" spans="1:7" x14ac:dyDescent="0.25">
      <c r="A7555" s="101"/>
      <c r="B7555" s="36"/>
      <c r="C7555" s="109"/>
      <c r="D7555" s="109"/>
      <c r="E7555" s="109"/>
      <c r="F7555" s="102"/>
      <c r="G7555" s="103"/>
    </row>
    <row r="7556" spans="1:7" x14ac:dyDescent="0.25">
      <c r="A7556" s="101"/>
      <c r="B7556" s="36"/>
      <c r="C7556" s="109"/>
      <c r="D7556" s="109"/>
      <c r="E7556" s="109"/>
      <c r="F7556" s="102"/>
      <c r="G7556" s="103"/>
    </row>
    <row r="7557" spans="1:7" x14ac:dyDescent="0.25">
      <c r="A7557" s="101"/>
      <c r="B7557" s="36"/>
      <c r="C7557" s="109"/>
      <c r="D7557" s="109"/>
      <c r="E7557" s="109"/>
      <c r="F7557" s="102"/>
      <c r="G7557" s="103"/>
    </row>
    <row r="7558" spans="1:7" x14ac:dyDescent="0.25">
      <c r="A7558" s="101"/>
      <c r="B7558" s="36"/>
      <c r="C7558" s="109"/>
      <c r="D7558" s="109"/>
      <c r="E7558" s="109"/>
      <c r="F7558" s="102"/>
      <c r="G7558" s="103"/>
    </row>
    <row r="7559" spans="1:7" x14ac:dyDescent="0.25">
      <c r="A7559" s="101"/>
      <c r="B7559" s="36"/>
      <c r="C7559" s="109"/>
      <c r="D7559" s="109"/>
      <c r="E7559" s="109"/>
      <c r="F7559" s="102"/>
      <c r="G7559" s="103"/>
    </row>
    <row r="7560" spans="1:7" x14ac:dyDescent="0.25">
      <c r="A7560" s="101"/>
      <c r="B7560" s="36"/>
      <c r="C7560" s="109"/>
      <c r="D7560" s="109"/>
      <c r="E7560" s="109"/>
      <c r="F7560" s="102"/>
      <c r="G7560" s="103"/>
    </row>
    <row r="7561" spans="1:7" x14ac:dyDescent="0.25">
      <c r="A7561" s="101"/>
      <c r="B7561" s="36"/>
      <c r="C7561" s="109"/>
      <c r="D7561" s="109"/>
      <c r="E7561" s="109"/>
      <c r="F7561" s="102"/>
      <c r="G7561" s="103"/>
    </row>
    <row r="7562" spans="1:7" x14ac:dyDescent="0.25">
      <c r="A7562" s="101"/>
      <c r="B7562" s="36"/>
      <c r="C7562" s="109"/>
      <c r="D7562" s="109"/>
      <c r="E7562" s="109"/>
      <c r="F7562" s="102"/>
      <c r="G7562" s="103"/>
    </row>
    <row r="7563" spans="1:7" x14ac:dyDescent="0.25">
      <c r="A7563" s="101"/>
      <c r="B7563" s="36"/>
      <c r="C7563" s="98"/>
      <c r="D7563" s="98"/>
      <c r="E7563" s="98"/>
      <c r="F7563" s="102"/>
      <c r="G7563" s="103"/>
    </row>
    <row r="7564" spans="1:7" x14ac:dyDescent="0.25">
      <c r="A7564" s="101"/>
      <c r="B7564" s="36"/>
      <c r="C7564" s="98"/>
      <c r="D7564" s="98"/>
      <c r="E7564" s="98"/>
      <c r="F7564" s="102"/>
      <c r="G7564" s="103"/>
    </row>
    <row r="7565" spans="1:7" x14ac:dyDescent="0.25">
      <c r="A7565" s="101"/>
      <c r="B7565" s="36"/>
      <c r="C7565" s="109"/>
      <c r="D7565" s="109"/>
      <c r="E7565" s="109"/>
      <c r="F7565" s="102"/>
      <c r="G7565" s="103"/>
    </row>
    <row r="7566" spans="1:7" x14ac:dyDescent="0.25">
      <c r="A7566" s="101"/>
      <c r="B7566" s="36"/>
      <c r="C7566" s="109"/>
      <c r="D7566" s="109"/>
      <c r="E7566" s="109"/>
      <c r="F7566" s="102"/>
      <c r="G7566" s="103"/>
    </row>
    <row r="7567" spans="1:7" x14ac:dyDescent="0.25">
      <c r="A7567" s="101"/>
      <c r="B7567" s="36"/>
      <c r="C7567" s="109"/>
      <c r="D7567" s="109"/>
      <c r="E7567" s="109"/>
      <c r="F7567" s="102"/>
      <c r="G7567" s="103"/>
    </row>
    <row r="7568" spans="1:7" x14ac:dyDescent="0.25">
      <c r="A7568" s="101"/>
      <c r="B7568" s="36"/>
      <c r="C7568" s="109"/>
      <c r="D7568" s="109"/>
      <c r="E7568" s="109"/>
      <c r="F7568" s="102"/>
      <c r="G7568" s="103"/>
    </row>
    <row r="7569" spans="1:7" x14ac:dyDescent="0.25">
      <c r="A7569" s="101"/>
      <c r="B7569" s="36"/>
      <c r="C7569" s="109"/>
      <c r="D7569" s="109"/>
      <c r="E7569" s="109"/>
      <c r="F7569" s="102"/>
      <c r="G7569" s="103"/>
    </row>
    <row r="7570" spans="1:7" x14ac:dyDescent="0.25">
      <c r="A7570" s="101"/>
      <c r="B7570" s="36"/>
      <c r="C7570" s="109"/>
      <c r="D7570" s="109"/>
      <c r="E7570" s="109"/>
      <c r="F7570" s="102"/>
      <c r="G7570" s="103"/>
    </row>
    <row r="7571" spans="1:7" x14ac:dyDescent="0.25">
      <c r="A7571" s="101"/>
      <c r="B7571" s="36"/>
      <c r="C7571" s="109"/>
      <c r="D7571" s="109"/>
      <c r="E7571" s="109"/>
      <c r="F7571" s="102"/>
      <c r="G7571" s="103"/>
    </row>
    <row r="7572" spans="1:7" x14ac:dyDescent="0.25">
      <c r="A7572" s="101"/>
      <c r="B7572" s="36"/>
      <c r="C7572" s="109"/>
      <c r="D7572" s="109"/>
      <c r="E7572" s="109"/>
      <c r="F7572" s="102"/>
      <c r="G7572" s="103"/>
    </row>
    <row r="7573" spans="1:7" x14ac:dyDescent="0.25">
      <c r="A7573" s="101"/>
      <c r="B7573" s="36"/>
      <c r="C7573" s="109"/>
      <c r="D7573" s="109"/>
      <c r="E7573" s="109"/>
      <c r="F7573" s="102"/>
      <c r="G7573" s="103"/>
    </row>
    <row r="7574" spans="1:7" x14ac:dyDescent="0.25">
      <c r="A7574" s="101"/>
      <c r="B7574" s="36"/>
      <c r="C7574" s="109"/>
      <c r="D7574" s="109"/>
      <c r="E7574" s="109"/>
      <c r="F7574" s="102"/>
      <c r="G7574" s="103"/>
    </row>
    <row r="7575" spans="1:7" x14ac:dyDescent="0.25">
      <c r="A7575" s="101"/>
      <c r="B7575" s="36"/>
      <c r="C7575" s="109"/>
      <c r="D7575" s="109"/>
      <c r="E7575" s="109"/>
      <c r="F7575" s="102"/>
      <c r="G7575" s="103"/>
    </row>
    <row r="7576" spans="1:7" x14ac:dyDescent="0.25">
      <c r="A7576" s="101"/>
      <c r="B7576" s="36"/>
      <c r="C7576" s="109"/>
      <c r="D7576" s="109"/>
      <c r="E7576" s="109"/>
      <c r="F7576" s="102"/>
      <c r="G7576" s="103"/>
    </row>
    <row r="7577" spans="1:7" x14ac:dyDescent="0.25">
      <c r="A7577" s="101"/>
      <c r="B7577" s="36"/>
      <c r="C7577" s="109"/>
      <c r="D7577" s="109"/>
      <c r="E7577" s="109"/>
      <c r="F7577" s="102"/>
      <c r="G7577" s="103"/>
    </row>
    <row r="7578" spans="1:7" x14ac:dyDescent="0.25">
      <c r="A7578" s="101"/>
      <c r="B7578" s="36"/>
      <c r="C7578" s="109"/>
      <c r="D7578" s="109"/>
      <c r="E7578" s="109"/>
      <c r="F7578" s="102"/>
      <c r="G7578" s="103"/>
    </row>
    <row r="7579" spans="1:7" x14ac:dyDescent="0.25">
      <c r="A7579" s="101"/>
      <c r="B7579" s="36"/>
      <c r="C7579" s="109"/>
      <c r="D7579" s="109"/>
      <c r="E7579" s="109"/>
      <c r="F7579" s="102"/>
      <c r="G7579" s="103"/>
    </row>
    <row r="7580" spans="1:7" x14ac:dyDescent="0.25">
      <c r="A7580" s="101"/>
      <c r="B7580" s="36"/>
      <c r="C7580" s="109"/>
      <c r="D7580" s="109"/>
      <c r="E7580" s="109"/>
      <c r="F7580" s="102"/>
      <c r="G7580" s="103"/>
    </row>
    <row r="7581" spans="1:7" x14ac:dyDescent="0.25">
      <c r="A7581" s="101"/>
      <c r="B7581" s="36"/>
      <c r="C7581" s="98"/>
      <c r="D7581" s="98"/>
      <c r="E7581" s="98"/>
      <c r="F7581" s="102"/>
      <c r="G7581" s="103"/>
    </row>
    <row r="7582" spans="1:7" x14ac:dyDescent="0.25">
      <c r="A7582" s="101"/>
      <c r="B7582" s="36"/>
      <c r="C7582" s="98"/>
      <c r="D7582" s="98"/>
      <c r="E7582" s="98"/>
      <c r="F7582" s="102"/>
      <c r="G7582" s="103"/>
    </row>
    <row r="7583" spans="1:7" x14ac:dyDescent="0.25">
      <c r="A7583" s="101"/>
      <c r="B7583" s="36"/>
      <c r="C7583" s="98"/>
      <c r="D7583" s="98"/>
      <c r="E7583" s="98"/>
      <c r="F7583" s="102"/>
      <c r="G7583" s="103"/>
    </row>
    <row r="7584" spans="1:7" x14ac:dyDescent="0.25">
      <c r="A7584" s="101"/>
      <c r="B7584" s="36"/>
      <c r="C7584" s="98"/>
      <c r="D7584" s="98"/>
      <c r="E7584" s="98"/>
      <c r="F7584" s="102"/>
      <c r="G7584" s="103"/>
    </row>
    <row r="7585" spans="1:7" x14ac:dyDescent="0.25">
      <c r="A7585" s="101"/>
      <c r="B7585" s="36"/>
      <c r="C7585" s="98"/>
      <c r="D7585" s="98"/>
      <c r="E7585" s="98"/>
      <c r="F7585" s="102"/>
      <c r="G7585" s="103"/>
    </row>
    <row r="7586" spans="1:7" x14ac:dyDescent="0.25">
      <c r="A7586" s="101"/>
      <c r="B7586" s="36"/>
      <c r="C7586" s="98"/>
      <c r="D7586" s="98"/>
      <c r="E7586" s="98"/>
      <c r="F7586" s="102"/>
      <c r="G7586" s="103"/>
    </row>
    <row r="7587" spans="1:7" x14ac:dyDescent="0.25">
      <c r="A7587" s="101"/>
      <c r="B7587" s="36"/>
      <c r="C7587" s="98"/>
      <c r="D7587" s="98"/>
      <c r="E7587" s="98"/>
      <c r="F7587" s="102"/>
      <c r="G7587" s="103"/>
    </row>
    <row r="7588" spans="1:7" x14ac:dyDescent="0.25">
      <c r="A7588" s="101"/>
      <c r="B7588" s="36"/>
      <c r="C7588" s="98"/>
      <c r="D7588" s="98"/>
      <c r="E7588" s="98"/>
      <c r="F7588" s="102"/>
      <c r="G7588" s="103"/>
    </row>
    <row r="7589" spans="1:7" x14ac:dyDescent="0.25">
      <c r="A7589" s="101"/>
      <c r="B7589" s="36"/>
      <c r="C7589" s="98"/>
      <c r="D7589" s="98"/>
      <c r="E7589" s="98"/>
      <c r="F7589" s="102"/>
      <c r="G7589" s="103"/>
    </row>
    <row r="7590" spans="1:7" x14ac:dyDescent="0.25">
      <c r="A7590" s="101"/>
      <c r="B7590" s="36"/>
      <c r="C7590" s="98"/>
      <c r="D7590" s="98"/>
      <c r="E7590" s="98"/>
      <c r="F7590" s="102"/>
      <c r="G7590" s="103"/>
    </row>
    <row r="7591" spans="1:7" x14ac:dyDescent="0.25">
      <c r="A7591" s="101"/>
      <c r="B7591" s="36"/>
      <c r="C7591" s="98"/>
      <c r="D7591" s="98"/>
      <c r="E7591" s="98"/>
      <c r="F7591" s="102"/>
      <c r="G7591" s="103"/>
    </row>
    <row r="7592" spans="1:7" x14ac:dyDescent="0.25">
      <c r="A7592" s="101"/>
      <c r="B7592" s="36"/>
      <c r="C7592" s="98"/>
      <c r="D7592" s="98"/>
      <c r="E7592" s="98"/>
      <c r="F7592" s="102"/>
      <c r="G7592" s="103"/>
    </row>
    <row r="7593" spans="1:7" x14ac:dyDescent="0.25">
      <c r="A7593" s="101"/>
      <c r="B7593" s="36"/>
      <c r="C7593" s="98"/>
      <c r="D7593" s="98"/>
      <c r="E7593" s="98"/>
      <c r="F7593" s="102"/>
      <c r="G7593" s="103"/>
    </row>
    <row r="7594" spans="1:7" x14ac:dyDescent="0.25">
      <c r="A7594" s="101"/>
      <c r="B7594" s="36"/>
      <c r="C7594" s="98"/>
      <c r="D7594" s="98"/>
      <c r="E7594" s="98"/>
      <c r="F7594" s="102"/>
      <c r="G7594" s="103"/>
    </row>
    <row r="7595" spans="1:7" x14ac:dyDescent="0.25">
      <c r="A7595" s="101"/>
      <c r="B7595" s="36"/>
      <c r="C7595" s="98"/>
      <c r="D7595" s="98"/>
      <c r="E7595" s="98"/>
      <c r="F7595" s="102"/>
      <c r="G7595" s="103"/>
    </row>
    <row r="7596" spans="1:7" x14ac:dyDescent="0.25">
      <c r="A7596" s="101"/>
      <c r="B7596" s="36"/>
      <c r="C7596" s="98"/>
      <c r="D7596" s="98"/>
      <c r="E7596" s="98"/>
      <c r="F7596" s="102"/>
      <c r="G7596" s="103"/>
    </row>
    <row r="7597" spans="1:7" x14ac:dyDescent="0.25">
      <c r="A7597" s="101"/>
      <c r="B7597" s="36"/>
      <c r="C7597" s="98"/>
      <c r="D7597" s="98"/>
      <c r="E7597" s="98"/>
      <c r="F7597" s="102"/>
      <c r="G7597" s="103"/>
    </row>
    <row r="7598" spans="1:7" x14ac:dyDescent="0.25">
      <c r="A7598" s="101"/>
      <c r="B7598" s="36"/>
      <c r="C7598" s="98"/>
      <c r="D7598" s="98"/>
      <c r="E7598" s="98"/>
      <c r="F7598" s="102"/>
      <c r="G7598" s="103"/>
    </row>
    <row r="7599" spans="1:7" x14ac:dyDescent="0.25">
      <c r="A7599" s="101"/>
      <c r="B7599" s="36"/>
      <c r="C7599" s="98"/>
      <c r="D7599" s="98"/>
      <c r="E7599" s="98"/>
      <c r="F7599" s="102"/>
      <c r="G7599" s="103"/>
    </row>
    <row r="7600" spans="1:7" x14ac:dyDescent="0.25">
      <c r="A7600" s="101"/>
      <c r="B7600" s="36"/>
      <c r="C7600" s="98"/>
      <c r="D7600" s="98"/>
      <c r="E7600" s="98"/>
      <c r="F7600" s="102"/>
      <c r="G7600" s="103"/>
    </row>
    <row r="7601" spans="1:7" x14ac:dyDescent="0.25">
      <c r="A7601" s="101"/>
      <c r="B7601" s="36"/>
      <c r="C7601" s="98"/>
      <c r="D7601" s="98"/>
      <c r="E7601" s="98"/>
      <c r="F7601" s="102"/>
      <c r="G7601" s="103"/>
    </row>
    <row r="7602" spans="1:7" x14ac:dyDescent="0.25">
      <c r="A7602" s="101"/>
      <c r="B7602" s="36"/>
      <c r="C7602" s="98"/>
      <c r="D7602" s="98"/>
      <c r="E7602" s="98"/>
      <c r="F7602" s="102"/>
      <c r="G7602" s="103"/>
    </row>
    <row r="7603" spans="1:7" x14ac:dyDescent="0.25">
      <c r="A7603" s="101"/>
      <c r="B7603" s="36"/>
      <c r="C7603" s="98"/>
      <c r="D7603" s="98"/>
      <c r="E7603" s="98"/>
      <c r="F7603" s="102"/>
      <c r="G7603" s="103"/>
    </row>
    <row r="7604" spans="1:7" x14ac:dyDescent="0.25">
      <c r="A7604" s="101"/>
      <c r="B7604" s="36"/>
      <c r="C7604" s="98"/>
      <c r="D7604" s="98"/>
      <c r="E7604" s="98"/>
      <c r="F7604" s="102"/>
      <c r="G7604" s="103"/>
    </row>
    <row r="7605" spans="1:7" x14ac:dyDescent="0.25">
      <c r="A7605" s="101"/>
      <c r="B7605" s="36"/>
      <c r="C7605" s="98"/>
      <c r="D7605" s="98"/>
      <c r="E7605" s="98"/>
      <c r="F7605" s="102"/>
      <c r="G7605" s="103"/>
    </row>
    <row r="7606" spans="1:7" x14ac:dyDescent="0.25">
      <c r="A7606" s="101"/>
      <c r="B7606" s="36"/>
      <c r="C7606" s="98"/>
      <c r="D7606" s="98"/>
      <c r="E7606" s="98"/>
      <c r="F7606" s="102"/>
      <c r="G7606" s="103"/>
    </row>
    <row r="7607" spans="1:7" x14ac:dyDescent="0.25">
      <c r="A7607" s="101"/>
      <c r="B7607" s="36"/>
      <c r="C7607" s="98"/>
      <c r="D7607" s="98"/>
      <c r="E7607" s="98"/>
      <c r="F7607" s="102"/>
      <c r="G7607" s="103"/>
    </row>
    <row r="7608" spans="1:7" x14ac:dyDescent="0.25">
      <c r="A7608" s="101"/>
      <c r="B7608" s="36"/>
      <c r="C7608" s="98"/>
      <c r="D7608" s="98"/>
      <c r="E7608" s="98"/>
      <c r="F7608" s="102"/>
      <c r="G7608" s="103"/>
    </row>
    <row r="7609" spans="1:7" x14ac:dyDescent="0.25">
      <c r="A7609" s="101"/>
      <c r="B7609" s="36"/>
      <c r="C7609" s="98"/>
      <c r="D7609" s="98"/>
      <c r="E7609" s="98"/>
      <c r="F7609" s="102"/>
      <c r="G7609" s="103"/>
    </row>
    <row r="7610" spans="1:7" x14ac:dyDescent="0.25">
      <c r="A7610" s="101"/>
      <c r="B7610" s="36"/>
      <c r="C7610" s="98"/>
      <c r="D7610" s="98"/>
      <c r="E7610" s="98"/>
      <c r="F7610" s="102"/>
      <c r="G7610" s="103"/>
    </row>
    <row r="7611" spans="1:7" x14ac:dyDescent="0.25">
      <c r="A7611" s="101"/>
      <c r="B7611" s="36"/>
      <c r="C7611" s="98"/>
      <c r="D7611" s="98"/>
      <c r="E7611" s="98"/>
      <c r="F7611" s="102"/>
      <c r="G7611" s="103"/>
    </row>
    <row r="7612" spans="1:7" x14ac:dyDescent="0.25">
      <c r="A7612" s="101"/>
      <c r="B7612" s="36"/>
      <c r="C7612" s="98"/>
      <c r="D7612" s="98"/>
      <c r="E7612" s="98"/>
      <c r="F7612" s="102"/>
      <c r="G7612" s="103"/>
    </row>
    <row r="7613" spans="1:7" x14ac:dyDescent="0.25">
      <c r="A7613" s="101"/>
      <c r="B7613" s="36"/>
      <c r="C7613" s="98"/>
      <c r="D7613" s="98"/>
      <c r="E7613" s="98"/>
      <c r="F7613" s="102"/>
      <c r="G7613" s="103"/>
    </row>
    <row r="7614" spans="1:7" x14ac:dyDescent="0.25">
      <c r="A7614" s="101"/>
      <c r="B7614" s="36"/>
      <c r="C7614" s="98"/>
      <c r="D7614" s="98"/>
      <c r="E7614" s="98"/>
      <c r="F7614" s="102"/>
      <c r="G7614" s="103"/>
    </row>
    <row r="7615" spans="1:7" x14ac:dyDescent="0.25">
      <c r="A7615" s="101"/>
      <c r="B7615" s="36"/>
      <c r="C7615" s="98"/>
      <c r="D7615" s="98"/>
      <c r="E7615" s="98"/>
      <c r="F7615" s="102"/>
      <c r="G7615" s="103"/>
    </row>
    <row r="7616" spans="1:7" x14ac:dyDescent="0.25">
      <c r="A7616" s="101"/>
      <c r="B7616" s="36"/>
      <c r="C7616" s="98"/>
      <c r="D7616" s="98"/>
      <c r="E7616" s="98"/>
      <c r="F7616" s="102"/>
      <c r="G7616" s="103"/>
    </row>
    <row r="7617" spans="1:7" x14ac:dyDescent="0.25">
      <c r="A7617" s="101"/>
      <c r="B7617" s="36"/>
      <c r="C7617" s="98"/>
      <c r="D7617" s="98"/>
      <c r="E7617" s="98"/>
      <c r="F7617" s="102"/>
      <c r="G7617" s="103"/>
    </row>
    <row r="7618" spans="1:7" x14ac:dyDescent="0.25">
      <c r="A7618" s="101"/>
      <c r="B7618" s="36"/>
      <c r="C7618" s="98"/>
      <c r="D7618" s="98"/>
      <c r="E7618" s="98"/>
      <c r="F7618" s="102"/>
      <c r="G7618" s="103"/>
    </row>
    <row r="7619" spans="1:7" x14ac:dyDescent="0.25">
      <c r="A7619" s="101"/>
      <c r="B7619" s="36"/>
      <c r="C7619" s="98"/>
      <c r="D7619" s="98"/>
      <c r="E7619" s="98"/>
      <c r="F7619" s="102"/>
      <c r="G7619" s="103"/>
    </row>
    <row r="7620" spans="1:7" x14ac:dyDescent="0.25">
      <c r="A7620" s="101"/>
      <c r="B7620" s="36"/>
      <c r="C7620" s="98"/>
      <c r="D7620" s="98"/>
      <c r="E7620" s="98"/>
      <c r="F7620" s="102"/>
      <c r="G7620" s="103"/>
    </row>
    <row r="7621" spans="1:7" x14ac:dyDescent="0.25">
      <c r="A7621" s="101"/>
      <c r="B7621" s="36"/>
      <c r="C7621" s="98"/>
      <c r="D7621" s="98"/>
      <c r="E7621" s="98"/>
      <c r="F7621" s="102"/>
      <c r="G7621" s="103"/>
    </row>
    <row r="7622" spans="1:7" x14ac:dyDescent="0.25">
      <c r="A7622" s="101"/>
      <c r="B7622" s="36"/>
      <c r="C7622" s="98"/>
      <c r="D7622" s="98"/>
      <c r="E7622" s="98"/>
      <c r="F7622" s="102"/>
      <c r="G7622" s="103"/>
    </row>
    <row r="7623" spans="1:7" x14ac:dyDescent="0.25">
      <c r="A7623" s="101"/>
      <c r="B7623" s="36"/>
      <c r="C7623" s="98"/>
      <c r="D7623" s="98"/>
      <c r="E7623" s="98"/>
      <c r="F7623" s="102"/>
      <c r="G7623" s="103"/>
    </row>
    <row r="7624" spans="1:7" x14ac:dyDescent="0.25">
      <c r="A7624" s="101"/>
      <c r="B7624" s="36"/>
      <c r="C7624" s="98"/>
      <c r="D7624" s="98"/>
      <c r="E7624" s="98"/>
      <c r="F7624" s="102"/>
      <c r="G7624" s="103"/>
    </row>
    <row r="7625" spans="1:7" x14ac:dyDescent="0.25">
      <c r="A7625" s="101"/>
      <c r="B7625" s="36"/>
      <c r="C7625" s="98"/>
      <c r="D7625" s="98"/>
      <c r="E7625" s="98"/>
      <c r="F7625" s="102"/>
      <c r="G7625" s="103"/>
    </row>
    <row r="7626" spans="1:7" x14ac:dyDescent="0.25">
      <c r="A7626" s="101"/>
      <c r="B7626" s="36"/>
      <c r="C7626" s="98"/>
      <c r="D7626" s="98"/>
      <c r="E7626" s="98"/>
      <c r="F7626" s="102"/>
      <c r="G7626" s="103"/>
    </row>
    <row r="7627" spans="1:7" x14ac:dyDescent="0.25">
      <c r="A7627" s="101"/>
      <c r="B7627" s="36"/>
      <c r="C7627" s="98"/>
      <c r="D7627" s="98"/>
      <c r="E7627" s="98"/>
      <c r="F7627" s="102"/>
      <c r="G7627" s="103"/>
    </row>
    <row r="7628" spans="1:7" x14ac:dyDescent="0.25">
      <c r="A7628" s="101"/>
      <c r="B7628" s="36"/>
      <c r="C7628" s="98"/>
      <c r="D7628" s="98"/>
      <c r="E7628" s="98"/>
      <c r="F7628" s="102"/>
      <c r="G7628" s="103"/>
    </row>
    <row r="7629" spans="1:7" x14ac:dyDescent="0.25">
      <c r="A7629" s="101"/>
      <c r="B7629" s="36"/>
      <c r="C7629" s="98"/>
      <c r="D7629" s="98"/>
      <c r="E7629" s="98"/>
      <c r="F7629" s="102"/>
      <c r="G7629" s="103"/>
    </row>
    <row r="7630" spans="1:7" x14ac:dyDescent="0.25">
      <c r="A7630" s="101"/>
      <c r="B7630" s="36"/>
      <c r="C7630" s="98"/>
      <c r="D7630" s="98"/>
      <c r="E7630" s="98"/>
      <c r="F7630" s="102"/>
      <c r="G7630" s="103"/>
    </row>
    <row r="7631" spans="1:7" x14ac:dyDescent="0.25">
      <c r="A7631" s="101"/>
      <c r="B7631" s="36"/>
      <c r="C7631" s="98"/>
      <c r="D7631" s="98"/>
      <c r="E7631" s="98"/>
      <c r="F7631" s="102"/>
      <c r="G7631" s="103"/>
    </row>
    <row r="7632" spans="1:7" x14ac:dyDescent="0.25">
      <c r="A7632" s="101"/>
      <c r="B7632" s="36"/>
      <c r="C7632" s="98"/>
      <c r="D7632" s="98"/>
      <c r="E7632" s="98"/>
      <c r="F7632" s="102"/>
      <c r="G7632" s="103"/>
    </row>
    <row r="7633" spans="1:7" x14ac:dyDescent="0.25">
      <c r="A7633" s="101"/>
      <c r="B7633" s="36"/>
      <c r="C7633" s="98"/>
      <c r="D7633" s="98"/>
      <c r="E7633" s="98"/>
      <c r="F7633" s="102"/>
      <c r="G7633" s="103"/>
    </row>
    <row r="7634" spans="1:7" x14ac:dyDescent="0.25">
      <c r="A7634" s="101"/>
      <c r="B7634" s="36"/>
      <c r="C7634" s="98"/>
      <c r="D7634" s="98"/>
      <c r="E7634" s="98"/>
      <c r="F7634" s="102"/>
      <c r="G7634" s="103"/>
    </row>
    <row r="7635" spans="1:7" x14ac:dyDescent="0.25">
      <c r="A7635" s="101"/>
      <c r="B7635" s="36"/>
      <c r="C7635" s="98"/>
      <c r="D7635" s="98"/>
      <c r="E7635" s="98"/>
      <c r="F7635" s="102"/>
      <c r="G7635" s="103"/>
    </row>
    <row r="7636" spans="1:7" x14ac:dyDescent="0.25">
      <c r="A7636" s="101"/>
      <c r="B7636" s="36"/>
      <c r="C7636" s="98"/>
      <c r="D7636" s="98"/>
      <c r="E7636" s="98"/>
      <c r="F7636" s="102"/>
      <c r="G7636" s="103"/>
    </row>
    <row r="7637" spans="1:7" x14ac:dyDescent="0.25">
      <c r="A7637" s="101"/>
      <c r="B7637" s="36"/>
      <c r="C7637" s="98"/>
      <c r="D7637" s="98"/>
      <c r="E7637" s="98"/>
      <c r="F7637" s="102"/>
      <c r="G7637" s="103"/>
    </row>
    <row r="7638" spans="1:7" x14ac:dyDescent="0.25">
      <c r="A7638" s="101"/>
      <c r="B7638" s="36"/>
      <c r="C7638" s="98"/>
      <c r="D7638" s="98"/>
      <c r="E7638" s="98"/>
      <c r="F7638" s="102"/>
      <c r="G7638" s="103"/>
    </row>
    <row r="7639" spans="1:7" x14ac:dyDescent="0.25">
      <c r="A7639" s="101"/>
      <c r="B7639" s="36"/>
      <c r="C7639" s="98"/>
      <c r="D7639" s="98"/>
      <c r="E7639" s="98"/>
      <c r="F7639" s="102"/>
      <c r="G7639" s="103"/>
    </row>
    <row r="7640" spans="1:7" x14ac:dyDescent="0.25">
      <c r="A7640" s="101"/>
      <c r="B7640" s="36"/>
      <c r="C7640" s="98"/>
      <c r="D7640" s="98"/>
      <c r="E7640" s="98"/>
      <c r="F7640" s="102"/>
      <c r="G7640" s="103"/>
    </row>
    <row r="7641" spans="1:7" x14ac:dyDescent="0.25">
      <c r="A7641" s="101"/>
      <c r="B7641" s="36"/>
      <c r="C7641" s="98"/>
      <c r="D7641" s="98"/>
      <c r="E7641" s="98"/>
      <c r="F7641" s="102"/>
      <c r="G7641" s="103"/>
    </row>
    <row r="7642" spans="1:7" x14ac:dyDescent="0.25">
      <c r="A7642" s="101"/>
      <c r="B7642" s="36"/>
      <c r="C7642" s="98"/>
      <c r="D7642" s="98"/>
      <c r="E7642" s="98"/>
      <c r="F7642" s="102"/>
      <c r="G7642" s="103"/>
    </row>
    <row r="7643" spans="1:7" x14ac:dyDescent="0.25">
      <c r="A7643" s="101"/>
      <c r="B7643" s="36"/>
      <c r="C7643" s="98"/>
      <c r="D7643" s="98"/>
      <c r="E7643" s="98"/>
      <c r="F7643" s="102"/>
      <c r="G7643" s="103"/>
    </row>
    <row r="7644" spans="1:7" x14ac:dyDescent="0.25">
      <c r="A7644" s="101"/>
      <c r="B7644" s="36"/>
      <c r="C7644" s="98"/>
      <c r="D7644" s="98"/>
      <c r="E7644" s="98"/>
      <c r="F7644" s="102"/>
      <c r="G7644" s="103"/>
    </row>
    <row r="7645" spans="1:7" x14ac:dyDescent="0.25">
      <c r="A7645" s="101"/>
      <c r="B7645" s="36"/>
      <c r="C7645" s="98"/>
      <c r="D7645" s="98"/>
      <c r="E7645" s="98"/>
      <c r="F7645" s="102"/>
      <c r="G7645" s="103"/>
    </row>
    <row r="7646" spans="1:7" x14ac:dyDescent="0.25">
      <c r="A7646" s="101"/>
      <c r="B7646" s="36"/>
      <c r="C7646" s="98"/>
      <c r="D7646" s="98"/>
      <c r="E7646" s="98"/>
      <c r="F7646" s="102"/>
      <c r="G7646" s="103"/>
    </row>
    <row r="7647" spans="1:7" x14ac:dyDescent="0.25">
      <c r="A7647" s="101"/>
      <c r="B7647" s="36"/>
      <c r="C7647" s="98"/>
      <c r="D7647" s="98"/>
      <c r="E7647" s="98"/>
      <c r="F7647" s="102"/>
      <c r="G7647" s="103"/>
    </row>
    <row r="7648" spans="1:7" x14ac:dyDescent="0.25">
      <c r="A7648" s="101"/>
      <c r="B7648" s="36"/>
      <c r="C7648" s="98"/>
      <c r="D7648" s="98"/>
      <c r="E7648" s="98"/>
      <c r="F7648" s="102"/>
      <c r="G7648" s="103"/>
    </row>
    <row r="7649" spans="1:7" x14ac:dyDescent="0.25">
      <c r="A7649" s="101"/>
      <c r="B7649" s="36"/>
      <c r="C7649" s="98"/>
      <c r="D7649" s="98"/>
      <c r="E7649" s="98"/>
      <c r="F7649" s="102"/>
      <c r="G7649" s="103"/>
    </row>
    <row r="7650" spans="1:7" x14ac:dyDescent="0.25">
      <c r="A7650" s="101"/>
      <c r="B7650" s="36"/>
      <c r="C7650" s="98"/>
      <c r="D7650" s="98"/>
      <c r="E7650" s="98"/>
      <c r="F7650" s="102"/>
      <c r="G7650" s="103"/>
    </row>
    <row r="7651" spans="1:7" x14ac:dyDescent="0.25">
      <c r="A7651" s="101"/>
      <c r="B7651" s="36"/>
      <c r="C7651" s="98"/>
      <c r="D7651" s="98"/>
      <c r="E7651" s="98"/>
      <c r="F7651" s="102"/>
      <c r="G7651" s="103"/>
    </row>
    <row r="7652" spans="1:7" x14ac:dyDescent="0.25">
      <c r="A7652" s="101"/>
      <c r="B7652" s="36"/>
      <c r="C7652" s="98"/>
      <c r="D7652" s="98"/>
      <c r="E7652" s="98"/>
      <c r="F7652" s="102"/>
      <c r="G7652" s="103"/>
    </row>
    <row r="7653" spans="1:7" x14ac:dyDescent="0.25">
      <c r="A7653" s="101"/>
      <c r="B7653" s="36"/>
      <c r="C7653" s="98"/>
      <c r="D7653" s="98"/>
      <c r="E7653" s="98"/>
      <c r="F7653" s="102"/>
      <c r="G7653" s="103"/>
    </row>
    <row r="7654" spans="1:7" x14ac:dyDescent="0.25">
      <c r="A7654" s="101"/>
      <c r="B7654" s="36"/>
      <c r="C7654" s="98"/>
      <c r="D7654" s="98"/>
      <c r="E7654" s="98"/>
      <c r="F7654" s="102"/>
      <c r="G7654" s="103"/>
    </row>
    <row r="7655" spans="1:7" x14ac:dyDescent="0.25">
      <c r="A7655" s="101"/>
      <c r="B7655" s="36"/>
      <c r="C7655" s="98"/>
      <c r="D7655" s="98"/>
      <c r="E7655" s="98"/>
      <c r="F7655" s="102"/>
      <c r="G7655" s="103"/>
    </row>
    <row r="7656" spans="1:7" x14ac:dyDescent="0.25">
      <c r="A7656" s="101"/>
      <c r="B7656" s="36"/>
      <c r="C7656" s="98"/>
      <c r="D7656" s="98"/>
      <c r="E7656" s="98"/>
      <c r="F7656" s="102"/>
      <c r="G7656" s="103"/>
    </row>
    <row r="7657" spans="1:7" x14ac:dyDescent="0.25">
      <c r="A7657" s="101"/>
      <c r="B7657" s="36"/>
      <c r="C7657" s="98"/>
      <c r="D7657" s="98"/>
      <c r="E7657" s="98"/>
      <c r="F7657" s="102"/>
      <c r="G7657" s="103"/>
    </row>
    <row r="7658" spans="1:7" x14ac:dyDescent="0.25">
      <c r="A7658" s="101"/>
      <c r="B7658" s="36"/>
      <c r="C7658" s="98"/>
      <c r="D7658" s="98"/>
      <c r="E7658" s="98"/>
      <c r="F7658" s="102"/>
      <c r="G7658" s="103"/>
    </row>
    <row r="7659" spans="1:7" x14ac:dyDescent="0.25">
      <c r="A7659" s="101"/>
      <c r="B7659" s="36"/>
      <c r="C7659" s="98"/>
      <c r="D7659" s="98"/>
      <c r="E7659" s="98"/>
      <c r="F7659" s="102"/>
      <c r="G7659" s="103"/>
    </row>
    <row r="7660" spans="1:7" x14ac:dyDescent="0.25">
      <c r="A7660" s="101"/>
      <c r="B7660" s="36"/>
      <c r="C7660" s="98"/>
      <c r="D7660" s="98"/>
      <c r="E7660" s="98"/>
      <c r="F7660" s="102"/>
      <c r="G7660" s="103"/>
    </row>
    <row r="7661" spans="1:7" x14ac:dyDescent="0.25">
      <c r="A7661" s="101"/>
      <c r="B7661" s="36"/>
      <c r="C7661" s="98"/>
      <c r="D7661" s="98"/>
      <c r="E7661" s="98"/>
      <c r="F7661" s="102"/>
      <c r="G7661" s="103"/>
    </row>
    <row r="7662" spans="1:7" x14ac:dyDescent="0.25">
      <c r="A7662" s="101"/>
      <c r="B7662" s="36"/>
      <c r="C7662" s="98"/>
      <c r="D7662" s="98"/>
      <c r="E7662" s="98"/>
      <c r="F7662" s="102"/>
      <c r="G7662" s="103"/>
    </row>
    <row r="7663" spans="1:7" x14ac:dyDescent="0.25">
      <c r="A7663" s="101"/>
      <c r="B7663" s="36"/>
      <c r="C7663" s="98"/>
      <c r="D7663" s="98"/>
      <c r="E7663" s="98"/>
      <c r="F7663" s="102"/>
      <c r="G7663" s="103"/>
    </row>
    <row r="7664" spans="1:7" x14ac:dyDescent="0.25">
      <c r="A7664" s="101"/>
      <c r="B7664" s="36"/>
      <c r="C7664" s="98"/>
      <c r="D7664" s="98"/>
      <c r="E7664" s="98"/>
      <c r="F7664" s="102"/>
      <c r="G7664" s="103"/>
    </row>
    <row r="7665" spans="1:7" x14ac:dyDescent="0.25">
      <c r="A7665" s="101"/>
      <c r="B7665" s="36"/>
      <c r="C7665" s="98"/>
      <c r="D7665" s="98"/>
      <c r="E7665" s="98"/>
      <c r="F7665" s="102"/>
      <c r="G7665" s="103"/>
    </row>
    <row r="7666" spans="1:7" x14ac:dyDescent="0.25">
      <c r="A7666" s="101"/>
      <c r="B7666" s="36"/>
      <c r="C7666" s="98"/>
      <c r="D7666" s="98"/>
      <c r="E7666" s="98"/>
      <c r="F7666" s="102"/>
      <c r="G7666" s="103"/>
    </row>
    <row r="7667" spans="1:7" x14ac:dyDescent="0.25">
      <c r="A7667" s="101"/>
      <c r="B7667" s="36"/>
      <c r="C7667" s="98"/>
      <c r="D7667" s="98"/>
      <c r="E7667" s="98"/>
      <c r="F7667" s="102"/>
      <c r="G7667" s="103"/>
    </row>
    <row r="7668" spans="1:7" x14ac:dyDescent="0.25">
      <c r="A7668" s="101"/>
      <c r="B7668" s="36"/>
      <c r="C7668" s="98"/>
      <c r="D7668" s="98"/>
      <c r="E7668" s="98"/>
      <c r="F7668" s="102"/>
      <c r="G7668" s="103"/>
    </row>
    <row r="7669" spans="1:7" x14ac:dyDescent="0.25">
      <c r="A7669" s="101"/>
      <c r="B7669" s="36"/>
      <c r="C7669" s="98"/>
      <c r="D7669" s="98"/>
      <c r="E7669" s="98"/>
      <c r="F7669" s="102"/>
      <c r="G7669" s="103"/>
    </row>
    <row r="7670" spans="1:7" x14ac:dyDescent="0.25">
      <c r="A7670" s="101"/>
      <c r="B7670" s="36"/>
      <c r="C7670" s="98"/>
      <c r="D7670" s="98"/>
      <c r="E7670" s="98"/>
      <c r="F7670" s="102"/>
      <c r="G7670" s="103"/>
    </row>
    <row r="7671" spans="1:7" x14ac:dyDescent="0.25">
      <c r="A7671" s="101"/>
      <c r="B7671" s="36"/>
      <c r="C7671" s="98"/>
      <c r="D7671" s="98"/>
      <c r="E7671" s="98"/>
      <c r="F7671" s="102"/>
      <c r="G7671" s="103"/>
    </row>
    <row r="7672" spans="1:7" x14ac:dyDescent="0.25">
      <c r="A7672" s="101"/>
      <c r="B7672" s="36"/>
      <c r="C7672" s="98"/>
      <c r="D7672" s="98"/>
      <c r="E7672" s="98"/>
      <c r="F7672" s="102"/>
      <c r="G7672" s="103"/>
    </row>
    <row r="7673" spans="1:7" x14ac:dyDescent="0.25">
      <c r="A7673" s="101"/>
      <c r="B7673" s="36"/>
      <c r="C7673" s="98"/>
      <c r="D7673" s="98"/>
      <c r="E7673" s="98"/>
      <c r="F7673" s="102"/>
      <c r="G7673" s="103"/>
    </row>
    <row r="7674" spans="1:7" x14ac:dyDescent="0.25">
      <c r="A7674" s="101"/>
      <c r="B7674" s="36"/>
      <c r="C7674" s="98"/>
      <c r="D7674" s="98"/>
      <c r="E7674" s="98"/>
      <c r="F7674" s="102"/>
      <c r="G7674" s="103"/>
    </row>
    <row r="7675" spans="1:7" x14ac:dyDescent="0.25">
      <c r="A7675" s="101"/>
      <c r="B7675" s="36"/>
      <c r="C7675" s="98"/>
      <c r="D7675" s="98"/>
      <c r="E7675" s="98"/>
      <c r="F7675" s="102"/>
      <c r="G7675" s="103"/>
    </row>
    <row r="7676" spans="1:7" x14ac:dyDescent="0.25">
      <c r="A7676" s="101"/>
      <c r="B7676" s="36"/>
      <c r="C7676" s="98"/>
      <c r="D7676" s="98"/>
      <c r="E7676" s="98"/>
      <c r="F7676" s="102"/>
      <c r="G7676" s="103"/>
    </row>
    <row r="7677" spans="1:7" x14ac:dyDescent="0.25">
      <c r="A7677" s="101"/>
      <c r="B7677" s="36"/>
      <c r="C7677" s="98"/>
      <c r="D7677" s="98"/>
      <c r="E7677" s="98"/>
      <c r="F7677" s="102"/>
      <c r="G7677" s="103"/>
    </row>
    <row r="7678" spans="1:7" x14ac:dyDescent="0.25">
      <c r="A7678" s="101"/>
      <c r="B7678" s="36"/>
      <c r="C7678" s="98"/>
      <c r="D7678" s="98"/>
      <c r="E7678" s="98"/>
      <c r="F7678" s="102"/>
      <c r="G7678" s="103"/>
    </row>
    <row r="7679" spans="1:7" x14ac:dyDescent="0.25">
      <c r="A7679" s="101"/>
      <c r="B7679" s="36"/>
      <c r="C7679" s="98"/>
      <c r="D7679" s="98"/>
      <c r="E7679" s="98"/>
      <c r="F7679" s="102"/>
      <c r="G7679" s="103"/>
    </row>
    <row r="7680" spans="1:7" x14ac:dyDescent="0.25">
      <c r="A7680" s="101"/>
      <c r="B7680" s="36"/>
      <c r="C7680" s="98"/>
      <c r="D7680" s="98"/>
      <c r="E7680" s="98"/>
      <c r="F7680" s="102"/>
      <c r="G7680" s="103"/>
    </row>
    <row r="7681" spans="1:7" x14ac:dyDescent="0.25">
      <c r="A7681" s="101"/>
      <c r="B7681" s="36"/>
      <c r="C7681" s="98"/>
      <c r="D7681" s="98"/>
      <c r="E7681" s="98"/>
      <c r="F7681" s="102"/>
      <c r="G7681" s="103"/>
    </row>
    <row r="7682" spans="1:7" x14ac:dyDescent="0.25">
      <c r="A7682" s="101"/>
      <c r="B7682" s="36"/>
      <c r="C7682" s="98"/>
      <c r="D7682" s="98"/>
      <c r="E7682" s="98"/>
      <c r="F7682" s="102"/>
      <c r="G7682" s="103"/>
    </row>
    <row r="7683" spans="1:7" x14ac:dyDescent="0.25">
      <c r="A7683" s="101"/>
      <c r="B7683" s="36"/>
      <c r="C7683" s="98"/>
      <c r="D7683" s="98"/>
      <c r="E7683" s="98"/>
      <c r="F7683" s="102"/>
      <c r="G7683" s="103"/>
    </row>
    <row r="7684" spans="1:7" x14ac:dyDescent="0.25">
      <c r="A7684" s="101"/>
      <c r="B7684" s="36"/>
      <c r="C7684" s="98"/>
      <c r="D7684" s="98"/>
      <c r="E7684" s="98"/>
      <c r="F7684" s="102"/>
      <c r="G7684" s="103"/>
    </row>
    <row r="7685" spans="1:7" x14ac:dyDescent="0.25">
      <c r="A7685" s="101"/>
      <c r="B7685" s="36"/>
      <c r="C7685" s="98"/>
      <c r="D7685" s="98"/>
      <c r="E7685" s="98"/>
      <c r="F7685" s="102"/>
      <c r="G7685" s="103"/>
    </row>
    <row r="7686" spans="1:7" x14ac:dyDescent="0.25">
      <c r="A7686" s="101"/>
      <c r="B7686" s="36"/>
      <c r="C7686" s="98"/>
      <c r="D7686" s="98"/>
      <c r="E7686" s="98"/>
      <c r="F7686" s="102"/>
      <c r="G7686" s="103"/>
    </row>
    <row r="7687" spans="1:7" x14ac:dyDescent="0.25">
      <c r="A7687" s="101"/>
      <c r="B7687" s="36"/>
      <c r="C7687" s="98"/>
      <c r="D7687" s="98"/>
      <c r="E7687" s="98"/>
      <c r="F7687" s="102"/>
      <c r="G7687" s="103"/>
    </row>
    <row r="7688" spans="1:7" x14ac:dyDescent="0.25">
      <c r="A7688" s="101"/>
      <c r="B7688" s="36"/>
      <c r="C7688" s="98"/>
      <c r="D7688" s="98"/>
      <c r="E7688" s="98"/>
      <c r="F7688" s="102"/>
      <c r="G7688" s="103"/>
    </row>
    <row r="7689" spans="1:7" x14ac:dyDescent="0.25">
      <c r="A7689" s="101"/>
      <c r="B7689" s="36"/>
      <c r="C7689" s="98"/>
      <c r="D7689" s="98"/>
      <c r="E7689" s="98"/>
      <c r="F7689" s="102"/>
      <c r="G7689" s="103"/>
    </row>
    <row r="7690" spans="1:7" x14ac:dyDescent="0.25">
      <c r="A7690" s="101"/>
      <c r="B7690" s="36"/>
      <c r="C7690" s="98"/>
      <c r="D7690" s="98"/>
      <c r="E7690" s="98"/>
      <c r="F7690" s="102"/>
      <c r="G7690" s="103"/>
    </row>
    <row r="7691" spans="1:7" x14ac:dyDescent="0.25">
      <c r="A7691" s="101"/>
      <c r="B7691" s="36"/>
      <c r="C7691" s="98"/>
      <c r="D7691" s="98"/>
      <c r="E7691" s="98"/>
      <c r="F7691" s="102"/>
      <c r="G7691" s="103"/>
    </row>
    <row r="7692" spans="1:7" x14ac:dyDescent="0.25">
      <c r="A7692" s="101"/>
      <c r="B7692" s="36"/>
      <c r="C7692" s="98"/>
      <c r="D7692" s="98"/>
      <c r="E7692" s="98"/>
      <c r="F7692" s="102"/>
      <c r="G7692" s="103"/>
    </row>
    <row r="7693" spans="1:7" x14ac:dyDescent="0.25">
      <c r="A7693" s="101"/>
      <c r="B7693" s="36"/>
      <c r="C7693" s="98"/>
      <c r="D7693" s="98"/>
      <c r="E7693" s="98"/>
      <c r="F7693" s="102"/>
      <c r="G7693" s="103"/>
    </row>
    <row r="7694" spans="1:7" x14ac:dyDescent="0.25">
      <c r="A7694" s="101"/>
      <c r="B7694" s="36"/>
      <c r="C7694" s="98"/>
      <c r="D7694" s="98"/>
      <c r="E7694" s="98"/>
      <c r="F7694" s="102"/>
      <c r="G7694" s="103"/>
    </row>
    <row r="7695" spans="1:7" x14ac:dyDescent="0.25">
      <c r="A7695" s="101"/>
      <c r="B7695" s="36"/>
      <c r="C7695" s="98"/>
      <c r="D7695" s="98"/>
      <c r="E7695" s="98"/>
      <c r="F7695" s="102"/>
      <c r="G7695" s="103"/>
    </row>
    <row r="7696" spans="1:7" x14ac:dyDescent="0.25">
      <c r="A7696" s="101"/>
      <c r="B7696" s="36"/>
      <c r="C7696" s="98"/>
      <c r="D7696" s="98"/>
      <c r="E7696" s="98"/>
      <c r="F7696" s="102"/>
      <c r="G7696" s="103"/>
    </row>
    <row r="7697" spans="1:7" x14ac:dyDescent="0.25">
      <c r="A7697" s="101"/>
      <c r="B7697" s="36"/>
      <c r="C7697" s="98"/>
      <c r="D7697" s="98"/>
      <c r="E7697" s="98"/>
      <c r="F7697" s="102"/>
      <c r="G7697" s="103"/>
    </row>
    <row r="7698" spans="1:7" x14ac:dyDescent="0.25">
      <c r="A7698" s="101"/>
      <c r="B7698" s="36"/>
      <c r="C7698" s="98"/>
      <c r="D7698" s="98"/>
      <c r="E7698" s="98"/>
      <c r="F7698" s="102"/>
      <c r="G7698" s="103"/>
    </row>
    <row r="7699" spans="1:7" x14ac:dyDescent="0.25">
      <c r="A7699" s="101"/>
      <c r="B7699" s="36"/>
      <c r="C7699" s="98"/>
      <c r="D7699" s="98"/>
      <c r="E7699" s="98"/>
      <c r="F7699" s="102"/>
      <c r="G7699" s="103"/>
    </row>
    <row r="7700" spans="1:7" x14ac:dyDescent="0.25">
      <c r="A7700" s="101"/>
      <c r="B7700" s="36"/>
      <c r="C7700" s="98"/>
      <c r="D7700" s="98"/>
      <c r="E7700" s="98"/>
      <c r="F7700" s="102"/>
      <c r="G7700" s="103"/>
    </row>
    <row r="7701" spans="1:7" x14ac:dyDescent="0.25">
      <c r="A7701" s="101"/>
      <c r="B7701" s="36"/>
      <c r="C7701" s="98"/>
      <c r="D7701" s="98"/>
      <c r="E7701" s="98"/>
      <c r="F7701" s="102"/>
      <c r="G7701" s="103"/>
    </row>
    <row r="7702" spans="1:7" x14ac:dyDescent="0.25">
      <c r="A7702" s="101"/>
      <c r="B7702" s="36"/>
      <c r="C7702" s="98"/>
      <c r="D7702" s="98"/>
      <c r="E7702" s="98"/>
      <c r="F7702" s="102"/>
      <c r="G7702" s="103"/>
    </row>
    <row r="7703" spans="1:7" x14ac:dyDescent="0.25">
      <c r="A7703" s="101"/>
      <c r="B7703" s="36"/>
      <c r="C7703" s="98"/>
      <c r="D7703" s="98"/>
      <c r="E7703" s="98"/>
      <c r="F7703" s="102"/>
      <c r="G7703" s="103"/>
    </row>
    <row r="7704" spans="1:7" x14ac:dyDescent="0.25">
      <c r="A7704" s="101"/>
      <c r="B7704" s="36"/>
      <c r="C7704" s="98"/>
      <c r="D7704" s="98"/>
      <c r="E7704" s="98"/>
      <c r="F7704" s="102"/>
      <c r="G7704" s="103"/>
    </row>
    <row r="7705" spans="1:7" x14ac:dyDescent="0.25">
      <c r="A7705" s="101"/>
      <c r="B7705" s="36"/>
      <c r="C7705" s="98"/>
      <c r="D7705" s="98"/>
      <c r="E7705" s="98"/>
      <c r="F7705" s="102"/>
      <c r="G7705" s="103"/>
    </row>
    <row r="7706" spans="1:7" x14ac:dyDescent="0.25">
      <c r="A7706" s="101"/>
      <c r="B7706" s="36"/>
      <c r="C7706" s="98"/>
      <c r="D7706" s="98"/>
      <c r="E7706" s="98"/>
      <c r="F7706" s="102"/>
      <c r="G7706" s="103"/>
    </row>
    <row r="7707" spans="1:7" x14ac:dyDescent="0.25">
      <c r="A7707" s="101"/>
      <c r="B7707" s="36"/>
      <c r="C7707" s="98"/>
      <c r="D7707" s="98"/>
      <c r="E7707" s="98"/>
      <c r="F7707" s="102"/>
      <c r="G7707" s="103"/>
    </row>
    <row r="7708" spans="1:7" x14ac:dyDescent="0.25">
      <c r="A7708" s="101"/>
      <c r="B7708" s="36"/>
      <c r="C7708" s="98"/>
      <c r="D7708" s="98"/>
      <c r="E7708" s="98"/>
      <c r="F7708" s="102"/>
      <c r="G7708" s="103"/>
    </row>
    <row r="7709" spans="1:7" x14ac:dyDescent="0.25">
      <c r="A7709" s="101"/>
      <c r="B7709" s="36"/>
      <c r="C7709" s="98"/>
      <c r="D7709" s="98"/>
      <c r="E7709" s="98"/>
      <c r="F7709" s="102"/>
      <c r="G7709" s="103"/>
    </row>
    <row r="7710" spans="1:7" x14ac:dyDescent="0.25">
      <c r="A7710" s="101"/>
      <c r="B7710" s="36"/>
      <c r="C7710" s="98"/>
      <c r="D7710" s="98"/>
      <c r="E7710" s="98"/>
      <c r="F7710" s="102"/>
      <c r="G7710" s="103"/>
    </row>
    <row r="7711" spans="1:7" x14ac:dyDescent="0.25">
      <c r="A7711" s="101"/>
      <c r="B7711" s="36"/>
      <c r="C7711" s="98"/>
      <c r="D7711" s="98"/>
      <c r="E7711" s="98"/>
      <c r="F7711" s="102"/>
      <c r="G7711" s="103"/>
    </row>
    <row r="7712" spans="1:7" x14ac:dyDescent="0.25">
      <c r="A7712" s="101"/>
      <c r="B7712" s="36"/>
      <c r="C7712" s="98"/>
      <c r="D7712" s="98"/>
      <c r="E7712" s="98"/>
      <c r="F7712" s="102"/>
      <c r="G7712" s="103"/>
    </row>
    <row r="7713" spans="1:7" x14ac:dyDescent="0.25">
      <c r="A7713" s="101"/>
      <c r="B7713" s="36"/>
      <c r="C7713" s="98"/>
      <c r="D7713" s="98"/>
      <c r="E7713" s="98"/>
      <c r="F7713" s="102"/>
      <c r="G7713" s="103"/>
    </row>
    <row r="7714" spans="1:7" x14ac:dyDescent="0.25">
      <c r="A7714" s="101"/>
      <c r="B7714" s="36"/>
      <c r="C7714" s="98"/>
      <c r="D7714" s="98"/>
      <c r="E7714" s="98"/>
      <c r="F7714" s="102"/>
      <c r="G7714" s="103"/>
    </row>
    <row r="7715" spans="1:7" x14ac:dyDescent="0.25">
      <c r="A7715" s="101"/>
      <c r="B7715" s="36"/>
      <c r="C7715" s="98"/>
      <c r="D7715" s="98"/>
      <c r="E7715" s="98"/>
      <c r="F7715" s="102"/>
      <c r="G7715" s="103"/>
    </row>
    <row r="7716" spans="1:7" x14ac:dyDescent="0.25">
      <c r="A7716" s="101"/>
      <c r="B7716" s="36"/>
      <c r="C7716" s="98"/>
      <c r="D7716" s="98"/>
      <c r="E7716" s="98"/>
      <c r="F7716" s="102"/>
      <c r="G7716" s="103"/>
    </row>
    <row r="7717" spans="1:7" x14ac:dyDescent="0.25">
      <c r="A7717" s="101"/>
      <c r="B7717" s="36"/>
      <c r="C7717" s="98"/>
      <c r="D7717" s="98"/>
      <c r="E7717" s="98"/>
      <c r="F7717" s="102"/>
      <c r="G7717" s="103"/>
    </row>
    <row r="7718" spans="1:7" x14ac:dyDescent="0.25">
      <c r="A7718" s="101"/>
      <c r="B7718" s="36"/>
      <c r="C7718" s="98"/>
      <c r="D7718" s="98"/>
      <c r="E7718" s="98"/>
      <c r="F7718" s="102"/>
      <c r="G7718" s="103"/>
    </row>
    <row r="7719" spans="1:7" x14ac:dyDescent="0.25">
      <c r="A7719" s="101"/>
      <c r="B7719" s="36"/>
      <c r="C7719" s="98"/>
      <c r="D7719" s="98"/>
      <c r="E7719" s="98"/>
      <c r="F7719" s="102"/>
      <c r="G7719" s="103"/>
    </row>
    <row r="7720" spans="1:7" x14ac:dyDescent="0.25">
      <c r="A7720" s="101"/>
      <c r="B7720" s="36"/>
      <c r="C7720" s="98"/>
      <c r="D7720" s="98"/>
      <c r="E7720" s="98"/>
      <c r="F7720" s="102"/>
      <c r="G7720" s="103"/>
    </row>
    <row r="7721" spans="1:7" x14ac:dyDescent="0.25">
      <c r="A7721" s="101"/>
      <c r="B7721" s="36"/>
      <c r="C7721" s="98"/>
      <c r="D7721" s="98"/>
      <c r="E7721" s="98"/>
      <c r="F7721" s="102"/>
      <c r="G7721" s="103"/>
    </row>
    <row r="7722" spans="1:7" x14ac:dyDescent="0.25">
      <c r="A7722" s="101"/>
      <c r="B7722" s="36"/>
      <c r="C7722" s="98"/>
      <c r="D7722" s="98"/>
      <c r="E7722" s="98"/>
      <c r="F7722" s="102"/>
      <c r="G7722" s="103"/>
    </row>
    <row r="7723" spans="1:7" x14ac:dyDescent="0.25">
      <c r="A7723" s="101"/>
      <c r="B7723" s="36"/>
      <c r="C7723" s="98"/>
      <c r="D7723" s="98"/>
      <c r="E7723" s="98"/>
      <c r="F7723" s="102"/>
      <c r="G7723" s="103"/>
    </row>
    <row r="7724" spans="1:7" x14ac:dyDescent="0.25">
      <c r="A7724" s="101"/>
      <c r="B7724" s="36"/>
      <c r="C7724" s="98"/>
      <c r="D7724" s="98"/>
      <c r="E7724" s="98"/>
      <c r="F7724" s="102"/>
      <c r="G7724" s="103"/>
    </row>
    <row r="7725" spans="1:7" x14ac:dyDescent="0.25">
      <c r="A7725" s="101"/>
      <c r="B7725" s="36"/>
      <c r="C7725" s="98"/>
      <c r="D7725" s="98"/>
      <c r="E7725" s="98"/>
      <c r="F7725" s="102"/>
      <c r="G7725" s="103"/>
    </row>
    <row r="7726" spans="1:7" x14ac:dyDescent="0.25">
      <c r="A7726" s="101"/>
      <c r="B7726" s="36"/>
      <c r="C7726" s="98"/>
      <c r="D7726" s="98"/>
      <c r="E7726" s="98"/>
      <c r="F7726" s="102"/>
      <c r="G7726" s="103"/>
    </row>
    <row r="7727" spans="1:7" x14ac:dyDescent="0.25">
      <c r="A7727" s="101"/>
      <c r="B7727" s="36"/>
      <c r="C7727" s="98"/>
      <c r="D7727" s="98"/>
      <c r="E7727" s="98"/>
      <c r="F7727" s="102"/>
      <c r="G7727" s="103"/>
    </row>
    <row r="7728" spans="1:7" x14ac:dyDescent="0.25">
      <c r="A7728" s="101"/>
      <c r="B7728" s="36"/>
      <c r="C7728" s="98"/>
      <c r="D7728" s="98"/>
      <c r="E7728" s="98"/>
      <c r="F7728" s="102"/>
      <c r="G7728" s="103"/>
    </row>
    <row r="7729" spans="1:7" x14ac:dyDescent="0.25">
      <c r="A7729" s="101"/>
      <c r="B7729" s="36"/>
      <c r="C7729" s="98"/>
      <c r="D7729" s="98"/>
      <c r="E7729" s="98"/>
      <c r="F7729" s="102"/>
      <c r="G7729" s="103"/>
    </row>
    <row r="7730" spans="1:7" x14ac:dyDescent="0.25">
      <c r="A7730" s="101"/>
      <c r="B7730" s="36"/>
      <c r="C7730" s="98"/>
      <c r="D7730" s="98"/>
      <c r="E7730" s="98"/>
      <c r="F7730" s="102"/>
      <c r="G7730" s="103"/>
    </row>
    <row r="7731" spans="1:7" x14ac:dyDescent="0.25">
      <c r="A7731" s="101"/>
      <c r="B7731" s="36"/>
      <c r="C7731" s="98"/>
      <c r="D7731" s="98"/>
      <c r="E7731" s="98"/>
      <c r="F7731" s="102"/>
      <c r="G7731" s="103"/>
    </row>
    <row r="7732" spans="1:7" x14ac:dyDescent="0.25">
      <c r="A7732" s="101"/>
      <c r="B7732" s="36"/>
      <c r="C7732" s="98"/>
      <c r="D7732" s="98"/>
      <c r="E7732" s="98"/>
      <c r="F7732" s="102"/>
      <c r="G7732" s="103"/>
    </row>
    <row r="7733" spans="1:7" x14ac:dyDescent="0.25">
      <c r="A7733" s="101"/>
      <c r="B7733" s="36"/>
      <c r="C7733" s="98"/>
      <c r="D7733" s="98"/>
      <c r="E7733" s="98"/>
      <c r="F7733" s="102"/>
      <c r="G7733" s="103"/>
    </row>
    <row r="7734" spans="1:7" x14ac:dyDescent="0.25">
      <c r="A7734" s="101"/>
      <c r="B7734" s="36"/>
      <c r="C7734" s="98"/>
      <c r="D7734" s="98"/>
      <c r="E7734" s="98"/>
      <c r="F7734" s="102"/>
      <c r="G7734" s="103"/>
    </row>
    <row r="7735" spans="1:7" x14ac:dyDescent="0.25">
      <c r="A7735" s="101"/>
      <c r="B7735" s="36"/>
      <c r="C7735" s="98"/>
      <c r="D7735" s="98"/>
      <c r="E7735" s="98"/>
      <c r="F7735" s="102"/>
      <c r="G7735" s="103"/>
    </row>
    <row r="7736" spans="1:7" x14ac:dyDescent="0.25">
      <c r="A7736" s="101"/>
      <c r="B7736" s="36"/>
      <c r="C7736" s="98"/>
      <c r="D7736" s="98"/>
      <c r="E7736" s="98"/>
      <c r="F7736" s="102"/>
      <c r="G7736" s="103"/>
    </row>
    <row r="7737" spans="1:7" x14ac:dyDescent="0.25">
      <c r="A7737" s="101"/>
      <c r="B7737" s="36"/>
      <c r="C7737" s="98"/>
      <c r="D7737" s="98"/>
      <c r="E7737" s="98"/>
      <c r="F7737" s="102"/>
      <c r="G7737" s="103"/>
    </row>
    <row r="7738" spans="1:7" x14ac:dyDescent="0.25">
      <c r="A7738" s="101"/>
      <c r="B7738" s="36"/>
      <c r="C7738" s="98"/>
      <c r="D7738" s="98"/>
      <c r="E7738" s="98"/>
      <c r="F7738" s="102"/>
      <c r="G7738" s="103"/>
    </row>
    <row r="7739" spans="1:7" x14ac:dyDescent="0.25">
      <c r="A7739" s="101"/>
      <c r="B7739" s="36"/>
      <c r="C7739" s="98"/>
      <c r="D7739" s="98"/>
      <c r="E7739" s="98"/>
      <c r="F7739" s="102"/>
      <c r="G7739" s="103"/>
    </row>
    <row r="7740" spans="1:7" x14ac:dyDescent="0.25">
      <c r="A7740" s="101"/>
      <c r="B7740" s="36"/>
      <c r="C7740" s="98"/>
      <c r="D7740" s="98"/>
      <c r="E7740" s="98"/>
      <c r="F7740" s="102"/>
      <c r="G7740" s="103"/>
    </row>
    <row r="7741" spans="1:7" x14ac:dyDescent="0.25">
      <c r="A7741" s="101"/>
      <c r="B7741" s="36"/>
      <c r="C7741" s="98"/>
      <c r="D7741" s="98"/>
      <c r="E7741" s="98"/>
      <c r="F7741" s="102"/>
      <c r="G7741" s="103"/>
    </row>
    <row r="7742" spans="1:7" x14ac:dyDescent="0.25">
      <c r="A7742" s="101"/>
      <c r="B7742" s="36"/>
      <c r="C7742" s="98"/>
      <c r="D7742" s="98"/>
      <c r="E7742" s="98"/>
      <c r="F7742" s="102"/>
      <c r="G7742" s="103"/>
    </row>
    <row r="7743" spans="1:7" x14ac:dyDescent="0.25">
      <c r="A7743" s="101"/>
      <c r="B7743" s="36"/>
      <c r="C7743" s="98"/>
      <c r="D7743" s="98"/>
      <c r="E7743" s="98"/>
      <c r="F7743" s="102"/>
      <c r="G7743" s="103"/>
    </row>
    <row r="7744" spans="1:7" x14ac:dyDescent="0.25">
      <c r="A7744" s="101"/>
      <c r="B7744" s="36"/>
      <c r="C7744" s="98"/>
      <c r="D7744" s="98"/>
      <c r="E7744" s="98"/>
      <c r="F7744" s="102"/>
      <c r="G7744" s="103"/>
    </row>
    <row r="7745" spans="1:7" x14ac:dyDescent="0.25">
      <c r="A7745" s="101"/>
      <c r="B7745" s="36"/>
      <c r="C7745" s="98"/>
      <c r="D7745" s="98"/>
      <c r="E7745" s="98"/>
      <c r="F7745" s="102"/>
      <c r="G7745" s="103"/>
    </row>
    <row r="7746" spans="1:7" x14ac:dyDescent="0.25">
      <c r="A7746" s="101"/>
      <c r="B7746" s="36"/>
      <c r="C7746" s="98"/>
      <c r="D7746" s="98"/>
      <c r="E7746" s="98"/>
      <c r="F7746" s="102"/>
      <c r="G7746" s="103"/>
    </row>
    <row r="7747" spans="1:7" x14ac:dyDescent="0.25">
      <c r="A7747" s="101"/>
      <c r="B7747" s="36"/>
      <c r="C7747" s="98"/>
      <c r="D7747" s="98"/>
      <c r="E7747" s="98"/>
      <c r="F7747" s="102"/>
      <c r="G7747" s="103"/>
    </row>
    <row r="7748" spans="1:7" x14ac:dyDescent="0.25">
      <c r="A7748" s="101"/>
      <c r="B7748" s="36"/>
      <c r="C7748" s="98"/>
      <c r="D7748" s="98"/>
      <c r="E7748" s="98"/>
      <c r="F7748" s="102"/>
      <c r="G7748" s="103"/>
    </row>
    <row r="7749" spans="1:7" x14ac:dyDescent="0.25">
      <c r="A7749" s="101"/>
      <c r="B7749" s="36"/>
      <c r="C7749" s="98"/>
      <c r="D7749" s="98"/>
      <c r="E7749" s="98"/>
      <c r="F7749" s="102"/>
      <c r="G7749" s="103"/>
    </row>
    <row r="7750" spans="1:7" x14ac:dyDescent="0.25">
      <c r="A7750" s="101"/>
      <c r="B7750" s="36"/>
      <c r="C7750" s="98"/>
      <c r="D7750" s="98"/>
      <c r="E7750" s="98"/>
      <c r="F7750" s="102"/>
      <c r="G7750" s="103"/>
    </row>
    <row r="7751" spans="1:7" x14ac:dyDescent="0.25">
      <c r="A7751" s="101"/>
      <c r="B7751" s="36"/>
      <c r="C7751" s="98"/>
      <c r="D7751" s="98"/>
      <c r="E7751" s="98"/>
      <c r="F7751" s="102"/>
      <c r="G7751" s="103"/>
    </row>
    <row r="7752" spans="1:7" x14ac:dyDescent="0.25">
      <c r="A7752" s="101"/>
      <c r="B7752" s="36"/>
      <c r="C7752" s="98"/>
      <c r="D7752" s="98"/>
      <c r="E7752" s="98"/>
      <c r="F7752" s="102"/>
      <c r="G7752" s="103"/>
    </row>
    <row r="7753" spans="1:7" x14ac:dyDescent="0.25">
      <c r="A7753" s="101"/>
      <c r="B7753" s="36"/>
      <c r="C7753" s="98"/>
      <c r="D7753" s="98"/>
      <c r="E7753" s="98"/>
      <c r="F7753" s="102"/>
      <c r="G7753" s="103"/>
    </row>
    <row r="7754" spans="1:7" x14ac:dyDescent="0.25">
      <c r="A7754" s="101"/>
      <c r="B7754" s="36"/>
      <c r="C7754" s="98"/>
      <c r="D7754" s="98"/>
      <c r="E7754" s="98"/>
      <c r="F7754" s="102"/>
      <c r="G7754" s="103"/>
    </row>
    <row r="7755" spans="1:7" x14ac:dyDescent="0.25">
      <c r="A7755" s="101"/>
      <c r="B7755" s="36"/>
      <c r="C7755" s="98"/>
      <c r="D7755" s="98"/>
      <c r="E7755" s="98"/>
      <c r="F7755" s="102"/>
      <c r="G7755" s="103"/>
    </row>
    <row r="7756" spans="1:7" x14ac:dyDescent="0.25">
      <c r="A7756" s="101"/>
      <c r="B7756" s="36"/>
      <c r="C7756" s="98"/>
      <c r="D7756" s="98"/>
      <c r="E7756" s="98"/>
      <c r="F7756" s="102"/>
      <c r="G7756" s="103"/>
    </row>
    <row r="7757" spans="1:7" x14ac:dyDescent="0.25">
      <c r="A7757" s="101"/>
      <c r="B7757" s="36"/>
      <c r="C7757" s="98"/>
      <c r="D7757" s="98"/>
      <c r="E7757" s="98"/>
      <c r="F7757" s="102"/>
      <c r="G7757" s="103"/>
    </row>
    <row r="7758" spans="1:7" x14ac:dyDescent="0.25">
      <c r="A7758" s="101"/>
      <c r="B7758" s="36"/>
      <c r="C7758" s="98"/>
      <c r="D7758" s="98"/>
      <c r="E7758" s="98"/>
      <c r="F7758" s="102"/>
      <c r="G7758" s="103"/>
    </row>
    <row r="7759" spans="1:7" x14ac:dyDescent="0.25">
      <c r="A7759" s="101"/>
      <c r="B7759" s="36"/>
      <c r="C7759" s="98"/>
      <c r="D7759" s="98"/>
      <c r="E7759" s="98"/>
      <c r="F7759" s="102"/>
      <c r="G7759" s="103"/>
    </row>
    <row r="7760" spans="1:7" x14ac:dyDescent="0.25">
      <c r="A7760" s="101"/>
      <c r="B7760" s="36"/>
      <c r="C7760" s="98"/>
      <c r="D7760" s="98"/>
      <c r="E7760" s="98"/>
      <c r="F7760" s="102"/>
      <c r="G7760" s="103"/>
    </row>
    <row r="7761" spans="1:7" x14ac:dyDescent="0.25">
      <c r="A7761" s="101"/>
      <c r="B7761" s="36"/>
      <c r="C7761" s="98"/>
      <c r="D7761" s="98"/>
      <c r="E7761" s="98"/>
      <c r="F7761" s="102"/>
      <c r="G7761" s="103"/>
    </row>
    <row r="7762" spans="1:7" x14ac:dyDescent="0.25">
      <c r="A7762" s="101"/>
      <c r="B7762" s="36"/>
      <c r="C7762" s="98"/>
      <c r="D7762" s="98"/>
      <c r="E7762" s="98"/>
      <c r="F7762" s="102"/>
      <c r="G7762" s="103"/>
    </row>
    <row r="7763" spans="1:7" x14ac:dyDescent="0.25">
      <c r="A7763" s="101"/>
      <c r="B7763" s="36"/>
      <c r="C7763" s="98"/>
      <c r="D7763" s="98"/>
      <c r="E7763" s="98"/>
      <c r="F7763" s="102"/>
      <c r="G7763" s="103"/>
    </row>
    <row r="7764" spans="1:7" x14ac:dyDescent="0.25">
      <c r="A7764" s="101"/>
      <c r="B7764" s="36"/>
      <c r="C7764" s="98"/>
      <c r="D7764" s="98"/>
      <c r="E7764" s="98"/>
      <c r="F7764" s="102"/>
      <c r="G7764" s="103"/>
    </row>
    <row r="7765" spans="1:7" x14ac:dyDescent="0.25">
      <c r="A7765" s="101"/>
      <c r="B7765" s="36"/>
      <c r="C7765" s="98"/>
      <c r="D7765" s="98"/>
      <c r="E7765" s="98"/>
      <c r="F7765" s="102"/>
      <c r="G7765" s="103"/>
    </row>
  </sheetData>
  <sheetProtection sort="0" autoFilter="0"/>
  <protectedRanges>
    <protectedRange sqref="C6966:E6966 B6982 B6967:E6975 B6984:B6995 B6976:B6980 C6976:E6996 B6997:E7013 B7060:B7063 B7051:B7058 B7065:B7072 C7051:E7072 B7031:E7050 B7073:E7111 B7127:E7128 B7130:B7137 C7129:E7137 B7112:B7125 C7112:E7126 B7014:B7025 B7027:B7030 C7014:E7030 B7138:E1048576 B2:E6965" name="Frequencia_preenchimento"/>
    <protectedRange sqref="B6966" name="Cadastro_preenchimento"/>
    <protectedRange sqref="B6981" name="Cadastro_preenchimento_2"/>
    <protectedRange sqref="B6983" name="Cadastro_preenchimento_3"/>
    <protectedRange sqref="B6996" name="Cadastro_preenchimento_4"/>
    <protectedRange sqref="B7026" name="Cadastro_preenchimento_5"/>
    <protectedRange sqref="B7059" name="Cadastro_preenchimento_7"/>
    <protectedRange sqref="B7064" name="Cadastro_preenchimento_8"/>
    <protectedRange sqref="B7126" name="Cadastro_preenchimento_9"/>
    <protectedRange sqref="B7129" name="Cadastro_preenchimento_10"/>
  </protectedRanges>
  <mergeCells count="1">
    <mergeCell ref="D1:E1"/>
  </mergeCells>
  <conditionalFormatting sqref="A2:F2 A6957:B6965 A6967:B6980 A6982:B6982 A6984:B6995 A7027:B7058 A6997:B7025 A7060:B7063 A7065:B7125 A7127:B7128 A7130:B7247 A7481:B7519 A7521:B7527 A7529:B1048576 A6966 A6981 A6983 A6996 A7026 A7059 A7064 A7126 A7129 A7248 A7249:B7479 A7480 A7520 A7528 D3:E100 C101:E112 F3:F1048576 A3:A6956 B113:B305">
    <cfRule type="containsErrors" dxfId="145" priority="91">
      <formula>ISERROR(A2)</formula>
    </cfRule>
  </conditionalFormatting>
  <conditionalFormatting sqref="F3:F112">
    <cfRule type="cellIs" dxfId="144" priority="89" operator="greaterThan">
      <formula>100</formula>
    </cfRule>
  </conditionalFormatting>
  <conditionalFormatting sqref="G3">
    <cfRule type="containsErrors" dxfId="143" priority="88">
      <formula>ISERROR(G3)</formula>
    </cfRule>
  </conditionalFormatting>
  <conditionalFormatting sqref="G3">
    <cfRule type="cellIs" dxfId="142" priority="87" operator="equal">
      <formula>0</formula>
    </cfRule>
  </conditionalFormatting>
  <conditionalFormatting sqref="G2">
    <cfRule type="containsErrors" dxfId="141" priority="86">
      <formula>ISERROR(G2)</formula>
    </cfRule>
  </conditionalFormatting>
  <conditionalFormatting sqref="B395:B429 B432:B446 B468:B479 B483:B721 B724:B734 B1098:B1116 B1130:B1151 B1154:B1260 B1279:B1324 B1392:B1409 B1450:B1469 B1509:B1548 B1551:B1562 B2120:B2623 B5375:B5407 B5445:B5500 B6327:B6387 B6390:B6493 B5513:B6306 B4424:B5365 B2838:B4418 B2627:B2762 B1574:B2111 B740:B1093 B102:B103 B105:B106 B109:B110">
    <cfRule type="containsErrors" dxfId="140" priority="85">
      <formula>ISERROR(B102)</formula>
    </cfRule>
  </conditionalFormatting>
  <conditionalFormatting sqref="B6499:B6519 B6521:B6576 B6583:B6591 C6494:E6685 B6593:B6651 B6687:B6810 B6823 B6825:B6833 B6812:B6821 B6896:B6897 B6900:B6920 B6923:B6952 B6954 B6653:B6684 B6835:B6842 B6844:B6848 B6850 B6852:B6866 B6868:B6892 C6801:E6956 C6958:E6959 C6961:E6962 C6964:E6965 C6967:E6968 C6970:E6971">
    <cfRule type="containsErrors" dxfId="139" priority="84">
      <formula>ISERROR(B6494)</formula>
    </cfRule>
  </conditionalFormatting>
  <conditionalFormatting sqref="C6594:E6595">
    <cfRule type="containsErrors" dxfId="138" priority="83">
      <formula>ISERROR(C6594)</formula>
    </cfRule>
  </conditionalFormatting>
  <conditionalFormatting sqref="C6596:E6597">
    <cfRule type="containsErrors" dxfId="137" priority="82">
      <formula>ISERROR(C6596)</formula>
    </cfRule>
  </conditionalFormatting>
  <conditionalFormatting sqref="C6598:E6599">
    <cfRule type="containsErrors" dxfId="136" priority="81">
      <formula>ISERROR(C6598)</formula>
    </cfRule>
  </conditionalFormatting>
  <conditionalFormatting sqref="C6600:E6601">
    <cfRule type="containsErrors" dxfId="135" priority="80">
      <formula>ISERROR(C6600)</formula>
    </cfRule>
  </conditionalFormatting>
  <conditionalFormatting sqref="C6602:E6603">
    <cfRule type="containsErrors" dxfId="134" priority="79">
      <formula>ISERROR(C6602)</formula>
    </cfRule>
  </conditionalFormatting>
  <conditionalFormatting sqref="C6604:E6606">
    <cfRule type="containsErrors" dxfId="133" priority="78">
      <formula>ISERROR(C6604)</formula>
    </cfRule>
  </conditionalFormatting>
  <conditionalFormatting sqref="C6604:E6604">
    <cfRule type="containsErrors" dxfId="132" priority="77">
      <formula>ISERROR(C6604)</formula>
    </cfRule>
  </conditionalFormatting>
  <conditionalFormatting sqref="C6605:E6606">
    <cfRule type="containsErrors" dxfId="131" priority="76">
      <formula>ISERROR(C6605)</formula>
    </cfRule>
  </conditionalFormatting>
  <conditionalFormatting sqref="C6607:E6609">
    <cfRule type="containsErrors" dxfId="130" priority="75">
      <formula>ISERROR(C6607)</formula>
    </cfRule>
  </conditionalFormatting>
  <conditionalFormatting sqref="C6607:E6607">
    <cfRule type="containsErrors" dxfId="129" priority="74">
      <formula>ISERROR(C6607)</formula>
    </cfRule>
  </conditionalFormatting>
  <conditionalFormatting sqref="C6608:E6609">
    <cfRule type="containsErrors" dxfId="128" priority="73">
      <formula>ISERROR(C6608)</formula>
    </cfRule>
  </conditionalFormatting>
  <conditionalFormatting sqref="C6629:E6633">
    <cfRule type="containsErrors" dxfId="127" priority="72">
      <formula>ISERROR(C6629)</formula>
    </cfRule>
  </conditionalFormatting>
  <conditionalFormatting sqref="C6659:E6663">
    <cfRule type="containsErrors" dxfId="126" priority="71">
      <formula>ISERROR(C6659)</formula>
    </cfRule>
  </conditionalFormatting>
  <conditionalFormatting sqref="C6635:E6635">
    <cfRule type="containsErrors" dxfId="125" priority="70">
      <formula>ISERROR(C6635)</formula>
    </cfRule>
  </conditionalFormatting>
  <conditionalFormatting sqref="C6637:E6637">
    <cfRule type="containsErrors" dxfId="124" priority="69">
      <formula>ISERROR(C6637)</formula>
    </cfRule>
  </conditionalFormatting>
  <conditionalFormatting sqref="C6639:E6639">
    <cfRule type="containsErrors" dxfId="123" priority="68">
      <formula>ISERROR(C6639)</formula>
    </cfRule>
  </conditionalFormatting>
  <conditionalFormatting sqref="C6641:E6641">
    <cfRule type="containsErrors" dxfId="122" priority="67">
      <formula>ISERROR(C6641)</formula>
    </cfRule>
  </conditionalFormatting>
  <conditionalFormatting sqref="C6643:E6643">
    <cfRule type="containsErrors" dxfId="121" priority="66">
      <formula>ISERROR(C6643)</formula>
    </cfRule>
  </conditionalFormatting>
  <conditionalFormatting sqref="C6645:E6645">
    <cfRule type="containsErrors" dxfId="120" priority="65">
      <formula>ISERROR(C6645)</formula>
    </cfRule>
  </conditionalFormatting>
  <conditionalFormatting sqref="C6647:E6647">
    <cfRule type="containsErrors" dxfId="119" priority="64">
      <formula>ISERROR(C6647)</formula>
    </cfRule>
  </conditionalFormatting>
  <conditionalFormatting sqref="C6650:E6650">
    <cfRule type="containsErrors" dxfId="118" priority="63">
      <formula>ISERROR(C6650)</formula>
    </cfRule>
  </conditionalFormatting>
  <conditionalFormatting sqref="C6652:E6652">
    <cfRule type="containsErrors" dxfId="117" priority="62">
      <formula>ISERROR(C6652)</formula>
    </cfRule>
  </conditionalFormatting>
  <conditionalFormatting sqref="C6662:E6662">
    <cfRule type="containsErrors" dxfId="116" priority="61">
      <formula>ISERROR(C6662)</formula>
    </cfRule>
  </conditionalFormatting>
  <conditionalFormatting sqref="C6688:E6689">
    <cfRule type="containsErrors" dxfId="115" priority="58">
      <formula>ISERROR(C6688)</formula>
    </cfRule>
  </conditionalFormatting>
  <conditionalFormatting sqref="C6690:E6691">
    <cfRule type="containsErrors" dxfId="114" priority="57">
      <formula>ISERROR(C6690)</formula>
    </cfRule>
  </conditionalFormatting>
  <conditionalFormatting sqref="C6702:E6724">
    <cfRule type="containsErrors" dxfId="113" priority="60">
      <formula>ISERROR(C6702)</formula>
    </cfRule>
  </conditionalFormatting>
  <conditionalFormatting sqref="C6686:E6687">
    <cfRule type="containsErrors" dxfId="112" priority="59">
      <formula>ISERROR(C6686)</formula>
    </cfRule>
  </conditionalFormatting>
  <conditionalFormatting sqref="C6692:E6693">
    <cfRule type="containsErrors" dxfId="111" priority="56">
      <formula>ISERROR(C6692)</formula>
    </cfRule>
  </conditionalFormatting>
  <conditionalFormatting sqref="C6694:E6695">
    <cfRule type="containsErrors" dxfId="110" priority="55">
      <formula>ISERROR(C6694)</formula>
    </cfRule>
  </conditionalFormatting>
  <conditionalFormatting sqref="C6696:E6697">
    <cfRule type="containsErrors" dxfId="109" priority="54">
      <formula>ISERROR(C6696)</formula>
    </cfRule>
  </conditionalFormatting>
  <conditionalFormatting sqref="C6698:E6699">
    <cfRule type="containsErrors" dxfId="108" priority="53">
      <formula>ISERROR(C6698)</formula>
    </cfRule>
  </conditionalFormatting>
  <conditionalFormatting sqref="C6700:E6701">
    <cfRule type="containsErrors" dxfId="107" priority="52">
      <formula>ISERROR(C6700)</formula>
    </cfRule>
  </conditionalFormatting>
  <conditionalFormatting sqref="C6957:E6957 C6960:E6960 C6963:E6963 C6966:E6966 C6969:E6969 C6972:E6972">
    <cfRule type="containsErrors" dxfId="106" priority="51">
      <formula>ISERROR(C6957)</formula>
    </cfRule>
  </conditionalFormatting>
  <conditionalFormatting sqref="C86">
    <cfRule type="containsErrors" dxfId="105" priority="17">
      <formula>ISERROR(C86)</formula>
    </cfRule>
  </conditionalFormatting>
  <conditionalFormatting sqref="C3:C100">
    <cfRule type="containsErrors" dxfId="104" priority="16">
      <formula>ISERROR(C3)</formula>
    </cfRule>
  </conditionalFormatting>
  <conditionalFormatting sqref="B6">
    <cfRule type="containsErrors" dxfId="103" priority="14">
      <formula>ISERROR(B6)</formula>
    </cfRule>
  </conditionalFormatting>
  <conditionalFormatting sqref="B3:B22">
    <cfRule type="duplicateValues" dxfId="102" priority="15"/>
  </conditionalFormatting>
  <conditionalFormatting sqref="B26">
    <cfRule type="containsErrors" dxfId="101" priority="12">
      <formula>ISERROR(B26)</formula>
    </cfRule>
  </conditionalFormatting>
  <conditionalFormatting sqref="B23:B30">
    <cfRule type="duplicateValues" dxfId="100" priority="13"/>
  </conditionalFormatting>
  <conditionalFormatting sqref="B31:B39">
    <cfRule type="duplicateValues" dxfId="99" priority="11"/>
  </conditionalFormatting>
  <conditionalFormatting sqref="B40:B41">
    <cfRule type="duplicateValues" dxfId="98" priority="10"/>
  </conditionalFormatting>
  <conditionalFormatting sqref="B42:B56">
    <cfRule type="duplicateValues" dxfId="97" priority="9"/>
  </conditionalFormatting>
  <conditionalFormatting sqref="B60">
    <cfRule type="containsErrors" dxfId="96" priority="7">
      <formula>ISERROR(B60)</formula>
    </cfRule>
  </conditionalFormatting>
  <conditionalFormatting sqref="B57:B61">
    <cfRule type="duplicateValues" dxfId="95" priority="8"/>
  </conditionalFormatting>
  <conditionalFormatting sqref="B62:B73">
    <cfRule type="duplicateValues" dxfId="94" priority="6"/>
  </conditionalFormatting>
  <conditionalFormatting sqref="B77">
    <cfRule type="containsErrors" dxfId="93" priority="4">
      <formula>ISERROR(B77)</formula>
    </cfRule>
  </conditionalFormatting>
  <conditionalFormatting sqref="B74:B81">
    <cfRule type="duplicateValues" dxfId="92" priority="5"/>
  </conditionalFormatting>
  <conditionalFormatting sqref="B82:B86">
    <cfRule type="duplicateValues" dxfId="91" priority="3"/>
  </conditionalFormatting>
  <conditionalFormatting sqref="B90">
    <cfRule type="containsErrors" dxfId="90" priority="1">
      <formula>ISERROR(B90)</formula>
    </cfRule>
  </conditionalFormatting>
  <conditionalFormatting sqref="B87:B100">
    <cfRule type="duplicateValues" dxfId="89" priority="2"/>
  </conditionalFormatting>
  <dataValidations count="2">
    <dataValidation type="date" operator="greaterThan" allowBlank="1" showErrorMessage="1" errorTitle="Erro de formato" error="Favor preencher a data com o formato dd/mm/aaaa" sqref="C3:C100 C102:C112">
      <formula1>40179</formula1>
    </dataValidation>
    <dataValidation type="list" operator="greaterThan" allowBlank="1" showErrorMessage="1" errorTitle="Erro de formato" error="Preencher com S ou N." sqref="D1:E1048576">
      <formula1>"S,N"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I600"/>
  <sheetViews>
    <sheetView zoomScale="115" zoomScaleNormal="115" workbookViewId="0">
      <selection activeCell="X41" sqref="X41"/>
    </sheetView>
  </sheetViews>
  <sheetFormatPr defaultRowHeight="15" x14ac:dyDescent="0.25"/>
  <cols>
    <col min="1" max="1" width="1.7109375" style="50" customWidth="1"/>
    <col min="2" max="2" width="8.28515625" style="50" customWidth="1"/>
    <col min="3" max="19" width="4.7109375" style="50" customWidth="1"/>
    <col min="20" max="20" width="1.7109375" style="50" customWidth="1"/>
    <col min="21" max="21" width="2.7109375" style="50" customWidth="1"/>
    <col min="22" max="22" width="8.7109375" style="50" customWidth="1"/>
    <col min="23" max="23" width="1.7109375" style="50" customWidth="1"/>
    <col min="24" max="24" width="8.42578125" style="50" customWidth="1"/>
    <col min="25" max="25" width="5.7109375" style="50" customWidth="1"/>
    <col min="26" max="28" width="8.7109375" style="50" customWidth="1"/>
    <col min="29" max="29" width="1.7109375" style="50" customWidth="1"/>
    <col min="30" max="35" width="8.7109375" style="50" customWidth="1"/>
    <col min="36" max="16384" width="9.140625" style="50"/>
  </cols>
  <sheetData>
    <row r="1" spans="1:35" ht="7.5" customHeight="1" x14ac:dyDescent="0.25">
      <c r="A1" s="83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7"/>
    </row>
    <row r="2" spans="1:35" ht="15" customHeight="1" x14ac:dyDescent="0.25">
      <c r="A2" s="85"/>
      <c r="B2" s="51"/>
      <c r="C2" s="51"/>
      <c r="D2" s="51"/>
      <c r="E2" s="51"/>
      <c r="F2" s="261" t="s">
        <v>158</v>
      </c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51"/>
      <c r="R2" s="51"/>
      <c r="S2" s="51"/>
      <c r="T2" s="86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</row>
    <row r="3" spans="1:35" ht="15.75" x14ac:dyDescent="0.25">
      <c r="A3" s="85"/>
      <c r="B3" s="51"/>
      <c r="C3" s="51"/>
      <c r="D3" s="51"/>
      <c r="E3" s="51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51"/>
      <c r="R3" s="51"/>
      <c r="S3" s="51"/>
      <c r="T3" s="86"/>
      <c r="X3" s="51"/>
      <c r="Y3" s="54"/>
      <c r="Z3" s="51"/>
      <c r="AA3" s="51"/>
      <c r="AB3" s="51"/>
      <c r="AC3" s="51"/>
      <c r="AD3" s="51"/>
      <c r="AE3" s="51"/>
      <c r="AF3" s="51"/>
      <c r="AG3" s="51"/>
      <c r="AH3" s="51"/>
      <c r="AI3" s="51"/>
    </row>
    <row r="4" spans="1:35" x14ac:dyDescent="0.25">
      <c r="A4" s="85"/>
      <c r="B4" s="51"/>
      <c r="C4" s="51"/>
      <c r="D4" s="51"/>
      <c r="E4" s="51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51"/>
      <c r="R4" s="51"/>
      <c r="S4" s="51"/>
      <c r="T4" s="86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</row>
    <row r="5" spans="1:35" x14ac:dyDescent="0.25">
      <c r="A5" s="85"/>
      <c r="B5" s="51"/>
      <c r="C5" s="51"/>
      <c r="D5" s="51"/>
      <c r="E5" s="51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51"/>
      <c r="R5" s="51"/>
      <c r="S5" s="51"/>
      <c r="T5" s="86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</row>
    <row r="6" spans="1:35" x14ac:dyDescent="0.25">
      <c r="A6" s="85"/>
      <c r="B6" s="51"/>
      <c r="C6" s="51"/>
      <c r="D6" s="51"/>
      <c r="E6" s="51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51"/>
      <c r="R6" s="51"/>
      <c r="S6" s="51"/>
      <c r="T6" s="86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</row>
    <row r="7" spans="1:35" ht="15" customHeight="1" x14ac:dyDescent="0.25">
      <c r="A7" s="85"/>
      <c r="B7" s="51"/>
      <c r="C7" s="51"/>
      <c r="D7" s="51"/>
      <c r="E7" s="51"/>
      <c r="F7" s="269" t="s">
        <v>32</v>
      </c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51"/>
      <c r="R7" s="51"/>
      <c r="S7" s="51"/>
      <c r="T7" s="86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</row>
    <row r="8" spans="1:35" ht="7.5" customHeight="1" x14ac:dyDescent="0.25">
      <c r="A8" s="85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86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</row>
    <row r="9" spans="1:35" x14ac:dyDescent="0.25">
      <c r="A9" s="85"/>
      <c r="B9" s="51"/>
      <c r="C9" s="51"/>
      <c r="D9" s="51"/>
      <c r="E9" s="51"/>
      <c r="F9" s="51"/>
      <c r="G9" s="51"/>
      <c r="H9" s="51"/>
      <c r="I9" s="51"/>
      <c r="J9" s="51"/>
      <c r="K9" s="51"/>
      <c r="L9" s="273" t="str">
        <f ca="1">"Conselheiro Lafaiete, "&amp;TEXT(TODAY(),"dd"" de ""mmmm"" de ""aaaa")</f>
        <v>Conselheiro Lafaiete, 03 de outubro de 2020</v>
      </c>
      <c r="M9" s="273"/>
      <c r="N9" s="273"/>
      <c r="O9" s="273"/>
      <c r="P9" s="273"/>
      <c r="Q9" s="273"/>
      <c r="R9" s="273"/>
      <c r="S9" s="273"/>
      <c r="T9" s="86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</row>
    <row r="10" spans="1:35" ht="7.5" customHeight="1" x14ac:dyDescent="0.25">
      <c r="A10" s="85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86"/>
      <c r="V10" s="172"/>
      <c r="W10" s="172"/>
      <c r="X10" s="172"/>
      <c r="Y10" s="172"/>
      <c r="Z10" s="172"/>
      <c r="AA10" s="172"/>
      <c r="AB10" s="172"/>
      <c r="AC10" s="172"/>
      <c r="AD10" s="172"/>
      <c r="AE10" s="51"/>
      <c r="AF10" s="51"/>
      <c r="AG10" s="51"/>
      <c r="AH10" s="51"/>
      <c r="AI10" s="51"/>
    </row>
    <row r="11" spans="1:35" ht="15.75" customHeight="1" x14ac:dyDescent="0.25">
      <c r="A11" s="85"/>
      <c r="B11" s="54" t="s">
        <v>33</v>
      </c>
      <c r="C11" s="54"/>
      <c r="D11" s="54"/>
      <c r="E11" s="271">
        <v>4</v>
      </c>
      <c r="F11" s="272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86"/>
      <c r="V11" s="172"/>
      <c r="W11" s="172"/>
      <c r="X11" s="285"/>
      <c r="Y11" s="285"/>
      <c r="Z11" s="285"/>
      <c r="AA11" s="285"/>
      <c r="AB11" s="285"/>
      <c r="AC11" s="172"/>
      <c r="AD11" s="172"/>
      <c r="AE11" s="51"/>
      <c r="AF11" s="51"/>
      <c r="AG11" s="51"/>
      <c r="AH11" s="51"/>
      <c r="AI11" s="51"/>
    </row>
    <row r="12" spans="1:35" ht="7.5" customHeight="1" x14ac:dyDescent="0.3">
      <c r="A12" s="85"/>
      <c r="B12" s="51"/>
      <c r="C12" s="51"/>
      <c r="D12" s="51"/>
      <c r="E12" s="51"/>
      <c r="F12" s="51"/>
      <c r="G12" s="51"/>
      <c r="H12" s="76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86"/>
      <c r="V12" s="172"/>
      <c r="W12" s="172"/>
      <c r="X12" s="285"/>
      <c r="Y12" s="285"/>
      <c r="Z12" s="285"/>
      <c r="AA12" s="285"/>
      <c r="AB12" s="285"/>
      <c r="AC12" s="172"/>
      <c r="AD12" s="172"/>
      <c r="AE12" s="51"/>
      <c r="AF12" s="51"/>
      <c r="AG12" s="51"/>
      <c r="AH12" s="51"/>
      <c r="AI12" s="51"/>
    </row>
    <row r="13" spans="1:35" ht="15.75" x14ac:dyDescent="0.3">
      <c r="A13" s="85"/>
      <c r="B13" s="76" t="s">
        <v>30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86"/>
      <c r="V13" s="172"/>
      <c r="W13" s="172"/>
      <c r="X13" s="282"/>
      <c r="Y13" s="282"/>
      <c r="Z13" s="282"/>
      <c r="AA13" s="283"/>
      <c r="AB13" s="283"/>
      <c r="AC13" s="172"/>
      <c r="AD13" s="172"/>
      <c r="AE13" s="51" t="s">
        <v>50</v>
      </c>
      <c r="AF13" s="51"/>
      <c r="AG13" s="51"/>
      <c r="AH13" s="51"/>
      <c r="AI13" s="51"/>
    </row>
    <row r="14" spans="1:35" ht="3.95" customHeight="1" x14ac:dyDescent="0.25">
      <c r="A14" s="85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86"/>
      <c r="V14" s="172"/>
      <c r="W14" s="172"/>
      <c r="X14" s="282"/>
      <c r="Y14" s="282"/>
      <c r="Z14" s="282"/>
      <c r="AA14" s="283"/>
      <c r="AB14" s="283"/>
      <c r="AC14" s="172"/>
      <c r="AD14" s="172"/>
      <c r="AE14" s="51"/>
      <c r="AF14" s="51"/>
      <c r="AG14" s="51"/>
      <c r="AH14" s="51"/>
      <c r="AI14" s="51"/>
    </row>
    <row r="15" spans="1:35" ht="11.1" customHeight="1" x14ac:dyDescent="0.25">
      <c r="A15" s="85"/>
      <c r="B15" s="77" t="s">
        <v>20</v>
      </c>
      <c r="C15" s="51"/>
      <c r="D15" s="51"/>
      <c r="E15" s="51"/>
      <c r="F15" s="51"/>
      <c r="G15" s="51"/>
      <c r="H15" s="51"/>
      <c r="I15" s="51"/>
      <c r="J15" s="51"/>
      <c r="K15" s="77" t="s">
        <v>19</v>
      </c>
      <c r="L15" s="51"/>
      <c r="M15" s="51"/>
      <c r="N15" s="51"/>
      <c r="O15" s="77" t="s">
        <v>28</v>
      </c>
      <c r="P15" s="51"/>
      <c r="Q15" s="51"/>
      <c r="R15" s="51"/>
      <c r="S15" s="51"/>
      <c r="T15" s="86"/>
      <c r="V15" s="172"/>
      <c r="W15" s="172"/>
      <c r="X15" s="284"/>
      <c r="Y15" s="284"/>
      <c r="Z15" s="172"/>
      <c r="AA15" s="284"/>
      <c r="AB15" s="284"/>
      <c r="AC15" s="172"/>
      <c r="AD15" s="172"/>
      <c r="AE15" s="51"/>
      <c r="AF15" s="51"/>
      <c r="AG15" s="51"/>
      <c r="AH15" s="51"/>
      <c r="AI15" s="51"/>
    </row>
    <row r="16" spans="1:35" x14ac:dyDescent="0.25">
      <c r="A16" s="85"/>
      <c r="B16" s="263" t="str">
        <f>VLOOKUP(E11,Cadastros!A:B,2)</f>
        <v>João Pereira</v>
      </c>
      <c r="C16" s="265"/>
      <c r="D16" s="265"/>
      <c r="E16" s="265"/>
      <c r="F16" s="265"/>
      <c r="G16" s="265"/>
      <c r="H16" s="265"/>
      <c r="I16" s="264"/>
      <c r="J16" s="51"/>
      <c r="K16" s="263" t="str">
        <f>IF(VLOOKUP(E11,Cadastros!A2:F21,6)="M","Masculino",IF(VLOOKUP(E11,Cadastros!A2:F21,6)="F","Feminino",""))</f>
        <v>Masculino</v>
      </c>
      <c r="L16" s="265"/>
      <c r="M16" s="264"/>
      <c r="N16" s="51"/>
      <c r="O16" s="266">
        <f>VLOOKUP(E11,Tabela.cadastro[],4)</f>
        <v>41782</v>
      </c>
      <c r="P16" s="267"/>
      <c r="Q16" s="267"/>
      <c r="R16" s="267"/>
      <c r="S16" s="268"/>
      <c r="T16" s="86"/>
      <c r="V16" s="172"/>
      <c r="W16" s="172"/>
      <c r="X16" s="284"/>
      <c r="Y16" s="284"/>
      <c r="Z16" s="172"/>
      <c r="AA16" s="284"/>
      <c r="AB16" s="284"/>
      <c r="AC16" s="172"/>
      <c r="AD16" s="172"/>
      <c r="AE16" s="51"/>
      <c r="AF16" s="51"/>
      <c r="AG16" s="51"/>
      <c r="AH16" s="51"/>
      <c r="AI16" s="51"/>
    </row>
    <row r="17" spans="1:35" ht="7.5" customHeight="1" x14ac:dyDescent="0.25">
      <c r="A17" s="85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86"/>
      <c r="V17" s="172"/>
      <c r="W17" s="172"/>
      <c r="X17" s="172"/>
      <c r="Y17" s="172"/>
      <c r="Z17" s="172"/>
      <c r="AA17" s="172"/>
      <c r="AB17" s="172"/>
      <c r="AC17" s="172"/>
      <c r="AD17" s="172"/>
      <c r="AE17" s="51"/>
      <c r="AF17" s="51"/>
      <c r="AG17" s="51"/>
      <c r="AH17" s="51"/>
      <c r="AI17" s="51"/>
    </row>
    <row r="18" spans="1:35" ht="11.1" customHeight="1" x14ac:dyDescent="0.25">
      <c r="A18" s="85"/>
      <c r="B18" s="77" t="s">
        <v>34</v>
      </c>
      <c r="C18" s="51"/>
      <c r="D18" s="51"/>
      <c r="E18" s="51"/>
      <c r="F18" s="51"/>
      <c r="G18" s="51"/>
      <c r="H18" s="51"/>
      <c r="I18" s="51"/>
      <c r="J18" s="51"/>
      <c r="K18" s="77" t="s">
        <v>29</v>
      </c>
      <c r="L18" s="51"/>
      <c r="M18" s="51"/>
      <c r="N18" s="51"/>
      <c r="O18" s="77" t="s">
        <v>55</v>
      </c>
      <c r="P18" s="51"/>
      <c r="Q18" s="51"/>
      <c r="R18" s="55"/>
      <c r="S18" s="51"/>
      <c r="T18" s="86"/>
      <c r="V18" s="172"/>
      <c r="W18" s="172"/>
      <c r="X18" s="173"/>
      <c r="Y18" s="172"/>
      <c r="Z18" s="172"/>
      <c r="AA18" s="173"/>
      <c r="AB18" s="172"/>
      <c r="AC18" s="172"/>
      <c r="AD18" s="172"/>
      <c r="AE18" s="51"/>
      <c r="AF18" s="51"/>
      <c r="AG18" s="51"/>
      <c r="AH18" s="51"/>
      <c r="AI18" s="51"/>
    </row>
    <row r="19" spans="1:35" ht="15" customHeight="1" x14ac:dyDescent="0.25">
      <c r="A19" s="85"/>
      <c r="B19" s="263" t="str">
        <f>VLOOKUP(E11,Cadastros!A:C,3)</f>
        <v>BO: 1128-2014-0009997</v>
      </c>
      <c r="C19" s="265"/>
      <c r="D19" s="265"/>
      <c r="E19" s="265"/>
      <c r="F19" s="265"/>
      <c r="G19" s="265"/>
      <c r="H19" s="265"/>
      <c r="I19" s="264"/>
      <c r="J19" s="51"/>
      <c r="K19" s="263" t="str">
        <f>IF(VLOOKUP(E11,Cadastros!A2:I21,9)="S","Sim",IF(VLOOKUP(E11,Cadastros!A2:I21,9)="N","Não",""))</f>
        <v>Não</v>
      </c>
      <c r="L19" s="265"/>
      <c r="M19" s="264"/>
      <c r="N19" s="51"/>
      <c r="O19" s="263" t="str">
        <f>IF(VLOOKUP(E11,Cadastros!A2:E21,5)="M","Sim",IF(VLOOKUP(E11,Cadastros!A2:E21,5)="CP","Não",""))</f>
        <v>Sim</v>
      </c>
      <c r="P19" s="265"/>
      <c r="Q19" s="264"/>
      <c r="R19" s="56"/>
      <c r="S19" s="56"/>
      <c r="T19" s="86"/>
      <c r="V19" s="172"/>
      <c r="W19" s="172"/>
      <c r="X19" s="287"/>
      <c r="Y19" s="287"/>
      <c r="Z19" s="172"/>
      <c r="AA19" s="286"/>
      <c r="AB19" s="286"/>
      <c r="AC19" s="172"/>
      <c r="AD19" s="172"/>
      <c r="AE19" s="51"/>
      <c r="AF19" s="51"/>
      <c r="AG19" s="51"/>
      <c r="AH19" s="51"/>
      <c r="AI19" s="51"/>
    </row>
    <row r="20" spans="1:35" ht="7.5" customHeight="1" x14ac:dyDescent="0.25">
      <c r="A20" s="85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86"/>
      <c r="V20" s="172"/>
      <c r="W20" s="172"/>
      <c r="X20" s="287"/>
      <c r="Y20" s="287"/>
      <c r="Z20" s="172"/>
      <c r="AA20" s="286"/>
      <c r="AB20" s="286"/>
      <c r="AC20" s="172"/>
      <c r="AD20" s="172"/>
      <c r="AE20" s="51"/>
      <c r="AF20" s="51"/>
      <c r="AG20" s="51"/>
      <c r="AH20" s="51"/>
      <c r="AI20" s="51"/>
    </row>
    <row r="21" spans="1:35" ht="11.1" customHeight="1" x14ac:dyDescent="0.25">
      <c r="A21" s="85"/>
      <c r="B21" s="77" t="s">
        <v>5</v>
      </c>
      <c r="C21" s="51"/>
      <c r="D21" s="51"/>
      <c r="E21" s="51"/>
      <c r="F21" s="51"/>
      <c r="G21" s="51"/>
      <c r="H21" s="77" t="s">
        <v>13</v>
      </c>
      <c r="I21" s="51"/>
      <c r="J21" s="51"/>
      <c r="K21" s="78" t="s">
        <v>31</v>
      </c>
      <c r="L21" s="79"/>
      <c r="M21" s="79"/>
      <c r="N21" s="79"/>
      <c r="O21" s="79"/>
      <c r="P21" s="51"/>
      <c r="Q21" s="51"/>
      <c r="R21" s="51"/>
      <c r="S21" s="51"/>
      <c r="T21" s="86"/>
      <c r="V21" s="172"/>
      <c r="W21" s="172"/>
      <c r="X21" s="287"/>
      <c r="Y21" s="287"/>
      <c r="Z21" s="172"/>
      <c r="AA21" s="286"/>
      <c r="AB21" s="286"/>
      <c r="AC21" s="172"/>
      <c r="AD21" s="172"/>
      <c r="AE21" s="51"/>
      <c r="AF21" s="51"/>
      <c r="AG21" s="51"/>
      <c r="AH21" s="51"/>
      <c r="AI21" s="51"/>
    </row>
    <row r="22" spans="1:35" x14ac:dyDescent="0.25">
      <c r="A22" s="85"/>
      <c r="B22" s="266">
        <f>IF(VLOOKUP(E11,Cadastros!A:H,8)="","",VLOOKUP(E11,Cadastros!A:H,8))</f>
        <v>26581</v>
      </c>
      <c r="C22" s="267"/>
      <c r="D22" s="267"/>
      <c r="E22" s="267"/>
      <c r="F22" s="268"/>
      <c r="G22" s="51"/>
      <c r="H22" s="263" t="str">
        <f ca="1">IFERROR(TEXT((TODAY()-B22)/365.25,0)&amp;" anos","")</f>
        <v>48 anos</v>
      </c>
      <c r="I22" s="264"/>
      <c r="J22" s="51"/>
      <c r="K22" s="263" t="str">
        <f>IF(VLOOKUP(E11,Cadastros!A2:J21,10)="S","Sim",IF(VLOOKUP(E11,Cadastros!A2:J21,10)="N","Não",""))</f>
        <v>Não</v>
      </c>
      <c r="L22" s="265"/>
      <c r="M22" s="264"/>
      <c r="N22" s="51"/>
      <c r="O22" s="51"/>
      <c r="P22" s="51"/>
      <c r="Q22" s="51"/>
      <c r="R22" s="51"/>
      <c r="S22" s="51"/>
      <c r="T22" s="86"/>
      <c r="V22" s="172"/>
      <c r="W22" s="172"/>
      <c r="X22" s="173"/>
      <c r="Y22" s="174"/>
      <c r="Z22" s="174"/>
      <c r="AA22" s="174"/>
      <c r="AB22" s="174"/>
      <c r="AC22" s="172"/>
      <c r="AD22" s="172"/>
      <c r="AE22" s="51"/>
      <c r="AF22" s="51"/>
      <c r="AG22" s="51"/>
      <c r="AH22" s="51"/>
      <c r="AI22" s="51"/>
    </row>
    <row r="23" spans="1:35" ht="7.5" customHeight="1" x14ac:dyDescent="0.25">
      <c r="A23" s="85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86"/>
      <c r="V23" s="172"/>
      <c r="W23" s="172"/>
      <c r="X23" s="286"/>
      <c r="Y23" s="286"/>
      <c r="Z23" s="286"/>
      <c r="AA23" s="286"/>
      <c r="AB23" s="286"/>
      <c r="AC23" s="172"/>
      <c r="AD23" s="172"/>
      <c r="AE23" s="51"/>
      <c r="AF23" s="51"/>
      <c r="AG23" s="51"/>
      <c r="AH23" s="51"/>
      <c r="AI23" s="51"/>
    </row>
    <row r="24" spans="1:35" ht="15.75" x14ac:dyDescent="0.3">
      <c r="A24" s="85"/>
      <c r="B24" s="76" t="s">
        <v>56</v>
      </c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86"/>
      <c r="V24" s="172"/>
      <c r="W24" s="172"/>
      <c r="X24" s="286"/>
      <c r="Y24" s="286"/>
      <c r="Z24" s="286"/>
      <c r="AA24" s="286"/>
      <c r="AB24" s="286"/>
      <c r="AC24" s="172"/>
      <c r="AD24" s="172"/>
      <c r="AE24" s="51"/>
      <c r="AF24" s="51"/>
      <c r="AG24" s="51"/>
      <c r="AH24" s="51"/>
      <c r="AI24" s="51"/>
    </row>
    <row r="25" spans="1:35" ht="3.95" customHeight="1" x14ac:dyDescent="0.25">
      <c r="A25" s="85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86"/>
      <c r="V25" s="172"/>
      <c r="W25" s="172"/>
      <c r="X25" s="286"/>
      <c r="Y25" s="286"/>
      <c r="Z25" s="286"/>
      <c r="AA25" s="286"/>
      <c r="AB25" s="286"/>
      <c r="AC25" s="172"/>
      <c r="AD25" s="172"/>
      <c r="AE25" s="51"/>
      <c r="AF25" s="51"/>
      <c r="AG25" s="51"/>
      <c r="AH25" s="51"/>
      <c r="AI25" s="51"/>
    </row>
    <row r="26" spans="1:35" x14ac:dyDescent="0.25">
      <c r="A26" s="85"/>
      <c r="B26" s="281" t="str">
        <f>IFERROR("O usuário frequentou o setor pela última vez em "&amp;TEXT(LOOKUP(2,1/(Tabela.frequencia[id]=E11),Tabela.frequencia[Data]),"dd"" de ""mmmm"" de ""aaaa")&amp;".","")</f>
        <v>O usuário frequentou o setor pela última vez em 01 de fevereiro de 2017.</v>
      </c>
      <c r="C26" s="281"/>
      <c r="D26" s="281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281"/>
      <c r="P26" s="281"/>
      <c r="Q26" s="281"/>
      <c r="R26" s="281"/>
      <c r="S26" s="281"/>
      <c r="T26" s="86"/>
      <c r="V26" s="172"/>
      <c r="W26" s="172"/>
      <c r="X26" s="286"/>
      <c r="Y26" s="286"/>
      <c r="Z26" s="286"/>
      <c r="AA26" s="286"/>
      <c r="AB26" s="286"/>
      <c r="AC26" s="172"/>
      <c r="AD26" s="172"/>
      <c r="AE26" s="51"/>
      <c r="AF26" s="51"/>
      <c r="AG26" s="51"/>
      <c r="AH26" s="51"/>
      <c r="AI26" s="51"/>
    </row>
    <row r="27" spans="1:35" x14ac:dyDescent="0.25">
      <c r="A27" s="85"/>
      <c r="B27" s="51"/>
      <c r="C27" s="51"/>
      <c r="D27" s="51"/>
      <c r="E27" s="51"/>
      <c r="F27" s="51"/>
      <c r="G27" s="80"/>
      <c r="H27" s="80"/>
      <c r="I27" s="80"/>
      <c r="J27" s="59"/>
      <c r="K27" s="59"/>
      <c r="L27" s="51"/>
      <c r="M27" s="51"/>
      <c r="N27" s="51"/>
      <c r="O27" s="51"/>
      <c r="P27" s="51"/>
      <c r="Q27" s="51"/>
      <c r="R27" s="51"/>
      <c r="S27" s="51"/>
      <c r="T27" s="86"/>
      <c r="V27" s="172"/>
      <c r="W27" s="172"/>
      <c r="X27" s="286"/>
      <c r="Y27" s="286"/>
      <c r="Z27" s="286"/>
      <c r="AA27" s="286"/>
      <c r="AB27" s="286"/>
      <c r="AC27" s="172"/>
      <c r="AD27" s="172"/>
      <c r="AE27" s="51"/>
      <c r="AF27" s="51"/>
      <c r="AG27" s="51"/>
      <c r="AH27" s="51"/>
      <c r="AI27" s="51"/>
    </row>
    <row r="28" spans="1:35" x14ac:dyDescent="0.25">
      <c r="A28" s="85"/>
      <c r="B28" s="51"/>
      <c r="C28" s="51"/>
      <c r="D28" s="51"/>
      <c r="E28" s="51"/>
      <c r="F28" s="80"/>
      <c r="G28" s="80"/>
      <c r="H28" s="80"/>
      <c r="I28" s="80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86"/>
      <c r="V28" s="172"/>
      <c r="W28" s="172"/>
      <c r="X28" s="172"/>
      <c r="Y28" s="172"/>
      <c r="Z28" s="172"/>
      <c r="AA28" s="172"/>
      <c r="AB28" s="172"/>
      <c r="AC28" s="172"/>
      <c r="AD28" s="172"/>
      <c r="AE28" s="51"/>
      <c r="AF28" s="51"/>
      <c r="AG28" s="51"/>
      <c r="AH28" s="51"/>
      <c r="AI28" s="51"/>
    </row>
    <row r="29" spans="1:35" x14ac:dyDescent="0.25">
      <c r="A29" s="85"/>
      <c r="B29" s="51"/>
      <c r="C29" s="51"/>
      <c r="D29" s="51"/>
      <c r="E29" s="51"/>
      <c r="F29" s="80"/>
      <c r="G29" s="80"/>
      <c r="H29" s="80"/>
      <c r="I29" s="80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86"/>
      <c r="V29" s="172"/>
      <c r="W29" s="172"/>
      <c r="X29" s="172"/>
      <c r="Y29" s="172"/>
      <c r="Z29" s="172"/>
      <c r="AA29" s="172"/>
      <c r="AB29" s="172"/>
      <c r="AC29" s="172"/>
      <c r="AD29" s="172"/>
      <c r="AE29" s="51"/>
      <c r="AF29" s="51"/>
      <c r="AG29" s="51"/>
      <c r="AH29" s="51"/>
      <c r="AI29" s="51"/>
    </row>
    <row r="30" spans="1:35" x14ac:dyDescent="0.25">
      <c r="A30" s="85"/>
      <c r="B30" s="51"/>
      <c r="C30" s="51"/>
      <c r="D30" s="51"/>
      <c r="E30" s="51"/>
      <c r="F30" s="80"/>
      <c r="G30" s="80"/>
      <c r="H30" s="80"/>
      <c r="I30" s="80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86"/>
      <c r="V30" s="172"/>
      <c r="W30" s="172"/>
      <c r="X30" s="172"/>
      <c r="Y30" s="172"/>
      <c r="Z30" s="172"/>
      <c r="AA30" s="172"/>
      <c r="AB30" s="172"/>
      <c r="AC30" s="172"/>
      <c r="AD30" s="172"/>
      <c r="AE30" s="51"/>
      <c r="AF30" s="51"/>
      <c r="AG30" s="51"/>
      <c r="AH30" s="51"/>
      <c r="AI30" s="51"/>
    </row>
    <row r="31" spans="1:35" ht="15" customHeight="1" x14ac:dyDescent="0.25">
      <c r="A31" s="85"/>
      <c r="B31" s="51"/>
      <c r="C31" s="51"/>
      <c r="D31" s="51"/>
      <c r="E31" s="51"/>
      <c r="F31" s="80"/>
      <c r="G31" s="80"/>
      <c r="H31" s="80"/>
      <c r="I31" s="80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86"/>
      <c r="W31" s="51"/>
      <c r="X31" s="69"/>
      <c r="Y31" s="51"/>
      <c r="Z31" s="51"/>
      <c r="AA31" s="69"/>
      <c r="AB31" s="51"/>
      <c r="AC31" s="51"/>
      <c r="AD31" s="51"/>
      <c r="AE31" s="51"/>
      <c r="AF31" s="51"/>
      <c r="AG31" s="51"/>
      <c r="AH31" s="51"/>
      <c r="AI31" s="51"/>
    </row>
    <row r="32" spans="1:35" ht="15" customHeight="1" x14ac:dyDescent="0.25">
      <c r="A32" s="85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86"/>
      <c r="W32" s="51"/>
      <c r="X32" s="51"/>
      <c r="Y32" s="51"/>
      <c r="Z32" s="51"/>
      <c r="AA32" s="69"/>
      <c r="AB32" s="69"/>
      <c r="AC32" s="51"/>
      <c r="AD32" s="51"/>
      <c r="AE32" s="51"/>
      <c r="AF32" s="51"/>
      <c r="AG32" s="51"/>
      <c r="AH32" s="51"/>
      <c r="AI32" s="51"/>
    </row>
    <row r="33" spans="1:35" ht="15" customHeight="1" x14ac:dyDescent="0.3">
      <c r="A33" s="85"/>
      <c r="B33" s="51"/>
      <c r="C33" s="76"/>
      <c r="D33" s="76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86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</row>
    <row r="34" spans="1:35" ht="15" customHeight="1" x14ac:dyDescent="0.25">
      <c r="A34" s="85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86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</row>
    <row r="35" spans="1:35" ht="15" customHeight="1" x14ac:dyDescent="0.25">
      <c r="A35" s="85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86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</row>
    <row r="36" spans="1:35" ht="15" customHeight="1" x14ac:dyDescent="0.25">
      <c r="A36" s="85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86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</row>
    <row r="37" spans="1:35" ht="15" customHeight="1" x14ac:dyDescent="0.25">
      <c r="A37" s="85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86"/>
      <c r="W37" s="51"/>
      <c r="X37" s="51"/>
      <c r="Y37" s="51"/>
      <c r="Z37" s="51"/>
      <c r="AA37" s="51"/>
      <c r="AB37" s="51"/>
      <c r="AC37" s="51"/>
      <c r="AD37" s="51"/>
    </row>
    <row r="38" spans="1:35" ht="15" customHeight="1" x14ac:dyDescent="0.3">
      <c r="A38" s="85"/>
      <c r="B38" s="81" t="s">
        <v>35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86"/>
    </row>
    <row r="39" spans="1:35" ht="7.5" customHeight="1" x14ac:dyDescent="0.25">
      <c r="A39" s="85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86"/>
    </row>
    <row r="40" spans="1:35" x14ac:dyDescent="0.25">
      <c r="A40" s="85"/>
      <c r="B40" s="78" t="s">
        <v>14</v>
      </c>
      <c r="C40" s="78"/>
      <c r="D40" s="78"/>
      <c r="E40" s="77" t="s">
        <v>6</v>
      </c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86"/>
    </row>
    <row r="41" spans="1:35" x14ac:dyDescent="0.25">
      <c r="A41" s="85"/>
      <c r="B41" s="280">
        <f t="array" ref="B41">IFERROR(INDEX(Tabela.passagens[],LARGE(IF(Tabela.passagens[id]=$E$11,ROW(Tabela.passagens[id])-1),ROW(A1)),6),"")</f>
        <v>42036</v>
      </c>
      <c r="C41" s="280"/>
      <c r="D41" s="280"/>
      <c r="E41" s="80" t="str">
        <f t="array" ref="E41">IFERROR(INDEX(Tabela.passagens[],LARGE(IF(Tabela.passagens[id]=$E$11,ROW(Tabela.passagens[id])-1),ROW(E1)),5),"")</f>
        <v>Juiz de Fora</v>
      </c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86"/>
    </row>
    <row r="42" spans="1:35" x14ac:dyDescent="0.25">
      <c r="A42" s="85"/>
      <c r="B42" s="280">
        <f t="array" ref="B42">IFERROR(INDEX(Tabela.passagens[],LARGE(IF(Tabela.passagens[id]=$E$11,ROW(Tabela.passagens[id])-1),ROW(A2)),6),"")</f>
        <v>41885</v>
      </c>
      <c r="C42" s="280"/>
      <c r="D42" s="280"/>
      <c r="E42" s="80" t="str">
        <f t="array" ref="E42">IFERROR(INDEX(Tabela.passagens[],LARGE(IF(Tabela.passagens[id]=$E$11,ROW(Tabela.passagens[id])-1),ROW(E2)),5),"")</f>
        <v>Juiz de Fora</v>
      </c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86"/>
    </row>
    <row r="43" spans="1:35" x14ac:dyDescent="0.25">
      <c r="A43" s="85"/>
      <c r="B43" s="280">
        <f t="array" ref="B43">IFERROR(INDEX(Tabela.passagens[],LARGE(IF(Tabela.passagens[id]=$E$11,ROW(Tabela.passagens[id])-1),ROW(A3)),6),"")</f>
        <v>41882</v>
      </c>
      <c r="C43" s="280"/>
      <c r="D43" s="280"/>
      <c r="E43" s="80" t="str">
        <f t="array" ref="E43">IFERROR(INDEX(Tabela.passagens[],LARGE(IF(Tabela.passagens[id]=$E$11,ROW(Tabela.passagens[id])-1),ROW(E3)),5),"")</f>
        <v>Belo horizonte</v>
      </c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6"/>
    </row>
    <row r="44" spans="1:35" x14ac:dyDescent="0.25">
      <c r="A44" s="85"/>
      <c r="B44" s="280" t="str">
        <f t="array" ref="B44">IFERROR(INDEX(Tabela.passagens[],LARGE(IF(Tabela.passagens[id]=$E$11,ROW(Tabela.passagens[id])-1),ROW(A4)),6),"")</f>
        <v/>
      </c>
      <c r="C44" s="280"/>
      <c r="D44" s="280"/>
      <c r="E44" s="80" t="str">
        <f t="array" ref="E44">IFERROR(INDEX(Tabela.passagens[],LARGE(IF(Tabela.passagens[id]=$E$11,ROW(Tabela.passagens[id])-1),ROW(E4)),5),"")</f>
        <v/>
      </c>
      <c r="F44" s="51"/>
      <c r="G44" s="69"/>
      <c r="H44" s="69"/>
      <c r="I44" s="69"/>
      <c r="J44" s="69"/>
      <c r="K44" s="51"/>
      <c r="L44" s="51"/>
      <c r="M44" s="51"/>
      <c r="N44" s="51"/>
      <c r="O44" s="51"/>
      <c r="P44" s="51"/>
      <c r="Q44" s="51"/>
      <c r="R44" s="51"/>
      <c r="S44" s="51"/>
      <c r="T44" s="86"/>
    </row>
    <row r="45" spans="1:35" x14ac:dyDescent="0.25">
      <c r="A45" s="85"/>
      <c r="B45" s="280" t="str">
        <f t="array" ref="B45">IFERROR(INDEX(Tabela.passagens[],LARGE(IF(Tabela.passagens[id]=$E$11,ROW(Tabela.passagens[id])-1),ROW(A5)),6),"")</f>
        <v/>
      </c>
      <c r="C45" s="280"/>
      <c r="D45" s="280"/>
      <c r="E45" s="80" t="str">
        <f t="array" ref="E45">IFERROR(INDEX(Tabela.passagens[],LARGE(IF(Tabela.passagens[id]=$E$11,ROW(Tabela.passagens[id])-1),ROW(E5)),5),"")</f>
        <v/>
      </c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86"/>
    </row>
    <row r="46" spans="1:35" x14ac:dyDescent="0.25">
      <c r="A46" s="85"/>
      <c r="B46" s="280" t="str">
        <f t="array" ref="B46">IFERROR(INDEX(Tabela.passagens[],LARGE(IF(Tabela.passagens[id]=$E$11,ROW(Tabela.passagens[id])-1),ROW(A6)),6),"")</f>
        <v/>
      </c>
      <c r="C46" s="280"/>
      <c r="D46" s="280"/>
      <c r="E46" s="80" t="str">
        <f t="array" ref="E46">IFERROR(INDEX(Tabela.passagens[],LARGE(IF(Tabela.passagens[id]=$E$11,ROW(Tabela.passagens[id])-1),ROW(E6)),5),"")</f>
        <v/>
      </c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86"/>
    </row>
    <row r="47" spans="1:35" x14ac:dyDescent="0.25">
      <c r="A47" s="85"/>
      <c r="B47" s="280" t="str">
        <f t="array" ref="B47">IFERROR(INDEX(Tabela.passagens[],LARGE(IF(Tabela.passagens[id]=$E$11,ROW(Tabela.passagens[id])-1),ROW(A7)),6),"")</f>
        <v/>
      </c>
      <c r="C47" s="280"/>
      <c r="D47" s="280"/>
      <c r="E47" s="80" t="str">
        <f t="array" ref="E47">IFERROR(INDEX(Tabela.passagens[],LARGE(IF(Tabela.passagens[id]=$E$11,ROW(Tabela.passagens[id])-1),ROW(E7)),5),"")</f>
        <v/>
      </c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86"/>
    </row>
    <row r="48" spans="1:35" x14ac:dyDescent="0.25">
      <c r="A48" s="85"/>
      <c r="B48" s="280" t="str">
        <f t="array" ref="B48">IFERROR(INDEX(Tabela.passagens[],LARGE(IF(Tabela.passagens[id]=$E$11,ROW(Tabela.passagens[id])-1),ROW(A8)),6),"")</f>
        <v/>
      </c>
      <c r="C48" s="280"/>
      <c r="D48" s="280"/>
      <c r="E48" s="80" t="str">
        <f t="array" ref="E48">IFERROR(INDEX(Tabela.passagens[],LARGE(IF(Tabela.passagens[id]=$E$11,ROW(Tabela.passagens[id])-1),ROW(E8)),5),"")</f>
        <v/>
      </c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86"/>
    </row>
    <row r="49" spans="1:25" x14ac:dyDescent="0.25">
      <c r="A49" s="85"/>
      <c r="B49" s="280" t="str">
        <f t="array" ref="B49">IFERROR(INDEX(Tabela.passagens[],LARGE(IF(Tabela.passagens[id]=$E$11,ROW(Tabela.passagens[id])-1),ROW(A9)),6),"")</f>
        <v/>
      </c>
      <c r="C49" s="280"/>
      <c r="D49" s="280"/>
      <c r="E49" s="80" t="str">
        <f t="array" ref="E49">IFERROR(INDEX(Tabela.passagens[],LARGE(IF(Tabela.passagens[id]=$E$11,ROW(Tabela.passagens[id])-1),ROW(E9)),5),"")</f>
        <v/>
      </c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86"/>
    </row>
    <row r="50" spans="1:25" x14ac:dyDescent="0.25">
      <c r="A50" s="85"/>
      <c r="B50" s="280" t="str">
        <f t="array" ref="B50">IFERROR(INDEX(Tabela.passagens[],LARGE(IF(Tabela.passagens[id]=$E$11,ROW(Tabela.passagens[id])-1),ROW(A10)),6),"")</f>
        <v/>
      </c>
      <c r="C50" s="280"/>
      <c r="D50" s="280"/>
      <c r="E50" s="80" t="str">
        <f t="array" ref="E50">IFERROR(INDEX(Tabela.passagens[],LARGE(IF(Tabela.passagens[id]=$E$11,ROW(Tabela.passagens[id])-1),ROW(E10)),5),"")</f>
        <v/>
      </c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86"/>
    </row>
    <row r="51" spans="1:25" x14ac:dyDescent="0.25">
      <c r="A51" s="85"/>
      <c r="B51" s="280" t="str">
        <f t="array" ref="B51">IFERROR(INDEX(Tabela.passagens[],LARGE(IF(Tabela.passagens[id]=$E$11,ROW(Tabela.passagens[id])-1),ROW(A11)),6),"")</f>
        <v/>
      </c>
      <c r="C51" s="280"/>
      <c r="D51" s="280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86"/>
    </row>
    <row r="52" spans="1:25" x14ac:dyDescent="0.25">
      <c r="A52" s="85"/>
      <c r="B52" s="280" t="str">
        <f t="array" ref="B52">IFERROR(INDEX(Tabela.passagens[],LARGE(IF(Tabela.passagens[id]=$E$11,ROW(Tabela.passagens[id])-1),ROW(A12)),6),"")</f>
        <v/>
      </c>
      <c r="C52" s="280"/>
      <c r="D52" s="280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86"/>
    </row>
    <row r="53" spans="1:25" ht="15" customHeight="1" x14ac:dyDescent="0.25">
      <c r="A53" s="85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88"/>
    </row>
    <row r="54" spans="1:25" x14ac:dyDescent="0.25">
      <c r="A54" s="85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86"/>
    </row>
    <row r="55" spans="1:25" x14ac:dyDescent="0.25">
      <c r="A55" s="277" t="s">
        <v>159</v>
      </c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78"/>
      <c r="M55" s="278"/>
      <c r="N55" s="278"/>
      <c r="O55" s="278"/>
      <c r="P55" s="278"/>
      <c r="Q55" s="278"/>
      <c r="R55" s="278"/>
      <c r="S55" s="278"/>
      <c r="T55" s="279"/>
    </row>
    <row r="56" spans="1:25" x14ac:dyDescent="0.25">
      <c r="A56" s="274" t="s">
        <v>160</v>
      </c>
      <c r="B56" s="275"/>
      <c r="C56" s="275"/>
      <c r="D56" s="275"/>
      <c r="E56" s="275"/>
      <c r="F56" s="275"/>
      <c r="G56" s="275"/>
      <c r="H56" s="275"/>
      <c r="I56" s="275"/>
      <c r="J56" s="275"/>
      <c r="K56" s="275"/>
      <c r="L56" s="275"/>
      <c r="M56" s="275"/>
      <c r="N56" s="275"/>
      <c r="O56" s="275"/>
      <c r="P56" s="275"/>
      <c r="Q56" s="275"/>
      <c r="R56" s="275"/>
      <c r="S56" s="275"/>
      <c r="T56" s="276"/>
    </row>
    <row r="58" spans="1:25" ht="15.75" x14ac:dyDescent="0.3">
      <c r="B58" s="53" t="s">
        <v>54</v>
      </c>
      <c r="K58" s="64" t="s">
        <v>59</v>
      </c>
      <c r="X58" s="53" t="s">
        <v>58</v>
      </c>
    </row>
    <row r="59" spans="1:25" x14ac:dyDescent="0.25">
      <c r="B59" s="52" t="s">
        <v>60</v>
      </c>
      <c r="C59" s="52"/>
      <c r="D59" s="52"/>
      <c r="E59" s="52"/>
      <c r="F59" s="52"/>
      <c r="G59" s="52"/>
      <c r="H59" s="52"/>
      <c r="I59" s="52"/>
      <c r="L59" s="52"/>
      <c r="X59" s="50" t="s">
        <v>36</v>
      </c>
      <c r="Y59" s="60" t="s">
        <v>64</v>
      </c>
    </row>
    <row r="60" spans="1:25" x14ac:dyDescent="0.25">
      <c r="B60" s="122">
        <f t="array" ref="B60">IFERROR(INDEX(Tabela.frequencia[],SMALL(IF(Tabela.frequencia[id]=$E$11,ROW(Tabela.frequencia[id])-1),ROW(A1)),3),DATE(1990,1,1))</f>
        <v>41821</v>
      </c>
      <c r="C60" s="65"/>
      <c r="D60" s="62"/>
      <c r="H60" s="63"/>
      <c r="L60" s="61"/>
      <c r="X60" s="151" t="s">
        <v>152</v>
      </c>
      <c r="Y60" s="152"/>
    </row>
    <row r="61" spans="1:25" x14ac:dyDescent="0.25">
      <c r="B61" s="122">
        <f t="array" ref="B61">IFERROR(INDEX(Tabela.frequencia[],SMALL(IF(Tabela.frequencia[id]=$E$11,ROW(Tabela.frequencia[id])-1),ROW(A2)),3),DATE(1990,1,1))</f>
        <v>41822</v>
      </c>
      <c r="C61" s="65"/>
      <c r="K61" s="50" t="s">
        <v>57</v>
      </c>
      <c r="X61" s="153" t="s">
        <v>85</v>
      </c>
      <c r="Y61" s="152">
        <v>3</v>
      </c>
    </row>
    <row r="62" spans="1:25" x14ac:dyDescent="0.25">
      <c r="B62" s="122">
        <f t="array" ref="B62">IFERROR(INDEX(Tabela.frequencia[],SMALL(IF(Tabela.frequencia[id]=$E$11,ROW(Tabela.frequencia[id])-1),ROW(A3)),3),DATE(1990,1,1))</f>
        <v>41824</v>
      </c>
      <c r="C62" s="65"/>
      <c r="X62" s="153" t="s">
        <v>95</v>
      </c>
      <c r="Y62" s="152">
        <v>1</v>
      </c>
    </row>
    <row r="63" spans="1:25" x14ac:dyDescent="0.25">
      <c r="B63" s="122">
        <f t="array" ref="B63">IFERROR(INDEX(Tabela.frequencia[],SMALL(IF(Tabela.frequencia[id]=$E$11,ROW(Tabela.frequencia[id])-1),ROW(A4)),3),DATE(1990,1,1))</f>
        <v>41852</v>
      </c>
      <c r="C63" s="65"/>
      <c r="X63" s="151" t="s">
        <v>153</v>
      </c>
      <c r="Y63" s="152"/>
    </row>
    <row r="64" spans="1:25" x14ac:dyDescent="0.25">
      <c r="B64" s="122">
        <f t="array" ref="B64">IFERROR(INDEX(Tabela.frequencia[],SMALL(IF(Tabela.frequencia[id]=$E$11,ROW(Tabela.frequencia[id])-1),ROW(A5)),3),DATE(1990,1,1))</f>
        <v>42005</v>
      </c>
      <c r="C64" s="65"/>
      <c r="X64" s="153" t="s">
        <v>96</v>
      </c>
      <c r="Y64" s="152">
        <v>1</v>
      </c>
    </row>
    <row r="65" spans="2:25" x14ac:dyDescent="0.25">
      <c r="B65" s="122">
        <f t="array" ref="B65">IFERROR(INDEX(Tabela.frequencia[],SMALL(IF(Tabela.frequencia[id]=$E$11,ROW(Tabela.frequencia[id])-1),ROW(A6)),3),DATE(1990,1,1))</f>
        <v>42156</v>
      </c>
      <c r="C65" s="65"/>
      <c r="X65" s="153" t="s">
        <v>84</v>
      </c>
      <c r="Y65" s="152">
        <v>1</v>
      </c>
    </row>
    <row r="66" spans="2:25" x14ac:dyDescent="0.25">
      <c r="B66" s="122">
        <f t="array" ref="B66">IFERROR(INDEX(Tabela.frequencia[],SMALL(IF(Tabela.frequencia[id]=$E$11,ROW(Tabela.frequencia[id])-1),ROW(A7)),3),DATE(1990,1,1))</f>
        <v>42370</v>
      </c>
      <c r="C66" s="65"/>
      <c r="X66" s="151" t="s">
        <v>83</v>
      </c>
      <c r="Y66" s="152"/>
    </row>
    <row r="67" spans="2:25" x14ac:dyDescent="0.25">
      <c r="B67" s="122">
        <f t="array" ref="B67">IFERROR(INDEX(Tabela.frequencia[],SMALL(IF(Tabela.frequencia[id]=$E$11,ROW(Tabela.frequencia[id])-1),ROW(A8)),3),DATE(1990,1,1))</f>
        <v>42736</v>
      </c>
      <c r="C67" s="65"/>
      <c r="X67" s="153" t="s">
        <v>96</v>
      </c>
      <c r="Y67" s="152">
        <v>1</v>
      </c>
    </row>
    <row r="68" spans="2:25" x14ac:dyDescent="0.25">
      <c r="B68" s="122">
        <f t="array" ref="B68">IFERROR(INDEX(Tabela.frequencia[],SMALL(IF(Tabela.frequencia[id]=$E$11,ROW(Tabela.frequencia[id])-1),ROW(A9)),3),DATE(1990,1,1))</f>
        <v>42767</v>
      </c>
      <c r="C68" s="65"/>
      <c r="X68" s="151" t="s">
        <v>79</v>
      </c>
      <c r="Y68" s="152"/>
    </row>
    <row r="69" spans="2:25" x14ac:dyDescent="0.25">
      <c r="B69" s="122">
        <f t="array" ref="B69">IFERROR(INDEX(Tabela.frequencia[],SMALL(IF(Tabela.frequencia[id]=$E$11,ROW(Tabela.frequencia[id])-1),ROW(A10)),3),DATE(1990,1,1))</f>
        <v>32874</v>
      </c>
      <c r="C69" s="65"/>
      <c r="X69" s="153" t="s">
        <v>96</v>
      </c>
      <c r="Y69" s="152">
        <v>1</v>
      </c>
    </row>
    <row r="70" spans="2:25" x14ac:dyDescent="0.25">
      <c r="B70" s="122">
        <f t="array" ref="B70">IFERROR(INDEX(Tabela.frequencia[],SMALL(IF(Tabela.frequencia[id]=$E$11,ROW(Tabela.frequencia[id])-1),ROW(A11)),3),DATE(1990,1,1))</f>
        <v>32874</v>
      </c>
      <c r="C70" s="65"/>
      <c r="X70" s="153" t="s">
        <v>97</v>
      </c>
      <c r="Y70" s="152">
        <v>1</v>
      </c>
    </row>
    <row r="71" spans="2:25" x14ac:dyDescent="0.25">
      <c r="B71" s="122">
        <f t="array" ref="B71">IFERROR(INDEX(Tabela.frequencia[],SMALL(IF(Tabela.frequencia[id]=$E$11,ROW(Tabela.frequencia[id])-1),ROW(A12)),3),DATE(1990,1,1))</f>
        <v>32874</v>
      </c>
      <c r="C71" s="65"/>
      <c r="X71"/>
      <c r="Y71"/>
    </row>
    <row r="72" spans="2:25" x14ac:dyDescent="0.25">
      <c r="B72" s="122">
        <f t="array" ref="B72">IFERROR(INDEX(Tabela.frequencia[],SMALL(IF(Tabela.frequencia[id]=$E$11,ROW(Tabela.frequencia[id])-1),ROW(A13)),3),DATE(1990,1,1))</f>
        <v>32874</v>
      </c>
      <c r="C72" s="65"/>
      <c r="X72"/>
      <c r="Y72"/>
    </row>
    <row r="73" spans="2:25" x14ac:dyDescent="0.25">
      <c r="B73" s="122">
        <f t="array" ref="B73">IFERROR(INDEX(Tabela.frequencia[],SMALL(IF(Tabela.frequencia[id]=$E$11,ROW(Tabela.frequencia[id])-1),ROW(A14)),3),DATE(1990,1,1))</f>
        <v>32874</v>
      </c>
      <c r="C73" s="65"/>
      <c r="X73"/>
      <c r="Y73"/>
    </row>
    <row r="74" spans="2:25" x14ac:dyDescent="0.25">
      <c r="B74" s="122">
        <f t="array" ref="B74">IFERROR(INDEX(Tabela.frequencia[],SMALL(IF(Tabela.frequencia[id]=$E$11,ROW(Tabela.frequencia[id])-1),ROW(A15)),3),DATE(1990,1,1))</f>
        <v>32874</v>
      </c>
      <c r="C74" s="65"/>
      <c r="X74"/>
      <c r="Y74"/>
    </row>
    <row r="75" spans="2:25" x14ac:dyDescent="0.25">
      <c r="B75" s="122">
        <f t="array" ref="B75">IFERROR(INDEX(Tabela.frequencia[],SMALL(IF(Tabela.frequencia[id]=$E$11,ROW(Tabela.frequencia[id])-1),ROW(A16)),3),DATE(1990,1,1))</f>
        <v>32874</v>
      </c>
      <c r="C75" s="65"/>
      <c r="X75"/>
      <c r="Y75"/>
    </row>
    <row r="76" spans="2:25" x14ac:dyDescent="0.25">
      <c r="B76" s="122">
        <f t="array" ref="B76">IFERROR(INDEX(Tabela.frequencia[],SMALL(IF(Tabela.frequencia[id]=$E$11,ROW(Tabela.frequencia[id])-1),ROW(A17)),3),DATE(1990,1,1))</f>
        <v>32874</v>
      </c>
      <c r="C76" s="65"/>
      <c r="X76"/>
      <c r="Y76"/>
    </row>
    <row r="77" spans="2:25" x14ac:dyDescent="0.25">
      <c r="B77" s="122">
        <f t="array" ref="B77">IFERROR(INDEX(Tabela.frequencia[],SMALL(IF(Tabela.frequencia[id]=$E$11,ROW(Tabela.frequencia[id])-1),ROW(A18)),3),DATE(1990,1,1))</f>
        <v>32874</v>
      </c>
      <c r="C77" s="65"/>
      <c r="X77"/>
      <c r="Y77"/>
    </row>
    <row r="78" spans="2:25" x14ac:dyDescent="0.25">
      <c r="B78" s="122">
        <f t="array" ref="B78">IFERROR(INDEX(Tabela.frequencia[],SMALL(IF(Tabela.frequencia[id]=$E$11,ROW(Tabela.frequencia[id])-1),ROW(A19)),3),DATE(1990,1,1))</f>
        <v>32874</v>
      </c>
      <c r="E78" s="57"/>
      <c r="F78" s="57"/>
      <c r="G78" s="57"/>
      <c r="X78"/>
      <c r="Y78"/>
    </row>
    <row r="79" spans="2:25" x14ac:dyDescent="0.25">
      <c r="B79" s="122">
        <f t="array" ref="B79">IFERROR(INDEX(Tabela.frequencia[],SMALL(IF(Tabela.frequencia[id]=$E$11,ROW(Tabela.frequencia[id])-1),ROW(A20)),3),DATE(1990,1,1))</f>
        <v>32874</v>
      </c>
      <c r="E79" s="57"/>
      <c r="F79" s="57"/>
      <c r="G79" s="57"/>
      <c r="X79"/>
      <c r="Y79"/>
    </row>
    <row r="80" spans="2:25" x14ac:dyDescent="0.25">
      <c r="B80" s="122">
        <f t="array" ref="B80">IFERROR(INDEX(Tabela.frequencia[],SMALL(IF(Tabela.frequencia[id]=$E$11,ROW(Tabela.frequencia[id])-1),ROW(A21)),3),DATE(1990,1,1))</f>
        <v>32874</v>
      </c>
      <c r="E80" s="57"/>
      <c r="F80" s="57"/>
      <c r="G80" s="57"/>
      <c r="X80"/>
      <c r="Y80"/>
    </row>
    <row r="81" spans="2:25" x14ac:dyDescent="0.25">
      <c r="B81" s="122">
        <f t="array" ref="B81">IFERROR(INDEX(Tabela.frequencia[],SMALL(IF(Tabela.frequencia[id]=$E$11,ROW(Tabela.frequencia[id])-1),ROW(A22)),3),DATE(1990,1,1))</f>
        <v>32874</v>
      </c>
      <c r="E81" s="57"/>
      <c r="X81"/>
      <c r="Y81"/>
    </row>
    <row r="82" spans="2:25" x14ac:dyDescent="0.25">
      <c r="B82" s="122">
        <f t="array" ref="B82">IFERROR(INDEX(Tabela.frequencia[],SMALL(IF(Tabela.frequencia[id]=$E$11,ROW(Tabela.frequencia[id])-1),ROW(A23)),3),DATE(1990,1,1))</f>
        <v>32874</v>
      </c>
      <c r="E82" s="57"/>
      <c r="X82"/>
      <c r="Y82"/>
    </row>
    <row r="83" spans="2:25" x14ac:dyDescent="0.25">
      <c r="B83" s="122">
        <f t="array" ref="B83">IFERROR(INDEX(Tabela.frequencia[],SMALL(IF(Tabela.frequencia[id]=$E$11,ROW(Tabela.frequencia[id])-1),ROW(A24)),3),DATE(1990,1,1))</f>
        <v>32874</v>
      </c>
      <c r="E83" s="57"/>
      <c r="X83"/>
      <c r="Y83"/>
    </row>
    <row r="84" spans="2:25" x14ac:dyDescent="0.25">
      <c r="B84" s="122">
        <f t="array" ref="B84">IFERROR(INDEX(Tabela.frequencia[],SMALL(IF(Tabela.frequencia[id]=$E$11,ROW(Tabela.frequencia[id])-1),ROW(A25)),3),DATE(1990,1,1))</f>
        <v>32874</v>
      </c>
      <c r="E84" s="57"/>
      <c r="X84"/>
      <c r="Y84"/>
    </row>
    <row r="85" spans="2:25" x14ac:dyDescent="0.25">
      <c r="B85" s="122">
        <f t="array" ref="B85">IFERROR(INDEX(Tabela.frequencia[],SMALL(IF(Tabela.frequencia[id]=$E$11,ROW(Tabela.frequencia[id])-1),ROW(A26)),3),DATE(1990,1,1))</f>
        <v>32874</v>
      </c>
      <c r="E85" s="57"/>
      <c r="X85"/>
      <c r="Y85"/>
    </row>
    <row r="86" spans="2:25" x14ac:dyDescent="0.25">
      <c r="B86" s="122">
        <f t="array" ref="B86">IFERROR(INDEX(Tabela.frequencia[],SMALL(IF(Tabela.frequencia[id]=$E$11,ROW(Tabela.frequencia[id])-1),ROW(A27)),3),DATE(1990,1,1))</f>
        <v>32874</v>
      </c>
      <c r="X86"/>
      <c r="Y86"/>
    </row>
    <row r="87" spans="2:25" x14ac:dyDescent="0.25">
      <c r="B87" s="122">
        <f t="array" ref="B87">IFERROR(INDEX(Tabela.frequencia[],SMALL(IF(Tabela.frequencia[id]=$E$11,ROW(Tabela.frequencia[id])-1),ROW(A28)),3),DATE(1990,1,1))</f>
        <v>32874</v>
      </c>
      <c r="X87"/>
      <c r="Y87"/>
    </row>
    <row r="88" spans="2:25" x14ac:dyDescent="0.25">
      <c r="B88" s="122">
        <f t="array" ref="B88">IFERROR(INDEX(Tabela.frequencia[],SMALL(IF(Tabela.frequencia[id]=$E$11,ROW(Tabela.frequencia[id])-1),ROW(A29)),3),DATE(1990,1,1))</f>
        <v>32874</v>
      </c>
      <c r="X88"/>
      <c r="Y88"/>
    </row>
    <row r="89" spans="2:25" x14ac:dyDescent="0.25">
      <c r="B89" s="122">
        <f t="array" ref="B89">IFERROR(INDEX(Tabela.frequencia[],SMALL(IF(Tabela.frequencia[id]=$E$11,ROW(Tabela.frequencia[id])-1),ROW(A30)),3),DATE(1990,1,1))</f>
        <v>32874</v>
      </c>
      <c r="X89"/>
      <c r="Y89"/>
    </row>
    <row r="90" spans="2:25" x14ac:dyDescent="0.25">
      <c r="B90" s="122">
        <f t="array" ref="B90">IFERROR(INDEX(Tabela.frequencia[],SMALL(IF(Tabela.frequencia[id]=$E$11,ROW(Tabela.frequencia[id])-1),ROW(A31)),3),DATE(1990,1,1))</f>
        <v>32874</v>
      </c>
      <c r="X90"/>
      <c r="Y90"/>
    </row>
    <row r="91" spans="2:25" x14ac:dyDescent="0.25">
      <c r="B91" s="122">
        <f t="array" ref="B91">IFERROR(INDEX(Tabela.frequencia[],SMALL(IF(Tabela.frequencia[id]=$E$11,ROW(Tabela.frequencia[id])-1),ROW(A32)),3),DATE(1990,1,1))</f>
        <v>32874</v>
      </c>
      <c r="X91"/>
      <c r="Y91"/>
    </row>
    <row r="92" spans="2:25" x14ac:dyDescent="0.25">
      <c r="B92" s="122">
        <f t="array" ref="B92">IFERROR(INDEX(Tabela.frequencia[],SMALL(IF(Tabela.frequencia[id]=$E$11,ROW(Tabela.frequencia[id])-1),ROW(A33)),3),DATE(1990,1,1))</f>
        <v>32874</v>
      </c>
      <c r="X92"/>
      <c r="Y92"/>
    </row>
    <row r="93" spans="2:25" x14ac:dyDescent="0.25">
      <c r="B93" s="122">
        <f t="array" ref="B93">IFERROR(INDEX(Tabela.frequencia[],SMALL(IF(Tabela.frequencia[id]=$E$11,ROW(Tabela.frequencia[id])-1),ROW(A34)),3),DATE(1990,1,1))</f>
        <v>32874</v>
      </c>
      <c r="X93"/>
      <c r="Y93"/>
    </row>
    <row r="94" spans="2:25" x14ac:dyDescent="0.25">
      <c r="B94" s="122">
        <f t="array" ref="B94">IFERROR(INDEX(Tabela.frequencia[],SMALL(IF(Tabela.frequencia[id]=$E$11,ROW(Tabela.frequencia[id])-1),ROW(A35)),3),DATE(1990,1,1))</f>
        <v>32874</v>
      </c>
      <c r="X94"/>
      <c r="Y94"/>
    </row>
    <row r="95" spans="2:25" x14ac:dyDescent="0.25">
      <c r="B95" s="122">
        <f t="array" ref="B95">IFERROR(INDEX(Tabela.frequencia[],SMALL(IF(Tabela.frequencia[id]=$E$11,ROW(Tabela.frequencia[id])-1),ROW(A36)),3),DATE(1990,1,1))</f>
        <v>32874</v>
      </c>
      <c r="X95"/>
      <c r="Y95"/>
    </row>
    <row r="96" spans="2:25" x14ac:dyDescent="0.25">
      <c r="B96" s="122">
        <f t="array" ref="B96">IFERROR(INDEX(Tabela.frequencia[],SMALL(IF(Tabela.frequencia[id]=$E$11,ROW(Tabela.frequencia[id])-1),ROW(A37)),3),DATE(1990,1,1))</f>
        <v>32874</v>
      </c>
      <c r="X96"/>
      <c r="Y96"/>
    </row>
    <row r="97" spans="2:25" x14ac:dyDescent="0.25">
      <c r="B97" s="122">
        <f t="array" ref="B97">IFERROR(INDEX(Tabela.frequencia[],SMALL(IF(Tabela.frequencia[id]=$E$11,ROW(Tabela.frequencia[id])-1),ROW(A38)),3),DATE(1990,1,1))</f>
        <v>32874</v>
      </c>
      <c r="X97"/>
      <c r="Y97"/>
    </row>
    <row r="98" spans="2:25" x14ac:dyDescent="0.25">
      <c r="B98" s="122">
        <f t="array" ref="B98">IFERROR(INDEX(Tabela.frequencia[],SMALL(IF(Tabela.frequencia[id]=$E$11,ROW(Tabela.frequencia[id])-1),ROW(A39)),3),DATE(1990,1,1))</f>
        <v>32874</v>
      </c>
      <c r="X98"/>
      <c r="Y98"/>
    </row>
    <row r="99" spans="2:25" x14ac:dyDescent="0.25">
      <c r="B99" s="122">
        <f t="array" ref="B99">IFERROR(INDEX(Tabela.frequencia[],SMALL(IF(Tabela.frequencia[id]=$E$11,ROW(Tabela.frequencia[id])-1),ROW(A40)),3),DATE(1990,1,1))</f>
        <v>32874</v>
      </c>
      <c r="X99"/>
      <c r="Y99"/>
    </row>
    <row r="100" spans="2:25" x14ac:dyDescent="0.25">
      <c r="B100" s="122">
        <f t="array" ref="B100">IFERROR(INDEX(Tabela.frequencia[],SMALL(IF(Tabela.frequencia[id]=$E$11,ROW(Tabela.frequencia[id])-1),ROW(A41)),3),DATE(1990,1,1))</f>
        <v>32874</v>
      </c>
      <c r="X100"/>
      <c r="Y100"/>
    </row>
    <row r="101" spans="2:25" x14ac:dyDescent="0.25">
      <c r="B101" s="122">
        <f t="array" ref="B101">IFERROR(INDEX(Tabela.frequencia[],SMALL(IF(Tabela.frequencia[id]=$E$11,ROW(Tabela.frequencia[id])-1),ROW(A42)),3),DATE(1990,1,1))</f>
        <v>32874</v>
      </c>
      <c r="X101"/>
      <c r="Y101"/>
    </row>
    <row r="102" spans="2:25" x14ac:dyDescent="0.25">
      <c r="B102" s="122">
        <f t="array" ref="B102">IFERROR(INDEX(Tabela.frequencia[],SMALL(IF(Tabela.frequencia[id]=$E$11,ROW(Tabela.frequencia[id])-1),ROW(A43)),3),DATE(1990,1,1))</f>
        <v>32874</v>
      </c>
      <c r="X102"/>
      <c r="Y102"/>
    </row>
    <row r="103" spans="2:25" x14ac:dyDescent="0.25">
      <c r="B103" s="122">
        <f t="array" ref="B103">IFERROR(INDEX(Tabela.frequencia[],SMALL(IF(Tabela.frequencia[id]=$E$11,ROW(Tabela.frequencia[id])-1),ROW(A44)),3),DATE(1990,1,1))</f>
        <v>32874</v>
      </c>
      <c r="X103"/>
      <c r="Y103"/>
    </row>
    <row r="104" spans="2:25" x14ac:dyDescent="0.25">
      <c r="B104" s="122">
        <f t="array" ref="B104">IFERROR(INDEX(Tabela.frequencia[],SMALL(IF(Tabela.frequencia[id]=$E$11,ROW(Tabela.frequencia[id])-1),ROW(A45)),3),DATE(1990,1,1))</f>
        <v>32874</v>
      </c>
      <c r="X104"/>
      <c r="Y104"/>
    </row>
    <row r="105" spans="2:25" x14ac:dyDescent="0.25">
      <c r="B105" s="122">
        <f t="array" ref="B105">IFERROR(INDEX(Tabela.frequencia[],SMALL(IF(Tabela.frequencia[id]=$E$11,ROW(Tabela.frequencia[id])-1),ROW(A46)),3),DATE(1990,1,1))</f>
        <v>32874</v>
      </c>
      <c r="X105"/>
      <c r="Y105"/>
    </row>
    <row r="106" spans="2:25" x14ac:dyDescent="0.25">
      <c r="B106" s="122">
        <f t="array" ref="B106">IFERROR(INDEX(Tabela.frequencia[],SMALL(IF(Tabela.frequencia[id]=$E$11,ROW(Tabela.frequencia[id])-1),ROW(A47)),3),DATE(1990,1,1))</f>
        <v>32874</v>
      </c>
      <c r="X106"/>
      <c r="Y106"/>
    </row>
    <row r="107" spans="2:25" x14ac:dyDescent="0.25">
      <c r="B107" s="122">
        <f t="array" ref="B107">IFERROR(INDEX(Tabela.frequencia[],SMALL(IF(Tabela.frequencia[id]=$E$11,ROW(Tabela.frequencia[id])-1),ROW(A48)),3),DATE(1990,1,1))</f>
        <v>32874</v>
      </c>
      <c r="X107"/>
      <c r="Y107"/>
    </row>
    <row r="108" spans="2:25" x14ac:dyDescent="0.25">
      <c r="B108" s="122">
        <f t="array" ref="B108">IFERROR(INDEX(Tabela.frequencia[],SMALL(IF(Tabela.frequencia[id]=$E$11,ROW(Tabela.frequencia[id])-1),ROW(A49)),3),DATE(1990,1,1))</f>
        <v>32874</v>
      </c>
      <c r="X108"/>
      <c r="Y108"/>
    </row>
    <row r="109" spans="2:25" x14ac:dyDescent="0.25">
      <c r="B109" s="122">
        <f t="array" ref="B109">IFERROR(INDEX(Tabela.frequencia[],SMALL(IF(Tabela.frequencia[id]=$E$11,ROW(Tabela.frequencia[id])-1),ROW(A50)),3),DATE(1990,1,1))</f>
        <v>32874</v>
      </c>
      <c r="X109"/>
      <c r="Y109"/>
    </row>
    <row r="110" spans="2:25" x14ac:dyDescent="0.25">
      <c r="B110" s="122">
        <f t="array" ref="B110">IFERROR(INDEX(Tabela.frequencia[],SMALL(IF(Tabela.frequencia[id]=$E$11,ROW(Tabela.frequencia[id])-1),ROW(A51)),3),DATE(1990,1,1))</f>
        <v>32874</v>
      </c>
      <c r="X110"/>
      <c r="Y110"/>
    </row>
    <row r="111" spans="2:25" x14ac:dyDescent="0.25">
      <c r="B111" s="122">
        <f t="array" ref="B111">IFERROR(INDEX(Tabela.frequencia[],SMALL(IF(Tabela.frequencia[id]=$E$11,ROW(Tabela.frequencia[id])-1),ROW(A52)),3),DATE(1990,1,1))</f>
        <v>32874</v>
      </c>
      <c r="X111"/>
      <c r="Y111"/>
    </row>
    <row r="112" spans="2:25" x14ac:dyDescent="0.25">
      <c r="B112" s="122">
        <f t="array" ref="B112">IFERROR(INDEX(Tabela.frequencia[],SMALL(IF(Tabela.frequencia[id]=$E$11,ROW(Tabela.frequencia[id])-1),ROW(A53)),3),DATE(1990,1,1))</f>
        <v>32874</v>
      </c>
      <c r="X112"/>
      <c r="Y112"/>
    </row>
    <row r="113" spans="2:25" x14ac:dyDescent="0.25">
      <c r="B113" s="122">
        <f t="array" ref="B113">IFERROR(INDEX(Tabela.frequencia[],SMALL(IF(Tabela.frequencia[id]=$E$11,ROW(Tabela.frequencia[id])-1),ROW(A54)),3),DATE(1990,1,1))</f>
        <v>32874</v>
      </c>
      <c r="X113"/>
      <c r="Y113"/>
    </row>
    <row r="114" spans="2:25" x14ac:dyDescent="0.25">
      <c r="B114" s="122">
        <f t="array" ref="B114">IFERROR(INDEX(Tabela.frequencia[],SMALL(IF(Tabela.frequencia[id]=$E$11,ROW(Tabela.frequencia[id])-1),ROW(A55)),3),DATE(1990,1,1))</f>
        <v>32874</v>
      </c>
      <c r="X114"/>
      <c r="Y114"/>
    </row>
    <row r="115" spans="2:25" x14ac:dyDescent="0.25">
      <c r="B115" s="122">
        <f t="array" ref="B115">IFERROR(INDEX(Tabela.frequencia[],SMALL(IF(Tabela.frequencia[id]=$E$11,ROW(Tabela.frequencia[id])-1),ROW(A56)),3),DATE(1990,1,1))</f>
        <v>32874</v>
      </c>
      <c r="X115"/>
      <c r="Y115"/>
    </row>
    <row r="116" spans="2:25" x14ac:dyDescent="0.25">
      <c r="B116" s="122">
        <f t="array" ref="B116">IFERROR(INDEX(Tabela.frequencia[],SMALL(IF(Tabela.frequencia[id]=$E$11,ROW(Tabela.frequencia[id])-1),ROW(A57)),3),DATE(1990,1,1))</f>
        <v>32874</v>
      </c>
      <c r="X116"/>
      <c r="Y116"/>
    </row>
    <row r="117" spans="2:25" x14ac:dyDescent="0.25">
      <c r="B117" s="122">
        <f t="array" ref="B117">IFERROR(INDEX(Tabela.frequencia[],SMALL(IF(Tabela.frequencia[id]=$E$11,ROW(Tabela.frequencia[id])-1),ROW(A58)),3),DATE(1990,1,1))</f>
        <v>32874</v>
      </c>
      <c r="X117"/>
      <c r="Y117"/>
    </row>
    <row r="118" spans="2:25" x14ac:dyDescent="0.25">
      <c r="B118" s="122">
        <f t="array" ref="B118">IFERROR(INDEX(Tabela.frequencia[],SMALL(IF(Tabela.frequencia[id]=$E$11,ROW(Tabela.frequencia[id])-1),ROW(A59)),3),DATE(1990,1,1))</f>
        <v>32874</v>
      </c>
      <c r="X118"/>
      <c r="Y118"/>
    </row>
    <row r="119" spans="2:25" x14ac:dyDescent="0.25">
      <c r="B119" s="122">
        <f t="array" ref="B119">IFERROR(INDEX(Tabela.frequencia[],SMALL(IF(Tabela.frequencia[id]=$E$11,ROW(Tabela.frequencia[id])-1),ROW(A60)),3),DATE(1990,1,1))</f>
        <v>32874</v>
      </c>
      <c r="X119"/>
      <c r="Y119"/>
    </row>
    <row r="120" spans="2:25" x14ac:dyDescent="0.25">
      <c r="B120" s="122">
        <f t="array" ref="B120">IFERROR(INDEX(Tabela.frequencia[],SMALL(IF(Tabela.frequencia[id]=$E$11,ROW(Tabela.frequencia[id])-1),ROW(A61)),3),DATE(1990,1,1))</f>
        <v>32874</v>
      </c>
      <c r="X120"/>
      <c r="Y120"/>
    </row>
    <row r="121" spans="2:25" x14ac:dyDescent="0.25">
      <c r="B121" s="122">
        <f t="array" ref="B121">IFERROR(INDEX(Tabela.frequencia[],SMALL(IF(Tabela.frequencia[id]=$E$11,ROW(Tabela.frequencia[id])-1),ROW(A62)),3),DATE(1990,1,1))</f>
        <v>32874</v>
      </c>
      <c r="X121"/>
      <c r="Y121"/>
    </row>
    <row r="122" spans="2:25" x14ac:dyDescent="0.25">
      <c r="B122" s="122">
        <f t="array" ref="B122">IFERROR(INDEX(Tabela.frequencia[],SMALL(IF(Tabela.frequencia[id]=$E$11,ROW(Tabela.frequencia[id])-1),ROW(A63)),3),DATE(1990,1,1))</f>
        <v>32874</v>
      </c>
      <c r="X122"/>
      <c r="Y122"/>
    </row>
    <row r="123" spans="2:25" x14ac:dyDescent="0.25">
      <c r="B123" s="122">
        <f t="array" ref="B123">IFERROR(INDEX(Tabela.frequencia[],SMALL(IF(Tabela.frequencia[id]=$E$11,ROW(Tabela.frequencia[id])-1),ROW(A64)),3),DATE(1990,1,1))</f>
        <v>32874</v>
      </c>
      <c r="X123"/>
      <c r="Y123"/>
    </row>
    <row r="124" spans="2:25" x14ac:dyDescent="0.25">
      <c r="B124" s="122">
        <f t="array" ref="B124">IFERROR(INDEX(Tabela.frequencia[],SMALL(IF(Tabela.frequencia[id]=$E$11,ROW(Tabela.frequencia[id])-1),ROW(A65)),3),DATE(1990,1,1))</f>
        <v>32874</v>
      </c>
      <c r="X124"/>
      <c r="Y124"/>
    </row>
    <row r="125" spans="2:25" x14ac:dyDescent="0.25">
      <c r="B125" s="122">
        <f t="array" ref="B125">IFERROR(INDEX(Tabela.frequencia[],SMALL(IF(Tabela.frequencia[id]=$E$11,ROW(Tabela.frequencia[id])-1),ROW(A66)),3),DATE(1990,1,1))</f>
        <v>32874</v>
      </c>
      <c r="X125"/>
      <c r="Y125"/>
    </row>
    <row r="126" spans="2:25" x14ac:dyDescent="0.25">
      <c r="B126" s="122">
        <f t="array" ref="B126">IFERROR(INDEX(Tabela.frequencia[],SMALL(IF(Tabela.frequencia[id]=$E$11,ROW(Tabela.frequencia[id])-1),ROW(A67)),3),DATE(1990,1,1))</f>
        <v>32874</v>
      </c>
      <c r="X126"/>
      <c r="Y126"/>
    </row>
    <row r="127" spans="2:25" x14ac:dyDescent="0.25">
      <c r="B127" s="122">
        <f t="array" ref="B127">IFERROR(INDEX(Tabela.frequencia[],SMALL(IF(Tabela.frequencia[id]=$E$11,ROW(Tabela.frequencia[id])-1),ROW(A68)),3),DATE(1990,1,1))</f>
        <v>32874</v>
      </c>
      <c r="X127"/>
      <c r="Y127"/>
    </row>
    <row r="128" spans="2:25" x14ac:dyDescent="0.25">
      <c r="B128" s="122">
        <f t="array" ref="B128">IFERROR(INDEX(Tabela.frequencia[],SMALL(IF(Tabela.frequencia[id]=$E$11,ROW(Tabela.frequencia[id])-1),ROW(A69)),3),DATE(1990,1,1))</f>
        <v>32874</v>
      </c>
      <c r="X128"/>
      <c r="Y128"/>
    </row>
    <row r="129" spans="2:25" x14ac:dyDescent="0.25">
      <c r="B129" s="122">
        <f t="array" ref="B129">IFERROR(INDEX(Tabela.frequencia[],SMALL(IF(Tabela.frequencia[id]=$E$11,ROW(Tabela.frequencia[id])-1),ROW(A70)),3),DATE(1990,1,1))</f>
        <v>32874</v>
      </c>
      <c r="X129"/>
      <c r="Y129"/>
    </row>
    <row r="130" spans="2:25" x14ac:dyDescent="0.25">
      <c r="B130" s="122">
        <f t="array" ref="B130">IFERROR(INDEX(Tabela.frequencia[],SMALL(IF(Tabela.frequencia[id]=$E$11,ROW(Tabela.frequencia[id])-1),ROW(A71)),3),DATE(1990,1,1))</f>
        <v>32874</v>
      </c>
      <c r="X130"/>
      <c r="Y130"/>
    </row>
    <row r="131" spans="2:25" x14ac:dyDescent="0.25">
      <c r="B131" s="122">
        <f t="array" ref="B131">IFERROR(INDEX(Tabela.frequencia[],SMALL(IF(Tabela.frequencia[id]=$E$11,ROW(Tabela.frequencia[id])-1),ROW(A72)),3),DATE(1990,1,1))</f>
        <v>32874</v>
      </c>
      <c r="X131"/>
      <c r="Y131"/>
    </row>
    <row r="132" spans="2:25" x14ac:dyDescent="0.25">
      <c r="B132" s="122">
        <f t="array" ref="B132">IFERROR(INDEX(Tabela.frequencia[],SMALL(IF(Tabela.frequencia[id]=$E$11,ROW(Tabela.frequencia[id])-1),ROW(A73)),3),DATE(1990,1,1))</f>
        <v>32874</v>
      </c>
      <c r="X132"/>
      <c r="Y132"/>
    </row>
    <row r="133" spans="2:25" x14ac:dyDescent="0.25">
      <c r="B133" s="122">
        <f t="array" ref="B133">IFERROR(INDEX(Tabela.frequencia[],SMALL(IF(Tabela.frequencia[id]=$E$11,ROW(Tabela.frequencia[id])-1),ROW(A74)),3),DATE(1990,1,1))</f>
        <v>32874</v>
      </c>
      <c r="X133"/>
      <c r="Y133"/>
    </row>
    <row r="134" spans="2:25" x14ac:dyDescent="0.25">
      <c r="B134" s="122">
        <f t="array" ref="B134">IFERROR(INDEX(Tabela.frequencia[],SMALL(IF(Tabela.frequencia[id]=$E$11,ROW(Tabela.frequencia[id])-1),ROW(A75)),3),DATE(1990,1,1))</f>
        <v>32874</v>
      </c>
      <c r="X134"/>
      <c r="Y134"/>
    </row>
    <row r="135" spans="2:25" x14ac:dyDescent="0.25">
      <c r="B135" s="122">
        <f t="array" ref="B135">IFERROR(INDEX(Tabela.frequencia[],SMALL(IF(Tabela.frequencia[id]=$E$11,ROW(Tabela.frequencia[id])-1),ROW(A76)),3),DATE(1990,1,1))</f>
        <v>32874</v>
      </c>
      <c r="X135"/>
      <c r="Y135"/>
    </row>
    <row r="136" spans="2:25" x14ac:dyDescent="0.25">
      <c r="B136" s="122">
        <f t="array" ref="B136">IFERROR(INDEX(Tabela.frequencia[],SMALL(IF(Tabela.frequencia[id]=$E$11,ROW(Tabela.frequencia[id])-1),ROW(A77)),3),DATE(1990,1,1))</f>
        <v>32874</v>
      </c>
      <c r="X136"/>
      <c r="Y136"/>
    </row>
    <row r="137" spans="2:25" x14ac:dyDescent="0.25">
      <c r="B137" s="122">
        <f t="array" ref="B137">IFERROR(INDEX(Tabela.frequencia[],SMALL(IF(Tabela.frequencia[id]=$E$11,ROW(Tabela.frequencia[id])-1),ROW(A78)),3),DATE(1990,1,1))</f>
        <v>32874</v>
      </c>
      <c r="X137"/>
      <c r="Y137"/>
    </row>
    <row r="138" spans="2:25" x14ac:dyDescent="0.25">
      <c r="B138" s="122">
        <f t="array" ref="B138">IFERROR(INDEX(Tabela.frequencia[],SMALL(IF(Tabela.frequencia[id]=$E$11,ROW(Tabela.frequencia[id])-1),ROW(A79)),3),DATE(1990,1,1))</f>
        <v>32874</v>
      </c>
      <c r="X138"/>
      <c r="Y138"/>
    </row>
    <row r="139" spans="2:25" x14ac:dyDescent="0.25">
      <c r="B139" s="122">
        <f t="array" ref="B139">IFERROR(INDEX(Tabela.frequencia[],SMALL(IF(Tabela.frequencia[id]=$E$11,ROW(Tabela.frequencia[id])-1),ROW(A80)),3),DATE(1990,1,1))</f>
        <v>32874</v>
      </c>
      <c r="X139"/>
      <c r="Y139"/>
    </row>
    <row r="140" spans="2:25" x14ac:dyDescent="0.25">
      <c r="B140" s="122">
        <f t="array" ref="B140">IFERROR(INDEX(Tabela.frequencia[],SMALL(IF(Tabela.frequencia[id]=$E$11,ROW(Tabela.frequencia[id])-1),ROW(A81)),3),DATE(1990,1,1))</f>
        <v>32874</v>
      </c>
      <c r="X140"/>
      <c r="Y140"/>
    </row>
    <row r="141" spans="2:25" x14ac:dyDescent="0.25">
      <c r="B141" s="122">
        <f t="array" ref="B141">IFERROR(INDEX(Tabela.frequencia[],SMALL(IF(Tabela.frequencia[id]=$E$11,ROW(Tabela.frequencia[id])-1),ROW(A82)),3),DATE(1990,1,1))</f>
        <v>32874</v>
      </c>
      <c r="X141"/>
      <c r="Y141"/>
    </row>
    <row r="142" spans="2:25" x14ac:dyDescent="0.25">
      <c r="B142" s="122">
        <f t="array" ref="B142">IFERROR(INDEX(Tabela.frequencia[],SMALL(IF(Tabela.frequencia[id]=$E$11,ROW(Tabela.frequencia[id])-1),ROW(A83)),3),DATE(1990,1,1))</f>
        <v>32874</v>
      </c>
      <c r="X142"/>
      <c r="Y142"/>
    </row>
    <row r="143" spans="2:25" x14ac:dyDescent="0.25">
      <c r="B143" s="122">
        <f t="array" ref="B143">IFERROR(INDEX(Tabela.frequencia[],SMALL(IF(Tabela.frequencia[id]=$E$11,ROW(Tabela.frequencia[id])-1),ROW(A84)),3),DATE(1990,1,1))</f>
        <v>32874</v>
      </c>
      <c r="X143"/>
      <c r="Y143"/>
    </row>
    <row r="144" spans="2:25" x14ac:dyDescent="0.25">
      <c r="B144" s="122">
        <f t="array" ref="B144">IFERROR(INDEX(Tabela.frequencia[],SMALL(IF(Tabela.frequencia[id]=$E$11,ROW(Tabela.frequencia[id])-1),ROW(A85)),3),DATE(1990,1,1))</f>
        <v>32874</v>
      </c>
      <c r="X144"/>
      <c r="Y144"/>
    </row>
    <row r="145" spans="2:25" x14ac:dyDescent="0.25">
      <c r="B145" s="122">
        <f t="array" ref="B145">IFERROR(INDEX(Tabela.frequencia[],SMALL(IF(Tabela.frequencia[id]=$E$11,ROW(Tabela.frequencia[id])-1),ROW(A86)),3),DATE(1990,1,1))</f>
        <v>32874</v>
      </c>
      <c r="X145"/>
      <c r="Y145"/>
    </row>
    <row r="146" spans="2:25" x14ac:dyDescent="0.25">
      <c r="B146" s="122">
        <f t="array" ref="B146">IFERROR(INDEX(Tabela.frequencia[],SMALL(IF(Tabela.frequencia[id]=$E$11,ROW(Tabela.frequencia[id])-1),ROW(A87)),3),DATE(1990,1,1))</f>
        <v>32874</v>
      </c>
      <c r="X146"/>
      <c r="Y146"/>
    </row>
    <row r="147" spans="2:25" x14ac:dyDescent="0.25">
      <c r="B147" s="122">
        <f t="array" ref="B147">IFERROR(INDEX(Tabela.frequencia[],SMALL(IF(Tabela.frequencia[id]=$E$11,ROW(Tabela.frequencia[id])-1),ROW(A88)),3),DATE(1990,1,1))</f>
        <v>32874</v>
      </c>
      <c r="X147"/>
      <c r="Y147"/>
    </row>
    <row r="148" spans="2:25" x14ac:dyDescent="0.25">
      <c r="B148" s="122">
        <f t="array" ref="B148">IFERROR(INDEX(Tabela.frequencia[],SMALL(IF(Tabela.frequencia[id]=$E$11,ROW(Tabela.frequencia[id])-1),ROW(A89)),3),DATE(1990,1,1))</f>
        <v>32874</v>
      </c>
      <c r="X148"/>
      <c r="Y148"/>
    </row>
    <row r="149" spans="2:25" x14ac:dyDescent="0.25">
      <c r="B149" s="122">
        <f t="array" ref="B149">IFERROR(INDEX(Tabela.frequencia[],SMALL(IF(Tabela.frequencia[id]=$E$11,ROW(Tabela.frequencia[id])-1),ROW(A90)),3),DATE(1990,1,1))</f>
        <v>32874</v>
      </c>
      <c r="X149"/>
      <c r="Y149"/>
    </row>
    <row r="150" spans="2:25" x14ac:dyDescent="0.25">
      <c r="B150" s="122">
        <f t="array" ref="B150">IFERROR(INDEX(Tabela.frequencia[],SMALL(IF(Tabela.frequencia[id]=$E$11,ROW(Tabela.frequencia[id])-1),ROW(A91)),3),DATE(1990,1,1))</f>
        <v>32874</v>
      </c>
      <c r="X150"/>
      <c r="Y150"/>
    </row>
    <row r="151" spans="2:25" x14ac:dyDescent="0.25">
      <c r="B151" s="122">
        <f t="array" ref="B151">IFERROR(INDEX(Tabela.frequencia[],SMALL(IF(Tabela.frequencia[id]=$E$11,ROW(Tabela.frequencia[id])-1),ROW(A92)),3),DATE(1990,1,1))</f>
        <v>32874</v>
      </c>
      <c r="X151"/>
      <c r="Y151"/>
    </row>
    <row r="152" spans="2:25" x14ac:dyDescent="0.25">
      <c r="B152" s="122">
        <f t="array" ref="B152">IFERROR(INDEX(Tabela.frequencia[],SMALL(IF(Tabela.frequencia[id]=$E$11,ROW(Tabela.frequencia[id])-1),ROW(A93)),3),DATE(1990,1,1))</f>
        <v>32874</v>
      </c>
      <c r="X152"/>
      <c r="Y152"/>
    </row>
    <row r="153" spans="2:25" x14ac:dyDescent="0.25">
      <c r="B153" s="122">
        <f t="array" ref="B153">IFERROR(INDEX(Tabela.frequencia[],SMALL(IF(Tabela.frequencia[id]=$E$11,ROW(Tabela.frequencia[id])-1),ROW(A94)),3),DATE(1990,1,1))</f>
        <v>32874</v>
      </c>
      <c r="X153"/>
      <c r="Y153"/>
    </row>
    <row r="154" spans="2:25" x14ac:dyDescent="0.25">
      <c r="B154" s="122">
        <f t="array" ref="B154">IFERROR(INDEX(Tabela.frequencia[],SMALL(IF(Tabela.frequencia[id]=$E$11,ROW(Tabela.frequencia[id])-1),ROW(A95)),3),DATE(1990,1,1))</f>
        <v>32874</v>
      </c>
      <c r="X154"/>
      <c r="Y154"/>
    </row>
    <row r="155" spans="2:25" x14ac:dyDescent="0.25">
      <c r="B155" s="122">
        <f t="array" ref="B155">IFERROR(INDEX(Tabela.frequencia[],SMALL(IF(Tabela.frequencia[id]=$E$11,ROW(Tabela.frequencia[id])-1),ROW(A96)),3),DATE(1990,1,1))</f>
        <v>32874</v>
      </c>
      <c r="X155"/>
      <c r="Y155"/>
    </row>
    <row r="156" spans="2:25" x14ac:dyDescent="0.25">
      <c r="B156" s="122">
        <f t="array" ref="B156">IFERROR(INDEX(Tabela.frequencia[],SMALL(IF(Tabela.frequencia[id]=$E$11,ROW(Tabela.frequencia[id])-1),ROW(A97)),3),DATE(1990,1,1))</f>
        <v>32874</v>
      </c>
      <c r="X156"/>
      <c r="Y156"/>
    </row>
    <row r="157" spans="2:25" x14ac:dyDescent="0.25">
      <c r="B157" s="122">
        <f t="array" ref="B157">IFERROR(INDEX(Tabela.frequencia[],SMALL(IF(Tabela.frequencia[id]=$E$11,ROW(Tabela.frequencia[id])-1),ROW(A98)),3),DATE(1990,1,1))</f>
        <v>32874</v>
      </c>
      <c r="X157"/>
      <c r="Y157"/>
    </row>
    <row r="158" spans="2:25" x14ac:dyDescent="0.25">
      <c r="B158" s="122">
        <f t="array" ref="B158">IFERROR(INDEX(Tabela.frequencia[],SMALL(IF(Tabela.frequencia[id]=$E$11,ROW(Tabela.frequencia[id])-1),ROW(A99)),3),DATE(1990,1,1))</f>
        <v>32874</v>
      </c>
      <c r="X158"/>
      <c r="Y158"/>
    </row>
    <row r="159" spans="2:25" x14ac:dyDescent="0.25">
      <c r="B159" s="122">
        <f t="array" ref="B159">IFERROR(INDEX(Tabela.frequencia[],SMALL(IF(Tabela.frequencia[id]=$E$11,ROW(Tabela.frequencia[id])-1),ROW(A100)),3),DATE(1990,1,1))</f>
        <v>32874</v>
      </c>
      <c r="X159"/>
      <c r="Y159"/>
    </row>
    <row r="160" spans="2:25" x14ac:dyDescent="0.25">
      <c r="B160" s="122">
        <f t="array" ref="B160">IFERROR(INDEX(Tabela.frequencia[],SMALL(IF(Tabela.frequencia[id]=$E$11,ROW(Tabela.frequencia[id])-1),ROW(A101)),3),DATE(1990,1,1))</f>
        <v>32874</v>
      </c>
      <c r="X160"/>
      <c r="Y160"/>
    </row>
    <row r="161" spans="2:25" x14ac:dyDescent="0.25">
      <c r="B161" s="122">
        <f t="array" ref="B161">IFERROR(INDEX(Tabela.frequencia[],SMALL(IF(Tabela.frequencia[id]=$E$11,ROW(Tabela.frequencia[id])-1),ROW(A102)),3),DATE(1990,1,1))</f>
        <v>32874</v>
      </c>
      <c r="X161"/>
      <c r="Y161"/>
    </row>
    <row r="162" spans="2:25" x14ac:dyDescent="0.25">
      <c r="B162" s="122">
        <f t="array" ref="B162">IFERROR(INDEX(Tabela.frequencia[],SMALL(IF(Tabela.frequencia[id]=$E$11,ROW(Tabela.frequencia[id])-1),ROW(A103)),3),DATE(1990,1,1))</f>
        <v>32874</v>
      </c>
      <c r="X162"/>
      <c r="Y162"/>
    </row>
    <row r="163" spans="2:25" x14ac:dyDescent="0.25">
      <c r="B163" s="122">
        <f t="array" ref="B163">IFERROR(INDEX(Tabela.frequencia[],SMALL(IF(Tabela.frequencia[id]=$E$11,ROW(Tabela.frequencia[id])-1),ROW(A104)),3),DATE(1990,1,1))</f>
        <v>32874</v>
      </c>
      <c r="X163"/>
      <c r="Y163"/>
    </row>
    <row r="164" spans="2:25" x14ac:dyDescent="0.25">
      <c r="B164" s="122">
        <f t="array" ref="B164">IFERROR(INDEX(Tabela.frequencia[],SMALL(IF(Tabela.frequencia[id]=$E$11,ROW(Tabela.frequencia[id])-1),ROW(A105)),3),DATE(1990,1,1))</f>
        <v>32874</v>
      </c>
      <c r="X164"/>
      <c r="Y164"/>
    </row>
    <row r="165" spans="2:25" x14ac:dyDescent="0.25">
      <c r="B165" s="122">
        <f t="array" ref="B165">IFERROR(INDEX(Tabela.frequencia[],SMALL(IF(Tabela.frequencia[id]=$E$11,ROW(Tabela.frequencia[id])-1),ROW(A106)),3),DATE(1990,1,1))</f>
        <v>32874</v>
      </c>
      <c r="X165"/>
      <c r="Y165"/>
    </row>
    <row r="166" spans="2:25" x14ac:dyDescent="0.25">
      <c r="B166" s="122">
        <f t="array" ref="B166">IFERROR(INDEX(Tabela.frequencia[],SMALL(IF(Tabela.frequencia[id]=$E$11,ROW(Tabela.frequencia[id])-1),ROW(A107)),3),DATE(1990,1,1))</f>
        <v>32874</v>
      </c>
      <c r="X166"/>
      <c r="Y166"/>
    </row>
    <row r="167" spans="2:25" x14ac:dyDescent="0.25">
      <c r="B167" s="122">
        <f t="array" ref="B167">IFERROR(INDEX(Tabela.frequencia[],SMALL(IF(Tabela.frequencia[id]=$E$11,ROW(Tabela.frequencia[id])-1),ROW(A108)),3),DATE(1990,1,1))</f>
        <v>32874</v>
      </c>
      <c r="X167"/>
      <c r="Y167"/>
    </row>
    <row r="168" spans="2:25" x14ac:dyDescent="0.25">
      <c r="B168" s="122">
        <f t="array" ref="B168">IFERROR(INDEX(Tabela.frequencia[],SMALL(IF(Tabela.frequencia[id]=$E$11,ROW(Tabela.frequencia[id])-1),ROW(A109)),3),DATE(1990,1,1))</f>
        <v>32874</v>
      </c>
      <c r="X168"/>
      <c r="Y168"/>
    </row>
    <row r="169" spans="2:25" x14ac:dyDescent="0.25">
      <c r="B169" s="122">
        <f t="array" ref="B169">IFERROR(INDEX(Tabela.frequencia[],SMALL(IF(Tabela.frequencia[id]=$E$11,ROW(Tabela.frequencia[id])-1),ROW(A110)),3),DATE(1990,1,1))</f>
        <v>32874</v>
      </c>
      <c r="X169"/>
      <c r="Y169"/>
    </row>
    <row r="170" spans="2:25" x14ac:dyDescent="0.25">
      <c r="B170" s="122">
        <f t="array" ref="B170">IFERROR(INDEX(Tabela.frequencia[],SMALL(IF(Tabela.frequencia[id]=$E$11,ROW(Tabela.frequencia[id])-1),ROW(A111)),3),DATE(1990,1,1))</f>
        <v>32874</v>
      </c>
      <c r="X170"/>
      <c r="Y170"/>
    </row>
    <row r="171" spans="2:25" x14ac:dyDescent="0.25">
      <c r="B171" s="122">
        <f t="array" ref="B171">IFERROR(INDEX(Tabela.frequencia[],SMALL(IF(Tabela.frequencia[id]=$E$11,ROW(Tabela.frequencia[id])-1),ROW(A112)),3),DATE(1990,1,1))</f>
        <v>32874</v>
      </c>
      <c r="X171"/>
      <c r="Y171"/>
    </row>
    <row r="172" spans="2:25" x14ac:dyDescent="0.25">
      <c r="B172" s="122">
        <f t="array" ref="B172">IFERROR(INDEX(Tabela.frequencia[],SMALL(IF(Tabela.frequencia[id]=$E$11,ROW(Tabela.frequencia[id])-1),ROW(A113)),3),DATE(1990,1,1))</f>
        <v>32874</v>
      </c>
      <c r="X172"/>
      <c r="Y172"/>
    </row>
    <row r="173" spans="2:25" x14ac:dyDescent="0.25">
      <c r="B173" s="122">
        <f t="array" ref="B173">IFERROR(INDEX(Tabela.frequencia[],SMALL(IF(Tabela.frequencia[id]=$E$11,ROW(Tabela.frequencia[id])-1),ROW(A114)),3),DATE(1990,1,1))</f>
        <v>32874</v>
      </c>
      <c r="X173"/>
      <c r="Y173"/>
    </row>
    <row r="174" spans="2:25" x14ac:dyDescent="0.25">
      <c r="B174" s="122">
        <f t="array" ref="B174">IFERROR(INDEX(Tabela.frequencia[],SMALL(IF(Tabela.frequencia[id]=$E$11,ROW(Tabela.frequencia[id])-1),ROW(A115)),3),DATE(1990,1,1))</f>
        <v>32874</v>
      </c>
      <c r="X174"/>
      <c r="Y174"/>
    </row>
    <row r="175" spans="2:25" x14ac:dyDescent="0.25">
      <c r="B175" s="122">
        <f t="array" ref="B175">IFERROR(INDEX(Tabela.frequencia[],SMALL(IF(Tabela.frequencia[id]=$E$11,ROW(Tabela.frequencia[id])-1),ROW(A116)),3),DATE(1990,1,1))</f>
        <v>32874</v>
      </c>
      <c r="X175"/>
      <c r="Y175"/>
    </row>
    <row r="176" spans="2:25" x14ac:dyDescent="0.25">
      <c r="B176" s="122">
        <f t="array" ref="B176">IFERROR(INDEX(Tabela.frequencia[],SMALL(IF(Tabela.frequencia[id]=$E$11,ROW(Tabela.frequencia[id])-1),ROW(A117)),3),DATE(1990,1,1))</f>
        <v>32874</v>
      </c>
      <c r="X176"/>
      <c r="Y176"/>
    </row>
    <row r="177" spans="2:25" x14ac:dyDescent="0.25">
      <c r="B177" s="122">
        <f t="array" ref="B177">IFERROR(INDEX(Tabela.frequencia[],SMALL(IF(Tabela.frequencia[id]=$E$11,ROW(Tabela.frequencia[id])-1),ROW(A118)),3),DATE(1990,1,1))</f>
        <v>32874</v>
      </c>
      <c r="X177"/>
      <c r="Y177"/>
    </row>
    <row r="178" spans="2:25" x14ac:dyDescent="0.25">
      <c r="B178" s="122">
        <f t="array" ref="B178">IFERROR(INDEX(Tabela.frequencia[],SMALL(IF(Tabela.frequencia[id]=$E$11,ROW(Tabela.frequencia[id])-1),ROW(A119)),3),DATE(1990,1,1))</f>
        <v>32874</v>
      </c>
      <c r="X178"/>
      <c r="Y178"/>
    </row>
    <row r="179" spans="2:25" x14ac:dyDescent="0.25">
      <c r="B179" s="122">
        <f t="array" ref="B179">IFERROR(INDEX(Tabela.frequencia[],SMALL(IF(Tabela.frequencia[id]=$E$11,ROW(Tabela.frequencia[id])-1),ROW(A120)),3),DATE(1990,1,1))</f>
        <v>32874</v>
      </c>
      <c r="X179"/>
      <c r="Y179"/>
    </row>
    <row r="180" spans="2:25" x14ac:dyDescent="0.25">
      <c r="B180" s="122">
        <f t="array" ref="B180">IFERROR(INDEX(Tabela.frequencia[],SMALL(IF(Tabela.frequencia[id]=$E$11,ROW(Tabela.frequencia[id])-1),ROW(A121)),3),DATE(1990,1,1))</f>
        <v>32874</v>
      </c>
      <c r="X180"/>
      <c r="Y180"/>
    </row>
    <row r="181" spans="2:25" x14ac:dyDescent="0.25">
      <c r="B181" s="122">
        <f t="array" ref="B181">IFERROR(INDEX(Tabela.frequencia[],SMALL(IF(Tabela.frequencia[id]=$E$11,ROW(Tabela.frequencia[id])-1),ROW(A122)),3),DATE(1990,1,1))</f>
        <v>32874</v>
      </c>
      <c r="X181"/>
      <c r="Y181"/>
    </row>
    <row r="182" spans="2:25" x14ac:dyDescent="0.25">
      <c r="B182" s="122">
        <f t="array" ref="B182">IFERROR(INDEX(Tabela.frequencia[],SMALL(IF(Tabela.frequencia[id]=$E$11,ROW(Tabela.frequencia[id])-1),ROW(A123)),3),DATE(1990,1,1))</f>
        <v>32874</v>
      </c>
      <c r="X182"/>
      <c r="Y182"/>
    </row>
    <row r="183" spans="2:25" x14ac:dyDescent="0.25">
      <c r="B183" s="122">
        <f t="array" ref="B183">IFERROR(INDEX(Tabela.frequencia[],SMALL(IF(Tabela.frequencia[id]=$E$11,ROW(Tabela.frequencia[id])-1),ROW(A124)),3),DATE(1990,1,1))</f>
        <v>32874</v>
      </c>
      <c r="X183"/>
      <c r="Y183"/>
    </row>
    <row r="184" spans="2:25" x14ac:dyDescent="0.25">
      <c r="B184" s="122">
        <f t="array" ref="B184">IFERROR(INDEX(Tabela.frequencia[],SMALL(IF(Tabela.frequencia[id]=$E$11,ROW(Tabela.frequencia[id])-1),ROW(A125)),3),DATE(1990,1,1))</f>
        <v>32874</v>
      </c>
      <c r="X184"/>
      <c r="Y184"/>
    </row>
    <row r="185" spans="2:25" x14ac:dyDescent="0.25">
      <c r="B185" s="122">
        <f t="array" ref="B185">IFERROR(INDEX(Tabela.frequencia[],SMALL(IF(Tabela.frequencia[id]=$E$11,ROW(Tabela.frequencia[id])-1),ROW(A126)),3),DATE(1990,1,1))</f>
        <v>32874</v>
      </c>
      <c r="X185"/>
      <c r="Y185"/>
    </row>
    <row r="186" spans="2:25" x14ac:dyDescent="0.25">
      <c r="B186" s="122">
        <f t="array" ref="B186">IFERROR(INDEX(Tabela.frequencia[],SMALL(IF(Tabela.frequencia[id]=$E$11,ROW(Tabela.frequencia[id])-1),ROW(A127)),3),DATE(1990,1,1))</f>
        <v>32874</v>
      </c>
      <c r="X186"/>
      <c r="Y186"/>
    </row>
    <row r="187" spans="2:25" x14ac:dyDescent="0.25">
      <c r="B187" s="122">
        <f t="array" ref="B187">IFERROR(INDEX(Tabela.frequencia[],SMALL(IF(Tabela.frequencia[id]=$E$11,ROW(Tabela.frequencia[id])-1),ROW(A128)),3),DATE(1990,1,1))</f>
        <v>32874</v>
      </c>
      <c r="X187"/>
      <c r="Y187"/>
    </row>
    <row r="188" spans="2:25" x14ac:dyDescent="0.25">
      <c r="B188" s="122">
        <f t="array" ref="B188">IFERROR(INDEX(Tabela.frequencia[],SMALL(IF(Tabela.frequencia[id]=$E$11,ROW(Tabela.frequencia[id])-1),ROW(A129)),3),DATE(1990,1,1))</f>
        <v>32874</v>
      </c>
      <c r="X188"/>
      <c r="Y188"/>
    </row>
    <row r="189" spans="2:25" x14ac:dyDescent="0.25">
      <c r="B189" s="122">
        <f t="array" ref="B189">IFERROR(INDEX(Tabela.frequencia[],SMALL(IF(Tabela.frequencia[id]=$E$11,ROW(Tabela.frequencia[id])-1),ROW(A130)),3),DATE(1990,1,1))</f>
        <v>32874</v>
      </c>
      <c r="X189"/>
      <c r="Y189"/>
    </row>
    <row r="190" spans="2:25" x14ac:dyDescent="0.25">
      <c r="B190" s="122">
        <f t="array" ref="B190">IFERROR(INDEX(Tabela.frequencia[],SMALL(IF(Tabela.frequencia[id]=$E$11,ROW(Tabela.frequencia[id])-1),ROW(A131)),3),DATE(1990,1,1))</f>
        <v>32874</v>
      </c>
      <c r="X190"/>
      <c r="Y190"/>
    </row>
    <row r="191" spans="2:25" x14ac:dyDescent="0.25">
      <c r="B191" s="122">
        <f t="array" ref="B191">IFERROR(INDEX(Tabela.frequencia[],SMALL(IF(Tabela.frequencia[id]=$E$11,ROW(Tabela.frequencia[id])-1),ROW(A132)),3),DATE(1990,1,1))</f>
        <v>32874</v>
      </c>
      <c r="X191"/>
      <c r="Y191"/>
    </row>
    <row r="192" spans="2:25" x14ac:dyDescent="0.25">
      <c r="B192" s="122">
        <f t="array" ref="B192">IFERROR(INDEX(Tabela.frequencia[],SMALL(IF(Tabela.frequencia[id]=$E$11,ROW(Tabela.frequencia[id])-1),ROW(A133)),3),DATE(1990,1,1))</f>
        <v>32874</v>
      </c>
      <c r="X192"/>
      <c r="Y192"/>
    </row>
    <row r="193" spans="2:25" x14ac:dyDescent="0.25">
      <c r="B193" s="122">
        <f t="array" ref="B193">IFERROR(INDEX(Tabela.frequencia[],SMALL(IF(Tabela.frequencia[id]=$E$11,ROW(Tabela.frequencia[id])-1),ROW(A134)),3),DATE(1990,1,1))</f>
        <v>32874</v>
      </c>
      <c r="X193"/>
      <c r="Y193"/>
    </row>
    <row r="194" spans="2:25" x14ac:dyDescent="0.25">
      <c r="B194" s="122">
        <f t="array" ref="B194">IFERROR(INDEX(Tabela.frequencia[],SMALL(IF(Tabela.frequencia[id]=$E$11,ROW(Tabela.frequencia[id])-1),ROW(A135)),3),DATE(1990,1,1))</f>
        <v>32874</v>
      </c>
      <c r="X194"/>
      <c r="Y194"/>
    </row>
    <row r="195" spans="2:25" x14ac:dyDescent="0.25">
      <c r="B195" s="122">
        <f t="array" ref="B195">IFERROR(INDEX(Tabela.frequencia[],SMALL(IF(Tabela.frequencia[id]=$E$11,ROW(Tabela.frequencia[id])-1),ROW(A136)),3),DATE(1990,1,1))</f>
        <v>32874</v>
      </c>
      <c r="X195"/>
      <c r="Y195"/>
    </row>
    <row r="196" spans="2:25" x14ac:dyDescent="0.25">
      <c r="B196" s="122">
        <f t="array" ref="B196">IFERROR(INDEX(Tabela.frequencia[],SMALL(IF(Tabela.frequencia[id]=$E$11,ROW(Tabela.frequencia[id])-1),ROW(A137)),3),DATE(1990,1,1))</f>
        <v>32874</v>
      </c>
      <c r="X196"/>
      <c r="Y196"/>
    </row>
    <row r="197" spans="2:25" x14ac:dyDescent="0.25">
      <c r="B197" s="122">
        <f t="array" ref="B197">IFERROR(INDEX(Tabela.frequencia[],SMALL(IF(Tabela.frequencia[id]=$E$11,ROW(Tabela.frequencia[id])-1),ROW(A138)),3),DATE(1990,1,1))</f>
        <v>32874</v>
      </c>
      <c r="X197"/>
      <c r="Y197"/>
    </row>
    <row r="198" spans="2:25" x14ac:dyDescent="0.25">
      <c r="B198" s="122">
        <f t="array" ref="B198">IFERROR(INDEX(Tabela.frequencia[],SMALL(IF(Tabela.frequencia[id]=$E$11,ROW(Tabela.frequencia[id])-1),ROW(A139)),3),DATE(1990,1,1))</f>
        <v>32874</v>
      </c>
      <c r="X198"/>
      <c r="Y198"/>
    </row>
    <row r="199" spans="2:25" x14ac:dyDescent="0.25">
      <c r="B199" s="122">
        <f t="array" ref="B199">IFERROR(INDEX(Tabela.frequencia[],SMALL(IF(Tabela.frequencia[id]=$E$11,ROW(Tabela.frequencia[id])-1),ROW(A140)),3),DATE(1990,1,1))</f>
        <v>32874</v>
      </c>
      <c r="X199"/>
      <c r="Y199"/>
    </row>
    <row r="200" spans="2:25" x14ac:dyDescent="0.25">
      <c r="B200" s="122">
        <f t="array" ref="B200">IFERROR(INDEX(Tabela.frequencia[],SMALL(IF(Tabela.frequencia[id]=$E$11,ROW(Tabela.frequencia[id])-1),ROW(A141)),3),DATE(1990,1,1))</f>
        <v>32874</v>
      </c>
      <c r="X200"/>
      <c r="Y200"/>
    </row>
    <row r="201" spans="2:25" x14ac:dyDescent="0.25">
      <c r="B201" s="122">
        <f t="array" ref="B201">IFERROR(INDEX(Tabela.frequencia[],SMALL(IF(Tabela.frequencia[id]=$E$11,ROW(Tabela.frequencia[id])-1),ROW(A142)),3),DATE(1990,1,1))</f>
        <v>32874</v>
      </c>
      <c r="X201"/>
      <c r="Y201"/>
    </row>
    <row r="202" spans="2:25" x14ac:dyDescent="0.25">
      <c r="B202" s="122">
        <f t="array" ref="B202">IFERROR(INDEX(Tabela.frequencia[],SMALL(IF(Tabela.frequencia[id]=$E$11,ROW(Tabela.frequencia[id])-1),ROW(A143)),3),DATE(1990,1,1))</f>
        <v>32874</v>
      </c>
      <c r="X202"/>
      <c r="Y202"/>
    </row>
    <row r="203" spans="2:25" x14ac:dyDescent="0.25">
      <c r="B203" s="122">
        <f t="array" ref="B203">IFERROR(INDEX(Tabela.frequencia[],SMALL(IF(Tabela.frequencia[id]=$E$11,ROW(Tabela.frequencia[id])-1),ROW(A144)),3),DATE(1990,1,1))</f>
        <v>32874</v>
      </c>
      <c r="X203"/>
      <c r="Y203"/>
    </row>
    <row r="204" spans="2:25" x14ac:dyDescent="0.25">
      <c r="B204" s="122">
        <f t="array" ref="B204">IFERROR(INDEX(Tabela.frequencia[],SMALL(IF(Tabela.frequencia[id]=$E$11,ROW(Tabela.frequencia[id])-1),ROW(A145)),3),DATE(1990,1,1))</f>
        <v>32874</v>
      </c>
      <c r="X204"/>
      <c r="Y204"/>
    </row>
    <row r="205" spans="2:25" x14ac:dyDescent="0.25">
      <c r="B205" s="122">
        <f t="array" ref="B205">IFERROR(INDEX(Tabela.frequencia[],SMALL(IF(Tabela.frequencia[id]=$E$11,ROW(Tabela.frequencia[id])-1),ROW(A146)),3),DATE(1990,1,1))</f>
        <v>32874</v>
      </c>
      <c r="X205"/>
      <c r="Y205"/>
    </row>
    <row r="206" spans="2:25" x14ac:dyDescent="0.25">
      <c r="B206" s="122">
        <f t="array" ref="B206">IFERROR(INDEX(Tabela.frequencia[],SMALL(IF(Tabela.frequencia[id]=$E$11,ROW(Tabela.frequencia[id])-1),ROW(A147)),3),DATE(1990,1,1))</f>
        <v>32874</v>
      </c>
      <c r="X206"/>
      <c r="Y206"/>
    </row>
    <row r="207" spans="2:25" x14ac:dyDescent="0.25">
      <c r="B207" s="122">
        <f t="array" ref="B207">IFERROR(INDEX(Tabela.frequencia[],SMALL(IF(Tabela.frequencia[id]=$E$11,ROW(Tabela.frequencia[id])-1),ROW(A148)),3),DATE(1990,1,1))</f>
        <v>32874</v>
      </c>
      <c r="X207"/>
      <c r="Y207"/>
    </row>
    <row r="208" spans="2:25" x14ac:dyDescent="0.25">
      <c r="B208" s="122">
        <f t="array" ref="B208">IFERROR(INDEX(Tabela.frequencia[],SMALL(IF(Tabela.frequencia[id]=$E$11,ROW(Tabela.frequencia[id])-1),ROW(A149)),3),DATE(1990,1,1))</f>
        <v>32874</v>
      </c>
      <c r="X208"/>
      <c r="Y208"/>
    </row>
    <row r="209" spans="2:25" x14ac:dyDescent="0.25">
      <c r="B209" s="122">
        <f t="array" ref="B209">IFERROR(INDEX(Tabela.frequencia[],SMALL(IF(Tabela.frequencia[id]=$E$11,ROW(Tabela.frequencia[id])-1),ROW(A150)),3),DATE(1990,1,1))</f>
        <v>32874</v>
      </c>
      <c r="X209"/>
      <c r="Y209"/>
    </row>
    <row r="210" spans="2:25" x14ac:dyDescent="0.25">
      <c r="B210" s="122">
        <f t="array" ref="B210">IFERROR(INDEX(Tabela.frequencia[],SMALL(IF(Tabela.frequencia[id]=$E$11,ROW(Tabela.frequencia[id])-1),ROW(A151)),3),DATE(1990,1,1))</f>
        <v>32874</v>
      </c>
      <c r="X210"/>
      <c r="Y210"/>
    </row>
    <row r="211" spans="2:25" x14ac:dyDescent="0.25">
      <c r="B211" s="122">
        <f t="array" ref="B211">IFERROR(INDEX(Tabela.frequencia[],SMALL(IF(Tabela.frequencia[id]=$E$11,ROW(Tabela.frequencia[id])-1),ROW(A152)),3),DATE(1990,1,1))</f>
        <v>32874</v>
      </c>
      <c r="X211"/>
      <c r="Y211"/>
    </row>
    <row r="212" spans="2:25" x14ac:dyDescent="0.25">
      <c r="B212" s="122">
        <f t="array" ref="B212">IFERROR(INDEX(Tabela.frequencia[],SMALL(IF(Tabela.frequencia[id]=$E$11,ROW(Tabela.frequencia[id])-1),ROW(A153)),3),DATE(1990,1,1))</f>
        <v>32874</v>
      </c>
      <c r="X212"/>
      <c r="Y212"/>
    </row>
    <row r="213" spans="2:25" x14ac:dyDescent="0.25">
      <c r="B213" s="122">
        <f t="array" ref="B213">IFERROR(INDEX(Tabela.frequencia[],SMALL(IF(Tabela.frequencia[id]=$E$11,ROW(Tabela.frequencia[id])-1),ROW(A154)),3),DATE(1990,1,1))</f>
        <v>32874</v>
      </c>
      <c r="X213"/>
      <c r="Y213"/>
    </row>
    <row r="214" spans="2:25" x14ac:dyDescent="0.25">
      <c r="B214" s="122">
        <f t="array" ref="B214">IFERROR(INDEX(Tabela.frequencia[],SMALL(IF(Tabela.frequencia[id]=$E$11,ROW(Tabela.frequencia[id])-1),ROW(A155)),3),DATE(1990,1,1))</f>
        <v>32874</v>
      </c>
      <c r="X214"/>
      <c r="Y214"/>
    </row>
    <row r="215" spans="2:25" x14ac:dyDescent="0.25">
      <c r="B215" s="122">
        <f t="array" ref="B215">IFERROR(INDEX(Tabela.frequencia[],SMALL(IF(Tabela.frequencia[id]=$E$11,ROW(Tabela.frequencia[id])-1),ROW(A156)),3),DATE(1990,1,1))</f>
        <v>32874</v>
      </c>
      <c r="X215"/>
      <c r="Y215"/>
    </row>
    <row r="216" spans="2:25" x14ac:dyDescent="0.25">
      <c r="B216" s="122">
        <f t="array" ref="B216">IFERROR(INDEX(Tabela.frequencia[],SMALL(IF(Tabela.frequencia[id]=$E$11,ROW(Tabela.frequencia[id])-1),ROW(A157)),3),DATE(1990,1,1))</f>
        <v>32874</v>
      </c>
      <c r="X216"/>
      <c r="Y216"/>
    </row>
    <row r="217" spans="2:25" x14ac:dyDescent="0.25">
      <c r="B217" s="122">
        <f t="array" ref="B217">IFERROR(INDEX(Tabela.frequencia[],SMALL(IF(Tabela.frequencia[id]=$E$11,ROW(Tabela.frequencia[id])-1),ROW(A158)),3),DATE(1990,1,1))</f>
        <v>32874</v>
      </c>
      <c r="X217"/>
      <c r="Y217"/>
    </row>
    <row r="218" spans="2:25" x14ac:dyDescent="0.25">
      <c r="B218" s="122">
        <f t="array" ref="B218">IFERROR(INDEX(Tabela.frequencia[],SMALL(IF(Tabela.frequencia[id]=$E$11,ROW(Tabela.frequencia[id])-1),ROW(A159)),3),DATE(1990,1,1))</f>
        <v>32874</v>
      </c>
      <c r="X218"/>
      <c r="Y218"/>
    </row>
    <row r="219" spans="2:25" x14ac:dyDescent="0.25">
      <c r="B219" s="122">
        <f t="array" ref="B219">IFERROR(INDEX(Tabela.frequencia[],SMALL(IF(Tabela.frequencia[id]=$E$11,ROW(Tabela.frequencia[id])-1),ROW(A160)),3),DATE(1990,1,1))</f>
        <v>32874</v>
      </c>
      <c r="X219"/>
      <c r="Y219"/>
    </row>
    <row r="220" spans="2:25" x14ac:dyDescent="0.25">
      <c r="B220" s="122">
        <f t="array" ref="B220">IFERROR(INDEX(Tabela.frequencia[],SMALL(IF(Tabela.frequencia[id]=$E$11,ROW(Tabela.frequencia[id])-1),ROW(A161)),3),DATE(1990,1,1))</f>
        <v>32874</v>
      </c>
      <c r="X220"/>
      <c r="Y220"/>
    </row>
    <row r="221" spans="2:25" x14ac:dyDescent="0.25">
      <c r="B221" s="122">
        <f t="array" ref="B221">IFERROR(INDEX(Tabela.frequencia[],SMALL(IF(Tabela.frequencia[id]=$E$11,ROW(Tabela.frequencia[id])-1),ROW(A162)),3),DATE(1990,1,1))</f>
        <v>32874</v>
      </c>
      <c r="X221"/>
      <c r="Y221"/>
    </row>
    <row r="222" spans="2:25" x14ac:dyDescent="0.25">
      <c r="B222" s="122">
        <f t="array" ref="B222">IFERROR(INDEX(Tabela.frequencia[],SMALL(IF(Tabela.frequencia[id]=$E$11,ROW(Tabela.frequencia[id])-1),ROW(A163)),3),DATE(1990,1,1))</f>
        <v>32874</v>
      </c>
      <c r="X222"/>
      <c r="Y222"/>
    </row>
    <row r="223" spans="2:25" x14ac:dyDescent="0.25">
      <c r="B223" s="122">
        <f t="array" ref="B223">IFERROR(INDEX(Tabela.frequencia[],SMALL(IF(Tabela.frequencia[id]=$E$11,ROW(Tabela.frequencia[id])-1),ROW(A164)),3),DATE(1990,1,1))</f>
        <v>32874</v>
      </c>
      <c r="X223"/>
      <c r="Y223"/>
    </row>
    <row r="224" spans="2:25" x14ac:dyDescent="0.25">
      <c r="B224" s="122">
        <f t="array" ref="B224">IFERROR(INDEX(Tabela.frequencia[],SMALL(IF(Tabela.frequencia[id]=$E$11,ROW(Tabela.frequencia[id])-1),ROW(A165)),3),DATE(1990,1,1))</f>
        <v>32874</v>
      </c>
      <c r="X224"/>
      <c r="Y224"/>
    </row>
    <row r="225" spans="2:25" x14ac:dyDescent="0.25">
      <c r="B225" s="122">
        <f t="array" ref="B225">IFERROR(INDEX(Tabela.frequencia[],SMALL(IF(Tabela.frequencia[id]=$E$11,ROW(Tabela.frequencia[id])-1),ROW(A166)),3),DATE(1990,1,1))</f>
        <v>32874</v>
      </c>
      <c r="X225"/>
      <c r="Y225"/>
    </row>
    <row r="226" spans="2:25" x14ac:dyDescent="0.25">
      <c r="B226" s="122">
        <f t="array" ref="B226">IFERROR(INDEX(Tabela.frequencia[],SMALL(IF(Tabela.frequencia[id]=$E$11,ROW(Tabela.frequencia[id])-1),ROW(A167)),3),DATE(1990,1,1))</f>
        <v>32874</v>
      </c>
      <c r="X226"/>
      <c r="Y226"/>
    </row>
    <row r="227" spans="2:25" x14ac:dyDescent="0.25">
      <c r="B227" s="122">
        <f t="array" ref="B227">IFERROR(INDEX(Tabela.frequencia[],SMALL(IF(Tabela.frequencia[id]=$E$11,ROW(Tabela.frequencia[id])-1),ROW(A168)),3),DATE(1990,1,1))</f>
        <v>32874</v>
      </c>
      <c r="X227"/>
      <c r="Y227"/>
    </row>
    <row r="228" spans="2:25" x14ac:dyDescent="0.25">
      <c r="B228" s="122">
        <f t="array" ref="B228">IFERROR(INDEX(Tabela.frequencia[],SMALL(IF(Tabela.frequencia[id]=$E$11,ROW(Tabela.frequencia[id])-1),ROW(A169)),3),DATE(1990,1,1))</f>
        <v>32874</v>
      </c>
      <c r="X228"/>
      <c r="Y228"/>
    </row>
    <row r="229" spans="2:25" x14ac:dyDescent="0.25">
      <c r="B229" s="122">
        <f t="array" ref="B229">IFERROR(INDEX(Tabela.frequencia[],SMALL(IF(Tabela.frequencia[id]=$E$11,ROW(Tabela.frequencia[id])-1),ROW(A170)),3),DATE(1990,1,1))</f>
        <v>32874</v>
      </c>
      <c r="X229"/>
      <c r="Y229"/>
    </row>
    <row r="230" spans="2:25" x14ac:dyDescent="0.25">
      <c r="B230" s="122">
        <f t="array" ref="B230">IFERROR(INDEX(Tabela.frequencia[],SMALL(IF(Tabela.frequencia[id]=$E$11,ROW(Tabela.frequencia[id])-1),ROW(A171)),3),DATE(1990,1,1))</f>
        <v>32874</v>
      </c>
      <c r="X230"/>
      <c r="Y230"/>
    </row>
    <row r="231" spans="2:25" x14ac:dyDescent="0.25">
      <c r="B231" s="122">
        <f t="array" ref="B231">IFERROR(INDEX(Tabela.frequencia[],SMALL(IF(Tabela.frequencia[id]=$E$11,ROW(Tabela.frequencia[id])-1),ROW(A172)),3),DATE(1990,1,1))</f>
        <v>32874</v>
      </c>
      <c r="X231"/>
      <c r="Y231"/>
    </row>
    <row r="232" spans="2:25" x14ac:dyDescent="0.25">
      <c r="B232" s="122">
        <f t="array" ref="B232">IFERROR(INDEX(Tabela.frequencia[],SMALL(IF(Tabela.frequencia[id]=$E$11,ROW(Tabela.frequencia[id])-1),ROW(A173)),3),DATE(1990,1,1))</f>
        <v>32874</v>
      </c>
      <c r="X232"/>
      <c r="Y232"/>
    </row>
    <row r="233" spans="2:25" x14ac:dyDescent="0.25">
      <c r="B233" s="122">
        <f t="array" ref="B233">IFERROR(INDEX(Tabela.frequencia[],SMALL(IF(Tabela.frequencia[id]=$E$11,ROW(Tabela.frequencia[id])-1),ROW(A174)),3),DATE(1990,1,1))</f>
        <v>32874</v>
      </c>
      <c r="X233"/>
      <c r="Y233"/>
    </row>
    <row r="234" spans="2:25" x14ac:dyDescent="0.25">
      <c r="B234" s="122">
        <f t="array" ref="B234">IFERROR(INDEX(Tabela.frequencia[],SMALL(IF(Tabela.frequencia[id]=$E$11,ROW(Tabela.frequencia[id])-1),ROW(A175)),3),DATE(1990,1,1))</f>
        <v>32874</v>
      </c>
      <c r="X234"/>
      <c r="Y234"/>
    </row>
    <row r="235" spans="2:25" x14ac:dyDescent="0.25">
      <c r="B235" s="122">
        <f t="array" ref="B235">IFERROR(INDEX(Tabela.frequencia[],SMALL(IF(Tabela.frequencia[id]=$E$11,ROW(Tabela.frequencia[id])-1),ROW(A176)),3),DATE(1990,1,1))</f>
        <v>32874</v>
      </c>
      <c r="X235"/>
      <c r="Y235"/>
    </row>
    <row r="236" spans="2:25" x14ac:dyDescent="0.25">
      <c r="B236" s="122">
        <f t="array" ref="B236">IFERROR(INDEX(Tabela.frequencia[],SMALL(IF(Tabela.frequencia[id]=$E$11,ROW(Tabela.frequencia[id])-1),ROW(A177)),3),DATE(1990,1,1))</f>
        <v>32874</v>
      </c>
      <c r="X236"/>
      <c r="Y236"/>
    </row>
    <row r="237" spans="2:25" x14ac:dyDescent="0.25">
      <c r="B237" s="122">
        <f t="array" ref="B237">IFERROR(INDEX(Tabela.frequencia[],SMALL(IF(Tabela.frequencia[id]=$E$11,ROW(Tabela.frequencia[id])-1),ROW(A178)),3),DATE(1990,1,1))</f>
        <v>32874</v>
      </c>
      <c r="X237"/>
      <c r="Y237"/>
    </row>
    <row r="238" spans="2:25" x14ac:dyDescent="0.25">
      <c r="B238" s="122">
        <f t="array" ref="B238">IFERROR(INDEX(Tabela.frequencia[],SMALL(IF(Tabela.frequencia[id]=$E$11,ROW(Tabela.frequencia[id])-1),ROW(A179)),3),DATE(1990,1,1))</f>
        <v>32874</v>
      </c>
      <c r="X238"/>
      <c r="Y238"/>
    </row>
    <row r="239" spans="2:25" x14ac:dyDescent="0.25">
      <c r="B239" s="122">
        <f t="array" ref="B239">IFERROR(INDEX(Tabela.frequencia[],SMALL(IF(Tabela.frequencia[id]=$E$11,ROW(Tabela.frequencia[id])-1),ROW(A180)),3),DATE(1990,1,1))</f>
        <v>32874</v>
      </c>
      <c r="X239"/>
      <c r="Y239"/>
    </row>
    <row r="240" spans="2:25" x14ac:dyDescent="0.25">
      <c r="B240" s="122">
        <f t="array" ref="B240">IFERROR(INDEX(Tabela.frequencia[],SMALL(IF(Tabela.frequencia[id]=$E$11,ROW(Tabela.frequencia[id])-1),ROW(A181)),3),DATE(1990,1,1))</f>
        <v>32874</v>
      </c>
      <c r="X240"/>
      <c r="Y240"/>
    </row>
    <row r="241" spans="2:25" x14ac:dyDescent="0.25">
      <c r="B241" s="122">
        <f t="array" ref="B241">IFERROR(INDEX(Tabela.frequencia[],SMALL(IF(Tabela.frequencia[id]=$E$11,ROW(Tabela.frequencia[id])-1),ROW(A182)),3),DATE(1990,1,1))</f>
        <v>32874</v>
      </c>
      <c r="X241"/>
      <c r="Y241"/>
    </row>
    <row r="242" spans="2:25" x14ac:dyDescent="0.25">
      <c r="B242" s="122">
        <f t="array" ref="B242">IFERROR(INDEX(Tabela.frequencia[],SMALL(IF(Tabela.frequencia[id]=$E$11,ROW(Tabela.frequencia[id])-1),ROW(A183)),3),DATE(1990,1,1))</f>
        <v>32874</v>
      </c>
      <c r="X242"/>
      <c r="Y242"/>
    </row>
    <row r="243" spans="2:25" x14ac:dyDescent="0.25">
      <c r="B243" s="122">
        <f t="array" ref="B243">IFERROR(INDEX(Tabela.frequencia[],SMALL(IF(Tabela.frequencia[id]=$E$11,ROW(Tabela.frequencia[id])-1),ROW(A184)),3),DATE(1990,1,1))</f>
        <v>32874</v>
      </c>
      <c r="X243"/>
      <c r="Y243"/>
    </row>
    <row r="244" spans="2:25" x14ac:dyDescent="0.25">
      <c r="B244" s="122">
        <f t="array" ref="B244">IFERROR(INDEX(Tabela.frequencia[],SMALL(IF(Tabela.frequencia[id]=$E$11,ROW(Tabela.frequencia[id])-1),ROW(A185)),3),DATE(1990,1,1))</f>
        <v>32874</v>
      </c>
      <c r="X244"/>
      <c r="Y244"/>
    </row>
    <row r="245" spans="2:25" x14ac:dyDescent="0.25">
      <c r="B245" s="122">
        <f t="array" ref="B245">IFERROR(INDEX(Tabela.frequencia[],SMALL(IF(Tabela.frequencia[id]=$E$11,ROW(Tabela.frequencia[id])-1),ROW(A186)),3),DATE(1990,1,1))</f>
        <v>32874</v>
      </c>
      <c r="X245"/>
      <c r="Y245"/>
    </row>
    <row r="246" spans="2:25" x14ac:dyDescent="0.25">
      <c r="B246" s="122">
        <f t="array" ref="B246">IFERROR(INDEX(Tabela.frequencia[],SMALL(IF(Tabela.frequencia[id]=$E$11,ROW(Tabela.frequencia[id])-1),ROW(A187)),3),DATE(1990,1,1))</f>
        <v>32874</v>
      </c>
      <c r="X246"/>
      <c r="Y246"/>
    </row>
    <row r="247" spans="2:25" x14ac:dyDescent="0.25">
      <c r="B247" s="122">
        <f t="array" ref="B247">IFERROR(INDEX(Tabela.frequencia[],SMALL(IF(Tabela.frequencia[id]=$E$11,ROW(Tabela.frequencia[id])-1),ROW(A188)),3),DATE(1990,1,1))</f>
        <v>32874</v>
      </c>
    </row>
    <row r="248" spans="2:25" x14ac:dyDescent="0.25">
      <c r="B248" s="122">
        <f t="array" ref="B248">IFERROR(INDEX(Tabela.frequencia[],SMALL(IF(Tabela.frequencia[id]=$E$11,ROW(Tabela.frequencia[id])-1),ROW(A189)),3),DATE(1990,1,1))</f>
        <v>32874</v>
      </c>
    </row>
    <row r="249" spans="2:25" x14ac:dyDescent="0.25">
      <c r="B249" s="122">
        <f t="array" ref="B249">IFERROR(INDEX(Tabela.frequencia[],SMALL(IF(Tabela.frequencia[id]=$E$11,ROW(Tabela.frequencia[id])-1),ROW(A190)),3),DATE(1990,1,1))</f>
        <v>32874</v>
      </c>
    </row>
    <row r="250" spans="2:25" x14ac:dyDescent="0.25">
      <c r="B250" s="122">
        <f t="array" ref="B250">IFERROR(INDEX(Tabela.frequencia[],SMALL(IF(Tabela.frequencia[id]=$E$11,ROW(Tabela.frequencia[id])-1),ROW(A191)),3),DATE(1990,1,1))</f>
        <v>32874</v>
      </c>
    </row>
    <row r="251" spans="2:25" x14ac:dyDescent="0.25">
      <c r="B251" s="122">
        <f t="array" ref="B251">IFERROR(INDEX(Tabela.frequencia[],SMALL(IF(Tabela.frequencia[id]=$E$11,ROW(Tabela.frequencia[id])-1),ROW(A192)),3),DATE(1990,1,1))</f>
        <v>32874</v>
      </c>
    </row>
    <row r="252" spans="2:25" x14ac:dyDescent="0.25">
      <c r="B252" s="122">
        <f t="array" ref="B252">IFERROR(INDEX(Tabela.frequencia[],SMALL(IF(Tabela.frequencia[id]=$E$11,ROW(Tabela.frequencia[id])-1),ROW(A193)),3),DATE(1990,1,1))</f>
        <v>32874</v>
      </c>
    </row>
    <row r="253" spans="2:25" x14ac:dyDescent="0.25">
      <c r="B253" s="122">
        <f t="array" ref="B253">IFERROR(INDEX(Tabela.frequencia[],SMALL(IF(Tabela.frequencia[id]=$E$11,ROW(Tabela.frequencia[id])-1),ROW(A194)),3),DATE(1990,1,1))</f>
        <v>32874</v>
      </c>
    </row>
    <row r="254" spans="2:25" x14ac:dyDescent="0.25">
      <c r="B254" s="122">
        <f t="array" ref="B254">IFERROR(INDEX(Tabela.frequencia[],SMALL(IF(Tabela.frequencia[id]=$E$11,ROW(Tabela.frequencia[id])-1),ROW(A195)),3),DATE(1990,1,1))</f>
        <v>32874</v>
      </c>
    </row>
    <row r="255" spans="2:25" x14ac:dyDescent="0.25">
      <c r="B255" s="122">
        <f t="array" ref="B255">IFERROR(INDEX(Tabela.frequencia[],SMALL(IF(Tabela.frequencia[id]=$E$11,ROW(Tabela.frequencia[id])-1),ROW(A196)),3),DATE(1990,1,1))</f>
        <v>32874</v>
      </c>
    </row>
    <row r="256" spans="2:25" x14ac:dyDescent="0.25">
      <c r="B256" s="122">
        <f t="array" ref="B256">IFERROR(INDEX(Tabela.frequencia[],SMALL(IF(Tabela.frequencia[id]=$E$11,ROW(Tabela.frequencia[id])-1),ROW(A197)),3),DATE(1990,1,1))</f>
        <v>32874</v>
      </c>
    </row>
    <row r="257" spans="2:2" x14ac:dyDescent="0.25">
      <c r="B257" s="122">
        <f t="array" ref="B257">IFERROR(INDEX(Tabela.frequencia[],SMALL(IF(Tabela.frequencia[id]=$E$11,ROW(Tabela.frequencia[id])-1),ROW(A198)),3),DATE(1990,1,1))</f>
        <v>32874</v>
      </c>
    </row>
    <row r="258" spans="2:2" x14ac:dyDescent="0.25">
      <c r="B258" s="122">
        <f t="array" ref="B258">IFERROR(INDEX(Tabela.frequencia[],SMALL(IF(Tabela.frequencia[id]=$E$11,ROW(Tabela.frequencia[id])-1),ROW(A199)),3),DATE(1990,1,1))</f>
        <v>32874</v>
      </c>
    </row>
    <row r="259" spans="2:2" x14ac:dyDescent="0.25">
      <c r="B259" s="122">
        <f t="array" ref="B259">IFERROR(INDEX(Tabela.frequencia[],SMALL(IF(Tabela.frequencia[id]=$E$11,ROW(Tabela.frequencia[id])-1),ROW(A200)),3),DATE(1990,1,1))</f>
        <v>32874</v>
      </c>
    </row>
    <row r="260" spans="2:2" x14ac:dyDescent="0.25">
      <c r="B260" s="122">
        <f t="array" ref="B260">IFERROR(INDEX(Tabela.frequencia[],SMALL(IF(Tabela.frequencia[id]=$E$11,ROW(Tabela.frequencia[id])-1),ROW(A201)),3),DATE(1990,1,1))</f>
        <v>32874</v>
      </c>
    </row>
    <row r="261" spans="2:2" x14ac:dyDescent="0.25">
      <c r="B261" s="122">
        <f t="array" ref="B261">IFERROR(INDEX(Tabela.frequencia[],SMALL(IF(Tabela.frequencia[id]=$E$11,ROW(Tabela.frequencia[id])-1),ROW(A202)),3),DATE(1990,1,1))</f>
        <v>32874</v>
      </c>
    </row>
    <row r="262" spans="2:2" x14ac:dyDescent="0.25">
      <c r="B262" s="122">
        <f t="array" ref="B262">IFERROR(INDEX(Tabela.frequencia[],SMALL(IF(Tabela.frequencia[id]=$E$11,ROW(Tabela.frequencia[id])-1),ROW(A203)),3),DATE(1990,1,1))</f>
        <v>32874</v>
      </c>
    </row>
    <row r="263" spans="2:2" x14ac:dyDescent="0.25">
      <c r="B263" s="122">
        <f t="array" ref="B263">IFERROR(INDEX(Tabela.frequencia[],SMALL(IF(Tabela.frequencia[id]=$E$11,ROW(Tabela.frequencia[id])-1),ROW(A204)),3),DATE(1990,1,1))</f>
        <v>32874</v>
      </c>
    </row>
    <row r="264" spans="2:2" x14ac:dyDescent="0.25">
      <c r="B264" s="122">
        <f t="array" ref="B264">IFERROR(INDEX(Tabela.frequencia[],SMALL(IF(Tabela.frequencia[id]=$E$11,ROW(Tabela.frequencia[id])-1),ROW(A205)),3),DATE(1990,1,1))</f>
        <v>32874</v>
      </c>
    </row>
    <row r="265" spans="2:2" x14ac:dyDescent="0.25">
      <c r="B265" s="122">
        <f t="array" ref="B265">IFERROR(INDEX(Tabela.frequencia[],SMALL(IF(Tabela.frequencia[id]=$E$11,ROW(Tabela.frequencia[id])-1),ROW(A206)),3),DATE(1990,1,1))</f>
        <v>32874</v>
      </c>
    </row>
    <row r="266" spans="2:2" x14ac:dyDescent="0.25">
      <c r="B266" s="122">
        <f t="array" ref="B266">IFERROR(INDEX(Tabela.frequencia[],SMALL(IF(Tabela.frequencia[id]=$E$11,ROW(Tabela.frequencia[id])-1),ROW(A207)),3),DATE(1990,1,1))</f>
        <v>32874</v>
      </c>
    </row>
    <row r="267" spans="2:2" x14ac:dyDescent="0.25">
      <c r="B267" s="122">
        <f t="array" ref="B267">IFERROR(INDEX(Tabela.frequencia[],SMALL(IF(Tabela.frequencia[id]=$E$11,ROW(Tabela.frequencia[id])-1),ROW(A208)),3),DATE(1990,1,1))</f>
        <v>32874</v>
      </c>
    </row>
    <row r="268" spans="2:2" x14ac:dyDescent="0.25">
      <c r="B268" s="122">
        <f t="array" ref="B268">IFERROR(INDEX(Tabela.frequencia[],SMALL(IF(Tabela.frequencia[id]=$E$11,ROW(Tabela.frequencia[id])-1),ROW(A209)),3),DATE(1990,1,1))</f>
        <v>32874</v>
      </c>
    </row>
    <row r="269" spans="2:2" x14ac:dyDescent="0.25">
      <c r="B269" s="122">
        <f t="array" ref="B269">IFERROR(INDEX(Tabela.frequencia[],SMALL(IF(Tabela.frequencia[id]=$E$11,ROW(Tabela.frequencia[id])-1),ROW(A210)),3),DATE(1990,1,1))</f>
        <v>32874</v>
      </c>
    </row>
    <row r="270" spans="2:2" x14ac:dyDescent="0.25">
      <c r="B270" s="122">
        <f t="array" ref="B270">IFERROR(INDEX(Tabela.frequencia[],SMALL(IF(Tabela.frequencia[id]=$E$11,ROW(Tabela.frequencia[id])-1),ROW(A211)),3),DATE(1990,1,1))</f>
        <v>32874</v>
      </c>
    </row>
    <row r="271" spans="2:2" x14ac:dyDescent="0.25">
      <c r="B271" s="122">
        <f t="array" ref="B271">IFERROR(INDEX(Tabela.frequencia[],SMALL(IF(Tabela.frequencia[id]=$E$11,ROW(Tabela.frequencia[id])-1),ROW(A212)),3),DATE(1990,1,1))</f>
        <v>32874</v>
      </c>
    </row>
    <row r="272" spans="2:2" x14ac:dyDescent="0.25">
      <c r="B272" s="122">
        <f t="array" ref="B272">IFERROR(INDEX(Tabela.frequencia[],SMALL(IF(Tabela.frequencia[id]=$E$11,ROW(Tabela.frequencia[id])-1),ROW(A213)),3),DATE(1990,1,1))</f>
        <v>32874</v>
      </c>
    </row>
    <row r="273" spans="2:2" x14ac:dyDescent="0.25">
      <c r="B273" s="122">
        <f t="array" ref="B273">IFERROR(INDEX(Tabela.frequencia[],SMALL(IF(Tabela.frequencia[id]=$E$11,ROW(Tabela.frequencia[id])-1),ROW(A214)),3),DATE(1990,1,1))</f>
        <v>32874</v>
      </c>
    </row>
    <row r="274" spans="2:2" x14ac:dyDescent="0.25">
      <c r="B274" s="122">
        <f t="array" ref="B274">IFERROR(INDEX(Tabela.frequencia[],SMALL(IF(Tabela.frequencia[id]=$E$11,ROW(Tabela.frequencia[id])-1),ROW(A215)),3),DATE(1990,1,1))</f>
        <v>32874</v>
      </c>
    </row>
    <row r="275" spans="2:2" x14ac:dyDescent="0.25">
      <c r="B275" s="122">
        <f t="array" ref="B275">IFERROR(INDEX(Tabela.frequencia[],SMALL(IF(Tabela.frequencia[id]=$E$11,ROW(Tabela.frequencia[id])-1),ROW(A216)),3),DATE(1990,1,1))</f>
        <v>32874</v>
      </c>
    </row>
    <row r="276" spans="2:2" x14ac:dyDescent="0.25">
      <c r="B276" s="122">
        <f t="array" ref="B276">IFERROR(INDEX(Tabela.frequencia[],SMALL(IF(Tabela.frequencia[id]=$E$11,ROW(Tabela.frequencia[id])-1),ROW(A217)),3),DATE(1990,1,1))</f>
        <v>32874</v>
      </c>
    </row>
    <row r="277" spans="2:2" x14ac:dyDescent="0.25">
      <c r="B277" s="122">
        <f t="array" ref="B277">IFERROR(INDEX(Tabela.frequencia[],SMALL(IF(Tabela.frequencia[id]=$E$11,ROW(Tabela.frequencia[id])-1),ROW(A218)),3),DATE(1990,1,1))</f>
        <v>32874</v>
      </c>
    </row>
    <row r="278" spans="2:2" x14ac:dyDescent="0.25">
      <c r="B278" s="122">
        <f t="array" ref="B278">IFERROR(INDEX(Tabela.frequencia[],SMALL(IF(Tabela.frequencia[id]=$E$11,ROW(Tabela.frequencia[id])-1),ROW(A219)),3),DATE(1990,1,1))</f>
        <v>32874</v>
      </c>
    </row>
    <row r="279" spans="2:2" x14ac:dyDescent="0.25">
      <c r="B279" s="122">
        <f t="array" ref="B279">IFERROR(INDEX(Tabela.frequencia[],SMALL(IF(Tabela.frequencia[id]=$E$11,ROW(Tabela.frequencia[id])-1),ROW(A220)),3),DATE(1990,1,1))</f>
        <v>32874</v>
      </c>
    </row>
    <row r="280" spans="2:2" x14ac:dyDescent="0.25">
      <c r="B280" s="122">
        <f t="array" ref="B280">IFERROR(INDEX(Tabela.frequencia[],SMALL(IF(Tabela.frequencia[id]=$E$11,ROW(Tabela.frequencia[id])-1),ROW(A221)),3),DATE(1990,1,1))</f>
        <v>32874</v>
      </c>
    </row>
    <row r="281" spans="2:2" x14ac:dyDescent="0.25">
      <c r="B281" s="122">
        <f t="array" ref="B281">IFERROR(INDEX(Tabela.frequencia[],SMALL(IF(Tabela.frequencia[id]=$E$11,ROW(Tabela.frequencia[id])-1),ROW(A222)),3),DATE(1990,1,1))</f>
        <v>32874</v>
      </c>
    </row>
    <row r="282" spans="2:2" x14ac:dyDescent="0.25">
      <c r="B282" s="122">
        <f t="array" ref="B282">IFERROR(INDEX(Tabela.frequencia[],SMALL(IF(Tabela.frequencia[id]=$E$11,ROW(Tabela.frequencia[id])-1),ROW(A223)),3),DATE(1990,1,1))</f>
        <v>32874</v>
      </c>
    </row>
    <row r="283" spans="2:2" x14ac:dyDescent="0.25">
      <c r="B283" s="122">
        <f t="array" ref="B283">IFERROR(INDEX(Tabela.frequencia[],SMALL(IF(Tabela.frequencia[id]=$E$11,ROW(Tabela.frequencia[id])-1),ROW(A224)),3),DATE(1990,1,1))</f>
        <v>32874</v>
      </c>
    </row>
    <row r="284" spans="2:2" x14ac:dyDescent="0.25">
      <c r="B284" s="122">
        <f t="array" ref="B284">IFERROR(INDEX(Tabela.frequencia[],SMALL(IF(Tabela.frequencia[id]=$E$11,ROW(Tabela.frequencia[id])-1),ROW(A225)),3),DATE(1990,1,1))</f>
        <v>32874</v>
      </c>
    </row>
    <row r="285" spans="2:2" x14ac:dyDescent="0.25">
      <c r="B285" s="122">
        <f t="array" ref="B285">IFERROR(INDEX(Tabela.frequencia[],SMALL(IF(Tabela.frequencia[id]=$E$11,ROW(Tabela.frequencia[id])-1),ROW(A226)),3),DATE(1990,1,1))</f>
        <v>32874</v>
      </c>
    </row>
    <row r="286" spans="2:2" x14ac:dyDescent="0.25">
      <c r="B286" s="122">
        <f t="array" ref="B286">IFERROR(INDEX(Tabela.frequencia[],SMALL(IF(Tabela.frequencia[id]=$E$11,ROW(Tabela.frequencia[id])-1),ROW(A227)),3),DATE(1990,1,1))</f>
        <v>32874</v>
      </c>
    </row>
    <row r="287" spans="2:2" x14ac:dyDescent="0.25">
      <c r="B287" s="122">
        <f t="array" ref="B287">IFERROR(INDEX(Tabela.frequencia[],SMALL(IF(Tabela.frequencia[id]=$E$11,ROW(Tabela.frequencia[id])-1),ROW(A228)),3),DATE(1990,1,1))</f>
        <v>32874</v>
      </c>
    </row>
    <row r="288" spans="2:2" x14ac:dyDescent="0.25">
      <c r="B288" s="122">
        <f t="array" ref="B288">IFERROR(INDEX(Tabela.frequencia[],SMALL(IF(Tabela.frequencia[id]=$E$11,ROW(Tabela.frequencia[id])-1),ROW(A229)),3),DATE(1990,1,1))</f>
        <v>32874</v>
      </c>
    </row>
    <row r="289" spans="2:2" x14ac:dyDescent="0.25">
      <c r="B289" s="122">
        <f t="array" ref="B289">IFERROR(INDEX(Tabela.frequencia[],SMALL(IF(Tabela.frequencia[id]=$E$11,ROW(Tabela.frequencia[id])-1),ROW(A230)),3),DATE(1990,1,1))</f>
        <v>32874</v>
      </c>
    </row>
    <row r="290" spans="2:2" x14ac:dyDescent="0.25">
      <c r="B290" s="122">
        <f t="array" ref="B290">IFERROR(INDEX(Tabela.frequencia[],SMALL(IF(Tabela.frequencia[id]=$E$11,ROW(Tabela.frequencia[id])-1),ROW(A231)),3),DATE(1990,1,1))</f>
        <v>32874</v>
      </c>
    </row>
    <row r="291" spans="2:2" x14ac:dyDescent="0.25">
      <c r="B291" s="122">
        <f t="array" ref="B291">IFERROR(INDEX(Tabela.frequencia[],SMALL(IF(Tabela.frequencia[id]=$E$11,ROW(Tabela.frequencia[id])-1),ROW(A232)),3),DATE(1990,1,1))</f>
        <v>32874</v>
      </c>
    </row>
    <row r="292" spans="2:2" x14ac:dyDescent="0.25">
      <c r="B292" s="122">
        <f t="array" ref="B292">IFERROR(INDEX(Tabela.frequencia[],SMALL(IF(Tabela.frequencia[id]=$E$11,ROW(Tabela.frequencia[id])-1),ROW(A233)),3),DATE(1990,1,1))</f>
        <v>32874</v>
      </c>
    </row>
    <row r="293" spans="2:2" x14ac:dyDescent="0.25">
      <c r="B293" s="122">
        <f t="array" ref="B293">IFERROR(INDEX(Tabela.frequencia[],SMALL(IF(Tabela.frequencia[id]=$E$11,ROW(Tabela.frequencia[id])-1),ROW(A234)),3),DATE(1990,1,1))</f>
        <v>32874</v>
      </c>
    </row>
    <row r="294" spans="2:2" x14ac:dyDescent="0.25">
      <c r="B294" s="122">
        <f t="array" ref="B294">IFERROR(INDEX(Tabela.frequencia[],SMALL(IF(Tabela.frequencia[id]=$E$11,ROW(Tabela.frequencia[id])-1),ROW(A235)),3),DATE(1990,1,1))</f>
        <v>32874</v>
      </c>
    </row>
    <row r="295" spans="2:2" x14ac:dyDescent="0.25">
      <c r="B295" s="122">
        <f t="array" ref="B295">IFERROR(INDEX(Tabela.frequencia[],SMALL(IF(Tabela.frequencia[id]=$E$11,ROW(Tabela.frequencia[id])-1),ROW(A236)),3),DATE(1990,1,1))</f>
        <v>32874</v>
      </c>
    </row>
    <row r="296" spans="2:2" x14ac:dyDescent="0.25">
      <c r="B296" s="122">
        <f t="array" ref="B296">IFERROR(INDEX(Tabela.frequencia[],SMALL(IF(Tabela.frequencia[id]=$E$11,ROW(Tabela.frequencia[id])-1),ROW(A237)),3),DATE(1990,1,1))</f>
        <v>32874</v>
      </c>
    </row>
    <row r="297" spans="2:2" x14ac:dyDescent="0.25">
      <c r="B297" s="122">
        <f t="array" ref="B297">IFERROR(INDEX(Tabela.frequencia[],SMALL(IF(Tabela.frequencia[id]=$E$11,ROW(Tabela.frequencia[id])-1),ROW(A238)),3),DATE(1990,1,1))</f>
        <v>32874</v>
      </c>
    </row>
    <row r="298" spans="2:2" x14ac:dyDescent="0.25">
      <c r="B298" s="122">
        <f t="array" ref="B298">IFERROR(INDEX(Tabela.frequencia[],SMALL(IF(Tabela.frequencia[id]=$E$11,ROW(Tabela.frequencia[id])-1),ROW(A239)),3),DATE(1990,1,1))</f>
        <v>32874</v>
      </c>
    </row>
    <row r="299" spans="2:2" x14ac:dyDescent="0.25">
      <c r="B299" s="122">
        <f t="array" ref="B299">IFERROR(INDEX(Tabela.frequencia[],SMALL(IF(Tabela.frequencia[id]=$E$11,ROW(Tabela.frequencia[id])-1),ROW(A240)),3),DATE(1990,1,1))</f>
        <v>32874</v>
      </c>
    </row>
    <row r="300" spans="2:2" x14ac:dyDescent="0.25">
      <c r="B300" s="122">
        <f t="array" ref="B300">IFERROR(INDEX(Tabela.frequencia[],SMALL(IF(Tabela.frequencia[id]=$E$11,ROW(Tabela.frequencia[id])-1),ROW(A241)),3),DATE(1990,1,1))</f>
        <v>32874</v>
      </c>
    </row>
    <row r="301" spans="2:2" x14ac:dyDescent="0.25">
      <c r="B301" s="122">
        <f t="array" ref="B301">IFERROR(INDEX(Tabela.frequencia[],SMALL(IF(Tabela.frequencia[id]=$E$11,ROW(Tabela.frequencia[id])-1),ROW(A242)),3),DATE(1990,1,1))</f>
        <v>32874</v>
      </c>
    </row>
    <row r="302" spans="2:2" x14ac:dyDescent="0.25">
      <c r="B302" s="122">
        <f t="array" ref="B302">IFERROR(INDEX(Tabela.frequencia[],SMALL(IF(Tabela.frequencia[id]=$E$11,ROW(Tabela.frequencia[id])-1),ROW(A243)),3),DATE(1990,1,1))</f>
        <v>32874</v>
      </c>
    </row>
    <row r="303" spans="2:2" x14ac:dyDescent="0.25">
      <c r="B303" s="122">
        <f t="array" ref="B303">IFERROR(INDEX(Tabela.frequencia[],SMALL(IF(Tabela.frequencia[id]=$E$11,ROW(Tabela.frequencia[id])-1),ROW(A244)),3),DATE(1990,1,1))</f>
        <v>32874</v>
      </c>
    </row>
    <row r="304" spans="2:2" x14ac:dyDescent="0.25">
      <c r="B304" s="122">
        <f t="array" ref="B304">IFERROR(INDEX(Tabela.frequencia[],SMALL(IF(Tabela.frequencia[id]=$E$11,ROW(Tabela.frequencia[id])-1),ROW(A245)),3),DATE(1990,1,1))</f>
        <v>32874</v>
      </c>
    </row>
    <row r="305" spans="2:2" x14ac:dyDescent="0.25">
      <c r="B305" s="122">
        <f t="array" ref="B305">IFERROR(INDEX(Tabela.frequencia[],SMALL(IF(Tabela.frequencia[id]=$E$11,ROW(Tabela.frequencia[id])-1),ROW(A246)),3),DATE(1990,1,1))</f>
        <v>32874</v>
      </c>
    </row>
    <row r="306" spans="2:2" x14ac:dyDescent="0.25">
      <c r="B306" s="122">
        <f t="array" ref="B306">IFERROR(INDEX(Tabela.frequencia[],SMALL(IF(Tabela.frequencia[id]=$E$11,ROW(Tabela.frequencia[id])-1),ROW(A247)),3),DATE(1990,1,1))</f>
        <v>32874</v>
      </c>
    </row>
    <row r="307" spans="2:2" x14ac:dyDescent="0.25">
      <c r="B307" s="122">
        <f t="array" ref="B307">IFERROR(INDEX(Tabela.frequencia[],SMALL(IF(Tabela.frequencia[id]=$E$11,ROW(Tabela.frequencia[id])-1),ROW(A248)),3),DATE(1990,1,1))</f>
        <v>32874</v>
      </c>
    </row>
    <row r="308" spans="2:2" x14ac:dyDescent="0.25">
      <c r="B308" s="122">
        <f t="array" ref="B308">IFERROR(INDEX(Tabela.frequencia[],SMALL(IF(Tabela.frequencia[id]=$E$11,ROW(Tabela.frequencia[id])-1),ROW(A249)),3),DATE(1990,1,1))</f>
        <v>32874</v>
      </c>
    </row>
    <row r="309" spans="2:2" x14ac:dyDescent="0.25">
      <c r="B309" s="122">
        <f t="array" ref="B309">IFERROR(INDEX(Tabela.frequencia[],SMALL(IF(Tabela.frequencia[id]=$E$11,ROW(Tabela.frequencia[id])-1),ROW(A250)),3),DATE(1990,1,1))</f>
        <v>32874</v>
      </c>
    </row>
    <row r="310" spans="2:2" x14ac:dyDescent="0.25">
      <c r="B310" s="122">
        <f t="array" ref="B310">IFERROR(INDEX(Tabela.frequencia[],SMALL(IF(Tabela.frequencia[id]=$E$11,ROW(Tabela.frequencia[id])-1),ROW(A251)),3),DATE(1990,1,1))</f>
        <v>32874</v>
      </c>
    </row>
    <row r="311" spans="2:2" x14ac:dyDescent="0.25">
      <c r="B311" s="122">
        <f t="array" ref="B311">IFERROR(INDEX(Tabela.frequencia[],SMALL(IF(Tabela.frequencia[id]=$E$11,ROW(Tabela.frequencia[id])-1),ROW(A252)),3),DATE(1990,1,1))</f>
        <v>32874</v>
      </c>
    </row>
    <row r="312" spans="2:2" x14ac:dyDescent="0.25">
      <c r="B312" s="122">
        <f t="array" ref="B312">IFERROR(INDEX(Tabela.frequencia[],SMALL(IF(Tabela.frequencia[id]=$E$11,ROW(Tabela.frequencia[id])-1),ROW(A253)),3),DATE(1990,1,1))</f>
        <v>32874</v>
      </c>
    </row>
    <row r="313" spans="2:2" x14ac:dyDescent="0.25">
      <c r="B313" s="122">
        <f t="array" ref="B313">IFERROR(INDEX(Tabela.frequencia[],SMALL(IF(Tabela.frequencia[id]=$E$11,ROW(Tabela.frequencia[id])-1),ROW(A254)),3),DATE(1990,1,1))</f>
        <v>32874</v>
      </c>
    </row>
    <row r="314" spans="2:2" x14ac:dyDescent="0.25">
      <c r="B314" s="122">
        <f t="array" ref="B314">IFERROR(INDEX(Tabela.frequencia[],SMALL(IF(Tabela.frequencia[id]=$E$11,ROW(Tabela.frequencia[id])-1),ROW(A255)),3),DATE(1990,1,1))</f>
        <v>32874</v>
      </c>
    </row>
    <row r="315" spans="2:2" x14ac:dyDescent="0.25">
      <c r="B315" s="122">
        <f t="array" ref="B315">IFERROR(INDEX(Tabela.frequencia[],SMALL(IF(Tabela.frequencia[id]=$E$11,ROW(Tabela.frequencia[id])-1),ROW(A256)),3),DATE(1990,1,1))</f>
        <v>32874</v>
      </c>
    </row>
    <row r="316" spans="2:2" x14ac:dyDescent="0.25">
      <c r="B316" s="122">
        <f t="array" ref="B316">IFERROR(INDEX(Tabela.frequencia[],SMALL(IF(Tabela.frequencia[id]=$E$11,ROW(Tabela.frequencia[id])-1),ROW(A257)),3),DATE(1990,1,1))</f>
        <v>32874</v>
      </c>
    </row>
    <row r="317" spans="2:2" x14ac:dyDescent="0.25">
      <c r="B317" s="122">
        <f t="array" ref="B317">IFERROR(INDEX(Tabela.frequencia[],SMALL(IF(Tabela.frequencia[id]=$E$11,ROW(Tabela.frequencia[id])-1),ROW(A258)),3),DATE(1990,1,1))</f>
        <v>32874</v>
      </c>
    </row>
    <row r="318" spans="2:2" x14ac:dyDescent="0.25">
      <c r="B318" s="122">
        <f t="array" ref="B318">IFERROR(INDEX(Tabela.frequencia[],SMALL(IF(Tabela.frequencia[id]=$E$11,ROW(Tabela.frequencia[id])-1),ROW(A259)),3),DATE(1990,1,1))</f>
        <v>32874</v>
      </c>
    </row>
    <row r="319" spans="2:2" x14ac:dyDescent="0.25">
      <c r="B319" s="122">
        <f t="array" ref="B319">IFERROR(INDEX(Tabela.frequencia[],SMALL(IF(Tabela.frequencia[id]=$E$11,ROW(Tabela.frequencia[id])-1),ROW(A260)),3),DATE(1990,1,1))</f>
        <v>32874</v>
      </c>
    </row>
    <row r="320" spans="2:2" x14ac:dyDescent="0.25">
      <c r="B320" s="122">
        <f t="array" ref="B320">IFERROR(INDEX(Tabela.frequencia[],SMALL(IF(Tabela.frequencia[id]=$E$11,ROW(Tabela.frequencia[id])-1),ROW(A261)),3),DATE(1990,1,1))</f>
        <v>32874</v>
      </c>
    </row>
    <row r="321" spans="2:2" x14ac:dyDescent="0.25">
      <c r="B321" s="122">
        <f t="array" ref="B321">IFERROR(INDEX(Tabela.frequencia[],SMALL(IF(Tabela.frequencia[id]=$E$11,ROW(Tabela.frequencia[id])-1),ROW(A262)),3),DATE(1990,1,1))</f>
        <v>32874</v>
      </c>
    </row>
    <row r="322" spans="2:2" x14ac:dyDescent="0.25">
      <c r="B322" s="122">
        <f t="array" ref="B322">IFERROR(INDEX(Tabela.frequencia[],SMALL(IF(Tabela.frequencia[id]=$E$11,ROW(Tabela.frequencia[id])-1),ROW(A263)),3),DATE(1990,1,1))</f>
        <v>32874</v>
      </c>
    </row>
    <row r="323" spans="2:2" x14ac:dyDescent="0.25">
      <c r="B323" s="122">
        <f t="array" ref="B323">IFERROR(INDEX(Tabela.frequencia[],SMALL(IF(Tabela.frequencia[id]=$E$11,ROW(Tabela.frequencia[id])-1),ROW(A264)),3),DATE(1990,1,1))</f>
        <v>32874</v>
      </c>
    </row>
    <row r="324" spans="2:2" x14ac:dyDescent="0.25">
      <c r="B324" s="122">
        <f t="array" ref="B324">IFERROR(INDEX(Tabela.frequencia[],SMALL(IF(Tabela.frequencia[id]=$E$11,ROW(Tabela.frequencia[id])-1),ROW(A265)),3),DATE(1990,1,1))</f>
        <v>32874</v>
      </c>
    </row>
    <row r="325" spans="2:2" x14ac:dyDescent="0.25">
      <c r="B325" s="122">
        <f t="array" ref="B325">IFERROR(INDEX(Tabela.frequencia[],SMALL(IF(Tabela.frequencia[id]=$E$11,ROW(Tabela.frequencia[id])-1),ROW(A266)),3),DATE(1990,1,1))</f>
        <v>32874</v>
      </c>
    </row>
    <row r="326" spans="2:2" x14ac:dyDescent="0.25">
      <c r="B326" s="122">
        <f t="array" ref="B326">IFERROR(INDEX(Tabela.frequencia[],SMALL(IF(Tabela.frequencia[id]=$E$11,ROW(Tabela.frequencia[id])-1),ROW(A267)),3),DATE(1990,1,1))</f>
        <v>32874</v>
      </c>
    </row>
    <row r="327" spans="2:2" x14ac:dyDescent="0.25">
      <c r="B327" s="122">
        <f t="array" ref="B327">IFERROR(INDEX(Tabela.frequencia[],SMALL(IF(Tabela.frequencia[id]=$E$11,ROW(Tabela.frequencia[id])-1),ROW(A268)),3),DATE(1990,1,1))</f>
        <v>32874</v>
      </c>
    </row>
    <row r="328" spans="2:2" x14ac:dyDescent="0.25">
      <c r="B328" s="122">
        <f t="array" ref="B328">IFERROR(INDEX(Tabela.frequencia[],SMALL(IF(Tabela.frequencia[id]=$E$11,ROW(Tabela.frequencia[id])-1),ROW(A269)),3),DATE(1990,1,1))</f>
        <v>32874</v>
      </c>
    </row>
    <row r="329" spans="2:2" x14ac:dyDescent="0.25">
      <c r="B329" s="122">
        <f t="array" ref="B329">IFERROR(INDEX(Tabela.frequencia[],SMALL(IF(Tabela.frequencia[id]=$E$11,ROW(Tabela.frequencia[id])-1),ROW(A270)),3),DATE(1990,1,1))</f>
        <v>32874</v>
      </c>
    </row>
    <row r="330" spans="2:2" x14ac:dyDescent="0.25">
      <c r="B330" s="122">
        <f t="array" ref="B330">IFERROR(INDEX(Tabela.frequencia[],SMALL(IF(Tabela.frequencia[id]=$E$11,ROW(Tabela.frequencia[id])-1),ROW(A271)),3),DATE(1990,1,1))</f>
        <v>32874</v>
      </c>
    </row>
    <row r="331" spans="2:2" x14ac:dyDescent="0.25">
      <c r="B331" s="122">
        <f t="array" ref="B331">IFERROR(INDEX(Tabela.frequencia[],SMALL(IF(Tabela.frequencia[id]=$E$11,ROW(Tabela.frequencia[id])-1),ROW(A272)),3),DATE(1990,1,1))</f>
        <v>32874</v>
      </c>
    </row>
    <row r="332" spans="2:2" x14ac:dyDescent="0.25">
      <c r="B332" s="122">
        <f t="array" ref="B332">IFERROR(INDEX(Tabela.frequencia[],SMALL(IF(Tabela.frequencia[id]=$E$11,ROW(Tabela.frequencia[id])-1),ROW(A273)),3),DATE(1990,1,1))</f>
        <v>32874</v>
      </c>
    </row>
    <row r="333" spans="2:2" x14ac:dyDescent="0.25">
      <c r="B333" s="122">
        <f t="array" ref="B333">IFERROR(INDEX(Tabela.frequencia[],SMALL(IF(Tabela.frequencia[id]=$E$11,ROW(Tabela.frequencia[id])-1),ROW(A274)),3),DATE(1990,1,1))</f>
        <v>32874</v>
      </c>
    </row>
    <row r="334" spans="2:2" x14ac:dyDescent="0.25">
      <c r="B334" s="122">
        <f t="array" ref="B334">IFERROR(INDEX(Tabela.frequencia[],SMALL(IF(Tabela.frequencia[id]=$E$11,ROW(Tabela.frequencia[id])-1),ROW(A275)),3),DATE(1990,1,1))</f>
        <v>32874</v>
      </c>
    </row>
    <row r="335" spans="2:2" x14ac:dyDescent="0.25">
      <c r="B335" s="122">
        <f t="array" ref="B335">IFERROR(INDEX(Tabela.frequencia[],SMALL(IF(Tabela.frequencia[id]=$E$11,ROW(Tabela.frequencia[id])-1),ROW(A276)),3),DATE(1990,1,1))</f>
        <v>32874</v>
      </c>
    </row>
    <row r="336" spans="2:2" x14ac:dyDescent="0.25">
      <c r="B336" s="122">
        <f t="array" ref="B336">IFERROR(INDEX(Tabela.frequencia[],SMALL(IF(Tabela.frequencia[id]=$E$11,ROW(Tabela.frequencia[id])-1),ROW(A277)),3),DATE(1990,1,1))</f>
        <v>32874</v>
      </c>
    </row>
    <row r="337" spans="2:2" x14ac:dyDescent="0.25">
      <c r="B337" s="122">
        <f t="array" ref="B337">IFERROR(INDEX(Tabela.frequencia[],SMALL(IF(Tabela.frequencia[id]=$E$11,ROW(Tabela.frequencia[id])-1),ROW(A278)),3),DATE(1990,1,1))</f>
        <v>32874</v>
      </c>
    </row>
    <row r="338" spans="2:2" x14ac:dyDescent="0.25">
      <c r="B338" s="122">
        <f t="array" ref="B338">IFERROR(INDEX(Tabela.frequencia[],SMALL(IF(Tabela.frequencia[id]=$E$11,ROW(Tabela.frequencia[id])-1),ROW(A279)),3),DATE(1990,1,1))</f>
        <v>32874</v>
      </c>
    </row>
    <row r="339" spans="2:2" x14ac:dyDescent="0.25">
      <c r="B339" s="122">
        <f t="array" ref="B339">IFERROR(INDEX(Tabela.frequencia[],SMALL(IF(Tabela.frequencia[id]=$E$11,ROW(Tabela.frequencia[id])-1),ROW(A280)),3),DATE(1990,1,1))</f>
        <v>32874</v>
      </c>
    </row>
    <row r="340" spans="2:2" x14ac:dyDescent="0.25">
      <c r="B340" s="122">
        <f t="array" ref="B340">IFERROR(INDEX(Tabela.frequencia[],SMALL(IF(Tabela.frequencia[id]=$E$11,ROW(Tabela.frequencia[id])-1),ROW(A281)),3),DATE(1990,1,1))</f>
        <v>32874</v>
      </c>
    </row>
    <row r="341" spans="2:2" x14ac:dyDescent="0.25">
      <c r="B341" s="122">
        <f t="array" ref="B341">IFERROR(INDEX(Tabela.frequencia[],SMALL(IF(Tabela.frequencia[id]=$E$11,ROW(Tabela.frequencia[id])-1),ROW(A282)),3),DATE(1990,1,1))</f>
        <v>32874</v>
      </c>
    </row>
    <row r="342" spans="2:2" x14ac:dyDescent="0.25">
      <c r="B342" s="122">
        <f t="array" ref="B342">IFERROR(INDEX(Tabela.frequencia[],SMALL(IF(Tabela.frequencia[id]=$E$11,ROW(Tabela.frequencia[id])-1),ROW(A283)),3),DATE(1990,1,1))</f>
        <v>32874</v>
      </c>
    </row>
    <row r="343" spans="2:2" x14ac:dyDescent="0.25">
      <c r="B343" s="122">
        <f t="array" ref="B343">IFERROR(INDEX(Tabela.frequencia[],SMALL(IF(Tabela.frequencia[id]=$E$11,ROW(Tabela.frequencia[id])-1),ROW(A284)),3),DATE(1990,1,1))</f>
        <v>32874</v>
      </c>
    </row>
    <row r="344" spans="2:2" x14ac:dyDescent="0.25">
      <c r="B344" s="122">
        <f t="array" ref="B344">IFERROR(INDEX(Tabela.frequencia[],SMALL(IF(Tabela.frequencia[id]=$E$11,ROW(Tabela.frequencia[id])-1),ROW(A285)),3),DATE(1990,1,1))</f>
        <v>32874</v>
      </c>
    </row>
    <row r="345" spans="2:2" x14ac:dyDescent="0.25">
      <c r="B345" s="122">
        <f t="array" ref="B345">IFERROR(INDEX(Tabela.frequencia[],SMALL(IF(Tabela.frequencia[id]=$E$11,ROW(Tabela.frequencia[id])-1),ROW(A286)),3),DATE(1990,1,1))</f>
        <v>32874</v>
      </c>
    </row>
    <row r="346" spans="2:2" x14ac:dyDescent="0.25">
      <c r="B346" s="122">
        <f t="array" ref="B346">IFERROR(INDEX(Tabela.frequencia[],SMALL(IF(Tabela.frequencia[id]=$E$11,ROW(Tabela.frequencia[id])-1),ROW(A287)),3),DATE(1990,1,1))</f>
        <v>32874</v>
      </c>
    </row>
    <row r="347" spans="2:2" x14ac:dyDescent="0.25">
      <c r="B347" s="122">
        <f t="array" ref="B347">IFERROR(INDEX(Tabela.frequencia[],SMALL(IF(Tabela.frequencia[id]=$E$11,ROW(Tabela.frequencia[id])-1),ROW(A288)),3),DATE(1990,1,1))</f>
        <v>32874</v>
      </c>
    </row>
    <row r="348" spans="2:2" x14ac:dyDescent="0.25">
      <c r="B348" s="122">
        <f t="array" ref="B348">IFERROR(INDEX(Tabela.frequencia[],SMALL(IF(Tabela.frequencia[id]=$E$11,ROW(Tabela.frequencia[id])-1),ROW(A289)),3),DATE(1990,1,1))</f>
        <v>32874</v>
      </c>
    </row>
    <row r="349" spans="2:2" x14ac:dyDescent="0.25">
      <c r="B349" s="122">
        <f t="array" ref="B349">IFERROR(INDEX(Tabela.frequencia[],SMALL(IF(Tabela.frequencia[id]=$E$11,ROW(Tabela.frequencia[id])-1),ROW(A290)),3),DATE(1990,1,1))</f>
        <v>32874</v>
      </c>
    </row>
    <row r="350" spans="2:2" x14ac:dyDescent="0.25">
      <c r="B350" s="122">
        <f t="array" ref="B350">IFERROR(INDEX(Tabela.frequencia[],SMALL(IF(Tabela.frequencia[id]=$E$11,ROW(Tabela.frequencia[id])-1),ROW(A291)),3),DATE(1990,1,1))</f>
        <v>32874</v>
      </c>
    </row>
    <row r="351" spans="2:2" x14ac:dyDescent="0.25">
      <c r="B351" s="122">
        <f t="array" ref="B351">IFERROR(INDEX(Tabela.frequencia[],SMALL(IF(Tabela.frequencia[id]=$E$11,ROW(Tabela.frequencia[id])-1),ROW(A292)),3),DATE(1990,1,1))</f>
        <v>32874</v>
      </c>
    </row>
    <row r="352" spans="2:2" x14ac:dyDescent="0.25">
      <c r="B352" s="122">
        <f t="array" ref="B352">IFERROR(INDEX(Tabela.frequencia[],SMALL(IF(Tabela.frequencia[id]=$E$11,ROW(Tabela.frequencia[id])-1),ROW(A293)),3),DATE(1990,1,1))</f>
        <v>32874</v>
      </c>
    </row>
    <row r="353" spans="2:2" x14ac:dyDescent="0.25">
      <c r="B353" s="122">
        <f t="array" ref="B353">IFERROR(INDEX(Tabela.frequencia[],SMALL(IF(Tabela.frequencia[id]=$E$11,ROW(Tabela.frequencia[id])-1),ROW(A294)),3),DATE(1990,1,1))</f>
        <v>32874</v>
      </c>
    </row>
    <row r="354" spans="2:2" x14ac:dyDescent="0.25">
      <c r="B354" s="122">
        <f t="array" ref="B354">IFERROR(INDEX(Tabela.frequencia[],SMALL(IF(Tabela.frequencia[id]=$E$11,ROW(Tabela.frequencia[id])-1),ROW(A295)),3),DATE(1990,1,1))</f>
        <v>32874</v>
      </c>
    </row>
    <row r="355" spans="2:2" x14ac:dyDescent="0.25">
      <c r="B355" s="122">
        <f t="array" ref="B355">IFERROR(INDEX(Tabela.frequencia[],SMALL(IF(Tabela.frequencia[id]=$E$11,ROW(Tabela.frequencia[id])-1),ROW(A296)),3),DATE(1990,1,1))</f>
        <v>32874</v>
      </c>
    </row>
    <row r="356" spans="2:2" x14ac:dyDescent="0.25">
      <c r="B356" s="122">
        <f t="array" ref="B356">IFERROR(INDEX(Tabela.frequencia[],SMALL(IF(Tabela.frequencia[id]=$E$11,ROW(Tabela.frequencia[id])-1),ROW(A297)),3),DATE(1990,1,1))</f>
        <v>32874</v>
      </c>
    </row>
    <row r="357" spans="2:2" x14ac:dyDescent="0.25">
      <c r="B357" s="122">
        <f t="array" ref="B357">IFERROR(INDEX(Tabela.frequencia[],SMALL(IF(Tabela.frequencia[id]=$E$11,ROW(Tabela.frequencia[id])-1),ROW(A298)),3),DATE(1990,1,1))</f>
        <v>32874</v>
      </c>
    </row>
    <row r="358" spans="2:2" x14ac:dyDescent="0.25">
      <c r="B358" s="122">
        <f t="array" ref="B358">IFERROR(INDEX(Tabela.frequencia[],SMALL(IF(Tabela.frequencia[id]=$E$11,ROW(Tabela.frequencia[id])-1),ROW(A299)),3),DATE(1990,1,1))</f>
        <v>32874</v>
      </c>
    </row>
    <row r="359" spans="2:2" x14ac:dyDescent="0.25">
      <c r="B359" s="122">
        <f t="array" ref="B359">IFERROR(INDEX(Tabela.frequencia[],SMALL(IF(Tabela.frequencia[id]=$E$11,ROW(Tabela.frequencia[id])-1),ROW(A300)),3),DATE(1990,1,1))</f>
        <v>32874</v>
      </c>
    </row>
    <row r="360" spans="2:2" x14ac:dyDescent="0.25">
      <c r="B360" s="122">
        <f t="array" ref="B360">IFERROR(INDEX(Tabela.frequencia[],SMALL(IF(Tabela.frequencia[id]=$E$11,ROW(Tabela.frequencia[id])-1),ROW(A301)),3),DATE(1990,1,1))</f>
        <v>32874</v>
      </c>
    </row>
    <row r="361" spans="2:2" x14ac:dyDescent="0.25">
      <c r="B361" s="122">
        <f t="array" ref="B361">IFERROR(INDEX(Tabela.frequencia[],SMALL(IF(Tabela.frequencia[id]=$E$11,ROW(Tabela.frequencia[id])-1),ROW(A302)),3),DATE(1990,1,1))</f>
        <v>32874</v>
      </c>
    </row>
    <row r="362" spans="2:2" x14ac:dyDescent="0.25">
      <c r="B362" s="122">
        <f t="array" ref="B362">IFERROR(INDEX(Tabela.frequencia[],SMALL(IF(Tabela.frequencia[id]=$E$11,ROW(Tabela.frequencia[id])-1),ROW(A303)),3),DATE(1990,1,1))</f>
        <v>32874</v>
      </c>
    </row>
    <row r="363" spans="2:2" x14ac:dyDescent="0.25">
      <c r="B363" s="122">
        <f t="array" ref="B363">IFERROR(INDEX(Tabela.frequencia[],SMALL(IF(Tabela.frequencia[id]=$E$11,ROW(Tabela.frequencia[id])-1),ROW(A304)),3),DATE(1990,1,1))</f>
        <v>32874</v>
      </c>
    </row>
    <row r="364" spans="2:2" x14ac:dyDescent="0.25">
      <c r="B364" s="122">
        <f t="array" ref="B364">IFERROR(INDEX(Tabela.frequencia[],SMALL(IF(Tabela.frequencia[id]=$E$11,ROW(Tabela.frequencia[id])-1),ROW(A305)),3),DATE(1990,1,1))</f>
        <v>32874</v>
      </c>
    </row>
    <row r="365" spans="2:2" x14ac:dyDescent="0.25">
      <c r="B365" s="122">
        <f t="array" ref="B365">IFERROR(INDEX(Tabela.frequencia[],SMALL(IF(Tabela.frequencia[id]=$E$11,ROW(Tabela.frequencia[id])-1),ROW(A306)),3),DATE(1990,1,1))</f>
        <v>32874</v>
      </c>
    </row>
    <row r="366" spans="2:2" x14ac:dyDescent="0.25">
      <c r="B366" s="122">
        <f t="array" ref="B366">IFERROR(INDEX(Tabela.frequencia[],SMALL(IF(Tabela.frequencia[id]=$E$11,ROW(Tabela.frequencia[id])-1),ROW(A307)),3),DATE(1990,1,1))</f>
        <v>32874</v>
      </c>
    </row>
    <row r="367" spans="2:2" x14ac:dyDescent="0.25">
      <c r="B367" s="122">
        <f t="array" ref="B367">IFERROR(INDEX(Tabela.frequencia[],SMALL(IF(Tabela.frequencia[id]=$E$11,ROW(Tabela.frequencia[id])-1),ROW(A308)),3),DATE(1990,1,1))</f>
        <v>32874</v>
      </c>
    </row>
    <row r="368" spans="2:2" x14ac:dyDescent="0.25">
      <c r="B368" s="122">
        <f t="array" ref="B368">IFERROR(INDEX(Tabela.frequencia[],SMALL(IF(Tabela.frequencia[id]=$E$11,ROW(Tabela.frequencia[id])-1),ROW(A309)),3),DATE(1990,1,1))</f>
        <v>32874</v>
      </c>
    </row>
    <row r="369" spans="2:2" x14ac:dyDescent="0.25">
      <c r="B369" s="122">
        <f t="array" ref="B369">IFERROR(INDEX(Tabela.frequencia[],SMALL(IF(Tabela.frequencia[id]=$E$11,ROW(Tabela.frequencia[id])-1),ROW(A310)),3),DATE(1990,1,1))</f>
        <v>32874</v>
      </c>
    </row>
    <row r="370" spans="2:2" x14ac:dyDescent="0.25">
      <c r="B370" s="122">
        <f t="array" ref="B370">IFERROR(INDEX(Tabela.frequencia[],SMALL(IF(Tabela.frequencia[id]=$E$11,ROW(Tabela.frequencia[id])-1),ROW(A311)),3),DATE(1990,1,1))</f>
        <v>32874</v>
      </c>
    </row>
    <row r="371" spans="2:2" x14ac:dyDescent="0.25">
      <c r="B371" s="122">
        <f t="array" ref="B371">IFERROR(INDEX(Tabela.frequencia[],SMALL(IF(Tabela.frequencia[id]=$E$11,ROW(Tabela.frequencia[id])-1),ROW(A312)),3),DATE(1990,1,1))</f>
        <v>32874</v>
      </c>
    </row>
    <row r="372" spans="2:2" x14ac:dyDescent="0.25">
      <c r="B372" s="122">
        <f t="array" ref="B372">IFERROR(INDEX(Tabela.frequencia[],SMALL(IF(Tabela.frequencia[id]=$E$11,ROW(Tabela.frequencia[id])-1),ROW(A313)),3),DATE(1990,1,1))</f>
        <v>32874</v>
      </c>
    </row>
    <row r="373" spans="2:2" x14ac:dyDescent="0.25">
      <c r="B373" s="122">
        <f t="array" ref="B373">IFERROR(INDEX(Tabela.frequencia[],SMALL(IF(Tabela.frequencia[id]=$E$11,ROW(Tabela.frequencia[id])-1),ROW(A314)),3),DATE(1990,1,1))</f>
        <v>32874</v>
      </c>
    </row>
    <row r="374" spans="2:2" x14ac:dyDescent="0.25">
      <c r="B374" s="122">
        <f t="array" ref="B374">IFERROR(INDEX(Tabela.frequencia[],SMALL(IF(Tabela.frequencia[id]=$E$11,ROW(Tabela.frequencia[id])-1),ROW(A315)),3),DATE(1990,1,1))</f>
        <v>32874</v>
      </c>
    </row>
    <row r="375" spans="2:2" x14ac:dyDescent="0.25">
      <c r="B375" s="122">
        <f t="array" ref="B375">IFERROR(INDEX(Tabela.frequencia[],SMALL(IF(Tabela.frequencia[id]=$E$11,ROW(Tabela.frequencia[id])-1),ROW(A316)),3),DATE(1990,1,1))</f>
        <v>32874</v>
      </c>
    </row>
    <row r="376" spans="2:2" x14ac:dyDescent="0.25">
      <c r="B376" s="122">
        <f t="array" ref="B376">IFERROR(INDEX(Tabela.frequencia[],SMALL(IF(Tabela.frequencia[id]=$E$11,ROW(Tabela.frequencia[id])-1),ROW(A317)),3),DATE(1990,1,1))</f>
        <v>32874</v>
      </c>
    </row>
    <row r="377" spans="2:2" x14ac:dyDescent="0.25">
      <c r="B377" s="122">
        <f t="array" ref="B377">IFERROR(INDEX(Tabela.frequencia[],SMALL(IF(Tabela.frequencia[id]=$E$11,ROW(Tabela.frequencia[id])-1),ROW(A318)),3),DATE(1990,1,1))</f>
        <v>32874</v>
      </c>
    </row>
    <row r="378" spans="2:2" x14ac:dyDescent="0.25">
      <c r="B378" s="122">
        <f t="array" ref="B378">IFERROR(INDEX(Tabela.frequencia[],SMALL(IF(Tabela.frequencia[id]=$E$11,ROW(Tabela.frequencia[id])-1),ROW(A319)),3),DATE(1990,1,1))</f>
        <v>32874</v>
      </c>
    </row>
    <row r="379" spans="2:2" x14ac:dyDescent="0.25">
      <c r="B379" s="122">
        <f t="array" ref="B379">IFERROR(INDEX(Tabela.frequencia[],SMALL(IF(Tabela.frequencia[id]=$E$11,ROW(Tabela.frequencia[id])-1),ROW(A320)),3),DATE(1990,1,1))</f>
        <v>32874</v>
      </c>
    </row>
    <row r="380" spans="2:2" x14ac:dyDescent="0.25">
      <c r="B380" s="122">
        <f t="array" ref="B380">IFERROR(INDEX(Tabela.frequencia[],SMALL(IF(Tabela.frequencia[id]=$E$11,ROW(Tabela.frequencia[id])-1),ROW(A321)),3),DATE(1990,1,1))</f>
        <v>32874</v>
      </c>
    </row>
    <row r="381" spans="2:2" x14ac:dyDescent="0.25">
      <c r="B381" s="122">
        <f t="array" ref="B381">IFERROR(INDEX(Tabela.frequencia[],SMALL(IF(Tabela.frequencia[id]=$E$11,ROW(Tabela.frequencia[id])-1),ROW(A322)),3),DATE(1990,1,1))</f>
        <v>32874</v>
      </c>
    </row>
    <row r="382" spans="2:2" x14ac:dyDescent="0.25">
      <c r="B382" s="122">
        <f t="array" ref="B382">IFERROR(INDEX(Tabela.frequencia[],SMALL(IF(Tabela.frequencia[id]=$E$11,ROW(Tabela.frequencia[id])-1),ROW(A323)),3),DATE(1990,1,1))</f>
        <v>32874</v>
      </c>
    </row>
    <row r="383" spans="2:2" x14ac:dyDescent="0.25">
      <c r="B383" s="122">
        <f t="array" ref="B383">IFERROR(INDEX(Tabela.frequencia[],SMALL(IF(Tabela.frequencia[id]=$E$11,ROW(Tabela.frequencia[id])-1),ROW(A324)),3),DATE(1990,1,1))</f>
        <v>32874</v>
      </c>
    </row>
    <row r="384" spans="2:2" x14ac:dyDescent="0.25">
      <c r="B384" s="122">
        <f t="array" ref="B384">IFERROR(INDEX(Tabela.frequencia[],SMALL(IF(Tabela.frequencia[id]=$E$11,ROW(Tabela.frequencia[id])-1),ROW(A325)),3),DATE(1990,1,1))</f>
        <v>32874</v>
      </c>
    </row>
    <row r="385" spans="2:2" x14ac:dyDescent="0.25">
      <c r="B385" s="122">
        <f t="array" ref="B385">IFERROR(INDEX(Tabela.frequencia[],SMALL(IF(Tabela.frequencia[id]=$E$11,ROW(Tabela.frequencia[id])-1),ROW(A326)),3),DATE(1990,1,1))</f>
        <v>32874</v>
      </c>
    </row>
    <row r="386" spans="2:2" x14ac:dyDescent="0.25">
      <c r="B386" s="122">
        <f t="array" ref="B386">IFERROR(INDEX(Tabela.frequencia[],SMALL(IF(Tabela.frequencia[id]=$E$11,ROW(Tabela.frequencia[id])-1),ROW(A327)),3),DATE(1990,1,1))</f>
        <v>32874</v>
      </c>
    </row>
    <row r="387" spans="2:2" x14ac:dyDescent="0.25">
      <c r="B387" s="122">
        <f t="array" ref="B387">IFERROR(INDEX(Tabela.frequencia[],SMALL(IF(Tabela.frequencia[id]=$E$11,ROW(Tabela.frequencia[id])-1),ROW(A328)),3),DATE(1990,1,1))</f>
        <v>32874</v>
      </c>
    </row>
    <row r="388" spans="2:2" x14ac:dyDescent="0.25">
      <c r="B388" s="122">
        <f t="array" ref="B388">IFERROR(INDEX(Tabela.frequencia[],SMALL(IF(Tabela.frequencia[id]=$E$11,ROW(Tabela.frequencia[id])-1),ROW(A329)),3),DATE(1990,1,1))</f>
        <v>32874</v>
      </c>
    </row>
    <row r="389" spans="2:2" x14ac:dyDescent="0.25">
      <c r="B389" s="122">
        <f t="array" ref="B389">IFERROR(INDEX(Tabela.frequencia[],SMALL(IF(Tabela.frequencia[id]=$E$11,ROW(Tabela.frequencia[id])-1),ROW(A330)),3),DATE(1990,1,1))</f>
        <v>32874</v>
      </c>
    </row>
    <row r="390" spans="2:2" x14ac:dyDescent="0.25">
      <c r="B390" s="122">
        <f t="array" ref="B390">IFERROR(INDEX(Tabela.frequencia[],SMALL(IF(Tabela.frequencia[id]=$E$11,ROW(Tabela.frequencia[id])-1),ROW(A331)),3),DATE(1990,1,1))</f>
        <v>32874</v>
      </c>
    </row>
    <row r="391" spans="2:2" x14ac:dyDescent="0.25">
      <c r="B391" s="122">
        <f t="array" ref="B391">IFERROR(INDEX(Tabela.frequencia[],SMALL(IF(Tabela.frequencia[id]=$E$11,ROW(Tabela.frequencia[id])-1),ROW(A332)),3),DATE(1990,1,1))</f>
        <v>32874</v>
      </c>
    </row>
    <row r="392" spans="2:2" x14ac:dyDescent="0.25">
      <c r="B392" s="122">
        <f t="array" ref="B392">IFERROR(INDEX(Tabela.frequencia[],SMALL(IF(Tabela.frequencia[id]=$E$11,ROW(Tabela.frequencia[id])-1),ROW(A333)),3),DATE(1990,1,1))</f>
        <v>32874</v>
      </c>
    </row>
    <row r="393" spans="2:2" x14ac:dyDescent="0.25">
      <c r="B393" s="122">
        <f t="array" ref="B393">IFERROR(INDEX(Tabela.frequencia[],SMALL(IF(Tabela.frequencia[id]=$E$11,ROW(Tabela.frequencia[id])-1),ROW(A334)),3),DATE(1990,1,1))</f>
        <v>32874</v>
      </c>
    </row>
    <row r="394" spans="2:2" x14ac:dyDescent="0.25">
      <c r="B394" s="122">
        <f t="array" ref="B394">IFERROR(INDEX(Tabela.frequencia[],SMALL(IF(Tabela.frequencia[id]=$E$11,ROW(Tabela.frequencia[id])-1),ROW(A335)),3),DATE(1990,1,1))</f>
        <v>32874</v>
      </c>
    </row>
    <row r="395" spans="2:2" x14ac:dyDescent="0.25">
      <c r="B395" s="122">
        <f t="array" ref="B395">IFERROR(INDEX(Tabela.frequencia[],SMALL(IF(Tabela.frequencia[id]=$E$11,ROW(Tabela.frequencia[id])-1),ROW(A336)),3),DATE(1990,1,1))</f>
        <v>32874</v>
      </c>
    </row>
    <row r="396" spans="2:2" x14ac:dyDescent="0.25">
      <c r="B396" s="122">
        <f t="array" ref="B396">IFERROR(INDEX(Tabela.frequencia[],SMALL(IF(Tabela.frequencia[id]=$E$11,ROW(Tabela.frequencia[id])-1),ROW(A337)),3),DATE(1990,1,1))</f>
        <v>32874</v>
      </c>
    </row>
    <row r="397" spans="2:2" x14ac:dyDescent="0.25">
      <c r="B397" s="122">
        <f t="array" ref="B397">IFERROR(INDEX(Tabela.frequencia[],SMALL(IF(Tabela.frequencia[id]=$E$11,ROW(Tabela.frequencia[id])-1),ROW(A338)),3),DATE(1990,1,1))</f>
        <v>32874</v>
      </c>
    </row>
    <row r="398" spans="2:2" x14ac:dyDescent="0.25">
      <c r="B398" s="122">
        <f t="array" ref="B398">IFERROR(INDEX(Tabela.frequencia[],SMALL(IF(Tabela.frequencia[id]=$E$11,ROW(Tabela.frequencia[id])-1),ROW(A339)),3),DATE(1990,1,1))</f>
        <v>32874</v>
      </c>
    </row>
    <row r="399" spans="2:2" x14ac:dyDescent="0.25">
      <c r="B399" s="122">
        <f t="array" ref="B399">IFERROR(INDEX(Tabela.frequencia[],SMALL(IF(Tabela.frequencia[id]=$E$11,ROW(Tabela.frequencia[id])-1),ROW(A340)),3),DATE(1990,1,1))</f>
        <v>32874</v>
      </c>
    </row>
    <row r="400" spans="2:2" x14ac:dyDescent="0.25">
      <c r="B400" s="122">
        <f t="array" ref="B400">IFERROR(INDEX(Tabela.frequencia[],SMALL(IF(Tabela.frequencia[id]=$E$11,ROW(Tabela.frequencia[id])-1),ROW(A341)),3),DATE(1990,1,1))</f>
        <v>32874</v>
      </c>
    </row>
    <row r="401" spans="2:2" x14ac:dyDescent="0.25">
      <c r="B401" s="122">
        <f t="array" ref="B401">IFERROR(INDEX(Tabela.frequencia[],SMALL(IF(Tabela.frequencia[id]=$E$11,ROW(Tabela.frequencia[id])-1),ROW(A342)),3),DATE(1990,1,1))</f>
        <v>32874</v>
      </c>
    </row>
    <row r="402" spans="2:2" x14ac:dyDescent="0.25">
      <c r="B402" s="122">
        <f t="array" ref="B402">IFERROR(INDEX(Tabela.frequencia[],SMALL(IF(Tabela.frequencia[id]=$E$11,ROW(Tabela.frequencia[id])-1),ROW(A343)),3),DATE(1990,1,1))</f>
        <v>32874</v>
      </c>
    </row>
    <row r="403" spans="2:2" x14ac:dyDescent="0.25">
      <c r="B403" s="122">
        <f t="array" ref="B403">IFERROR(INDEX(Tabela.frequencia[],SMALL(IF(Tabela.frequencia[id]=$E$11,ROW(Tabela.frequencia[id])-1),ROW(A344)),3),DATE(1990,1,1))</f>
        <v>32874</v>
      </c>
    </row>
    <row r="404" spans="2:2" x14ac:dyDescent="0.25">
      <c r="B404" s="122">
        <f t="array" ref="B404">IFERROR(INDEX(Tabela.frequencia[],SMALL(IF(Tabela.frequencia[id]=$E$11,ROW(Tabela.frequencia[id])-1),ROW(A345)),3),DATE(1990,1,1))</f>
        <v>32874</v>
      </c>
    </row>
    <row r="405" spans="2:2" x14ac:dyDescent="0.25">
      <c r="B405" s="122">
        <f t="array" ref="B405">IFERROR(INDEX(Tabela.frequencia[],SMALL(IF(Tabela.frequencia[id]=$E$11,ROW(Tabela.frequencia[id])-1),ROW(A346)),3),DATE(1990,1,1))</f>
        <v>32874</v>
      </c>
    </row>
    <row r="406" spans="2:2" x14ac:dyDescent="0.25">
      <c r="B406" s="122">
        <f t="array" ref="B406">IFERROR(INDEX(Tabela.frequencia[],SMALL(IF(Tabela.frequencia[id]=$E$11,ROW(Tabela.frequencia[id])-1),ROW(A347)),3),DATE(1990,1,1))</f>
        <v>32874</v>
      </c>
    </row>
    <row r="407" spans="2:2" x14ac:dyDescent="0.25">
      <c r="B407" s="122">
        <f t="array" ref="B407">IFERROR(INDEX(Tabela.frequencia[],SMALL(IF(Tabela.frequencia[id]=$E$11,ROW(Tabela.frequencia[id])-1),ROW(A348)),3),DATE(1990,1,1))</f>
        <v>32874</v>
      </c>
    </row>
    <row r="408" spans="2:2" x14ac:dyDescent="0.25">
      <c r="B408" s="122">
        <f t="array" ref="B408">IFERROR(INDEX(Tabela.frequencia[],SMALL(IF(Tabela.frequencia[id]=$E$11,ROW(Tabela.frequencia[id])-1),ROW(A349)),3),DATE(1990,1,1))</f>
        <v>32874</v>
      </c>
    </row>
    <row r="409" spans="2:2" x14ac:dyDescent="0.25">
      <c r="B409" s="122">
        <f t="array" ref="B409">IFERROR(INDEX(Tabela.frequencia[],SMALL(IF(Tabela.frequencia[id]=$E$11,ROW(Tabela.frequencia[id])-1),ROW(A350)),3),DATE(1990,1,1))</f>
        <v>32874</v>
      </c>
    </row>
    <row r="410" spans="2:2" x14ac:dyDescent="0.25">
      <c r="B410" s="122">
        <f t="array" ref="B410">IFERROR(INDEX(Tabela.frequencia[],SMALL(IF(Tabela.frequencia[id]=$E$11,ROW(Tabela.frequencia[id])-1),ROW(A351)),3),DATE(1990,1,1))</f>
        <v>32874</v>
      </c>
    </row>
    <row r="411" spans="2:2" x14ac:dyDescent="0.25">
      <c r="B411" s="122">
        <f t="array" ref="B411">IFERROR(INDEX(Tabela.frequencia[],SMALL(IF(Tabela.frequencia[id]=$E$11,ROW(Tabela.frequencia[id])-1),ROW(A352)),3),DATE(1990,1,1))</f>
        <v>32874</v>
      </c>
    </row>
    <row r="412" spans="2:2" x14ac:dyDescent="0.25">
      <c r="B412" s="122">
        <f t="array" ref="B412">IFERROR(INDEX(Tabela.frequencia[],SMALL(IF(Tabela.frequencia[id]=$E$11,ROW(Tabela.frequencia[id])-1),ROW(A353)),3),DATE(1990,1,1))</f>
        <v>32874</v>
      </c>
    </row>
    <row r="413" spans="2:2" x14ac:dyDescent="0.25">
      <c r="B413" s="122">
        <f t="array" ref="B413">IFERROR(INDEX(Tabela.frequencia[],SMALL(IF(Tabela.frequencia[id]=$E$11,ROW(Tabela.frequencia[id])-1),ROW(A354)),3),DATE(1990,1,1))</f>
        <v>32874</v>
      </c>
    </row>
    <row r="414" spans="2:2" x14ac:dyDescent="0.25">
      <c r="B414" s="122">
        <f t="array" ref="B414">IFERROR(INDEX(Tabela.frequencia[],SMALL(IF(Tabela.frequencia[id]=$E$11,ROW(Tabela.frequencia[id])-1),ROW(A355)),3),DATE(1990,1,1))</f>
        <v>32874</v>
      </c>
    </row>
    <row r="415" spans="2:2" x14ac:dyDescent="0.25">
      <c r="B415" s="122">
        <f t="array" ref="B415">IFERROR(INDEX(Tabela.frequencia[],SMALL(IF(Tabela.frequencia[id]=$E$11,ROW(Tabela.frequencia[id])-1),ROW(A356)),3),DATE(1990,1,1))</f>
        <v>32874</v>
      </c>
    </row>
    <row r="416" spans="2:2" x14ac:dyDescent="0.25">
      <c r="B416" s="122">
        <f t="array" ref="B416">IFERROR(INDEX(Tabela.frequencia[],SMALL(IF(Tabela.frequencia[id]=$E$11,ROW(Tabela.frequencia[id])-1),ROW(A357)),3),DATE(1990,1,1))</f>
        <v>32874</v>
      </c>
    </row>
    <row r="417" spans="2:2" x14ac:dyDescent="0.25">
      <c r="B417" s="122">
        <f t="array" ref="B417">IFERROR(INDEX(Tabela.frequencia[],SMALL(IF(Tabela.frequencia[id]=$E$11,ROW(Tabela.frequencia[id])-1),ROW(A358)),3),DATE(1990,1,1))</f>
        <v>32874</v>
      </c>
    </row>
    <row r="418" spans="2:2" x14ac:dyDescent="0.25">
      <c r="B418" s="122">
        <f t="array" ref="B418">IFERROR(INDEX(Tabela.frequencia[],SMALL(IF(Tabela.frequencia[id]=$E$11,ROW(Tabela.frequencia[id])-1),ROW(A359)),3),DATE(1990,1,1))</f>
        <v>32874</v>
      </c>
    </row>
    <row r="419" spans="2:2" x14ac:dyDescent="0.25">
      <c r="B419" s="122">
        <f t="array" ref="B419">IFERROR(INDEX(Tabela.frequencia[],SMALL(IF(Tabela.frequencia[id]=$E$11,ROW(Tabela.frequencia[id])-1),ROW(A360)),3),DATE(1990,1,1))</f>
        <v>32874</v>
      </c>
    </row>
    <row r="420" spans="2:2" x14ac:dyDescent="0.25">
      <c r="B420" s="122">
        <f t="array" ref="B420">IFERROR(INDEX(Tabela.frequencia[],SMALL(IF(Tabela.frequencia[id]=$E$11,ROW(Tabela.frequencia[id])-1),ROW(A361)),3),DATE(1990,1,1))</f>
        <v>32874</v>
      </c>
    </row>
    <row r="421" spans="2:2" x14ac:dyDescent="0.25">
      <c r="B421" s="122">
        <f t="array" ref="B421">IFERROR(INDEX(Tabela.frequencia[],SMALL(IF(Tabela.frequencia[id]=$E$11,ROW(Tabela.frequencia[id])-1),ROW(A362)),3),DATE(1990,1,1))</f>
        <v>32874</v>
      </c>
    </row>
    <row r="422" spans="2:2" x14ac:dyDescent="0.25">
      <c r="B422" s="122">
        <f t="array" ref="B422">IFERROR(INDEX(Tabela.frequencia[],SMALL(IF(Tabela.frequencia[id]=$E$11,ROW(Tabela.frequencia[id])-1),ROW(A363)),3),DATE(1990,1,1))</f>
        <v>32874</v>
      </c>
    </row>
    <row r="423" spans="2:2" x14ac:dyDescent="0.25">
      <c r="B423" s="122">
        <f t="array" ref="B423">IFERROR(INDEX(Tabela.frequencia[],SMALL(IF(Tabela.frequencia[id]=$E$11,ROW(Tabela.frequencia[id])-1),ROW(A364)),3),DATE(1990,1,1))</f>
        <v>32874</v>
      </c>
    </row>
    <row r="424" spans="2:2" x14ac:dyDescent="0.25">
      <c r="B424" s="122">
        <f t="array" ref="B424">IFERROR(INDEX(Tabela.frequencia[],SMALL(IF(Tabela.frequencia[id]=$E$11,ROW(Tabela.frequencia[id])-1),ROW(A365)),3),DATE(1990,1,1))</f>
        <v>32874</v>
      </c>
    </row>
    <row r="425" spans="2:2" x14ac:dyDescent="0.25">
      <c r="B425" s="122">
        <f t="array" ref="B425">IFERROR(INDEX(Tabela.frequencia[],SMALL(IF(Tabela.frequencia[id]=$E$11,ROW(Tabela.frequencia[id])-1),ROW(A366)),3),DATE(1990,1,1))</f>
        <v>32874</v>
      </c>
    </row>
    <row r="426" spans="2:2" x14ac:dyDescent="0.25">
      <c r="B426" s="122">
        <f t="array" ref="B426">IFERROR(INDEX(Tabela.frequencia[],SMALL(IF(Tabela.frequencia[id]=$E$11,ROW(Tabela.frequencia[id])-1),ROW(A367)),3),DATE(1990,1,1))</f>
        <v>32874</v>
      </c>
    </row>
    <row r="427" spans="2:2" x14ac:dyDescent="0.25">
      <c r="B427" s="122">
        <f t="array" ref="B427">IFERROR(INDEX(Tabela.frequencia[],SMALL(IF(Tabela.frequencia[id]=$E$11,ROW(Tabela.frequencia[id])-1),ROW(A368)),3),DATE(1990,1,1))</f>
        <v>32874</v>
      </c>
    </row>
    <row r="428" spans="2:2" x14ac:dyDescent="0.25">
      <c r="B428" s="122">
        <f t="array" ref="B428">IFERROR(INDEX(Tabela.frequencia[],SMALL(IF(Tabela.frequencia[id]=$E$11,ROW(Tabela.frequencia[id])-1),ROW(A369)),3),DATE(1990,1,1))</f>
        <v>32874</v>
      </c>
    </row>
    <row r="429" spans="2:2" x14ac:dyDescent="0.25">
      <c r="B429" s="122">
        <f t="array" ref="B429">IFERROR(INDEX(Tabela.frequencia[],SMALL(IF(Tabela.frequencia[id]=$E$11,ROW(Tabela.frequencia[id])-1),ROW(A370)),3),DATE(1990,1,1))</f>
        <v>32874</v>
      </c>
    </row>
    <row r="430" spans="2:2" x14ac:dyDescent="0.25">
      <c r="B430" s="122">
        <f t="array" ref="B430">IFERROR(INDEX(Tabela.frequencia[],SMALL(IF(Tabela.frequencia[id]=$E$11,ROW(Tabela.frequencia[id])-1),ROW(A371)),3),DATE(1990,1,1))</f>
        <v>32874</v>
      </c>
    </row>
    <row r="431" spans="2:2" x14ac:dyDescent="0.25">
      <c r="B431" s="122">
        <f t="array" ref="B431">IFERROR(INDEX(Tabela.frequencia[],SMALL(IF(Tabela.frequencia[id]=$E$11,ROW(Tabela.frequencia[id])-1),ROW(A372)),3),DATE(1990,1,1))</f>
        <v>32874</v>
      </c>
    </row>
    <row r="432" spans="2:2" x14ac:dyDescent="0.25">
      <c r="B432" s="122">
        <f t="array" ref="B432">IFERROR(INDEX(Tabela.frequencia[],SMALL(IF(Tabela.frequencia[id]=$E$11,ROW(Tabela.frequencia[id])-1),ROW(A373)),3),DATE(1990,1,1))</f>
        <v>32874</v>
      </c>
    </row>
    <row r="433" spans="2:2" x14ac:dyDescent="0.25">
      <c r="B433" s="122">
        <f t="array" ref="B433">IFERROR(INDEX(Tabela.frequencia[],SMALL(IF(Tabela.frequencia[id]=$E$11,ROW(Tabela.frequencia[id])-1),ROW(A374)),3),DATE(1990,1,1))</f>
        <v>32874</v>
      </c>
    </row>
    <row r="434" spans="2:2" x14ac:dyDescent="0.25">
      <c r="B434" s="122">
        <f t="array" ref="B434">IFERROR(INDEX(Tabela.frequencia[],SMALL(IF(Tabela.frequencia[id]=$E$11,ROW(Tabela.frequencia[id])-1),ROW(A375)),3),DATE(1990,1,1))</f>
        <v>32874</v>
      </c>
    </row>
    <row r="435" spans="2:2" x14ac:dyDescent="0.25">
      <c r="B435" s="122">
        <f t="array" ref="B435">IFERROR(INDEX(Tabela.frequencia[],SMALL(IF(Tabela.frequencia[id]=$E$11,ROW(Tabela.frequencia[id])-1),ROW(A376)),3),DATE(1990,1,1))</f>
        <v>32874</v>
      </c>
    </row>
    <row r="436" spans="2:2" x14ac:dyDescent="0.25">
      <c r="B436" s="122">
        <f t="array" ref="B436">IFERROR(INDEX(Tabela.frequencia[],SMALL(IF(Tabela.frequencia[id]=$E$11,ROW(Tabela.frequencia[id])-1),ROW(A377)),3),DATE(1990,1,1))</f>
        <v>32874</v>
      </c>
    </row>
    <row r="437" spans="2:2" x14ac:dyDescent="0.25">
      <c r="B437" s="122">
        <f t="array" ref="B437">IFERROR(INDEX(Tabela.frequencia[],SMALL(IF(Tabela.frequencia[id]=$E$11,ROW(Tabela.frequencia[id])-1),ROW(A378)),3),DATE(1990,1,1))</f>
        <v>32874</v>
      </c>
    </row>
    <row r="438" spans="2:2" x14ac:dyDescent="0.25">
      <c r="B438" s="122">
        <f t="array" ref="B438">IFERROR(INDEX(Tabela.frequencia[],SMALL(IF(Tabela.frequencia[id]=$E$11,ROW(Tabela.frequencia[id])-1),ROW(A379)),3),DATE(1990,1,1))</f>
        <v>32874</v>
      </c>
    </row>
    <row r="439" spans="2:2" x14ac:dyDescent="0.25">
      <c r="B439" s="122">
        <f t="array" ref="B439">IFERROR(INDEX(Tabela.frequencia[],SMALL(IF(Tabela.frequencia[id]=$E$11,ROW(Tabela.frequencia[id])-1),ROW(A380)),3),DATE(1990,1,1))</f>
        <v>32874</v>
      </c>
    </row>
    <row r="440" spans="2:2" x14ac:dyDescent="0.25">
      <c r="B440" s="122">
        <f t="array" ref="B440">IFERROR(INDEX(Tabela.frequencia[],SMALL(IF(Tabela.frequencia[id]=$E$11,ROW(Tabela.frequencia[id])-1),ROW(A381)),3),DATE(1990,1,1))</f>
        <v>32874</v>
      </c>
    </row>
    <row r="441" spans="2:2" x14ac:dyDescent="0.25">
      <c r="B441" s="122">
        <f t="array" ref="B441">IFERROR(INDEX(Tabela.frequencia[],SMALL(IF(Tabela.frequencia[id]=$E$11,ROW(Tabela.frequencia[id])-1),ROW(A382)),3),DATE(1990,1,1))</f>
        <v>32874</v>
      </c>
    </row>
    <row r="442" spans="2:2" x14ac:dyDescent="0.25">
      <c r="B442" s="122">
        <f t="array" ref="B442">IFERROR(INDEX(Tabela.frequencia[],SMALL(IF(Tabela.frequencia[id]=$E$11,ROW(Tabela.frequencia[id])-1),ROW(A383)),3),DATE(1990,1,1))</f>
        <v>32874</v>
      </c>
    </row>
    <row r="443" spans="2:2" x14ac:dyDescent="0.25">
      <c r="B443" s="122">
        <f t="array" ref="B443">IFERROR(INDEX(Tabela.frequencia[],SMALL(IF(Tabela.frequencia[id]=$E$11,ROW(Tabela.frequencia[id])-1),ROW(A384)),3),DATE(1990,1,1))</f>
        <v>32874</v>
      </c>
    </row>
    <row r="444" spans="2:2" x14ac:dyDescent="0.25">
      <c r="B444" s="122">
        <f t="array" ref="B444">IFERROR(INDEX(Tabela.frequencia[],SMALL(IF(Tabela.frequencia[id]=$E$11,ROW(Tabela.frequencia[id])-1),ROW(A385)),3),DATE(1990,1,1))</f>
        <v>32874</v>
      </c>
    </row>
    <row r="445" spans="2:2" x14ac:dyDescent="0.25">
      <c r="B445" s="122">
        <f t="array" ref="B445">IFERROR(INDEX(Tabela.frequencia[],SMALL(IF(Tabela.frequencia[id]=$E$11,ROW(Tabela.frequencia[id])-1),ROW(A386)),3),DATE(1990,1,1))</f>
        <v>32874</v>
      </c>
    </row>
    <row r="446" spans="2:2" x14ac:dyDescent="0.25">
      <c r="B446" s="122">
        <f t="array" ref="B446">IFERROR(INDEX(Tabela.frequencia[],SMALL(IF(Tabela.frequencia[id]=$E$11,ROW(Tabela.frequencia[id])-1),ROW(A387)),3),DATE(1990,1,1))</f>
        <v>32874</v>
      </c>
    </row>
    <row r="447" spans="2:2" x14ac:dyDescent="0.25">
      <c r="B447" s="122">
        <f t="array" ref="B447">IFERROR(INDEX(Tabela.frequencia[],SMALL(IF(Tabela.frequencia[id]=$E$11,ROW(Tabela.frequencia[id])-1),ROW(A388)),3),DATE(1990,1,1))</f>
        <v>32874</v>
      </c>
    </row>
    <row r="448" spans="2:2" x14ac:dyDescent="0.25">
      <c r="B448" s="122">
        <f t="array" ref="B448">IFERROR(INDEX(Tabela.frequencia[],SMALL(IF(Tabela.frequencia[id]=$E$11,ROW(Tabela.frequencia[id])-1),ROW(A389)),3),DATE(1990,1,1))</f>
        <v>32874</v>
      </c>
    </row>
    <row r="449" spans="2:2" x14ac:dyDescent="0.25">
      <c r="B449" s="122">
        <f t="array" ref="B449">IFERROR(INDEX(Tabela.frequencia[],SMALL(IF(Tabela.frequencia[id]=$E$11,ROW(Tabela.frequencia[id])-1),ROW(A390)),3),DATE(1990,1,1))</f>
        <v>32874</v>
      </c>
    </row>
    <row r="450" spans="2:2" x14ac:dyDescent="0.25">
      <c r="B450" s="122">
        <f t="array" ref="B450">IFERROR(INDEX(Tabela.frequencia[],SMALL(IF(Tabela.frequencia[id]=$E$11,ROW(Tabela.frequencia[id])-1),ROW(A391)),3),DATE(1990,1,1))</f>
        <v>32874</v>
      </c>
    </row>
    <row r="451" spans="2:2" x14ac:dyDescent="0.25">
      <c r="B451" s="122">
        <f t="array" ref="B451">IFERROR(INDEX(Tabela.frequencia[],SMALL(IF(Tabela.frequencia[id]=$E$11,ROW(Tabela.frequencia[id])-1),ROW(A392)),3),DATE(1990,1,1))</f>
        <v>32874</v>
      </c>
    </row>
    <row r="452" spans="2:2" x14ac:dyDescent="0.25">
      <c r="B452" s="122">
        <f t="array" ref="B452">IFERROR(INDEX(Tabela.frequencia[],SMALL(IF(Tabela.frequencia[id]=$E$11,ROW(Tabela.frequencia[id])-1),ROW(A393)),3),DATE(1990,1,1))</f>
        <v>32874</v>
      </c>
    </row>
    <row r="453" spans="2:2" x14ac:dyDescent="0.25">
      <c r="B453" s="122">
        <f t="array" ref="B453">IFERROR(INDEX(Tabela.frequencia[],SMALL(IF(Tabela.frequencia[id]=$E$11,ROW(Tabela.frequencia[id])-1),ROW(A394)),3),DATE(1990,1,1))</f>
        <v>32874</v>
      </c>
    </row>
    <row r="454" spans="2:2" x14ac:dyDescent="0.25">
      <c r="B454" s="122">
        <f t="array" ref="B454">IFERROR(INDEX(Tabela.frequencia[],SMALL(IF(Tabela.frequencia[id]=$E$11,ROW(Tabela.frequencia[id])-1),ROW(A395)),3),DATE(1990,1,1))</f>
        <v>32874</v>
      </c>
    </row>
    <row r="455" spans="2:2" x14ac:dyDescent="0.25">
      <c r="B455" s="122">
        <f t="array" ref="B455">IFERROR(INDEX(Tabela.frequencia[],SMALL(IF(Tabela.frequencia[id]=$E$11,ROW(Tabela.frequencia[id])-1),ROW(A396)),3),DATE(1990,1,1))</f>
        <v>32874</v>
      </c>
    </row>
    <row r="456" spans="2:2" x14ac:dyDescent="0.25">
      <c r="B456" s="122">
        <f t="array" ref="B456">IFERROR(INDEX(Tabela.frequencia[],SMALL(IF(Tabela.frequencia[id]=$E$11,ROW(Tabela.frequencia[id])-1),ROW(A397)),3),DATE(1990,1,1))</f>
        <v>32874</v>
      </c>
    </row>
    <row r="457" spans="2:2" x14ac:dyDescent="0.25">
      <c r="B457" s="122">
        <f t="array" ref="B457">IFERROR(INDEX(Tabela.frequencia[],SMALL(IF(Tabela.frequencia[id]=$E$11,ROW(Tabela.frequencia[id])-1),ROW(A398)),3),DATE(1990,1,1))</f>
        <v>32874</v>
      </c>
    </row>
    <row r="458" spans="2:2" x14ac:dyDescent="0.25">
      <c r="B458" s="122">
        <f t="array" ref="B458">IFERROR(INDEX(Tabela.frequencia[],SMALL(IF(Tabela.frequencia[id]=$E$11,ROW(Tabela.frequencia[id])-1),ROW(A399)),3),DATE(1990,1,1))</f>
        <v>32874</v>
      </c>
    </row>
    <row r="459" spans="2:2" x14ac:dyDescent="0.25">
      <c r="B459" s="122">
        <f t="array" ref="B459">IFERROR(INDEX(Tabela.frequencia[],SMALL(IF(Tabela.frequencia[id]=$E$11,ROW(Tabela.frequencia[id])-1),ROW(A400)),3),DATE(1990,1,1))</f>
        <v>32874</v>
      </c>
    </row>
    <row r="460" spans="2:2" x14ac:dyDescent="0.25">
      <c r="B460" s="122">
        <f t="array" ref="B460">IFERROR(INDEX(Tabela.frequencia[],SMALL(IF(Tabela.frequencia[id]=$E$11,ROW(Tabela.frequencia[id])-1),ROW(A401)),3),DATE(1990,1,1))</f>
        <v>32874</v>
      </c>
    </row>
    <row r="461" spans="2:2" x14ac:dyDescent="0.25">
      <c r="B461" s="122">
        <f t="array" ref="B461">IFERROR(INDEX(Tabela.frequencia[],SMALL(IF(Tabela.frequencia[id]=$E$11,ROW(Tabela.frequencia[id])-1),ROW(A402)),3),DATE(1990,1,1))</f>
        <v>32874</v>
      </c>
    </row>
    <row r="462" spans="2:2" x14ac:dyDescent="0.25">
      <c r="B462" s="122">
        <f t="array" ref="B462">IFERROR(INDEX(Tabela.frequencia[],SMALL(IF(Tabela.frequencia[id]=$E$11,ROW(Tabela.frequencia[id])-1),ROW(A403)),3),DATE(1990,1,1))</f>
        <v>32874</v>
      </c>
    </row>
    <row r="463" spans="2:2" x14ac:dyDescent="0.25">
      <c r="B463" s="122">
        <f t="array" ref="B463">IFERROR(INDEX(Tabela.frequencia[],SMALL(IF(Tabela.frequencia[id]=$E$11,ROW(Tabela.frequencia[id])-1),ROW(A404)),3),DATE(1990,1,1))</f>
        <v>32874</v>
      </c>
    </row>
    <row r="464" spans="2:2" x14ac:dyDescent="0.25">
      <c r="B464" s="122">
        <f t="array" ref="B464">IFERROR(INDEX(Tabela.frequencia[],SMALL(IF(Tabela.frequencia[id]=$E$11,ROW(Tabela.frequencia[id])-1),ROW(A405)),3),DATE(1990,1,1))</f>
        <v>32874</v>
      </c>
    </row>
    <row r="465" spans="2:2" x14ac:dyDescent="0.25">
      <c r="B465" s="122">
        <f t="array" ref="B465">IFERROR(INDEX(Tabela.frequencia[],SMALL(IF(Tabela.frequencia[id]=$E$11,ROW(Tabela.frequencia[id])-1),ROW(A406)),3),DATE(1990,1,1))</f>
        <v>32874</v>
      </c>
    </row>
    <row r="466" spans="2:2" x14ac:dyDescent="0.25">
      <c r="B466" s="122">
        <f t="array" ref="B466">IFERROR(INDEX(Tabela.frequencia[],SMALL(IF(Tabela.frequencia[id]=$E$11,ROW(Tabela.frequencia[id])-1),ROW(A407)),3),DATE(1990,1,1))</f>
        <v>32874</v>
      </c>
    </row>
    <row r="467" spans="2:2" x14ac:dyDescent="0.25">
      <c r="B467" s="122">
        <f t="array" ref="B467">IFERROR(INDEX(Tabela.frequencia[],SMALL(IF(Tabela.frequencia[id]=$E$11,ROW(Tabela.frequencia[id])-1),ROW(A408)),3),DATE(1990,1,1))</f>
        <v>32874</v>
      </c>
    </row>
    <row r="468" spans="2:2" x14ac:dyDescent="0.25">
      <c r="B468" s="122">
        <f t="array" ref="B468">IFERROR(INDEX(Tabela.frequencia[],SMALL(IF(Tabela.frequencia[id]=$E$11,ROW(Tabela.frequencia[id])-1),ROW(A409)),3),DATE(1990,1,1))</f>
        <v>32874</v>
      </c>
    </row>
    <row r="469" spans="2:2" x14ac:dyDescent="0.25">
      <c r="B469" s="122">
        <f t="array" ref="B469">IFERROR(INDEX(Tabela.frequencia[],SMALL(IF(Tabela.frequencia[id]=$E$11,ROW(Tabela.frequencia[id])-1),ROW(A410)),3),DATE(1990,1,1))</f>
        <v>32874</v>
      </c>
    </row>
    <row r="470" spans="2:2" x14ac:dyDescent="0.25">
      <c r="B470" s="122">
        <f t="array" ref="B470">IFERROR(INDEX(Tabela.frequencia[],SMALL(IF(Tabela.frequencia[id]=$E$11,ROW(Tabela.frequencia[id])-1),ROW(A411)),3),DATE(1990,1,1))</f>
        <v>32874</v>
      </c>
    </row>
    <row r="471" spans="2:2" x14ac:dyDescent="0.25">
      <c r="B471" s="122">
        <f t="array" ref="B471">IFERROR(INDEX(Tabela.frequencia[],SMALL(IF(Tabela.frequencia[id]=$E$11,ROW(Tabela.frequencia[id])-1),ROW(A412)),3),DATE(1990,1,1))</f>
        <v>32874</v>
      </c>
    </row>
    <row r="472" spans="2:2" x14ac:dyDescent="0.25">
      <c r="B472" s="122">
        <f t="array" ref="B472">IFERROR(INDEX(Tabela.frequencia[],SMALL(IF(Tabela.frequencia[id]=$E$11,ROW(Tabela.frequencia[id])-1),ROW(A413)),3),DATE(1990,1,1))</f>
        <v>32874</v>
      </c>
    </row>
    <row r="473" spans="2:2" x14ac:dyDescent="0.25">
      <c r="B473" s="122">
        <f t="array" ref="B473">IFERROR(INDEX(Tabela.frequencia[],SMALL(IF(Tabela.frequencia[id]=$E$11,ROW(Tabela.frequencia[id])-1),ROW(A414)),3),DATE(1990,1,1))</f>
        <v>32874</v>
      </c>
    </row>
    <row r="474" spans="2:2" x14ac:dyDescent="0.25">
      <c r="B474" s="122">
        <f t="array" ref="B474">IFERROR(INDEX(Tabela.frequencia[],SMALL(IF(Tabela.frequencia[id]=$E$11,ROW(Tabela.frequencia[id])-1),ROW(A415)),3),DATE(1990,1,1))</f>
        <v>32874</v>
      </c>
    </row>
    <row r="475" spans="2:2" x14ac:dyDescent="0.25">
      <c r="B475" s="122">
        <f t="array" ref="B475">IFERROR(INDEX(Tabela.frequencia[],SMALL(IF(Tabela.frequencia[id]=$E$11,ROW(Tabela.frequencia[id])-1),ROW(A416)),3),DATE(1990,1,1))</f>
        <v>32874</v>
      </c>
    </row>
    <row r="476" spans="2:2" x14ac:dyDescent="0.25">
      <c r="B476" s="122">
        <f t="array" ref="B476">IFERROR(INDEX(Tabela.frequencia[],SMALL(IF(Tabela.frequencia[id]=$E$11,ROW(Tabela.frequencia[id])-1),ROW(A417)),3),DATE(1990,1,1))</f>
        <v>32874</v>
      </c>
    </row>
    <row r="477" spans="2:2" x14ac:dyDescent="0.25">
      <c r="B477" s="122">
        <f t="array" ref="B477">IFERROR(INDEX(Tabela.frequencia[],SMALL(IF(Tabela.frequencia[id]=$E$11,ROW(Tabela.frequencia[id])-1),ROW(A418)),3),DATE(1990,1,1))</f>
        <v>32874</v>
      </c>
    </row>
    <row r="478" spans="2:2" x14ac:dyDescent="0.25">
      <c r="B478" s="122">
        <f t="array" ref="B478">IFERROR(INDEX(Tabela.frequencia[],SMALL(IF(Tabela.frequencia[id]=$E$11,ROW(Tabela.frequencia[id])-1),ROW(A419)),3),DATE(1990,1,1))</f>
        <v>32874</v>
      </c>
    </row>
    <row r="479" spans="2:2" x14ac:dyDescent="0.25">
      <c r="B479" s="122">
        <f t="array" ref="B479">IFERROR(INDEX(Tabela.frequencia[],SMALL(IF(Tabela.frequencia[id]=$E$11,ROW(Tabela.frequencia[id])-1),ROW(A420)),3),DATE(1990,1,1))</f>
        <v>32874</v>
      </c>
    </row>
    <row r="480" spans="2:2" x14ac:dyDescent="0.25">
      <c r="B480" s="122">
        <f t="array" ref="B480">IFERROR(INDEX(Tabela.frequencia[],SMALL(IF(Tabela.frequencia[id]=$E$11,ROW(Tabela.frequencia[id])-1),ROW(A421)),3),DATE(1990,1,1))</f>
        <v>32874</v>
      </c>
    </row>
    <row r="481" spans="2:2" x14ac:dyDescent="0.25">
      <c r="B481" s="122">
        <f t="array" ref="B481">IFERROR(INDEX(Tabela.frequencia[],SMALL(IF(Tabela.frequencia[id]=$E$11,ROW(Tabela.frequencia[id])-1),ROW(A422)),3),DATE(1990,1,1))</f>
        <v>32874</v>
      </c>
    </row>
    <row r="482" spans="2:2" x14ac:dyDescent="0.25">
      <c r="B482" s="122">
        <f t="array" ref="B482">IFERROR(INDEX(Tabela.frequencia[],SMALL(IF(Tabela.frequencia[id]=$E$11,ROW(Tabela.frequencia[id])-1),ROW(A423)),3),DATE(1990,1,1))</f>
        <v>32874</v>
      </c>
    </row>
    <row r="483" spans="2:2" x14ac:dyDescent="0.25">
      <c r="B483" s="122">
        <f t="array" ref="B483">IFERROR(INDEX(Tabela.frequencia[],SMALL(IF(Tabela.frequencia[id]=$E$11,ROW(Tabela.frequencia[id])-1),ROW(A424)),3),DATE(1990,1,1))</f>
        <v>32874</v>
      </c>
    </row>
    <row r="484" spans="2:2" x14ac:dyDescent="0.25">
      <c r="B484" s="122">
        <f t="array" ref="B484">IFERROR(INDEX(Tabela.frequencia[],SMALL(IF(Tabela.frequencia[id]=$E$11,ROW(Tabela.frequencia[id])-1),ROW(A425)),3),DATE(1990,1,1))</f>
        <v>32874</v>
      </c>
    </row>
    <row r="485" spans="2:2" x14ac:dyDescent="0.25">
      <c r="B485" s="122">
        <f t="array" ref="B485">IFERROR(INDEX(Tabela.frequencia[],SMALL(IF(Tabela.frequencia[id]=$E$11,ROW(Tabela.frequencia[id])-1),ROW(A426)),3),DATE(1990,1,1))</f>
        <v>32874</v>
      </c>
    </row>
    <row r="486" spans="2:2" x14ac:dyDescent="0.25">
      <c r="B486" s="122">
        <f t="array" ref="B486">IFERROR(INDEX(Tabela.frequencia[],SMALL(IF(Tabela.frequencia[id]=$E$11,ROW(Tabela.frequencia[id])-1),ROW(A427)),3),DATE(1990,1,1))</f>
        <v>32874</v>
      </c>
    </row>
    <row r="487" spans="2:2" x14ac:dyDescent="0.25">
      <c r="B487" s="122">
        <f t="array" ref="B487">IFERROR(INDEX(Tabela.frequencia[],SMALL(IF(Tabela.frequencia[id]=$E$11,ROW(Tabela.frequencia[id])-1),ROW(A428)),3),DATE(1990,1,1))</f>
        <v>32874</v>
      </c>
    </row>
    <row r="488" spans="2:2" x14ac:dyDescent="0.25">
      <c r="B488" s="122">
        <f t="array" ref="B488">IFERROR(INDEX(Tabela.frequencia[],SMALL(IF(Tabela.frequencia[id]=$E$11,ROW(Tabela.frequencia[id])-1),ROW(A429)),3),DATE(1990,1,1))</f>
        <v>32874</v>
      </c>
    </row>
    <row r="489" spans="2:2" x14ac:dyDescent="0.25">
      <c r="B489" s="122">
        <f t="array" ref="B489">IFERROR(INDEX(Tabela.frequencia[],SMALL(IF(Tabela.frequencia[id]=$E$11,ROW(Tabela.frequencia[id])-1),ROW(A430)),3),DATE(1990,1,1))</f>
        <v>32874</v>
      </c>
    </row>
    <row r="490" spans="2:2" x14ac:dyDescent="0.25">
      <c r="B490" s="122">
        <f t="array" ref="B490">IFERROR(INDEX(Tabela.frequencia[],SMALL(IF(Tabela.frequencia[id]=$E$11,ROW(Tabela.frequencia[id])-1),ROW(A431)),3),DATE(1990,1,1))</f>
        <v>32874</v>
      </c>
    </row>
    <row r="491" spans="2:2" x14ac:dyDescent="0.25">
      <c r="B491" s="122">
        <f t="array" ref="B491">IFERROR(INDEX(Tabela.frequencia[],SMALL(IF(Tabela.frequencia[id]=$E$11,ROW(Tabela.frequencia[id])-1),ROW(A432)),3),DATE(1990,1,1))</f>
        <v>32874</v>
      </c>
    </row>
    <row r="492" spans="2:2" x14ac:dyDescent="0.25">
      <c r="B492" s="122">
        <f t="array" ref="B492">IFERROR(INDEX(Tabela.frequencia[],SMALL(IF(Tabela.frequencia[id]=$E$11,ROW(Tabela.frequencia[id])-1),ROW(A433)),3),DATE(1990,1,1))</f>
        <v>32874</v>
      </c>
    </row>
    <row r="493" spans="2:2" x14ac:dyDescent="0.25">
      <c r="B493" s="122">
        <f t="array" ref="B493">IFERROR(INDEX(Tabela.frequencia[],SMALL(IF(Tabela.frequencia[id]=$E$11,ROW(Tabela.frequencia[id])-1),ROW(A434)),3),DATE(1990,1,1))</f>
        <v>32874</v>
      </c>
    </row>
    <row r="494" spans="2:2" x14ac:dyDescent="0.25">
      <c r="B494" s="122">
        <f t="array" ref="B494">IFERROR(INDEX(Tabela.frequencia[],SMALL(IF(Tabela.frequencia[id]=$E$11,ROW(Tabela.frequencia[id])-1),ROW(A435)),3),DATE(1990,1,1))</f>
        <v>32874</v>
      </c>
    </row>
    <row r="495" spans="2:2" x14ac:dyDescent="0.25">
      <c r="B495" s="122">
        <f t="array" ref="B495">IFERROR(INDEX(Tabela.frequencia[],SMALL(IF(Tabela.frequencia[id]=$E$11,ROW(Tabela.frequencia[id])-1),ROW(A436)),3),DATE(1990,1,1))</f>
        <v>32874</v>
      </c>
    </row>
    <row r="496" spans="2:2" x14ac:dyDescent="0.25">
      <c r="B496" s="122">
        <f t="array" ref="B496">IFERROR(INDEX(Tabela.frequencia[],SMALL(IF(Tabela.frequencia[id]=$E$11,ROW(Tabela.frequencia[id])-1),ROW(A437)),3),DATE(1990,1,1))</f>
        <v>32874</v>
      </c>
    </row>
    <row r="497" spans="2:2" x14ac:dyDescent="0.25">
      <c r="B497" s="122">
        <f t="array" ref="B497">IFERROR(INDEX(Tabela.frequencia[],SMALL(IF(Tabela.frequencia[id]=$E$11,ROW(Tabela.frequencia[id])-1),ROW(A438)),3),DATE(1990,1,1))</f>
        <v>32874</v>
      </c>
    </row>
    <row r="498" spans="2:2" x14ac:dyDescent="0.25">
      <c r="B498" s="122">
        <f t="array" ref="B498">IFERROR(INDEX(Tabela.frequencia[],SMALL(IF(Tabela.frequencia[id]=$E$11,ROW(Tabela.frequencia[id])-1),ROW(A439)),3),DATE(1990,1,1))</f>
        <v>32874</v>
      </c>
    </row>
    <row r="499" spans="2:2" x14ac:dyDescent="0.25">
      <c r="B499" s="122">
        <f t="array" ref="B499">IFERROR(INDEX(Tabela.frequencia[],SMALL(IF(Tabela.frequencia[id]=$E$11,ROW(Tabela.frequencia[id])-1),ROW(A440)),3),DATE(1990,1,1))</f>
        <v>32874</v>
      </c>
    </row>
    <row r="500" spans="2:2" x14ac:dyDescent="0.25">
      <c r="B500" s="122">
        <f t="array" ref="B500">IFERROR(INDEX(Tabela.frequencia[],SMALL(IF(Tabela.frequencia[id]=$E$11,ROW(Tabela.frequencia[id])-1),ROW(A441)),3),DATE(1990,1,1))</f>
        <v>32874</v>
      </c>
    </row>
    <row r="501" spans="2:2" x14ac:dyDescent="0.25">
      <c r="B501" s="122">
        <f t="array" ref="B501">IFERROR(INDEX(Tabela.frequencia[],SMALL(IF(Tabela.frequencia[id]=$E$11,ROW(Tabela.frequencia[id])-1),ROW(A442)),3),DATE(1990,1,1))</f>
        <v>32874</v>
      </c>
    </row>
    <row r="502" spans="2:2" x14ac:dyDescent="0.25">
      <c r="B502" s="122">
        <f t="array" ref="B502">IFERROR(INDEX(Tabela.frequencia[],SMALL(IF(Tabela.frequencia[id]=$E$11,ROW(Tabela.frequencia[id])-1),ROW(A443)),3),DATE(1990,1,1))</f>
        <v>32874</v>
      </c>
    </row>
    <row r="503" spans="2:2" x14ac:dyDescent="0.25">
      <c r="B503" s="122">
        <f t="array" ref="B503">IFERROR(INDEX(Tabela.frequencia[],SMALL(IF(Tabela.frequencia[id]=$E$11,ROW(Tabela.frequencia[id])-1),ROW(A444)),3),DATE(1990,1,1))</f>
        <v>32874</v>
      </c>
    </row>
    <row r="504" spans="2:2" x14ac:dyDescent="0.25">
      <c r="B504" s="122">
        <f t="array" ref="B504">IFERROR(INDEX(Tabela.frequencia[],SMALL(IF(Tabela.frequencia[id]=$E$11,ROW(Tabela.frequencia[id])-1),ROW(A445)),3),DATE(1990,1,1))</f>
        <v>32874</v>
      </c>
    </row>
    <row r="505" spans="2:2" x14ac:dyDescent="0.25">
      <c r="B505" s="122">
        <f t="array" ref="B505">IFERROR(INDEX(Tabela.frequencia[],SMALL(IF(Tabela.frequencia[id]=$E$11,ROW(Tabela.frequencia[id])-1),ROW(A446)),3),DATE(1990,1,1))</f>
        <v>32874</v>
      </c>
    </row>
    <row r="506" spans="2:2" x14ac:dyDescent="0.25">
      <c r="B506" s="122">
        <f t="array" ref="B506">IFERROR(INDEX(Tabela.frequencia[],SMALL(IF(Tabela.frequencia[id]=$E$11,ROW(Tabela.frequencia[id])-1),ROW(A447)),3),DATE(1990,1,1))</f>
        <v>32874</v>
      </c>
    </row>
    <row r="507" spans="2:2" x14ac:dyDescent="0.25">
      <c r="B507" s="122">
        <f t="array" ref="B507">IFERROR(INDEX(Tabela.frequencia[],SMALL(IF(Tabela.frequencia[id]=$E$11,ROW(Tabela.frequencia[id])-1),ROW(A448)),3),DATE(1990,1,1))</f>
        <v>32874</v>
      </c>
    </row>
    <row r="508" spans="2:2" x14ac:dyDescent="0.25">
      <c r="B508" s="122">
        <f t="array" ref="B508">IFERROR(INDEX(Tabela.frequencia[],SMALL(IF(Tabela.frequencia[id]=$E$11,ROW(Tabela.frequencia[id])-1),ROW(A449)),3),DATE(1990,1,1))</f>
        <v>32874</v>
      </c>
    </row>
    <row r="509" spans="2:2" x14ac:dyDescent="0.25">
      <c r="B509" s="122">
        <f t="array" ref="B509">IFERROR(INDEX(Tabela.frequencia[],SMALL(IF(Tabela.frequencia[id]=$E$11,ROW(Tabela.frequencia[id])-1),ROW(A450)),3),DATE(1990,1,1))</f>
        <v>32874</v>
      </c>
    </row>
    <row r="510" spans="2:2" x14ac:dyDescent="0.25">
      <c r="B510" s="122">
        <f t="array" ref="B510">IFERROR(INDEX(Tabela.frequencia[],SMALL(IF(Tabela.frequencia[id]=$E$11,ROW(Tabela.frequencia[id])-1),ROW(A451)),3),DATE(1990,1,1))</f>
        <v>32874</v>
      </c>
    </row>
    <row r="511" spans="2:2" x14ac:dyDescent="0.25">
      <c r="B511" s="122">
        <f t="array" ref="B511">IFERROR(INDEX(Tabela.frequencia[],SMALL(IF(Tabela.frequencia[id]=$E$11,ROW(Tabela.frequencia[id])-1),ROW(A452)),3),DATE(1990,1,1))</f>
        <v>32874</v>
      </c>
    </row>
    <row r="512" spans="2:2" x14ac:dyDescent="0.25">
      <c r="B512" s="122">
        <f t="array" ref="B512">IFERROR(INDEX(Tabela.frequencia[],SMALL(IF(Tabela.frequencia[id]=$E$11,ROW(Tabela.frequencia[id])-1),ROW(A453)),3),DATE(1990,1,1))</f>
        <v>32874</v>
      </c>
    </row>
    <row r="513" spans="2:2" x14ac:dyDescent="0.25">
      <c r="B513" s="122">
        <f t="array" ref="B513">IFERROR(INDEX(Tabela.frequencia[],SMALL(IF(Tabela.frequencia[id]=$E$11,ROW(Tabela.frequencia[id])-1),ROW(A454)),3),DATE(1990,1,1))</f>
        <v>32874</v>
      </c>
    </row>
    <row r="514" spans="2:2" x14ac:dyDescent="0.25">
      <c r="B514" s="122">
        <f t="array" ref="B514">IFERROR(INDEX(Tabela.frequencia[],SMALL(IF(Tabela.frequencia[id]=$E$11,ROW(Tabela.frequencia[id])-1),ROW(A455)),3),DATE(1990,1,1))</f>
        <v>32874</v>
      </c>
    </row>
    <row r="515" spans="2:2" x14ac:dyDescent="0.25">
      <c r="B515" s="122">
        <f t="array" ref="B515">IFERROR(INDEX(Tabela.frequencia[],SMALL(IF(Tabela.frequencia[id]=$E$11,ROW(Tabela.frequencia[id])-1),ROW(A456)),3),DATE(1990,1,1))</f>
        <v>32874</v>
      </c>
    </row>
    <row r="516" spans="2:2" x14ac:dyDescent="0.25">
      <c r="B516" s="122">
        <f t="array" ref="B516">IFERROR(INDEX(Tabela.frequencia[],SMALL(IF(Tabela.frequencia[id]=$E$11,ROW(Tabela.frequencia[id])-1),ROW(A457)),3),DATE(1990,1,1))</f>
        <v>32874</v>
      </c>
    </row>
    <row r="517" spans="2:2" x14ac:dyDescent="0.25">
      <c r="B517" s="122">
        <f t="array" ref="B517">IFERROR(INDEX(Tabela.frequencia[],SMALL(IF(Tabela.frequencia[id]=$E$11,ROW(Tabela.frequencia[id])-1),ROW(A458)),3),DATE(1990,1,1))</f>
        <v>32874</v>
      </c>
    </row>
    <row r="518" spans="2:2" x14ac:dyDescent="0.25">
      <c r="B518" s="122">
        <f t="array" ref="B518">IFERROR(INDEX(Tabela.frequencia[],SMALL(IF(Tabela.frequencia[id]=$E$11,ROW(Tabela.frequencia[id])-1),ROW(A459)),3),DATE(1990,1,1))</f>
        <v>32874</v>
      </c>
    </row>
    <row r="519" spans="2:2" x14ac:dyDescent="0.25">
      <c r="B519" s="122">
        <f t="array" ref="B519">IFERROR(INDEX(Tabela.frequencia[],SMALL(IF(Tabela.frequencia[id]=$E$11,ROW(Tabela.frequencia[id])-1),ROW(A460)),3),DATE(1990,1,1))</f>
        <v>32874</v>
      </c>
    </row>
    <row r="520" spans="2:2" x14ac:dyDescent="0.25">
      <c r="B520" s="122">
        <f t="array" ref="B520">IFERROR(INDEX(Tabela.frequencia[],SMALL(IF(Tabela.frequencia[id]=$E$11,ROW(Tabela.frequencia[id])-1),ROW(A461)),3),DATE(1990,1,1))</f>
        <v>32874</v>
      </c>
    </row>
    <row r="521" spans="2:2" x14ac:dyDescent="0.25">
      <c r="B521" s="122">
        <f t="array" ref="B521">IFERROR(INDEX(Tabela.frequencia[],SMALL(IF(Tabela.frequencia[id]=$E$11,ROW(Tabela.frequencia[id])-1),ROW(A462)),3),DATE(1990,1,1))</f>
        <v>32874</v>
      </c>
    </row>
    <row r="522" spans="2:2" x14ac:dyDescent="0.25">
      <c r="B522" s="122">
        <f t="array" ref="B522">IFERROR(INDEX(Tabela.frequencia[],SMALL(IF(Tabela.frequencia[id]=$E$11,ROW(Tabela.frequencia[id])-1),ROW(A463)),3),DATE(1990,1,1))</f>
        <v>32874</v>
      </c>
    </row>
    <row r="523" spans="2:2" x14ac:dyDescent="0.25">
      <c r="B523" s="122">
        <f t="array" ref="B523">IFERROR(INDEX(Tabela.frequencia[],SMALL(IF(Tabela.frequencia[id]=$E$11,ROW(Tabela.frequencia[id])-1),ROW(A464)),3),DATE(1990,1,1))</f>
        <v>32874</v>
      </c>
    </row>
    <row r="524" spans="2:2" x14ac:dyDescent="0.25">
      <c r="B524" s="122">
        <f t="array" ref="B524">IFERROR(INDEX(Tabela.frequencia[],SMALL(IF(Tabela.frequencia[id]=$E$11,ROW(Tabela.frequencia[id])-1),ROW(A465)),3),DATE(1990,1,1))</f>
        <v>32874</v>
      </c>
    </row>
    <row r="525" spans="2:2" x14ac:dyDescent="0.25">
      <c r="B525" s="122">
        <f t="array" ref="B525">IFERROR(INDEX(Tabela.frequencia[],SMALL(IF(Tabela.frequencia[id]=$E$11,ROW(Tabela.frequencia[id])-1),ROW(A466)),3),DATE(1990,1,1))</f>
        <v>32874</v>
      </c>
    </row>
    <row r="526" spans="2:2" x14ac:dyDescent="0.25">
      <c r="B526" s="122">
        <f t="array" ref="B526">IFERROR(INDEX(Tabela.frequencia[],SMALL(IF(Tabela.frequencia[id]=$E$11,ROW(Tabela.frequencia[id])-1),ROW(A467)),3),DATE(1990,1,1))</f>
        <v>32874</v>
      </c>
    </row>
    <row r="527" spans="2:2" x14ac:dyDescent="0.25">
      <c r="B527" s="122">
        <f t="array" ref="B527">IFERROR(INDEX(Tabela.frequencia[],SMALL(IF(Tabela.frequencia[id]=$E$11,ROW(Tabela.frequencia[id])-1),ROW(A468)),3),DATE(1990,1,1))</f>
        <v>32874</v>
      </c>
    </row>
    <row r="528" spans="2:2" x14ac:dyDescent="0.25">
      <c r="B528" s="122">
        <f t="array" ref="B528">IFERROR(INDEX(Tabela.frequencia[],SMALL(IF(Tabela.frequencia[id]=$E$11,ROW(Tabela.frequencia[id])-1),ROW(A469)),3),DATE(1990,1,1))</f>
        <v>32874</v>
      </c>
    </row>
    <row r="529" spans="2:2" x14ac:dyDescent="0.25">
      <c r="B529" s="122">
        <f t="array" ref="B529">IFERROR(INDEX(Tabela.frequencia[],SMALL(IF(Tabela.frequencia[id]=$E$11,ROW(Tabela.frequencia[id])-1),ROW(A470)),3),DATE(1990,1,1))</f>
        <v>32874</v>
      </c>
    </row>
    <row r="530" spans="2:2" x14ac:dyDescent="0.25">
      <c r="B530" s="122">
        <f t="array" ref="B530">IFERROR(INDEX(Tabela.frequencia[],SMALL(IF(Tabela.frequencia[id]=$E$11,ROW(Tabela.frequencia[id])-1),ROW(A471)),3),DATE(1990,1,1))</f>
        <v>32874</v>
      </c>
    </row>
    <row r="531" spans="2:2" x14ac:dyDescent="0.25">
      <c r="B531" s="122">
        <f t="array" ref="B531">IFERROR(INDEX(Tabela.frequencia[],SMALL(IF(Tabela.frequencia[id]=$E$11,ROW(Tabela.frequencia[id])-1),ROW(A472)),3),DATE(1990,1,1))</f>
        <v>32874</v>
      </c>
    </row>
    <row r="532" spans="2:2" x14ac:dyDescent="0.25">
      <c r="B532" s="122">
        <f t="array" ref="B532">IFERROR(INDEX(Tabela.frequencia[],SMALL(IF(Tabela.frequencia[id]=$E$11,ROW(Tabela.frequencia[id])-1),ROW(A473)),3),DATE(1990,1,1))</f>
        <v>32874</v>
      </c>
    </row>
    <row r="533" spans="2:2" x14ac:dyDescent="0.25">
      <c r="B533" s="122">
        <f t="array" ref="B533">IFERROR(INDEX(Tabela.frequencia[],SMALL(IF(Tabela.frequencia[id]=$E$11,ROW(Tabela.frequencia[id])-1),ROW(A474)),3),DATE(1990,1,1))</f>
        <v>32874</v>
      </c>
    </row>
    <row r="534" spans="2:2" x14ac:dyDescent="0.25">
      <c r="B534" s="122">
        <f t="array" ref="B534">IFERROR(INDEX(Tabela.frequencia[],SMALL(IF(Tabela.frequencia[id]=$E$11,ROW(Tabela.frequencia[id])-1),ROW(A475)),3),DATE(1990,1,1))</f>
        <v>32874</v>
      </c>
    </row>
    <row r="535" spans="2:2" x14ac:dyDescent="0.25">
      <c r="B535" s="122">
        <f t="array" ref="B535">IFERROR(INDEX(Tabela.frequencia[],SMALL(IF(Tabela.frequencia[id]=$E$11,ROW(Tabela.frequencia[id])-1),ROW(A476)),3),DATE(1990,1,1))</f>
        <v>32874</v>
      </c>
    </row>
    <row r="536" spans="2:2" x14ac:dyDescent="0.25">
      <c r="B536" s="122">
        <f t="array" ref="B536">IFERROR(INDEX(Tabela.frequencia[],SMALL(IF(Tabela.frequencia[id]=$E$11,ROW(Tabela.frequencia[id])-1),ROW(A477)),3),DATE(1990,1,1))</f>
        <v>32874</v>
      </c>
    </row>
    <row r="537" spans="2:2" x14ac:dyDescent="0.25">
      <c r="B537" s="122">
        <f t="array" ref="B537">IFERROR(INDEX(Tabela.frequencia[],SMALL(IF(Tabela.frequencia[id]=$E$11,ROW(Tabela.frequencia[id])-1),ROW(A478)),3),DATE(1990,1,1))</f>
        <v>32874</v>
      </c>
    </row>
    <row r="538" spans="2:2" x14ac:dyDescent="0.25">
      <c r="B538" s="122">
        <f t="array" ref="B538">IFERROR(INDEX(Tabela.frequencia[],SMALL(IF(Tabela.frequencia[id]=$E$11,ROW(Tabela.frequencia[id])-1),ROW(A479)),3),DATE(1990,1,1))</f>
        <v>32874</v>
      </c>
    </row>
    <row r="539" spans="2:2" x14ac:dyDescent="0.25">
      <c r="B539" s="122">
        <f t="array" ref="B539">IFERROR(INDEX(Tabela.frequencia[],SMALL(IF(Tabela.frequencia[id]=$E$11,ROW(Tabela.frequencia[id])-1),ROW(A480)),3),DATE(1990,1,1))</f>
        <v>32874</v>
      </c>
    </row>
    <row r="540" spans="2:2" x14ac:dyDescent="0.25">
      <c r="B540" s="122">
        <f t="array" ref="B540">IFERROR(INDEX(Tabela.frequencia[],SMALL(IF(Tabela.frequencia[id]=$E$11,ROW(Tabela.frequencia[id])-1),ROW(A481)),3),DATE(1990,1,1))</f>
        <v>32874</v>
      </c>
    </row>
    <row r="541" spans="2:2" x14ac:dyDescent="0.25">
      <c r="B541" s="122">
        <f t="array" ref="B541">IFERROR(INDEX(Tabela.frequencia[],SMALL(IF(Tabela.frequencia[id]=$E$11,ROW(Tabela.frequencia[id])-1),ROW(A482)),3),DATE(1990,1,1))</f>
        <v>32874</v>
      </c>
    </row>
    <row r="542" spans="2:2" x14ac:dyDescent="0.25">
      <c r="B542" s="122">
        <f t="array" ref="B542">IFERROR(INDEX(Tabela.frequencia[],SMALL(IF(Tabela.frequencia[id]=$E$11,ROW(Tabela.frequencia[id])-1),ROW(A483)),3),DATE(1990,1,1))</f>
        <v>32874</v>
      </c>
    </row>
    <row r="543" spans="2:2" x14ac:dyDescent="0.25">
      <c r="B543" s="122">
        <f t="array" ref="B543">IFERROR(INDEX(Tabela.frequencia[],SMALL(IF(Tabela.frequencia[id]=$E$11,ROW(Tabela.frequencia[id])-1),ROW(A484)),3),DATE(1990,1,1))</f>
        <v>32874</v>
      </c>
    </row>
    <row r="544" spans="2:2" x14ac:dyDescent="0.25">
      <c r="B544" s="122">
        <f t="array" ref="B544">IFERROR(INDEX(Tabela.frequencia[],SMALL(IF(Tabela.frequencia[id]=$E$11,ROW(Tabela.frequencia[id])-1),ROW(A485)),3),DATE(1990,1,1))</f>
        <v>32874</v>
      </c>
    </row>
    <row r="545" spans="2:2" x14ac:dyDescent="0.25">
      <c r="B545" s="122">
        <f t="array" ref="B545">IFERROR(INDEX(Tabela.frequencia[],SMALL(IF(Tabela.frequencia[id]=$E$11,ROW(Tabela.frequencia[id])-1),ROW(A486)),3),DATE(1990,1,1))</f>
        <v>32874</v>
      </c>
    </row>
    <row r="546" spans="2:2" x14ac:dyDescent="0.25">
      <c r="B546" s="122">
        <f t="array" ref="B546">IFERROR(INDEX(Tabela.frequencia[],SMALL(IF(Tabela.frequencia[id]=$E$11,ROW(Tabela.frequencia[id])-1),ROW(A487)),3),DATE(1990,1,1))</f>
        <v>32874</v>
      </c>
    </row>
    <row r="547" spans="2:2" x14ac:dyDescent="0.25">
      <c r="B547" s="122">
        <f t="array" ref="B547">IFERROR(INDEX(Tabela.frequencia[],SMALL(IF(Tabela.frequencia[id]=$E$11,ROW(Tabela.frequencia[id])-1),ROW(A488)),3),DATE(1990,1,1))</f>
        <v>32874</v>
      </c>
    </row>
    <row r="548" spans="2:2" x14ac:dyDescent="0.25">
      <c r="B548" s="122">
        <f t="array" ref="B548">IFERROR(INDEX(Tabela.frequencia[],SMALL(IF(Tabela.frequencia[id]=$E$11,ROW(Tabela.frequencia[id])-1),ROW(A489)),3),DATE(1990,1,1))</f>
        <v>32874</v>
      </c>
    </row>
    <row r="549" spans="2:2" x14ac:dyDescent="0.25">
      <c r="B549" s="122">
        <f t="array" ref="B549">IFERROR(INDEX(Tabela.frequencia[],SMALL(IF(Tabela.frequencia[id]=$E$11,ROW(Tabela.frequencia[id])-1),ROW(A490)),3),DATE(1990,1,1))</f>
        <v>32874</v>
      </c>
    </row>
    <row r="550" spans="2:2" x14ac:dyDescent="0.25">
      <c r="B550" s="122">
        <f t="array" ref="B550">IFERROR(INDEX(Tabela.frequencia[],SMALL(IF(Tabela.frequencia[id]=$E$11,ROW(Tabela.frequencia[id])-1),ROW(A491)),3),DATE(1990,1,1))</f>
        <v>32874</v>
      </c>
    </row>
    <row r="551" spans="2:2" x14ac:dyDescent="0.25">
      <c r="B551" s="122">
        <f t="array" ref="B551">IFERROR(INDEX(Tabela.frequencia[],SMALL(IF(Tabela.frequencia[id]=$E$11,ROW(Tabela.frequencia[id])-1),ROW(A492)),3),DATE(1990,1,1))</f>
        <v>32874</v>
      </c>
    </row>
    <row r="552" spans="2:2" x14ac:dyDescent="0.25">
      <c r="B552" s="122">
        <f t="array" ref="B552">IFERROR(INDEX(Tabela.frequencia[],SMALL(IF(Tabela.frequencia[id]=$E$11,ROW(Tabela.frequencia[id])-1),ROW(A493)),3),DATE(1990,1,1))</f>
        <v>32874</v>
      </c>
    </row>
    <row r="553" spans="2:2" x14ac:dyDescent="0.25">
      <c r="B553" s="122">
        <f t="array" ref="B553">IFERROR(INDEX(Tabela.frequencia[],SMALL(IF(Tabela.frequencia[id]=$E$11,ROW(Tabela.frequencia[id])-1),ROW(A494)),3),DATE(1990,1,1))</f>
        <v>32874</v>
      </c>
    </row>
    <row r="554" spans="2:2" x14ac:dyDescent="0.25">
      <c r="B554" s="122">
        <f t="array" ref="B554">IFERROR(INDEX(Tabela.frequencia[],SMALL(IF(Tabela.frequencia[id]=$E$11,ROW(Tabela.frequencia[id])-1),ROW(A495)),3),DATE(1990,1,1))</f>
        <v>32874</v>
      </c>
    </row>
    <row r="555" spans="2:2" x14ac:dyDescent="0.25">
      <c r="B555" s="122">
        <f t="array" ref="B555">IFERROR(INDEX(Tabela.frequencia[],SMALL(IF(Tabela.frequencia[id]=$E$11,ROW(Tabela.frequencia[id])-1),ROW(A496)),3),DATE(1990,1,1))</f>
        <v>32874</v>
      </c>
    </row>
    <row r="556" spans="2:2" x14ac:dyDescent="0.25">
      <c r="B556" s="122">
        <f t="array" ref="B556">IFERROR(INDEX(Tabela.frequencia[],SMALL(IF(Tabela.frequencia[id]=$E$11,ROW(Tabela.frequencia[id])-1),ROW(A497)),3),DATE(1990,1,1))</f>
        <v>32874</v>
      </c>
    </row>
    <row r="557" spans="2:2" x14ac:dyDescent="0.25">
      <c r="B557" s="122">
        <f t="array" ref="B557">IFERROR(INDEX(Tabela.frequencia[],SMALL(IF(Tabela.frequencia[id]=$E$11,ROW(Tabela.frequencia[id])-1),ROW(A498)),3),DATE(1990,1,1))</f>
        <v>32874</v>
      </c>
    </row>
    <row r="558" spans="2:2" x14ac:dyDescent="0.25">
      <c r="B558" s="122">
        <f t="array" ref="B558">IFERROR(INDEX(Tabela.frequencia[],SMALL(IF(Tabela.frequencia[id]=$E$11,ROW(Tabela.frequencia[id])-1),ROW(A499)),3),DATE(1990,1,1))</f>
        <v>32874</v>
      </c>
    </row>
    <row r="559" spans="2:2" x14ac:dyDescent="0.25">
      <c r="B559" s="122">
        <f t="array" ref="B559">IFERROR(INDEX(Tabela.frequencia[],SMALL(IF(Tabela.frequencia[id]=$E$11,ROW(Tabela.frequencia[id])-1),ROW(A500)),3),DATE(1990,1,1))</f>
        <v>32874</v>
      </c>
    </row>
    <row r="560" spans="2:2" x14ac:dyDescent="0.25">
      <c r="B560" s="122">
        <f t="array" ref="B560">IFERROR(INDEX(Tabela.frequencia[],SMALL(IF(Tabela.frequencia[id]=$E$11,ROW(Tabela.frequencia[id])-1),ROW(A501)),3),DATE(1990,1,1))</f>
        <v>32874</v>
      </c>
    </row>
    <row r="561" spans="2:2" x14ac:dyDescent="0.25">
      <c r="B561" s="122">
        <f t="array" ref="B561">IFERROR(INDEX(Tabela.frequencia[],SMALL(IF(Tabela.frequencia[id]=$E$11,ROW(Tabela.frequencia[id])-1),ROW(A502)),3),DATE(1990,1,1))</f>
        <v>32874</v>
      </c>
    </row>
    <row r="562" spans="2:2" x14ac:dyDescent="0.25">
      <c r="B562" s="122">
        <f t="array" ref="B562">IFERROR(INDEX(Tabela.frequencia[],SMALL(IF(Tabela.frequencia[id]=$E$11,ROW(Tabela.frequencia[id])-1),ROW(A503)),3),DATE(1990,1,1))</f>
        <v>32874</v>
      </c>
    </row>
    <row r="563" spans="2:2" x14ac:dyDescent="0.25">
      <c r="B563" s="122">
        <f t="array" ref="B563">IFERROR(INDEX(Tabela.frequencia[],SMALL(IF(Tabela.frequencia[id]=$E$11,ROW(Tabela.frequencia[id])-1),ROW(A504)),3),DATE(1990,1,1))</f>
        <v>32874</v>
      </c>
    </row>
    <row r="564" spans="2:2" x14ac:dyDescent="0.25">
      <c r="B564" s="122">
        <f t="array" ref="B564">IFERROR(INDEX(Tabela.frequencia[],SMALL(IF(Tabela.frequencia[id]=$E$11,ROW(Tabela.frequencia[id])-1),ROW(A505)),3),DATE(1990,1,1))</f>
        <v>32874</v>
      </c>
    </row>
    <row r="565" spans="2:2" x14ac:dyDescent="0.25">
      <c r="B565" s="122">
        <f t="array" ref="B565">IFERROR(INDEX(Tabela.frequencia[],SMALL(IF(Tabela.frequencia[id]=$E$11,ROW(Tabela.frequencia[id])-1),ROW(A506)),3),DATE(1990,1,1))</f>
        <v>32874</v>
      </c>
    </row>
    <row r="566" spans="2:2" x14ac:dyDescent="0.25">
      <c r="B566" s="122">
        <f t="array" ref="B566">IFERROR(INDEX(Tabela.frequencia[],SMALL(IF(Tabela.frequencia[id]=$E$11,ROW(Tabela.frequencia[id])-1),ROW(A507)),3),DATE(1990,1,1))</f>
        <v>32874</v>
      </c>
    </row>
    <row r="567" spans="2:2" x14ac:dyDescent="0.25">
      <c r="B567" s="122">
        <f t="array" ref="B567">IFERROR(INDEX(Tabela.frequencia[],SMALL(IF(Tabela.frequencia[id]=$E$11,ROW(Tabela.frequencia[id])-1),ROW(A508)),3),DATE(1990,1,1))</f>
        <v>32874</v>
      </c>
    </row>
    <row r="568" spans="2:2" x14ac:dyDescent="0.25">
      <c r="B568" s="122">
        <f t="array" ref="B568">IFERROR(INDEX(Tabela.frequencia[],SMALL(IF(Tabela.frequencia[id]=$E$11,ROW(Tabela.frequencia[id])-1),ROW(A509)),3),DATE(1990,1,1))</f>
        <v>32874</v>
      </c>
    </row>
    <row r="569" spans="2:2" x14ac:dyDescent="0.25">
      <c r="B569" s="122">
        <f t="array" ref="B569">IFERROR(INDEX(Tabela.frequencia[],SMALL(IF(Tabela.frequencia[id]=$E$11,ROW(Tabela.frequencia[id])-1),ROW(A510)),3),DATE(1990,1,1))</f>
        <v>32874</v>
      </c>
    </row>
    <row r="570" spans="2:2" x14ac:dyDescent="0.25">
      <c r="B570" s="122">
        <f t="array" ref="B570">IFERROR(INDEX(Tabela.frequencia[],SMALL(IF(Tabela.frequencia[id]=$E$11,ROW(Tabela.frequencia[id])-1),ROW(A511)),3),DATE(1990,1,1))</f>
        <v>32874</v>
      </c>
    </row>
    <row r="571" spans="2:2" x14ac:dyDescent="0.25">
      <c r="B571" s="122">
        <f t="array" ref="B571">IFERROR(INDEX(Tabela.frequencia[],SMALL(IF(Tabela.frequencia[id]=$E$11,ROW(Tabela.frequencia[id])-1),ROW(A512)),3),DATE(1990,1,1))</f>
        <v>32874</v>
      </c>
    </row>
    <row r="572" spans="2:2" x14ac:dyDescent="0.25">
      <c r="B572" s="122">
        <f t="array" ref="B572">IFERROR(INDEX(Tabela.frequencia[],SMALL(IF(Tabela.frequencia[id]=$E$11,ROW(Tabela.frequencia[id])-1),ROW(A513)),3),DATE(1990,1,1))</f>
        <v>32874</v>
      </c>
    </row>
    <row r="573" spans="2:2" x14ac:dyDescent="0.25">
      <c r="B573" s="122">
        <f t="array" ref="B573">IFERROR(INDEX(Tabela.frequencia[],SMALL(IF(Tabela.frequencia[id]=$E$11,ROW(Tabela.frequencia[id])-1),ROW(A514)),3),DATE(1990,1,1))</f>
        <v>32874</v>
      </c>
    </row>
    <row r="574" spans="2:2" x14ac:dyDescent="0.25">
      <c r="B574" s="122">
        <f t="array" ref="B574">IFERROR(INDEX(Tabela.frequencia[],SMALL(IF(Tabela.frequencia[id]=$E$11,ROW(Tabela.frequencia[id])-1),ROW(A515)),3),DATE(1990,1,1))</f>
        <v>32874</v>
      </c>
    </row>
    <row r="575" spans="2:2" x14ac:dyDescent="0.25">
      <c r="B575" s="122">
        <f t="array" ref="B575">IFERROR(INDEX(Tabela.frequencia[],SMALL(IF(Tabela.frequencia[id]=$E$11,ROW(Tabela.frequencia[id])-1),ROW(A516)),3),DATE(1990,1,1))</f>
        <v>32874</v>
      </c>
    </row>
    <row r="576" spans="2:2" x14ac:dyDescent="0.25">
      <c r="B576" s="122">
        <f t="array" ref="B576">IFERROR(INDEX(Tabela.frequencia[],SMALL(IF(Tabela.frequencia[id]=$E$11,ROW(Tabela.frequencia[id])-1),ROW(A517)),3),DATE(1990,1,1))</f>
        <v>32874</v>
      </c>
    </row>
    <row r="577" spans="2:2" x14ac:dyDescent="0.25">
      <c r="B577" s="122">
        <f t="array" ref="B577">IFERROR(INDEX(Tabela.frequencia[],SMALL(IF(Tabela.frequencia[id]=$E$11,ROW(Tabela.frequencia[id])-1),ROW(A518)),3),DATE(1990,1,1))</f>
        <v>32874</v>
      </c>
    </row>
    <row r="578" spans="2:2" x14ac:dyDescent="0.25">
      <c r="B578" s="122">
        <f t="array" ref="B578">IFERROR(INDEX(Tabela.frequencia[],SMALL(IF(Tabela.frequencia[id]=$E$11,ROW(Tabela.frequencia[id])-1),ROW(A519)),3),DATE(1990,1,1))</f>
        <v>32874</v>
      </c>
    </row>
    <row r="579" spans="2:2" x14ac:dyDescent="0.25">
      <c r="B579" s="122">
        <f t="array" ref="B579">IFERROR(INDEX(Tabela.frequencia[],SMALL(IF(Tabela.frequencia[id]=$E$11,ROW(Tabela.frequencia[id])-1),ROW(A520)),3),DATE(1990,1,1))</f>
        <v>32874</v>
      </c>
    </row>
    <row r="580" spans="2:2" x14ac:dyDescent="0.25">
      <c r="B580" s="122">
        <f t="array" ref="B580">IFERROR(INDEX(Tabela.frequencia[],SMALL(IF(Tabela.frequencia[id]=$E$11,ROW(Tabela.frequencia[id])-1),ROW(A521)),3),DATE(1990,1,1))</f>
        <v>32874</v>
      </c>
    </row>
    <row r="581" spans="2:2" x14ac:dyDescent="0.25">
      <c r="B581" s="122">
        <f t="array" ref="B581">IFERROR(INDEX(Tabela.frequencia[],SMALL(IF(Tabela.frequencia[id]=$E$11,ROW(Tabela.frequencia[id])-1),ROW(A522)),3),DATE(1990,1,1))</f>
        <v>32874</v>
      </c>
    </row>
    <row r="582" spans="2:2" x14ac:dyDescent="0.25">
      <c r="B582" s="122">
        <f t="array" ref="B582">IFERROR(INDEX(Tabela.frequencia[],SMALL(IF(Tabela.frequencia[id]=$E$11,ROW(Tabela.frequencia[id])-1),ROW(A523)),3),DATE(1990,1,1))</f>
        <v>32874</v>
      </c>
    </row>
    <row r="583" spans="2:2" x14ac:dyDescent="0.25">
      <c r="B583" s="122">
        <f t="array" ref="B583">IFERROR(INDEX(Tabela.frequencia[],SMALL(IF(Tabela.frequencia[id]=$E$11,ROW(Tabela.frequencia[id])-1),ROW(A524)),3),DATE(1990,1,1))</f>
        <v>32874</v>
      </c>
    </row>
    <row r="584" spans="2:2" x14ac:dyDescent="0.25">
      <c r="B584" s="122">
        <f t="array" ref="B584">IFERROR(INDEX(Tabela.frequencia[],SMALL(IF(Tabela.frequencia[id]=$E$11,ROW(Tabela.frequencia[id])-1),ROW(A525)),3),DATE(1990,1,1))</f>
        <v>32874</v>
      </c>
    </row>
    <row r="585" spans="2:2" x14ac:dyDescent="0.25">
      <c r="B585" s="122">
        <f t="array" ref="B585">IFERROR(INDEX(Tabela.frequencia[],SMALL(IF(Tabela.frequencia[id]=$E$11,ROW(Tabela.frequencia[id])-1),ROW(A526)),3),DATE(1990,1,1))</f>
        <v>32874</v>
      </c>
    </row>
    <row r="586" spans="2:2" x14ac:dyDescent="0.25">
      <c r="B586" s="122">
        <f t="array" ref="B586">IFERROR(INDEX(Tabela.frequencia[],SMALL(IF(Tabela.frequencia[id]=$E$11,ROW(Tabela.frequencia[id])-1),ROW(A527)),3),DATE(1990,1,1))</f>
        <v>32874</v>
      </c>
    </row>
    <row r="587" spans="2:2" x14ac:dyDescent="0.25">
      <c r="B587" s="122">
        <f t="array" ref="B587">IFERROR(INDEX(Tabela.frequencia[],SMALL(IF(Tabela.frequencia[id]=$E$11,ROW(Tabela.frequencia[id])-1),ROW(A528)),3),DATE(1990,1,1))</f>
        <v>32874</v>
      </c>
    </row>
    <row r="588" spans="2:2" x14ac:dyDescent="0.25">
      <c r="B588" s="122">
        <f t="array" ref="B588">IFERROR(INDEX(Tabela.frequencia[],SMALL(IF(Tabela.frequencia[id]=$E$11,ROW(Tabela.frequencia[id])-1),ROW(A529)),3),DATE(1990,1,1))</f>
        <v>32874</v>
      </c>
    </row>
    <row r="589" spans="2:2" x14ac:dyDescent="0.25">
      <c r="B589" s="122">
        <f t="array" ref="B589">IFERROR(INDEX(Tabela.frequencia[],SMALL(IF(Tabela.frequencia[id]=$E$11,ROW(Tabela.frequencia[id])-1),ROW(A530)),3),DATE(1990,1,1))</f>
        <v>32874</v>
      </c>
    </row>
    <row r="590" spans="2:2" x14ac:dyDescent="0.25">
      <c r="B590" s="122">
        <f t="array" ref="B590">IFERROR(INDEX(Tabela.frequencia[],SMALL(IF(Tabela.frequencia[id]=$E$11,ROW(Tabela.frequencia[id])-1),ROW(A531)),3),DATE(1990,1,1))</f>
        <v>32874</v>
      </c>
    </row>
    <row r="591" spans="2:2" x14ac:dyDescent="0.25">
      <c r="B591" s="122">
        <f t="array" ref="B591">IFERROR(INDEX(Tabela.frequencia[],SMALL(IF(Tabela.frequencia[id]=$E$11,ROW(Tabela.frequencia[id])-1),ROW(A532)),3),DATE(1990,1,1))</f>
        <v>32874</v>
      </c>
    </row>
    <row r="592" spans="2:2" x14ac:dyDescent="0.25">
      <c r="B592" s="122">
        <f t="array" ref="B592">IFERROR(INDEX(Tabela.frequencia[],SMALL(IF(Tabela.frequencia[id]=$E$11,ROW(Tabela.frequencia[id])-1),ROW(A533)),3),DATE(1990,1,1))</f>
        <v>32874</v>
      </c>
    </row>
    <row r="593" spans="2:2" x14ac:dyDescent="0.25">
      <c r="B593" s="122">
        <f t="array" ref="B593">IFERROR(INDEX(Tabela.frequencia[],SMALL(IF(Tabela.frequencia[id]=$E$11,ROW(Tabela.frequencia[id])-1),ROW(A534)),3),DATE(1990,1,1))</f>
        <v>32874</v>
      </c>
    </row>
    <row r="594" spans="2:2" x14ac:dyDescent="0.25">
      <c r="B594" s="122">
        <f t="array" ref="B594">IFERROR(INDEX(Tabela.frequencia[],SMALL(IF(Tabela.frequencia[id]=$E$11,ROW(Tabela.frequencia[id])-1),ROW(A535)),3),DATE(1990,1,1))</f>
        <v>32874</v>
      </c>
    </row>
    <row r="595" spans="2:2" x14ac:dyDescent="0.25">
      <c r="B595" s="122">
        <f t="array" ref="B595">IFERROR(INDEX(Tabela.frequencia[],SMALL(IF(Tabela.frequencia[id]=$E$11,ROW(Tabela.frequencia[id])-1),ROW(A536)),3),DATE(1990,1,1))</f>
        <v>32874</v>
      </c>
    </row>
    <row r="596" spans="2:2" x14ac:dyDescent="0.25">
      <c r="B596" s="122">
        <f t="array" ref="B596">IFERROR(INDEX(Tabela.frequencia[],SMALL(IF(Tabela.frequencia[id]=$E$11,ROW(Tabela.frequencia[id])-1),ROW(A537)),3),DATE(1990,1,1))</f>
        <v>32874</v>
      </c>
    </row>
    <row r="597" spans="2:2" x14ac:dyDescent="0.25">
      <c r="B597" s="122">
        <f t="array" ref="B597">IFERROR(INDEX(Tabela.frequencia[],SMALL(IF(Tabela.frequencia[id]=$E$11,ROW(Tabela.frequencia[id])-1),ROW(A538)),3),DATE(1990,1,1))</f>
        <v>32874</v>
      </c>
    </row>
    <row r="598" spans="2:2" x14ac:dyDescent="0.25">
      <c r="B598" s="122">
        <f t="array" ref="B598">IFERROR(INDEX(Tabela.frequencia[],SMALL(IF(Tabela.frequencia[id]=$E$11,ROW(Tabela.frequencia[id])-1),ROW(A539)),3),DATE(1990,1,1))</f>
        <v>32874</v>
      </c>
    </row>
    <row r="599" spans="2:2" x14ac:dyDescent="0.25">
      <c r="B599" s="122">
        <f t="array" ref="B599">IFERROR(INDEX(Tabela.frequencia[],SMALL(IF(Tabela.frequencia[id]=$E$11,ROW(Tabela.frequencia[id])-1),ROW(A540)),3),DATE(1990,1,1))</f>
        <v>32874</v>
      </c>
    </row>
    <row r="600" spans="2:2" x14ac:dyDescent="0.25">
      <c r="B600" s="122">
        <f t="array" ref="B600">IFERROR(INDEX(Tabela.frequencia[],SMALL(IF(Tabela.frequencia[id]=$E$11,ROW(Tabela.frequencia[id])-1),ROW(A541)),3),DATE(1990,1,1))</f>
        <v>32874</v>
      </c>
    </row>
  </sheetData>
  <sheetProtection algorithmName="SHA-512" hashValue="gGOUFpMrLjDUvTZ0jBmrZmtU1EOHwv64GTU9fO2d5mLn3tciv3ZQhznrf7s7R1wGKX+/BwoP+LFONzvH4JD1Cw==" saltValue="c2S4fipG+mPFz4GaZWzFcg==" spinCount="100000" sheet="1" objects="1" scenarios="1"/>
  <protectedRanges>
    <protectedRange sqref="X58:Y102" name="tabeladinamica"/>
    <protectedRange sqref="E11" name="Consulta_id"/>
  </protectedRanges>
  <dataConsolidate/>
  <mergeCells count="36">
    <mergeCell ref="X13:Z14"/>
    <mergeCell ref="AA13:AB14"/>
    <mergeCell ref="AA15:AB16"/>
    <mergeCell ref="X11:AB12"/>
    <mergeCell ref="X23:AB27"/>
    <mergeCell ref="X19:Y21"/>
    <mergeCell ref="AA19:AB21"/>
    <mergeCell ref="X15:Y16"/>
    <mergeCell ref="B26:S26"/>
    <mergeCell ref="B45:D45"/>
    <mergeCell ref="B46:D46"/>
    <mergeCell ref="B47:D47"/>
    <mergeCell ref="B48:D48"/>
    <mergeCell ref="B41:D41"/>
    <mergeCell ref="A56:T56"/>
    <mergeCell ref="A55:T55"/>
    <mergeCell ref="B42:D42"/>
    <mergeCell ref="B43:D43"/>
    <mergeCell ref="B44:D44"/>
    <mergeCell ref="B49:D49"/>
    <mergeCell ref="B50:D50"/>
    <mergeCell ref="B51:D51"/>
    <mergeCell ref="B52:D52"/>
    <mergeCell ref="F2:P6"/>
    <mergeCell ref="H22:I22"/>
    <mergeCell ref="B16:I16"/>
    <mergeCell ref="K16:M16"/>
    <mergeCell ref="O16:S16"/>
    <mergeCell ref="F7:P7"/>
    <mergeCell ref="B19:I19"/>
    <mergeCell ref="K19:M19"/>
    <mergeCell ref="B22:F22"/>
    <mergeCell ref="O19:Q19"/>
    <mergeCell ref="K22:M22"/>
    <mergeCell ref="E11:F11"/>
    <mergeCell ref="L9:S9"/>
  </mergeCells>
  <conditionalFormatting sqref="AA19:AB21">
    <cfRule type="cellIs" dxfId="73" priority="3" operator="equal">
      <formula>0</formula>
    </cfRule>
  </conditionalFormatting>
  <conditionalFormatting sqref="X19">
    <cfRule type="cellIs" dxfId="72" priority="1" operator="between">
      <formula>15</formula>
      <formula>29</formula>
    </cfRule>
    <cfRule type="cellIs" dxfId="71" priority="2" operator="between">
      <formula>29</formula>
      <formula>2000</formula>
    </cfRule>
  </conditionalFormatting>
  <printOptions gridLines="1"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B1:EW1531"/>
  <sheetViews>
    <sheetView zoomScale="130" zoomScaleNormal="130" workbookViewId="0">
      <selection activeCell="Z19" sqref="Z19"/>
    </sheetView>
  </sheetViews>
  <sheetFormatPr defaultRowHeight="11.25" x14ac:dyDescent="0.2"/>
  <cols>
    <col min="1" max="1" width="1.7109375" style="176" customWidth="1"/>
    <col min="2" max="2" width="7.140625" style="176" customWidth="1"/>
    <col min="3" max="3" width="7.7109375" style="176" customWidth="1"/>
    <col min="4" max="4" width="4.42578125" style="177" customWidth="1"/>
    <col min="5" max="5" width="5.42578125" style="176" customWidth="1"/>
    <col min="6" max="6" width="5.42578125" style="177" customWidth="1"/>
    <col min="7" max="7" width="8.42578125" style="177" customWidth="1"/>
    <col min="8" max="11" width="7.85546875" style="177" customWidth="1"/>
    <col min="12" max="12" width="7.85546875" style="176" customWidth="1"/>
    <col min="13" max="14" width="1.7109375" style="176" customWidth="1"/>
    <col min="15" max="15" width="7" style="176" customWidth="1"/>
    <col min="16" max="16" width="21.7109375" style="176" customWidth="1"/>
    <col min="17" max="24" width="7.7109375" style="177" customWidth="1"/>
    <col min="25" max="28" width="7.7109375" style="240" customWidth="1"/>
    <col min="29" max="29" width="24.28515625" style="176" customWidth="1"/>
    <col min="30" max="30" width="18.7109375" style="176" customWidth="1"/>
    <col min="31" max="31" width="22.7109375" style="176" customWidth="1"/>
    <col min="32" max="32" width="20.5703125" style="176" customWidth="1"/>
    <col min="33" max="33" width="27.42578125" style="176" customWidth="1"/>
    <col min="34" max="34" width="20.28515625" style="176" customWidth="1"/>
    <col min="35" max="35" width="19.42578125" style="176" customWidth="1"/>
    <col min="36" max="36" width="20.85546875" style="176" customWidth="1"/>
    <col min="37" max="37" width="24" style="176" customWidth="1"/>
    <col min="38" max="38" width="23.85546875" style="176" customWidth="1"/>
    <col min="39" max="39" width="22.140625" style="176" customWidth="1"/>
    <col min="40" max="40" width="21.140625" style="176" customWidth="1"/>
    <col min="41" max="41" width="22.5703125" style="176" customWidth="1"/>
    <col min="42" max="42" width="26.28515625" style="176" customWidth="1"/>
    <col min="43" max="43" width="22.5703125" style="176" customWidth="1"/>
    <col min="44" max="44" width="28.140625" style="176" customWidth="1"/>
    <col min="45" max="45" width="25" style="176" customWidth="1"/>
    <col min="46" max="46" width="18" style="176" customWidth="1"/>
    <col min="47" max="47" width="21.42578125" style="176" customWidth="1"/>
    <col min="48" max="48" width="28.42578125" style="176" customWidth="1"/>
    <col min="49" max="49" width="20.140625" style="176" customWidth="1"/>
    <col min="50" max="50" width="28.28515625" style="176" customWidth="1"/>
    <col min="51" max="51" width="21.42578125" style="176" customWidth="1"/>
    <col min="52" max="52" width="22" style="176" customWidth="1"/>
    <col min="53" max="53" width="24.42578125" style="176" customWidth="1"/>
    <col min="54" max="54" width="31.7109375" style="176" customWidth="1"/>
    <col min="55" max="55" width="27.28515625" style="176" customWidth="1"/>
    <col min="56" max="56" width="16" style="176" customWidth="1"/>
    <col min="57" max="57" width="25.85546875" style="176" customWidth="1"/>
    <col min="58" max="58" width="31" style="176" customWidth="1"/>
    <col min="59" max="59" width="18.85546875" style="176" customWidth="1"/>
    <col min="60" max="60" width="24.28515625" style="176" customWidth="1"/>
    <col min="61" max="61" width="31.5703125" style="176" bestFit="1" customWidth="1"/>
    <col min="62" max="62" width="18.85546875" style="176" customWidth="1"/>
    <col min="63" max="63" width="31.7109375" style="176" bestFit="1" customWidth="1"/>
    <col min="64" max="64" width="14.42578125" style="176" customWidth="1"/>
    <col min="65" max="65" width="18.28515625" style="176" customWidth="1"/>
    <col min="66" max="66" width="25.85546875" style="176" customWidth="1"/>
    <col min="67" max="67" width="24.85546875" style="176" customWidth="1"/>
    <col min="68" max="68" width="23" style="176" customWidth="1"/>
    <col min="69" max="69" width="17.42578125" style="176" customWidth="1"/>
    <col min="70" max="70" width="23.28515625" style="176" customWidth="1"/>
    <col min="71" max="71" width="17" style="176" customWidth="1"/>
    <col min="72" max="72" width="26.85546875" style="176" customWidth="1"/>
    <col min="73" max="73" width="20.28515625" style="176" customWidth="1"/>
    <col min="74" max="74" width="20.42578125" style="176" customWidth="1"/>
    <col min="75" max="75" width="24.85546875" style="176" customWidth="1"/>
    <col min="76" max="76" width="28.42578125" style="176" customWidth="1"/>
    <col min="77" max="77" width="28.7109375" style="176" customWidth="1"/>
    <col min="78" max="78" width="21.85546875" style="176" customWidth="1"/>
    <col min="79" max="80" width="22.5703125" style="176" customWidth="1"/>
    <col min="81" max="81" width="31.140625" style="176" customWidth="1"/>
    <col min="82" max="82" width="24.140625" style="176" customWidth="1"/>
    <col min="83" max="83" width="20" style="176" customWidth="1"/>
    <col min="84" max="84" width="24.42578125" style="176" customWidth="1"/>
    <col min="85" max="85" width="30" style="176" customWidth="1"/>
    <col min="86" max="86" width="21.7109375" style="176" customWidth="1"/>
    <col min="87" max="87" width="22.28515625" style="176" customWidth="1"/>
    <col min="88" max="88" width="26.85546875" style="176" bestFit="1" customWidth="1"/>
    <col min="89" max="89" width="18.85546875" style="176" customWidth="1"/>
    <col min="90" max="90" width="23.28515625" style="176" customWidth="1"/>
    <col min="91" max="91" width="32.28515625" style="176" bestFit="1" customWidth="1"/>
    <col min="92" max="92" width="14.140625" style="176" customWidth="1"/>
    <col min="93" max="93" width="30" style="176" customWidth="1"/>
    <col min="94" max="94" width="23.7109375" style="176" customWidth="1"/>
    <col min="95" max="95" width="24.5703125" style="176" customWidth="1"/>
    <col min="96" max="96" width="22.7109375" style="176" customWidth="1"/>
    <col min="97" max="97" width="30.5703125" style="176" bestFit="1" customWidth="1"/>
    <col min="98" max="98" width="31.28515625" style="176" customWidth="1"/>
    <col min="99" max="99" width="26.5703125" style="176" customWidth="1"/>
    <col min="100" max="100" width="22.5703125" style="176" customWidth="1"/>
    <col min="101" max="101" width="24.7109375" style="176" customWidth="1"/>
    <col min="102" max="102" width="31.42578125" style="176" bestFit="1" customWidth="1"/>
    <col min="103" max="103" width="19.42578125" style="176" customWidth="1"/>
    <col min="104" max="104" width="19" style="176" customWidth="1"/>
    <col min="105" max="105" width="43.5703125" style="176" bestFit="1" customWidth="1"/>
    <col min="106" max="106" width="20.28515625" style="176" customWidth="1"/>
    <col min="107" max="107" width="31" style="176" customWidth="1"/>
    <col min="108" max="108" width="12.5703125" style="176" customWidth="1"/>
    <col min="109" max="109" width="16" style="176" customWidth="1"/>
    <col min="110" max="110" width="31.5703125" style="176" customWidth="1"/>
    <col min="111" max="111" width="24" style="176" customWidth="1"/>
    <col min="112" max="112" width="22.28515625" style="176" customWidth="1"/>
    <col min="113" max="113" width="24" style="176" customWidth="1"/>
    <col min="114" max="114" width="33" style="176" bestFit="1" customWidth="1"/>
    <col min="115" max="115" width="20.5703125" style="176" customWidth="1"/>
    <col min="116" max="116" width="27.42578125" style="176" customWidth="1"/>
    <col min="117" max="117" width="16.42578125" style="176" customWidth="1"/>
    <col min="118" max="118" width="33.85546875" style="176" bestFit="1" customWidth="1"/>
    <col min="119" max="119" width="10.7109375" style="176" customWidth="1"/>
    <col min="120" max="122" width="22.5703125" style="176" bestFit="1" customWidth="1"/>
    <col min="123" max="123" width="7.85546875" style="176" customWidth="1"/>
    <col min="124" max="124" width="13.85546875" style="176" bestFit="1" customWidth="1"/>
    <col min="125" max="125" width="7.85546875" style="176" customWidth="1"/>
    <col min="126" max="126" width="17" style="176" bestFit="1" customWidth="1"/>
    <col min="127" max="127" width="7.85546875" style="176" customWidth="1"/>
    <col min="128" max="130" width="28.28515625" style="176" bestFit="1" customWidth="1"/>
    <col min="131" max="131" width="7.85546875" style="176" customWidth="1"/>
    <col min="132" max="133" width="24" style="176" bestFit="1" customWidth="1"/>
    <col min="134" max="134" width="7.85546875" style="176" customWidth="1"/>
    <col min="135" max="135" width="26.28515625" style="176" bestFit="1" customWidth="1"/>
    <col min="136" max="136" width="7.85546875" style="176" customWidth="1"/>
    <col min="137" max="137" width="22.7109375" style="176" bestFit="1" customWidth="1"/>
    <col min="138" max="138" width="7.85546875" style="176" customWidth="1"/>
    <col min="139" max="140" width="24.7109375" style="176" bestFit="1" customWidth="1"/>
    <col min="141" max="141" width="7.85546875" style="176" customWidth="1"/>
    <col min="142" max="142" width="24.28515625" style="176" bestFit="1" customWidth="1"/>
    <col min="143" max="143" width="7.85546875" style="176" customWidth="1"/>
    <col min="144" max="146" width="24.140625" style="176" bestFit="1" customWidth="1"/>
    <col min="147" max="147" width="7.85546875" style="176" customWidth="1"/>
    <col min="148" max="148" width="27.42578125" style="176" bestFit="1" customWidth="1"/>
    <col min="149" max="149" width="7.85546875" style="176" customWidth="1"/>
    <col min="150" max="152" width="31.42578125" style="176" bestFit="1" customWidth="1"/>
    <col min="153" max="153" width="7.85546875" style="176" customWidth="1"/>
    <col min="154" max="154" width="18.85546875" style="176" bestFit="1" customWidth="1"/>
    <col min="155" max="155" width="7.85546875" style="176" customWidth="1"/>
    <col min="156" max="157" width="24.42578125" style="176" bestFit="1" customWidth="1"/>
    <col min="158" max="158" width="7.85546875" style="176" customWidth="1"/>
    <col min="159" max="159" width="24.140625" style="176" bestFit="1" customWidth="1"/>
    <col min="160" max="160" width="7.85546875" style="176" customWidth="1"/>
    <col min="161" max="162" width="18.85546875" style="176" bestFit="1" customWidth="1"/>
    <col min="163" max="163" width="8.85546875" style="176" customWidth="1"/>
    <col min="164" max="164" width="9.140625" style="176"/>
    <col min="165" max="165" width="5.85546875" style="176" customWidth="1"/>
    <col min="166" max="166" width="10.7109375" style="176" bestFit="1" customWidth="1"/>
    <col min="167" max="16384" width="9.140625" style="176"/>
  </cols>
  <sheetData>
    <row r="1" spans="2:24" ht="7.5" customHeight="1" x14ac:dyDescent="0.2">
      <c r="M1" s="178"/>
    </row>
    <row r="2" spans="2:24" ht="12" x14ac:dyDescent="0.2">
      <c r="B2" s="179" t="s">
        <v>51</v>
      </c>
      <c r="C2" s="180"/>
      <c r="D2" s="181"/>
      <c r="E2" s="182"/>
      <c r="F2" s="181"/>
      <c r="G2" s="181"/>
      <c r="H2" s="183" t="s">
        <v>52</v>
      </c>
      <c r="I2" s="184" t="s">
        <v>154</v>
      </c>
      <c r="J2" s="183" t="s">
        <v>53</v>
      </c>
      <c r="K2" s="185">
        <v>2014</v>
      </c>
      <c r="L2" s="186" t="str">
        <f>LOWER(CONCATENATE(I3,"/",K3))</f>
        <v>ago/14</v>
      </c>
      <c r="M2" s="178"/>
      <c r="O2" s="179" t="s">
        <v>107</v>
      </c>
      <c r="P2" s="182"/>
      <c r="Q2" s="181"/>
      <c r="R2" s="181"/>
      <c r="S2" s="181"/>
      <c r="T2" s="181"/>
      <c r="U2" s="181"/>
      <c r="V2" s="181"/>
      <c r="W2" s="181"/>
      <c r="X2" s="187"/>
    </row>
    <row r="3" spans="2:24" ht="7.5" customHeight="1" x14ac:dyDescent="0.2">
      <c r="I3" s="92" t="str">
        <f>IF(I2="Janeiro","jan",IF(I2="Fevereiro","fev",IF(I2="Março","mar",IF(I2="Abril","abr",IF(I2="Maio","mai",IF(I2="Junho","jun",IF(I2="Julho","jul",IF(I2="Agosto","ago",IF(I2="Setembro","set",IF(I2="Outubro","out",IF(I2="Novembro","nov","dez")))))))))))</f>
        <v>ago</v>
      </c>
      <c r="J3" s="92"/>
      <c r="K3" s="93">
        <f>K2-2000</f>
        <v>14</v>
      </c>
      <c r="M3" s="178"/>
      <c r="N3" s="188"/>
      <c r="O3" s="188"/>
      <c r="P3" s="188"/>
    </row>
    <row r="4" spans="2:24" ht="12" x14ac:dyDescent="0.2">
      <c r="B4" s="189" t="s">
        <v>37</v>
      </c>
      <c r="C4" s="189"/>
      <c r="D4" s="190"/>
      <c r="E4" s="191"/>
      <c r="F4" s="190"/>
      <c r="G4" s="190"/>
      <c r="H4" s="190"/>
      <c r="I4" s="190"/>
      <c r="J4" s="190"/>
      <c r="K4" s="190"/>
      <c r="L4" s="191"/>
      <c r="M4" s="178"/>
      <c r="N4" s="188"/>
      <c r="O4" s="192" t="str">
        <f>"Foram encontrados "&amp;SUM(COUNTIF(G33:L865,0),COUNTIF(F33:F865,"&gt;100"))&amp;" erros."</f>
        <v>Foram encontrados 1 erros.</v>
      </c>
      <c r="P4" s="188"/>
    </row>
    <row r="5" spans="2:24" ht="7.5" customHeight="1" x14ac:dyDescent="0.2">
      <c r="M5" s="178"/>
      <c r="N5" s="188"/>
      <c r="O5" s="193" t="s">
        <v>77</v>
      </c>
      <c r="P5" s="188"/>
    </row>
    <row r="6" spans="2:24" ht="26.25" customHeight="1" x14ac:dyDescent="0.2">
      <c r="B6" s="314" t="s">
        <v>38</v>
      </c>
      <c r="C6" s="315"/>
      <c r="D6" s="315"/>
      <c r="E6" s="315"/>
      <c r="F6" s="194" t="s">
        <v>40</v>
      </c>
      <c r="G6" s="194" t="s">
        <v>19</v>
      </c>
      <c r="H6" s="195" t="s">
        <v>41</v>
      </c>
      <c r="I6" s="195" t="s">
        <v>42</v>
      </c>
      <c r="J6" s="195" t="s">
        <v>43</v>
      </c>
      <c r="K6" s="195" t="s">
        <v>44</v>
      </c>
      <c r="L6" s="195" t="s">
        <v>109</v>
      </c>
      <c r="M6" s="178"/>
      <c r="N6" s="188"/>
      <c r="O6" s="196"/>
      <c r="P6" s="197"/>
      <c r="Q6" s="198"/>
      <c r="R6" s="198"/>
    </row>
    <row r="7" spans="2:24" ht="18" customHeight="1" x14ac:dyDescent="0.2">
      <c r="B7" s="199"/>
      <c r="C7" s="310" t="s">
        <v>39</v>
      </c>
      <c r="D7" s="310"/>
      <c r="E7" s="311"/>
      <c r="F7" s="298">
        <f>SUM(H7:L8)</f>
        <v>20</v>
      </c>
      <c r="G7" s="194" t="s">
        <v>45</v>
      </c>
      <c r="H7" s="200">
        <f>COUNTIFS(H33:H865,"M",F33:F865,"&lt;=12",F33:F865,"&gt;0")</f>
        <v>0</v>
      </c>
      <c r="I7" s="200">
        <f>COUNTIFS(H33:H865,"M",F33:F865,"&gt;=13",F33:F865,"&lt;=17")</f>
        <v>1</v>
      </c>
      <c r="J7" s="200">
        <f>COUNTIFS(H33:H865,"M",F33:F865,"&gt;=18",F33:F865,"&lt;=39")</f>
        <v>8</v>
      </c>
      <c r="K7" s="200">
        <f>COUNTIFS(H33:H865,"M",F33:F865,"&gt;=40",F33:F865,"&lt;=59")</f>
        <v>1</v>
      </c>
      <c r="L7" s="200">
        <f>COUNTIFS(H33:H865,"M",F33:F865,"&gt;=60",F33:F865,"&lt;=110")</f>
        <v>1</v>
      </c>
      <c r="M7" s="178"/>
      <c r="N7" s="188"/>
      <c r="O7" s="179" t="s">
        <v>156</v>
      </c>
      <c r="P7" s="182"/>
      <c r="Q7" s="181"/>
      <c r="R7" s="181"/>
      <c r="S7" s="181"/>
      <c r="T7" s="181"/>
      <c r="U7" s="181"/>
      <c r="V7" s="181"/>
      <c r="W7" s="181"/>
      <c r="X7" s="187"/>
    </row>
    <row r="8" spans="2:24" ht="18" customHeight="1" x14ac:dyDescent="0.2">
      <c r="B8" s="201"/>
      <c r="C8" s="312"/>
      <c r="D8" s="312"/>
      <c r="E8" s="313"/>
      <c r="F8" s="298"/>
      <c r="G8" s="194" t="s">
        <v>46</v>
      </c>
      <c r="H8" s="200">
        <f>COUNTIFS(H33:H865,"F",F33:F865,"&lt;=12",F33:F865,"&gt;0")</f>
        <v>0</v>
      </c>
      <c r="I8" s="200">
        <f>COUNTIFS(H33:H865,"F",F33:F865,"&gt;=13",F33:F865,"&lt;=17")</f>
        <v>0</v>
      </c>
      <c r="J8" s="200">
        <f>COUNTIFS(H33:H865,"F",F33:F865,"&gt;=18",F33:F865,"&lt;=39")</f>
        <v>6</v>
      </c>
      <c r="K8" s="200">
        <f>COUNTIFS(H33:H865,"F",F33:F865,"&gt;=40",F33:F865,"&lt;=59")</f>
        <v>2</v>
      </c>
      <c r="L8" s="200">
        <f>COUNTIFS(H33:H865,"F",F33:F865,"&gt;=60",F33:F865,"&lt;=110")</f>
        <v>1</v>
      </c>
      <c r="M8" s="178"/>
      <c r="O8" s="202"/>
      <c r="Q8" s="198"/>
    </row>
    <row r="9" spans="2:24" ht="7.5" customHeight="1" x14ac:dyDescent="0.2">
      <c r="M9" s="178"/>
    </row>
    <row r="10" spans="2:24" ht="15" customHeight="1" x14ac:dyDescent="0.2">
      <c r="B10" s="294" t="s">
        <v>47</v>
      </c>
      <c r="C10" s="294"/>
      <c r="D10" s="294"/>
      <c r="E10" s="294"/>
      <c r="F10" s="294"/>
      <c r="G10" s="294"/>
      <c r="H10" s="294"/>
      <c r="I10" s="294"/>
      <c r="J10" s="294"/>
      <c r="K10" s="294"/>
      <c r="L10" s="194" t="s">
        <v>40</v>
      </c>
      <c r="M10" s="178"/>
    </row>
    <row r="11" spans="2:24" ht="15" customHeight="1" x14ac:dyDescent="0.2">
      <c r="B11" s="203"/>
      <c r="C11" s="295" t="s">
        <v>61</v>
      </c>
      <c r="D11" s="295"/>
      <c r="E11" s="295"/>
      <c r="F11" s="295"/>
      <c r="G11" s="295"/>
      <c r="H11" s="295"/>
      <c r="I11" s="295"/>
      <c r="J11" s="295"/>
      <c r="K11" s="309"/>
      <c r="L11" s="200">
        <f>COUNTIF(I33:I865,"S")</f>
        <v>7</v>
      </c>
      <c r="M11" s="178"/>
    </row>
    <row r="12" spans="2:24" ht="15" customHeight="1" x14ac:dyDescent="0.2">
      <c r="B12" s="203"/>
      <c r="C12" s="204" t="s">
        <v>48</v>
      </c>
      <c r="D12" s="204"/>
      <c r="E12" s="204"/>
      <c r="F12" s="204"/>
      <c r="G12" s="204"/>
      <c r="H12" s="204"/>
      <c r="I12" s="204"/>
      <c r="J12" s="204"/>
      <c r="K12" s="205"/>
      <c r="L12" s="200">
        <f>COUNTIF(G33:G865,"M")</f>
        <v>15</v>
      </c>
      <c r="M12" s="178"/>
      <c r="Q12" s="176"/>
      <c r="R12" s="176"/>
      <c r="S12" s="176"/>
      <c r="T12" s="176"/>
      <c r="U12" s="176"/>
      <c r="V12" s="176"/>
      <c r="W12" s="176"/>
      <c r="X12" s="176"/>
    </row>
    <row r="13" spans="2:24" ht="15" customHeight="1" x14ac:dyDescent="0.2">
      <c r="B13" s="203"/>
      <c r="C13" s="295" t="s">
        <v>49</v>
      </c>
      <c r="D13" s="295"/>
      <c r="E13" s="295"/>
      <c r="F13" s="295"/>
      <c r="G13" s="295"/>
      <c r="H13" s="295"/>
      <c r="I13" s="295"/>
      <c r="J13" s="295"/>
      <c r="K13" s="309"/>
      <c r="L13" s="200">
        <f>COUNTIF(J33:J865,"S")</f>
        <v>5</v>
      </c>
      <c r="M13" s="178"/>
    </row>
    <row r="14" spans="2:24" ht="7.5" customHeight="1" x14ac:dyDescent="0.2">
      <c r="M14" s="178"/>
    </row>
    <row r="15" spans="2:24" x14ac:dyDescent="0.2">
      <c r="B15" s="189" t="s">
        <v>86</v>
      </c>
      <c r="C15" s="189"/>
      <c r="D15" s="190"/>
      <c r="E15" s="191"/>
      <c r="F15" s="190"/>
      <c r="G15" s="190"/>
      <c r="H15" s="190"/>
      <c r="I15" s="190"/>
      <c r="J15" s="190"/>
      <c r="K15" s="190"/>
      <c r="L15" s="191"/>
      <c r="M15" s="178"/>
      <c r="Q15" s="176"/>
      <c r="R15" s="176"/>
      <c r="S15" s="176"/>
      <c r="T15" s="176"/>
      <c r="U15" s="176"/>
      <c r="V15" s="176"/>
      <c r="W15" s="176"/>
      <c r="X15" s="176"/>
    </row>
    <row r="16" spans="2:24" ht="7.5" customHeight="1" x14ac:dyDescent="0.2">
      <c r="M16" s="178"/>
    </row>
    <row r="17" spans="2:153" ht="26.1" customHeight="1" x14ac:dyDescent="0.2">
      <c r="B17" s="299" t="s">
        <v>87</v>
      </c>
      <c r="C17" s="300"/>
      <c r="D17" s="300"/>
      <c r="E17" s="300"/>
      <c r="F17" s="301"/>
      <c r="G17" s="194" t="s">
        <v>40</v>
      </c>
      <c r="H17" s="194" t="s">
        <v>19</v>
      </c>
      <c r="I17" s="195" t="s">
        <v>41</v>
      </c>
      <c r="J17" s="195" t="s">
        <v>42</v>
      </c>
      <c r="K17" s="195" t="s">
        <v>108</v>
      </c>
      <c r="L17" s="195" t="s">
        <v>109</v>
      </c>
      <c r="M17" s="178"/>
    </row>
    <row r="18" spans="2:153" ht="18" customHeight="1" x14ac:dyDescent="0.2">
      <c r="B18" s="199"/>
      <c r="C18" s="302" t="s">
        <v>88</v>
      </c>
      <c r="D18" s="302"/>
      <c r="E18" s="302"/>
      <c r="F18" s="303"/>
      <c r="G18" s="298">
        <f>SUM(I18:M19)</f>
        <v>20</v>
      </c>
      <c r="H18" s="194" t="s">
        <v>45</v>
      </c>
      <c r="I18" s="200">
        <f>COUNTIFS(S33:S866,"M",Q33:Q866,"&lt;=12",Q33:Q866,"&gt;0")</f>
        <v>0</v>
      </c>
      <c r="J18" s="200">
        <f>COUNTIFS(S33:S866,"M",Q33:Q866,"&gt;=13",Q33:Q866,"&lt;=17")</f>
        <v>1</v>
      </c>
      <c r="K18" s="200">
        <f>COUNTIFS(S33:S866,"M",Q33:Q866,"&gt;=18",Q33:Q866,"&lt;=59")</f>
        <v>9</v>
      </c>
      <c r="L18" s="200">
        <f>COUNTIFS(S33:S866,"M",Q33:Q866,"&gt;=60")</f>
        <v>1</v>
      </c>
      <c r="M18" s="178"/>
      <c r="R18" s="206"/>
    </row>
    <row r="19" spans="2:153" ht="18" customHeight="1" x14ac:dyDescent="0.2">
      <c r="B19" s="201"/>
      <c r="C19" s="304"/>
      <c r="D19" s="304"/>
      <c r="E19" s="304"/>
      <c r="F19" s="305"/>
      <c r="G19" s="298"/>
      <c r="H19" s="194" t="s">
        <v>46</v>
      </c>
      <c r="I19" s="200">
        <f>COUNTIFS(S33:S866,"F",Q33:Q866,"&lt;=12",Q33:Q866,"&gt;0")</f>
        <v>0</v>
      </c>
      <c r="J19" s="200">
        <f>COUNTIFS(S33:S866,"F",Q33:Q866,"&gt;=13",Q33:Q866,"&lt;=17")</f>
        <v>0</v>
      </c>
      <c r="K19" s="200">
        <f>COUNTIFS(S33:S866,"F",Q33:Q866,"&gt;=18",Q33:Q866,"&lt;=59")</f>
        <v>8</v>
      </c>
      <c r="L19" s="200">
        <f>COUNTIFS(S33:S866,"F",Q33:Q866,"&gt;=60")</f>
        <v>1</v>
      </c>
      <c r="M19" s="178"/>
    </row>
    <row r="20" spans="2:153" ht="7.5" customHeight="1" x14ac:dyDescent="0.2">
      <c r="M20" s="178"/>
    </row>
    <row r="21" spans="2:153" ht="15" customHeight="1" x14ac:dyDescent="0.2">
      <c r="B21" s="294" t="s">
        <v>89</v>
      </c>
      <c r="C21" s="294"/>
      <c r="D21" s="294"/>
      <c r="E21" s="294"/>
      <c r="F21" s="294"/>
      <c r="G21" s="294"/>
      <c r="H21" s="294"/>
      <c r="I21" s="294"/>
      <c r="J21" s="294"/>
      <c r="K21" s="294"/>
      <c r="L21" s="194" t="s">
        <v>40</v>
      </c>
      <c r="M21" s="178"/>
    </row>
    <row r="22" spans="2:153" ht="15" customHeight="1" x14ac:dyDescent="0.2">
      <c r="B22" s="203"/>
      <c r="C22" s="295" t="s">
        <v>90</v>
      </c>
      <c r="D22" s="295"/>
      <c r="E22" s="295"/>
      <c r="F22" s="295"/>
      <c r="G22" s="295"/>
      <c r="H22" s="295"/>
      <c r="I22" s="295"/>
      <c r="J22" s="295"/>
      <c r="K22" s="295"/>
      <c r="L22" s="200">
        <f>COUNTIF(U33:U866,"S")</f>
        <v>3</v>
      </c>
      <c r="M22" s="178"/>
    </row>
    <row r="23" spans="2:153" ht="15" customHeight="1" x14ac:dyDescent="0.25">
      <c r="B23" s="203"/>
      <c r="C23" s="204" t="s">
        <v>91</v>
      </c>
      <c r="D23" s="204"/>
      <c r="E23" s="204"/>
      <c r="F23" s="204"/>
      <c r="G23" s="204"/>
      <c r="H23" s="204"/>
      <c r="I23" s="204"/>
      <c r="J23" s="204"/>
      <c r="K23" s="204"/>
      <c r="L23" s="200">
        <f>COUNTIF(V33:V866,"S")</f>
        <v>2</v>
      </c>
      <c r="M23" s="178"/>
      <c r="O23" s="207"/>
      <c r="P23" s="207"/>
      <c r="Q23" s="130"/>
      <c r="R23" s="130"/>
    </row>
    <row r="24" spans="2:153" ht="15" customHeight="1" x14ac:dyDescent="0.2">
      <c r="B24" s="208"/>
      <c r="C24" s="296" t="s">
        <v>92</v>
      </c>
      <c r="D24" s="296"/>
      <c r="E24" s="296"/>
      <c r="F24" s="296"/>
      <c r="G24" s="296"/>
      <c r="H24" s="296"/>
      <c r="I24" s="296"/>
      <c r="J24" s="296"/>
      <c r="K24" s="296"/>
      <c r="L24" s="209">
        <f>COUNTIFS(T33:T866,"S",Q33:Q866,"&lt;=17",Q33:Q866,"&gt;0")</f>
        <v>1</v>
      </c>
      <c r="M24" s="178"/>
    </row>
    <row r="25" spans="2:153" ht="15" customHeight="1" x14ac:dyDescent="0.2">
      <c r="B25" s="210"/>
      <c r="C25" s="204" t="s">
        <v>93</v>
      </c>
      <c r="D25" s="211"/>
      <c r="E25" s="212"/>
      <c r="F25" s="211"/>
      <c r="G25" s="211"/>
      <c r="H25" s="211"/>
      <c r="I25" s="211"/>
      <c r="J25" s="211"/>
      <c r="K25" s="211"/>
      <c r="L25" s="200">
        <f>COUNTIFS(T33:T866,"S",Q33:Q866,"&gt;=18")</f>
        <v>6</v>
      </c>
      <c r="M25" s="178"/>
      <c r="Q25" s="177" t="s">
        <v>50</v>
      </c>
    </row>
    <row r="26" spans="2:153" ht="15" customHeight="1" x14ac:dyDescent="0.2">
      <c r="B26" s="210"/>
      <c r="C26" s="204" t="s">
        <v>94</v>
      </c>
      <c r="D26" s="211"/>
      <c r="E26" s="212"/>
      <c r="F26" s="213"/>
      <c r="G26" s="211"/>
      <c r="H26" s="211"/>
      <c r="I26" s="211"/>
      <c r="J26" s="211"/>
      <c r="K26" s="211"/>
      <c r="L26" s="200">
        <f>COUNTIF(R33:R866,"M")</f>
        <v>15</v>
      </c>
      <c r="M26" s="178"/>
    </row>
    <row r="27" spans="2:153" ht="7.5" customHeight="1" x14ac:dyDescent="0.2">
      <c r="M27" s="178"/>
    </row>
    <row r="28" spans="2:153" ht="15" customHeight="1" x14ac:dyDescent="0.2">
      <c r="B28" s="294" t="s">
        <v>105</v>
      </c>
      <c r="C28" s="294"/>
      <c r="D28" s="294"/>
      <c r="E28" s="294"/>
      <c r="F28" s="294"/>
      <c r="G28" s="294"/>
      <c r="H28" s="294"/>
      <c r="I28" s="294"/>
      <c r="J28" s="294"/>
      <c r="K28" s="294"/>
      <c r="L28" s="194" t="s">
        <v>40</v>
      </c>
      <c r="M28" s="178"/>
    </row>
    <row r="29" spans="2:153" s="216" customFormat="1" ht="30" customHeight="1" x14ac:dyDescent="0.2">
      <c r="B29" s="214"/>
      <c r="C29" s="297" t="s">
        <v>106</v>
      </c>
      <c r="D29" s="297"/>
      <c r="E29" s="297"/>
      <c r="F29" s="297"/>
      <c r="G29" s="297"/>
      <c r="H29" s="297"/>
      <c r="I29" s="297"/>
      <c r="J29" s="297"/>
      <c r="K29" s="297"/>
      <c r="L29" s="200">
        <f>COUNT(Y33:Y866)</f>
        <v>25</v>
      </c>
      <c r="M29" s="215"/>
      <c r="Y29" s="241"/>
      <c r="Z29" s="241"/>
      <c r="AA29" s="241"/>
      <c r="AB29" s="241"/>
    </row>
    <row r="30" spans="2:153" ht="7.5" customHeight="1" x14ac:dyDescent="0.2">
      <c r="M30" s="178"/>
    </row>
    <row r="31" spans="2:153" x14ac:dyDescent="0.2">
      <c r="B31" s="217" t="s">
        <v>98</v>
      </c>
      <c r="C31" s="218"/>
      <c r="D31" s="218"/>
      <c r="E31" s="218"/>
      <c r="F31" s="218"/>
      <c r="G31" s="218"/>
      <c r="H31" s="219" t="s">
        <v>52</v>
      </c>
      <c r="I31" s="184" t="str">
        <f>I2</f>
        <v>Agosto</v>
      </c>
      <c r="J31" s="219" t="s">
        <v>53</v>
      </c>
      <c r="K31" s="184">
        <f>K2</f>
        <v>2014</v>
      </c>
      <c r="L31" s="220"/>
      <c r="M31" s="178"/>
      <c r="O31" s="217" t="s">
        <v>99</v>
      </c>
      <c r="P31" s="218"/>
      <c r="Q31" s="218"/>
      <c r="R31" s="218"/>
      <c r="S31" s="218"/>
      <c r="T31" s="219" t="s">
        <v>52</v>
      </c>
      <c r="U31" s="184" t="str">
        <f>I2</f>
        <v>Agosto</v>
      </c>
      <c r="V31" s="219" t="s">
        <v>53</v>
      </c>
      <c r="W31" s="221">
        <f>K2</f>
        <v>2014</v>
      </c>
      <c r="X31" s="222"/>
      <c r="Y31" s="242" t="s">
        <v>155</v>
      </c>
    </row>
    <row r="32" spans="2:153" ht="15" x14ac:dyDescent="0.25">
      <c r="B32" s="223" t="s">
        <v>3</v>
      </c>
      <c r="C32" s="223" t="s">
        <v>66</v>
      </c>
      <c r="D32" s="224" t="s">
        <v>21</v>
      </c>
      <c r="E32" s="225" t="s">
        <v>20</v>
      </c>
      <c r="F32" s="226" t="s">
        <v>13</v>
      </c>
      <c r="G32" s="226" t="s">
        <v>4</v>
      </c>
      <c r="H32" s="226" t="s">
        <v>19</v>
      </c>
      <c r="I32" s="226" t="s">
        <v>15</v>
      </c>
      <c r="J32" s="226" t="s">
        <v>65</v>
      </c>
      <c r="K32" s="226" t="s">
        <v>56</v>
      </c>
      <c r="L32" s="226"/>
      <c r="M32" s="227"/>
      <c r="N32" s="207"/>
      <c r="O32" s="226" t="s">
        <v>21</v>
      </c>
      <c r="P32" s="226" t="s">
        <v>20</v>
      </c>
      <c r="Q32" s="226" t="s">
        <v>13</v>
      </c>
      <c r="R32" s="226" t="s">
        <v>4</v>
      </c>
      <c r="S32" s="226" t="s">
        <v>19</v>
      </c>
      <c r="T32" s="226" t="s">
        <v>15</v>
      </c>
      <c r="U32" s="226" t="s">
        <v>102</v>
      </c>
      <c r="V32" s="226" t="s">
        <v>103</v>
      </c>
      <c r="W32" s="226" t="s">
        <v>104</v>
      </c>
      <c r="X32" s="226"/>
      <c r="Y32" s="243" t="s">
        <v>21</v>
      </c>
      <c r="Z32" s="243" t="s">
        <v>13</v>
      </c>
      <c r="AA32" s="243" t="s">
        <v>100</v>
      </c>
      <c r="AB32" s="243" t="s">
        <v>101</v>
      </c>
      <c r="AC32" s="207"/>
      <c r="AD32" s="207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</row>
    <row r="33" spans="2:153" ht="15" x14ac:dyDescent="0.25">
      <c r="B33" s="223">
        <f t="array" ref="B33">INDEX(Tabela.frequencia[],SMALL(IF(Tabela.frequencia[Mês]=$L$2,ROW(Tabela.frequencia[id])-1),ROW(A1)),1)</f>
        <v>9</v>
      </c>
      <c r="C33" s="229">
        <f t="array" ref="C33">INDEX(Tabela.frequencia[],SMALL(IF(Tabela.frequencia[Mês]=$L$2,ROW(Tabela.frequencia[id])-1),ROW(A1)),4)</f>
        <v>44</v>
      </c>
      <c r="D33" s="230">
        <v>17</v>
      </c>
      <c r="E33" s="176" t="str">
        <f>IFERROR(VLOOKUP(D33,Tabela.cadastro[[ID]:[Nome]],2,0),"")</f>
        <v>Douglas Bragança</v>
      </c>
      <c r="F33" s="177">
        <f>IFERROR(VLOOKUP(D33,Tabela66[#All],2,0),"")</f>
        <v>31</v>
      </c>
      <c r="G33" s="177" t="str">
        <f>IFERROR(VLOOKUP(D33,Tabela.cadastro[[ID]:[CP ou M]],5,0),"")</f>
        <v>CP</v>
      </c>
      <c r="H33" s="177" t="str">
        <f>IFERROR(VLOOKUP(D33,Cadastros!A:F,6,0),"")</f>
        <v>M</v>
      </c>
      <c r="I33" s="177" t="str">
        <f>IFERROR(VLOOKUP(D33,Cadastros!A:I,9,0),"")</f>
        <v>S</v>
      </c>
      <c r="J33" s="177" t="str">
        <f>IFERROR(VLOOKUP(D33,Cadastros!A:J,10,0),"")</f>
        <v>N</v>
      </c>
      <c r="K33" s="177">
        <f>IF(COUNTIF(Tabela66[id],D33)=0,"",COUNTIF(Tabela66[id],D33))</f>
        <v>1</v>
      </c>
      <c r="L33" s="198"/>
      <c r="M33" s="227" t="str">
        <f>IF(AND(K33:K865&gt;=5,L33:L865="Não"),"*","")</f>
        <v/>
      </c>
      <c r="N33" s="207"/>
      <c r="O33" s="226">
        <v>5</v>
      </c>
      <c r="P33" s="176" t="str">
        <f>IFERROR(VLOOKUP(O33,Cadastros!A:B,2),"")</f>
        <v>Maria Almeida</v>
      </c>
      <c r="Q33" s="177">
        <f>IFERROR(VLOOKUP(O33,$Y$33:$Z$866,2,0),"")</f>
        <v>69</v>
      </c>
      <c r="R33" s="177" t="str">
        <f>IFERROR(VLOOKUP(O33,Cadastros!A:E,5,0),"")</f>
        <v>CP</v>
      </c>
      <c r="S33" s="177" t="str">
        <f>IFERROR(VLOOKUP(O33,Cadastros!A:F,6,0),"")</f>
        <v>F</v>
      </c>
      <c r="T33" s="177" t="str">
        <f>IFERROR(VLOOKUP(O33,Cadastros!A:I,9,0),"")</f>
        <v>N</v>
      </c>
      <c r="U33" s="177" t="str">
        <f>IFERROR(VLOOKUP(O33,Y$33:AB$866,3,0),"")</f>
        <v>N</v>
      </c>
      <c r="V33" s="177" t="str">
        <f>IFERROR(VLOOKUP(O33,Y$33:AB$866,4,0),"")</f>
        <v>N</v>
      </c>
      <c r="W33" s="177">
        <f>IF(COUNTIF(Y$33:Y$866,O33)=0,"",COUNTIF(Y$33:Y$866,O33))</f>
        <v>1</v>
      </c>
      <c r="Y33" s="240">
        <f t="array" ref="Y33">INDEX(Tabela.abordagens[],SMALL(IF(Tabela.abordagens[Mês]=$L$2,ROW(Tabela.abordagens[id])-2),ROW(A1)),1)</f>
        <v>9</v>
      </c>
      <c r="Z33" s="240">
        <f t="array" ref="Z33">INDEX(Tabela.abordagens[],SMALL(IF(Tabela.abordagens[Mês]=$L$2,ROW(Tabela.abordagens[Idade])-2),ROW(A1)),6)</f>
        <v>44</v>
      </c>
      <c r="AA33" s="240" t="str">
        <f t="array" ref="AA33">INDEX(Tabela.abordagens[],SMALL(IF(Tabela.abordagens[Mês]=$L$2,ROW(Tabela.abordagens[Idade])-2),ROW(A1)),4)</f>
        <v>N</v>
      </c>
      <c r="AB33" s="240" t="str">
        <f t="array" ref="AB33">INDEX(Tabela.abordagens[],SMALL(IF(Tabela.abordagens[Mês]=$L$2,ROW(Tabela.abordagens[Idade])-2),ROW(A1)),5)</f>
        <v>N</v>
      </c>
      <c r="AC33" s="207"/>
      <c r="AD33" s="207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</row>
    <row r="34" spans="2:153" ht="15" x14ac:dyDescent="0.25">
      <c r="B34" s="223">
        <f t="array" ref="B34">INDEX(Tabela.frequencia[],SMALL(IF(Tabela.frequencia[Mês]=$L$2,ROW(Tabela.frequencia[id])-1),ROW(A2)),1)</f>
        <v>10</v>
      </c>
      <c r="C34" s="229">
        <f t="array" ref="C34">INDEX(Tabela.frequencia[],SMALL(IF(Tabela.frequencia[Mês]=$L$2,ROW(Tabela.frequencia[id])-1),ROW(A2)),4)</f>
        <v>31</v>
      </c>
      <c r="D34" s="230">
        <v>11</v>
      </c>
      <c r="E34" s="176" t="str">
        <f>IFERROR(VLOOKUP(D34,Tabela.cadastro[[ID]:[Nome]],2,0),"")</f>
        <v>Rodolfo Gonçalvez</v>
      </c>
      <c r="F34" s="177">
        <f>IFERROR(VLOOKUP(D34,Tabela66[#All],2,0),"")</f>
        <v>31</v>
      </c>
      <c r="G34" s="177" t="str">
        <f>IFERROR(VLOOKUP(D34,Tabela.cadastro[[ID]:[CP ou M]],5,0),"")</f>
        <v>M</v>
      </c>
      <c r="H34" s="177" t="str">
        <f>IFERROR(VLOOKUP(D34,Cadastros!A:F,6,0),"")</f>
        <v>M</v>
      </c>
      <c r="I34" s="177" t="str">
        <f>IFERROR(VLOOKUP(D34,Cadastros!A:I,9,0),"")</f>
        <v>S</v>
      </c>
      <c r="J34" s="177" t="str">
        <f>IFERROR(VLOOKUP(D34,Cadastros!A:J,10,0),"")</f>
        <v>N</v>
      </c>
      <c r="K34" s="177">
        <f>IF(COUNTIF(Tabela66[id],D34)=0,"",COUNTIF(Tabela66[id],D34))</f>
        <v>1</v>
      </c>
      <c r="L34" s="198"/>
      <c r="M34" s="227" t="str">
        <f t="shared" ref="M34:M41" si="0">IF(AND(K34:K866&gt;=5,L34:L866="Não"),"*","")</f>
        <v/>
      </c>
      <c r="N34" s="207"/>
      <c r="O34" s="226">
        <v>9</v>
      </c>
      <c r="P34" s="176" t="str">
        <f>IFERROR(VLOOKUP(O34,Cadastros!A:B,2),"")</f>
        <v>Tatiane Costa</v>
      </c>
      <c r="Q34" s="177">
        <f t="shared" ref="Q34:Q97" si="1">IFERROR(VLOOKUP(O34,$Y$33:$Z$866,2,0),"")</f>
        <v>44</v>
      </c>
      <c r="R34" s="177" t="str">
        <f>IFERROR(VLOOKUP(O34,Cadastros!A:E,5,0),"")</f>
        <v>M</v>
      </c>
      <c r="S34" s="177" t="str">
        <f>IFERROR(VLOOKUP(O34,Cadastros!A:F,6,0),"")</f>
        <v>F</v>
      </c>
      <c r="T34" s="177" t="str">
        <f>IFERROR(VLOOKUP(O34,Cadastros!A:I,9,0),"")</f>
        <v>N</v>
      </c>
      <c r="U34" s="177" t="str">
        <f t="shared" ref="U34:U97" si="2">IFERROR(VLOOKUP(O34,Y$33:AB$866,3,0),"")</f>
        <v>N</v>
      </c>
      <c r="V34" s="177" t="str">
        <f t="shared" ref="V34:V97" si="3">IFERROR(VLOOKUP(O34,Y$33:AB$866,4,0),"")</f>
        <v>N</v>
      </c>
      <c r="W34" s="177">
        <f t="shared" ref="W34:W97" si="4">IF(COUNTIF(Y$33:Y$866,O34)=0,"",COUNTIF(Y$33:Y$866,O34))</f>
        <v>1</v>
      </c>
      <c r="Y34" s="240">
        <f t="array" ref="Y34">INDEX(Tabela.abordagens[],SMALL(IF(Tabela.abordagens[Mês]=$L$2,ROW(Tabela.abordagens[id])-2),ROW(A2)),1)</f>
        <v>10</v>
      </c>
      <c r="Z34" s="240">
        <f t="array" ref="Z34">INDEX(Tabela.abordagens[],SMALL(IF(Tabela.abordagens[Mês]=$L$2,ROW(Tabela.abordagens[Idade])-2),ROW(A2)),6)</f>
        <v>31</v>
      </c>
      <c r="AA34" s="240" t="str">
        <f t="array" ref="AA34">INDEX(Tabela.abordagens[],SMALL(IF(Tabela.abordagens[Mês]=$L$2,ROW(Tabela.abordagens[Idade])-2),ROW(A2)),4)</f>
        <v>S</v>
      </c>
      <c r="AB34" s="240" t="str">
        <f t="array" ref="AB34">INDEX(Tabela.abordagens[],SMALL(IF(Tabela.abordagens[Mês]=$L$2,ROW(Tabela.abordagens[Idade])-2),ROW(A2)),5)</f>
        <v>N</v>
      </c>
      <c r="AC34" s="207"/>
      <c r="AD34" s="207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</row>
    <row r="35" spans="2:153" ht="15" x14ac:dyDescent="0.25">
      <c r="B35" s="223">
        <f t="array" ref="B35">INDEX(Tabela.frequencia[],SMALL(IF(Tabela.frequencia[Mês]=$L$2,ROW(Tabela.frequencia[id])-1),ROW(A3)),1)</f>
        <v>11</v>
      </c>
      <c r="C35" s="229">
        <f t="array" ref="C35">INDEX(Tabela.frequencia[],SMALL(IF(Tabela.frequencia[Mês]=$L$2,ROW(Tabela.frequencia[id])-1),ROW(A3)),4)</f>
        <v>31</v>
      </c>
      <c r="D35" s="230">
        <v>9</v>
      </c>
      <c r="E35" s="176" t="str">
        <f>IFERROR(VLOOKUP(D35,Tabela.cadastro[[ID]:[Nome]],2,0),"")</f>
        <v>Tatiane Costa</v>
      </c>
      <c r="F35" s="177">
        <f>IFERROR(VLOOKUP(D35,Tabela66[#All],2,0),"")</f>
        <v>44</v>
      </c>
      <c r="G35" s="177" t="str">
        <f>IFERROR(VLOOKUP(D35,Tabela.cadastro[[ID]:[CP ou M]],5,0),"")</f>
        <v>M</v>
      </c>
      <c r="H35" s="177" t="str">
        <f>IFERROR(VLOOKUP(D35,Cadastros!A:F,6,0),"")</f>
        <v>F</v>
      </c>
      <c r="I35" s="177" t="str">
        <f>IFERROR(VLOOKUP(D35,Cadastros!A:I,9,0),"")</f>
        <v>N</v>
      </c>
      <c r="J35" s="177" t="str">
        <f>IFERROR(VLOOKUP(D35,Cadastros!A:J,10,0),"")</f>
        <v>N</v>
      </c>
      <c r="K35" s="177">
        <f>IF(COUNTIF(Tabela66[id],D35)=0,"",COUNTIF(Tabela66[id],D35))</f>
        <v>1</v>
      </c>
      <c r="L35" s="198"/>
      <c r="M35" s="227" t="str">
        <f t="shared" si="0"/>
        <v/>
      </c>
      <c r="N35" s="207"/>
      <c r="O35" s="226">
        <v>10</v>
      </c>
      <c r="P35" s="176" t="str">
        <f>IFERROR(VLOOKUP(O35,Cadastros!A:B,2),"")</f>
        <v>Maicon Silva</v>
      </c>
      <c r="Q35" s="177">
        <f t="shared" si="1"/>
        <v>31</v>
      </c>
      <c r="R35" s="177" t="str">
        <f>IFERROR(VLOOKUP(O35,Cadastros!A:E,5,0),"")</f>
        <v>M</v>
      </c>
      <c r="S35" s="177" t="str">
        <f>IFERROR(VLOOKUP(O35,Cadastros!A:F,6,0),"")</f>
        <v>M</v>
      </c>
      <c r="T35" s="177" t="str">
        <f>IFERROR(VLOOKUP(O35,Cadastros!A:I,9,0),"")</f>
        <v>N</v>
      </c>
      <c r="U35" s="177" t="str">
        <f t="shared" si="2"/>
        <v>S</v>
      </c>
      <c r="V35" s="177" t="str">
        <f t="shared" si="3"/>
        <v>N</v>
      </c>
      <c r="W35" s="177">
        <f t="shared" si="4"/>
        <v>1</v>
      </c>
      <c r="Y35" s="240">
        <f t="array" ref="Y35">INDEX(Tabela.abordagens[],SMALL(IF(Tabela.abordagens[Mês]=$L$2,ROW(Tabela.abordagens[id])-2),ROW(A3)),1)</f>
        <v>11</v>
      </c>
      <c r="Z35" s="240">
        <f t="array" ref="Z35">INDEX(Tabela.abordagens[],SMALL(IF(Tabela.abordagens[Mês]=$L$2,ROW(Tabela.abordagens[Idade])-2),ROW(A3)),6)</f>
        <v>31</v>
      </c>
      <c r="AA35" s="240" t="str">
        <f t="array" ref="AA35">INDEX(Tabela.abordagens[],SMALL(IF(Tabela.abordagens[Mês]=$L$2,ROW(Tabela.abordagens[Idade])-2),ROW(A3)),4)</f>
        <v>N</v>
      </c>
      <c r="AB35" s="240" t="str">
        <f t="array" ref="AB35">INDEX(Tabela.abordagens[],SMALL(IF(Tabela.abordagens[Mês]=$L$2,ROW(Tabela.abordagens[Idade])-2),ROW(A3)),5)</f>
        <v>N</v>
      </c>
      <c r="AC35" s="207"/>
      <c r="AD35" s="207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</row>
    <row r="36" spans="2:153" ht="15" x14ac:dyDescent="0.25">
      <c r="B36" s="223">
        <f t="array" ref="B36">INDEX(Tabela.frequencia[],SMALL(IF(Tabela.frequencia[Mês]=$L$2,ROW(Tabela.frequencia[id])-1),ROW(A4)),1)</f>
        <v>12</v>
      </c>
      <c r="C36" s="229">
        <f t="array" ref="C36">INDEX(Tabela.frequencia[],SMALL(IF(Tabela.frequencia[Mês]=$L$2,ROW(Tabela.frequencia[id])-1),ROW(A4)),4)</f>
        <v>25</v>
      </c>
      <c r="D36" s="230">
        <v>5</v>
      </c>
      <c r="E36" s="176" t="str">
        <f>IFERROR(VLOOKUP(D36,Tabela.cadastro[[ID]:[Nome]],2,0),"")</f>
        <v>Maria Almeida</v>
      </c>
      <c r="F36" s="177">
        <f>IFERROR(VLOOKUP(D36,Tabela66[#All],2,0),"")</f>
        <v>69</v>
      </c>
      <c r="G36" s="177" t="str">
        <f>IFERROR(VLOOKUP(D36,Tabela.cadastro[[ID]:[CP ou M]],5,0),"")</f>
        <v>CP</v>
      </c>
      <c r="H36" s="177" t="str">
        <f>IFERROR(VLOOKUP(D36,Cadastros!A:F,6,0),"")</f>
        <v>F</v>
      </c>
      <c r="I36" s="177" t="str">
        <f>IFERROR(VLOOKUP(D36,Cadastros!A:I,9,0),"")</f>
        <v>N</v>
      </c>
      <c r="J36" s="177" t="str">
        <f>IFERROR(VLOOKUP(D36,Cadastros!A:J,10,0),"")</f>
        <v>S</v>
      </c>
      <c r="K36" s="177">
        <f>IF(COUNTIF(Tabela66[id],D36)=0,"",COUNTIF(Tabela66[id],D36))</f>
        <v>1</v>
      </c>
      <c r="L36" s="198"/>
      <c r="M36" s="227" t="str">
        <f t="shared" si="0"/>
        <v/>
      </c>
      <c r="N36" s="207"/>
      <c r="O36" s="226">
        <v>11</v>
      </c>
      <c r="P36" s="176" t="str">
        <f>IFERROR(VLOOKUP(O36,Cadastros!A:B,2),"")</f>
        <v>Rodolfo Gonçalvez</v>
      </c>
      <c r="Q36" s="177">
        <f t="shared" si="1"/>
        <v>31</v>
      </c>
      <c r="R36" s="177" t="str">
        <f>IFERROR(VLOOKUP(O36,Cadastros!A:E,5,0),"")</f>
        <v>M</v>
      </c>
      <c r="S36" s="177" t="str">
        <f>IFERROR(VLOOKUP(O36,Cadastros!A:F,6,0),"")</f>
        <v>M</v>
      </c>
      <c r="T36" s="177" t="str">
        <f>IFERROR(VLOOKUP(O36,Cadastros!A:I,9,0),"")</f>
        <v>S</v>
      </c>
      <c r="U36" s="177" t="str">
        <f t="shared" si="2"/>
        <v>N</v>
      </c>
      <c r="V36" s="177" t="str">
        <f t="shared" si="3"/>
        <v>N</v>
      </c>
      <c r="W36" s="177">
        <f t="shared" si="4"/>
        <v>1</v>
      </c>
      <c r="Y36" s="240">
        <f t="array" ref="Y36">INDEX(Tabela.abordagens[],SMALL(IF(Tabela.abordagens[Mês]=$L$2,ROW(Tabela.abordagens[id])-2),ROW(A4)),1)</f>
        <v>12</v>
      </c>
      <c r="Z36" s="240">
        <f t="array" ref="Z36">INDEX(Tabela.abordagens[],SMALL(IF(Tabela.abordagens[Mês]=$L$2,ROW(Tabela.abordagens[Idade])-2),ROW(A4)),6)</f>
        <v>25</v>
      </c>
      <c r="AA36" s="240" t="str">
        <f t="array" ref="AA36">INDEX(Tabela.abordagens[],SMALL(IF(Tabela.abordagens[Mês]=$L$2,ROW(Tabela.abordagens[Idade])-2),ROW(A4)),4)</f>
        <v>N</v>
      </c>
      <c r="AB36" s="240" t="str">
        <f t="array" ref="AB36">INDEX(Tabela.abordagens[],SMALL(IF(Tabela.abordagens[Mês]=$L$2,ROW(Tabela.abordagens[Idade])-2),ROW(A4)),5)</f>
        <v>N</v>
      </c>
      <c r="AC36" s="207"/>
      <c r="AD36" s="207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</row>
    <row r="37" spans="2:153" ht="15" x14ac:dyDescent="0.25">
      <c r="B37" s="223">
        <f t="array" ref="B37">INDEX(Tabela.frequencia[],SMALL(IF(Tabela.frequencia[Mês]=$L$2,ROW(Tabela.frequencia[id])-1),ROW(A5)),1)</f>
        <v>13</v>
      </c>
      <c r="C37" s="229">
        <f t="array" ref="C37">INDEX(Tabela.frequencia[],SMALL(IF(Tabela.frequencia[Mês]=$L$2,ROW(Tabela.frequencia[id])-1),ROW(A5)),4)</f>
        <v>21</v>
      </c>
      <c r="D37" s="230">
        <v>16</v>
      </c>
      <c r="E37" s="176" t="str">
        <f>IFERROR(VLOOKUP(D37,Tabela.cadastro[[ID]:[Nome]],2,0),"")</f>
        <v>Vicente Pereira</v>
      </c>
      <c r="F37" s="177">
        <f>IFERROR(VLOOKUP(D37,Tabela66[#All],2,0),"")</f>
        <v>27</v>
      </c>
      <c r="G37" s="177" t="str">
        <f>IFERROR(VLOOKUP(D37,Tabela.cadastro[[ID]:[CP ou M]],5,0),"")</f>
        <v>M</v>
      </c>
      <c r="H37" s="177" t="str">
        <f>IFERROR(VLOOKUP(D37,Cadastros!A:F,6,0),"")</f>
        <v>M</v>
      </c>
      <c r="I37" s="177" t="str">
        <f>IFERROR(VLOOKUP(D37,Cadastros!A:I,9,0),"")</f>
        <v>S</v>
      </c>
      <c r="J37" s="177" t="str">
        <f>IFERROR(VLOOKUP(D37,Cadastros!A:J,10,0),"")</f>
        <v>N</v>
      </c>
      <c r="K37" s="177">
        <f>IF(COUNTIF(Tabela66[id],D37)=0,"",COUNTIF(Tabela66[id],D37))</f>
        <v>14</v>
      </c>
      <c r="L37" s="198"/>
      <c r="M37" s="227" t="str">
        <f t="shared" si="0"/>
        <v/>
      </c>
      <c r="N37" s="207"/>
      <c r="O37" s="226">
        <v>12</v>
      </c>
      <c r="P37" s="176" t="str">
        <f>IFERROR(VLOOKUP(O37,Cadastros!A:B,2),"")</f>
        <v>Marina Rodrigues</v>
      </c>
      <c r="Q37" s="177">
        <f t="shared" si="1"/>
        <v>25</v>
      </c>
      <c r="R37" s="177" t="str">
        <f>IFERROR(VLOOKUP(O37,Cadastros!A:E,5,0),"")</f>
        <v>M</v>
      </c>
      <c r="S37" s="177" t="str">
        <f>IFERROR(VLOOKUP(O37,Cadastros!A:F,6,0),"")</f>
        <v>F</v>
      </c>
      <c r="T37" s="177" t="str">
        <f>IFERROR(VLOOKUP(O37,Cadastros!A:I,9,0),"")</f>
        <v>S</v>
      </c>
      <c r="U37" s="177" t="str">
        <f t="shared" si="2"/>
        <v>N</v>
      </c>
      <c r="V37" s="177" t="str">
        <f t="shared" si="3"/>
        <v>N</v>
      </c>
      <c r="W37" s="177">
        <f t="shared" si="4"/>
        <v>2</v>
      </c>
      <c r="Y37" s="240">
        <f t="array" ref="Y37">INDEX(Tabela.abordagens[],SMALL(IF(Tabela.abordagens[Mês]=$L$2,ROW(Tabela.abordagens[id])-2),ROW(A5)),1)</f>
        <v>13</v>
      </c>
      <c r="Z37" s="240">
        <f t="array" ref="Z37">INDEX(Tabela.abordagens[],SMALL(IF(Tabela.abordagens[Mês]=$L$2,ROW(Tabela.abordagens[Idade])-2),ROW(A5)),6)</f>
        <v>21</v>
      </c>
      <c r="AA37" s="240" t="str">
        <f t="array" ref="AA37">INDEX(Tabela.abordagens[],SMALL(IF(Tabela.abordagens[Mês]=$L$2,ROW(Tabela.abordagens[Idade])-2),ROW(A5)),4)</f>
        <v>N</v>
      </c>
      <c r="AB37" s="240" t="str">
        <f t="array" ref="AB37">INDEX(Tabela.abordagens[],SMALL(IF(Tabela.abordagens[Mês]=$L$2,ROW(Tabela.abordagens[Idade])-2),ROW(A5)),5)</f>
        <v>N</v>
      </c>
      <c r="AC37" s="207"/>
      <c r="AD37" s="207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</row>
    <row r="38" spans="2:153" ht="15" x14ac:dyDescent="0.25">
      <c r="B38" s="223">
        <f t="array" ref="B38">INDEX(Tabela.frequencia[],SMALL(IF(Tabela.frequencia[Mês]=$L$2,ROW(Tabela.frequencia[id])-1),ROW(A6)),1)</f>
        <v>14</v>
      </c>
      <c r="C38" s="229">
        <f t="array" ref="C38">INDEX(Tabela.frequencia[],SMALL(IF(Tabela.frequencia[Mês]=$L$2,ROW(Tabela.frequencia[id])-1),ROW(A6)),4)</f>
        <v>20</v>
      </c>
      <c r="D38" s="230">
        <v>10</v>
      </c>
      <c r="E38" s="176" t="str">
        <f>IFERROR(VLOOKUP(D38,Tabela.cadastro[[ID]:[Nome]],2,0),"")</f>
        <v>Maicon Silva</v>
      </c>
      <c r="F38" s="177">
        <f>IFERROR(VLOOKUP(D38,Tabela66[#All],2,0),"")</f>
        <v>31</v>
      </c>
      <c r="G38" s="177" t="str">
        <f>IFERROR(VLOOKUP(D38,Tabela.cadastro[[ID]:[CP ou M]],5,0),"")</f>
        <v>M</v>
      </c>
      <c r="H38" s="177" t="str">
        <f>IFERROR(VLOOKUP(D38,Cadastros!A:F,6,0),"")</f>
        <v>M</v>
      </c>
      <c r="I38" s="177" t="str">
        <f>IFERROR(VLOOKUP(D38,Cadastros!A:I,9,0),"")</f>
        <v>N</v>
      </c>
      <c r="J38" s="177" t="str">
        <f>IFERROR(VLOOKUP(D38,Cadastros!A:J,10,0),"")</f>
        <v>N</v>
      </c>
      <c r="K38" s="177">
        <f>IF(COUNTIF(Tabela66[id],D38)=0,"",COUNTIF(Tabela66[id],D38))</f>
        <v>1</v>
      </c>
      <c r="L38" s="198"/>
      <c r="M38" s="227" t="str">
        <f t="shared" si="0"/>
        <v/>
      </c>
      <c r="N38" s="207"/>
      <c r="O38" s="226">
        <v>13</v>
      </c>
      <c r="P38" s="176" t="str">
        <f>IFERROR(VLOOKUP(O38,Cadastros!A:B,2),"")</f>
        <v>Valdecir Castro</v>
      </c>
      <c r="Q38" s="177">
        <f t="shared" si="1"/>
        <v>21</v>
      </c>
      <c r="R38" s="177" t="str">
        <f>IFERROR(VLOOKUP(O38,Cadastros!A:E,5,0),"")</f>
        <v>M</v>
      </c>
      <c r="S38" s="177" t="str">
        <f>IFERROR(VLOOKUP(O38,Cadastros!A:F,6,0),"")</f>
        <v>M</v>
      </c>
      <c r="T38" s="177">
        <f>IFERROR(VLOOKUP(O38,Cadastros!A:I,9,0),"")</f>
        <v>0</v>
      </c>
      <c r="U38" s="177" t="str">
        <f t="shared" si="2"/>
        <v>N</v>
      </c>
      <c r="V38" s="177" t="str">
        <f t="shared" si="3"/>
        <v>N</v>
      </c>
      <c r="W38" s="177">
        <f t="shared" si="4"/>
        <v>2</v>
      </c>
      <c r="Y38" s="240">
        <f t="array" ref="Y38">INDEX(Tabela.abordagens[],SMALL(IF(Tabela.abordagens[Mês]=$L$2,ROW(Tabela.abordagens[id])-2),ROW(A6)),1)</f>
        <v>14</v>
      </c>
      <c r="Z38" s="240">
        <f t="array" ref="Z38">INDEX(Tabela.abordagens[],SMALL(IF(Tabela.abordagens[Mês]=$L$2,ROW(Tabela.abordagens[Idade])-2),ROW(A6)),6)</f>
        <v>20</v>
      </c>
      <c r="AA38" s="240" t="str">
        <f t="array" ref="AA38">INDEX(Tabela.abordagens[],SMALL(IF(Tabela.abordagens[Mês]=$L$2,ROW(Tabela.abordagens[Idade])-2),ROW(A6)),4)</f>
        <v>S</v>
      </c>
      <c r="AB38" s="240" t="str">
        <f t="array" ref="AB38">INDEX(Tabela.abordagens[],SMALL(IF(Tabela.abordagens[Mês]=$L$2,ROW(Tabela.abordagens[Idade])-2),ROW(A6)),5)</f>
        <v>N</v>
      </c>
      <c r="AC38" s="207"/>
      <c r="AD38" s="207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</row>
    <row r="39" spans="2:153" ht="15" x14ac:dyDescent="0.25">
      <c r="B39" s="223">
        <f t="array" ref="B39">INDEX(Tabela.frequencia[],SMALL(IF(Tabela.frequencia[Mês]=$L$2,ROW(Tabela.frequencia[id])-1),ROW(A7)),1)</f>
        <v>15</v>
      </c>
      <c r="C39" s="229">
        <f t="array" ref="C39">INDEX(Tabela.frequencia[],SMALL(IF(Tabela.frequencia[Mês]=$L$2,ROW(Tabela.frequencia[id])-1),ROW(A7)),4)</f>
        <v>36</v>
      </c>
      <c r="D39" s="230">
        <v>12</v>
      </c>
      <c r="E39" s="176" t="str">
        <f>IFERROR(VLOOKUP(D39,Tabela.cadastro[[ID]:[Nome]],2,0),"")</f>
        <v>Marina Rodrigues</v>
      </c>
      <c r="F39" s="177">
        <f>IFERROR(VLOOKUP(D39,Tabela66[#All],2,0),"")</f>
        <v>25</v>
      </c>
      <c r="G39" s="177" t="str">
        <f>IFERROR(VLOOKUP(D39,Tabela.cadastro[[ID]:[CP ou M]],5,0),"")</f>
        <v>M</v>
      </c>
      <c r="H39" s="177" t="str">
        <f>IFERROR(VLOOKUP(D39,Cadastros!A:F,6,0),"")</f>
        <v>F</v>
      </c>
      <c r="I39" s="177" t="str">
        <f>IFERROR(VLOOKUP(D39,Cadastros!A:I,9,0),"")</f>
        <v>S</v>
      </c>
      <c r="J39" s="177" t="str">
        <f>IFERROR(VLOOKUP(D39,Cadastros!A:J,10,0),"")</f>
        <v>S</v>
      </c>
      <c r="K39" s="177">
        <f>IF(COUNTIF(Tabela66[id],D39)=0,"",COUNTIF(Tabela66[id],D39))</f>
        <v>6</v>
      </c>
      <c r="L39" s="198"/>
      <c r="M39" s="227" t="str">
        <f t="shared" si="0"/>
        <v/>
      </c>
      <c r="N39" s="207"/>
      <c r="O39" s="226">
        <v>14</v>
      </c>
      <c r="P39" s="176" t="str">
        <f>IFERROR(VLOOKUP(O39,Cadastros!A:B,2),"")</f>
        <v>Lucas Cabral</v>
      </c>
      <c r="Q39" s="177">
        <f t="shared" si="1"/>
        <v>20</v>
      </c>
      <c r="R39" s="177" t="str">
        <f>IFERROR(VLOOKUP(O39,Cadastros!A:E,5,0),"")</f>
        <v>M</v>
      </c>
      <c r="S39" s="177" t="str">
        <f>IFERROR(VLOOKUP(O39,Cadastros!A:F,6,0),"")</f>
        <v>F</v>
      </c>
      <c r="T39" s="177" t="str">
        <f>IFERROR(VLOOKUP(O39,Cadastros!A:I,9,0),"")</f>
        <v>N</v>
      </c>
      <c r="U39" s="177" t="str">
        <f t="shared" si="2"/>
        <v>S</v>
      </c>
      <c r="V39" s="177" t="str">
        <f t="shared" si="3"/>
        <v>N</v>
      </c>
      <c r="W39" s="177">
        <f t="shared" si="4"/>
        <v>2</v>
      </c>
      <c r="Y39" s="240">
        <f t="array" ref="Y39">INDEX(Tabela.abordagens[],SMALL(IF(Tabela.abordagens[Mês]=$L$2,ROW(Tabela.abordagens[id])-2),ROW(A7)),1)</f>
        <v>15</v>
      </c>
      <c r="Z39" s="240">
        <f t="array" ref="Z39">INDEX(Tabela.abordagens[],SMALL(IF(Tabela.abordagens[Mês]=$L$2,ROW(Tabela.abordagens[Idade])-2),ROW(A7)),6)</f>
        <v>36</v>
      </c>
      <c r="AA39" s="240" t="str">
        <f t="array" ref="AA39">INDEX(Tabela.abordagens[],SMALL(IF(Tabela.abordagens[Mês]=$L$2,ROW(Tabela.abordagens[Idade])-2),ROW(A7)),4)</f>
        <v>N</v>
      </c>
      <c r="AB39" s="240" t="str">
        <f t="array" ref="AB39">INDEX(Tabela.abordagens[],SMALL(IF(Tabela.abordagens[Mês]=$L$2,ROW(Tabela.abordagens[Idade])-2),ROW(A7)),5)</f>
        <v>N</v>
      </c>
      <c r="AC39" s="207"/>
      <c r="AD39" s="207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</row>
    <row r="40" spans="2:153" ht="15" x14ac:dyDescent="0.25">
      <c r="B40" s="223">
        <f t="array" ref="B40">INDEX(Tabela.frequencia[],SMALL(IF(Tabela.frequencia[Mês]=$L$2,ROW(Tabela.frequencia[id])-1),ROW(A8)),1)</f>
        <v>16</v>
      </c>
      <c r="C40" s="229">
        <f t="array" ref="C40">INDEX(Tabela.frequencia[],SMALL(IF(Tabela.frequencia[Mês]=$L$2,ROW(Tabela.frequencia[id])-1),ROW(A8)),4)</f>
        <v>27</v>
      </c>
      <c r="D40" s="230">
        <v>13</v>
      </c>
      <c r="E40" s="176" t="str">
        <f>IFERROR(VLOOKUP(D40,Tabela.cadastro[[ID]:[Nome]],2,0),"")</f>
        <v>Valdecir Castro</v>
      </c>
      <c r="F40" s="177">
        <f>IFERROR(VLOOKUP(D40,Tabela66[#All],2,0),"")</f>
        <v>21</v>
      </c>
      <c r="G40" s="177" t="str">
        <f>IFERROR(VLOOKUP(D40,Tabela.cadastro[[ID]:[CP ou M]],5,0),"")</f>
        <v>M</v>
      </c>
      <c r="H40" s="177" t="str">
        <f>IFERROR(VLOOKUP(D40,Cadastros!A:F,6,0),"")</f>
        <v>M</v>
      </c>
      <c r="I40" s="177">
        <f>IFERROR(VLOOKUP(D40,Cadastros!A:I,9,0),"")</f>
        <v>0</v>
      </c>
      <c r="J40" s="177" t="str">
        <f>IFERROR(VLOOKUP(D40,Cadastros!A:J,10,0),"")</f>
        <v>N</v>
      </c>
      <c r="K40" s="177">
        <f>IF(COUNTIF(Tabela66[id],D40)=0,"",COUNTIF(Tabela66[id],D40))</f>
        <v>2</v>
      </c>
      <c r="L40" s="198"/>
      <c r="M40" s="227" t="str">
        <f t="shared" si="0"/>
        <v/>
      </c>
      <c r="N40" s="207"/>
      <c r="O40" s="226">
        <v>15</v>
      </c>
      <c r="P40" s="176" t="str">
        <f>IFERROR(VLOOKUP(O40,Cadastros!A:B,2),"")</f>
        <v>Dione Silva</v>
      </c>
      <c r="Q40" s="177">
        <f t="shared" si="1"/>
        <v>36</v>
      </c>
      <c r="R40" s="177" t="str">
        <f>IFERROR(VLOOKUP(O40,Cadastros!A:E,5,0),"")</f>
        <v>M</v>
      </c>
      <c r="S40" s="177" t="str">
        <f>IFERROR(VLOOKUP(O40,Cadastros!A:F,6,0),"")</f>
        <v>F</v>
      </c>
      <c r="T40" s="177" t="str">
        <f>IFERROR(VLOOKUP(O40,Cadastros!A:I,9,0),"")</f>
        <v>N</v>
      </c>
      <c r="U40" s="177" t="str">
        <f t="shared" si="2"/>
        <v>N</v>
      </c>
      <c r="V40" s="177" t="str">
        <f t="shared" si="3"/>
        <v>N</v>
      </c>
      <c r="W40" s="177">
        <f t="shared" si="4"/>
        <v>2</v>
      </c>
      <c r="Y40" s="240">
        <f t="array" ref="Y40">INDEX(Tabela.abordagens[],SMALL(IF(Tabela.abordagens[Mês]=$L$2,ROW(Tabela.abordagens[id])-2),ROW(A8)),1)</f>
        <v>16</v>
      </c>
      <c r="Z40" s="240">
        <f t="array" ref="Z40">INDEX(Tabela.abordagens[],SMALL(IF(Tabela.abordagens[Mês]=$L$2,ROW(Tabela.abordagens[Idade])-2),ROW(A8)),6)</f>
        <v>27</v>
      </c>
      <c r="AA40" s="240" t="str">
        <f t="array" ref="AA40">INDEX(Tabela.abordagens[],SMALL(IF(Tabela.abordagens[Mês]=$L$2,ROW(Tabela.abordagens[Idade])-2),ROW(A8)),4)</f>
        <v>S</v>
      </c>
      <c r="AB40" s="240" t="str">
        <f t="array" ref="AB40">INDEX(Tabela.abordagens[],SMALL(IF(Tabela.abordagens[Mês]=$L$2,ROW(Tabela.abordagens[Idade])-2),ROW(A8)),5)</f>
        <v>S</v>
      </c>
      <c r="AC40" s="207"/>
      <c r="AD40" s="207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</row>
    <row r="41" spans="2:153" ht="15" x14ac:dyDescent="0.25">
      <c r="B41" s="223">
        <f t="array" ref="B41">INDEX(Tabela.frequencia[],SMALL(IF(Tabela.frequencia[Mês]=$L$2,ROW(Tabela.frequencia[id])-1),ROW(A9)),1)</f>
        <v>17</v>
      </c>
      <c r="C41" s="229">
        <f t="array" ref="C41">INDEX(Tabela.frequencia[],SMALL(IF(Tabela.frequencia[Mês]=$L$2,ROW(Tabela.frequencia[id])-1),ROW(A9)),4)</f>
        <v>31</v>
      </c>
      <c r="D41" s="230">
        <v>14</v>
      </c>
      <c r="E41" s="176" t="str">
        <f>IFERROR(VLOOKUP(D41,Tabela.cadastro[[ID]:[Nome]],2,0),"")</f>
        <v>Lucas Cabral</v>
      </c>
      <c r="F41" s="177">
        <f>IFERROR(VLOOKUP(D41,Tabela66[#All],2,0),"")</f>
        <v>20</v>
      </c>
      <c r="G41" s="177" t="str">
        <f>IFERROR(VLOOKUP(D41,Tabela.cadastro[[ID]:[CP ou M]],5,0),"")</f>
        <v>M</v>
      </c>
      <c r="H41" s="177" t="str">
        <f>IFERROR(VLOOKUP(D41,Cadastros!A:F,6,0),"")</f>
        <v>F</v>
      </c>
      <c r="I41" s="177" t="str">
        <f>IFERROR(VLOOKUP(D41,Cadastros!A:I,9,0),"")</f>
        <v>N</v>
      </c>
      <c r="J41" s="177" t="str">
        <f>IFERROR(VLOOKUP(D41,Cadastros!A:J,10,0),"")</f>
        <v>N</v>
      </c>
      <c r="K41" s="177">
        <f>IF(COUNTIF(Tabela66[id],D41)=0,"",COUNTIF(Tabela66[id],D41))</f>
        <v>2</v>
      </c>
      <c r="L41" s="198"/>
      <c r="M41" s="227" t="str">
        <f t="shared" si="0"/>
        <v/>
      </c>
      <c r="N41" s="207"/>
      <c r="O41" s="226">
        <v>16</v>
      </c>
      <c r="P41" s="176" t="str">
        <f>IFERROR(VLOOKUP(O41,Cadastros!A:B,2),"")</f>
        <v>Vicente Pereira</v>
      </c>
      <c r="Q41" s="177">
        <f t="shared" si="1"/>
        <v>27</v>
      </c>
      <c r="R41" s="177" t="str">
        <f>IFERROR(VLOOKUP(O41,Cadastros!A:E,5,0),"")</f>
        <v>M</v>
      </c>
      <c r="S41" s="177" t="str">
        <f>IFERROR(VLOOKUP(O41,Cadastros!A:F,6,0),"")</f>
        <v>M</v>
      </c>
      <c r="T41" s="177" t="str">
        <f>IFERROR(VLOOKUP(O41,Cadastros!A:I,9,0),"")</f>
        <v>S</v>
      </c>
      <c r="U41" s="177" t="str">
        <f t="shared" si="2"/>
        <v>S</v>
      </c>
      <c r="V41" s="177" t="str">
        <f t="shared" si="3"/>
        <v>S</v>
      </c>
      <c r="W41" s="177">
        <f t="shared" si="4"/>
        <v>2</v>
      </c>
      <c r="Y41" s="240">
        <f t="array" ref="Y41">INDEX(Tabela.abordagens[],SMALL(IF(Tabela.abordagens[Mês]=$L$2,ROW(Tabela.abordagens[id])-2),ROW(A9)),1)</f>
        <v>17</v>
      </c>
      <c r="Z41" s="240">
        <f t="array" ref="Z41">INDEX(Tabela.abordagens[],SMALL(IF(Tabela.abordagens[Mês]=$L$2,ROW(Tabela.abordagens[Idade])-2),ROW(A9)),6)</f>
        <v>31</v>
      </c>
      <c r="AA41" s="240" t="str">
        <f t="array" ref="AA41">INDEX(Tabela.abordagens[],SMALL(IF(Tabela.abordagens[Mês]=$L$2,ROW(Tabela.abordagens[Idade])-2),ROW(A9)),4)</f>
        <v>N</v>
      </c>
      <c r="AB41" s="240" t="str">
        <f t="array" ref="AB41">INDEX(Tabela.abordagens[],SMALL(IF(Tabela.abordagens[Mês]=$L$2,ROW(Tabela.abordagens[Idade])-2),ROW(A9)),5)</f>
        <v>S</v>
      </c>
      <c r="AC41" s="207"/>
      <c r="AD41" s="207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</row>
    <row r="42" spans="2:153" ht="15" x14ac:dyDescent="0.25">
      <c r="B42" s="223">
        <f t="array" ref="B42">INDEX(Tabela.frequencia[],SMALL(IF(Tabela.frequencia[Mês]=$L$2,ROW(Tabela.frequencia[id])-1),ROW(A10)),1)</f>
        <v>18</v>
      </c>
      <c r="C42" s="229">
        <f t="array" ref="C42">INDEX(Tabela.frequencia[],SMALL(IF(Tabela.frequencia[Mês]=$L$2,ROW(Tabela.frequencia[id])-1),ROW(A10)),4)</f>
        <v>34</v>
      </c>
      <c r="D42" s="230">
        <v>15</v>
      </c>
      <c r="E42" s="176" t="str">
        <f>IFERROR(VLOOKUP(D42,Tabela.cadastro[[ID]:[Nome]],2,0),"")</f>
        <v>Dione Silva</v>
      </c>
      <c r="F42" s="177">
        <f>IFERROR(VLOOKUP(D42,Tabela66[#All],2,0),"")</f>
        <v>36</v>
      </c>
      <c r="G42" s="177" t="str">
        <f>IFERROR(VLOOKUP(D42,Tabela.cadastro[[ID]:[CP ou M]],5,0),"")</f>
        <v>M</v>
      </c>
      <c r="H42" s="177" t="str">
        <f>IFERROR(VLOOKUP(D42,Cadastros!A:F,6,0),"")</f>
        <v>F</v>
      </c>
      <c r="I42" s="177" t="str">
        <f>IFERROR(VLOOKUP(D42,Cadastros!A:I,9,0),"")</f>
        <v>N</v>
      </c>
      <c r="J42" s="177" t="str">
        <f>IFERROR(VLOOKUP(D42,Cadastros!A:J,10,0),"")</f>
        <v>N</v>
      </c>
      <c r="K42" s="177">
        <f>IF(COUNTIF(Tabela66[id],D42)=0,"",COUNTIF(Tabela66[id],D42))</f>
        <v>11</v>
      </c>
      <c r="L42" s="198"/>
      <c r="M42" s="227" t="str">
        <f t="shared" ref="M42:M105" si="5">IF(AND(K42:K873&gt;=5,L42:L873="Não"),"*","")</f>
        <v/>
      </c>
      <c r="N42" s="207"/>
      <c r="O42" s="226">
        <v>17</v>
      </c>
      <c r="P42" s="176" t="str">
        <f>IFERROR(VLOOKUP(O42,Cadastros!A:B,2),"")</f>
        <v>Douglas Bragança</v>
      </c>
      <c r="Q42" s="177">
        <f t="shared" si="1"/>
        <v>31</v>
      </c>
      <c r="R42" s="177" t="str">
        <f>IFERROR(VLOOKUP(O42,Cadastros!A:E,5,0),"")</f>
        <v>CP</v>
      </c>
      <c r="S42" s="177" t="str">
        <f>IFERROR(VLOOKUP(O42,Cadastros!A:F,6,0),"")</f>
        <v>M</v>
      </c>
      <c r="T42" s="177" t="str">
        <f>IFERROR(VLOOKUP(O42,Cadastros!A:I,9,0),"")</f>
        <v>S</v>
      </c>
      <c r="U42" s="177" t="str">
        <f t="shared" si="2"/>
        <v>N</v>
      </c>
      <c r="V42" s="177" t="str">
        <f t="shared" si="3"/>
        <v>S</v>
      </c>
      <c r="W42" s="177">
        <f>IF(COUNTIF(Y$33:Y$866,O42)=0,"",COUNTIF(Y$33:Y$866,O42))</f>
        <v>1</v>
      </c>
      <c r="Y42" s="240">
        <f t="array" ref="Y42">INDEX(Tabela.abordagens[],SMALL(IF(Tabela.abordagens[Mês]=$L$2,ROW(Tabela.abordagens[id])-2),ROW(A10)),1)</f>
        <v>18</v>
      </c>
      <c r="Z42" s="240">
        <f t="array" ref="Z42">INDEX(Tabela.abordagens[],SMALL(IF(Tabela.abordagens[Mês]=$L$2,ROW(Tabela.abordagens[Idade])-2),ROW(A10)),6)</f>
        <v>34</v>
      </c>
      <c r="AA42" s="240" t="str">
        <f t="array" ref="AA42">INDEX(Tabela.abordagens[],SMALL(IF(Tabela.abordagens[Mês]=$L$2,ROW(Tabela.abordagens[Idade])-2),ROW(A10)),4)</f>
        <v>N</v>
      </c>
      <c r="AB42" s="240" t="str">
        <f t="array" ref="AB42">INDEX(Tabela.abordagens[],SMALL(IF(Tabela.abordagens[Mês]=$L$2,ROW(Tabela.abordagens[Idade])-2),ROW(A10)),5)</f>
        <v>N</v>
      </c>
      <c r="AC42" s="207"/>
      <c r="AD42" s="207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</row>
    <row r="43" spans="2:153" ht="15" x14ac:dyDescent="0.25">
      <c r="B43" s="223">
        <f t="array" ref="B43">INDEX(Tabela.frequencia[],SMALL(IF(Tabela.frequencia[Mês]=$L$2,ROW(Tabela.frequencia[id])-1),ROW(A11)),1)</f>
        <v>19</v>
      </c>
      <c r="C43" s="229">
        <f t="array" ref="C43">INDEX(Tabela.frequencia[],SMALL(IF(Tabela.frequencia[Mês]=$L$2,ROW(Tabela.frequencia[id])-1),ROW(A11)),4)</f>
        <v>29</v>
      </c>
      <c r="D43" s="230">
        <v>18</v>
      </c>
      <c r="E43" s="176" t="str">
        <f>IFERROR(VLOOKUP(D43,Tabela.cadastro[[ID]:[Nome]],2,0),"")</f>
        <v>Eduardo Costa</v>
      </c>
      <c r="F43" s="177">
        <f>IFERROR(VLOOKUP(D43,Tabela66[#All],2,0),"")</f>
        <v>34</v>
      </c>
      <c r="G43" s="177" t="str">
        <f>IFERROR(VLOOKUP(D43,Tabela.cadastro[[ID]:[CP ou M]],5,0),"")</f>
        <v>M</v>
      </c>
      <c r="H43" s="177" t="str">
        <f>IFERROR(VLOOKUP(D43,Cadastros!A:F,6,0),"")</f>
        <v>M</v>
      </c>
      <c r="I43" s="177" t="str">
        <f>IFERROR(VLOOKUP(D43,Cadastros!A:I,9,0),"")</f>
        <v>S</v>
      </c>
      <c r="J43" s="177" t="str">
        <f>IFERROR(VLOOKUP(D43,Cadastros!A:J,10,0),"")</f>
        <v>S</v>
      </c>
      <c r="K43" s="177">
        <f>IF(COUNTIF(Tabela66[id],D43)=0,"",COUNTIF(Tabela66[id],D43))</f>
        <v>1</v>
      </c>
      <c r="L43" s="198"/>
      <c r="M43" s="227" t="str">
        <f t="shared" si="5"/>
        <v/>
      </c>
      <c r="N43" s="207"/>
      <c r="O43" s="226">
        <v>18</v>
      </c>
      <c r="P43" s="176" t="str">
        <f>IFERROR(VLOOKUP(O43,Cadastros!A:B,2),"")</f>
        <v>Eduardo Costa</v>
      </c>
      <c r="Q43" s="177">
        <f t="shared" si="1"/>
        <v>34</v>
      </c>
      <c r="R43" s="177" t="str">
        <f>IFERROR(VLOOKUP(O43,Cadastros!A:E,5,0),"")</f>
        <v>M</v>
      </c>
      <c r="S43" s="177" t="str">
        <f>IFERROR(VLOOKUP(O43,Cadastros!A:F,6,0),"")</f>
        <v>M</v>
      </c>
      <c r="T43" s="177" t="str">
        <f>IFERROR(VLOOKUP(O43,Cadastros!A:I,9,0),"")</f>
        <v>S</v>
      </c>
      <c r="U43" s="177" t="str">
        <f t="shared" si="2"/>
        <v>N</v>
      </c>
      <c r="V43" s="177" t="str">
        <f t="shared" si="3"/>
        <v>N</v>
      </c>
      <c r="W43" s="177">
        <f t="shared" si="4"/>
        <v>1</v>
      </c>
      <c r="Y43" s="240">
        <f t="array" ref="Y43">INDEX(Tabela.abordagens[],SMALL(IF(Tabela.abordagens[Mês]=$L$2,ROW(Tabela.abordagens[id])-2),ROW(A11)),1)</f>
        <v>19</v>
      </c>
      <c r="Z43" s="240">
        <f t="array" ref="Z43">INDEX(Tabela.abordagens[],SMALL(IF(Tabela.abordagens[Mês]=$L$2,ROW(Tabela.abordagens[Idade])-2),ROW(A11)),6)</f>
        <v>29</v>
      </c>
      <c r="AA43" s="240" t="str">
        <f t="array" ref="AA43">INDEX(Tabela.abordagens[],SMALL(IF(Tabela.abordagens[Mês]=$L$2,ROW(Tabela.abordagens[Idade])-2),ROW(A11)),4)</f>
        <v>N</v>
      </c>
      <c r="AB43" s="240" t="str">
        <f t="array" ref="AB43">INDEX(Tabela.abordagens[],SMALL(IF(Tabela.abordagens[Mês]=$L$2,ROW(Tabela.abordagens[Idade])-2),ROW(A11)),5)</f>
        <v>N</v>
      </c>
      <c r="AC43" s="207"/>
      <c r="AD43" s="207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</row>
    <row r="44" spans="2:153" ht="15" x14ac:dyDescent="0.25">
      <c r="B44" s="223">
        <f t="array" ref="B44">INDEX(Tabela.frequencia[],SMALL(IF(Tabela.frequencia[Mês]=$L$2,ROW(Tabela.frequencia[id])-1),ROW(A12)),1)</f>
        <v>20</v>
      </c>
      <c r="C44" s="229">
        <f t="array" ref="C44">INDEX(Tabela.frequencia[],SMALL(IF(Tabela.frequencia[Mês]=$L$2,ROW(Tabela.frequencia[id])-1),ROW(A12)),4)</f>
        <v>44</v>
      </c>
      <c r="D44" s="230">
        <v>19</v>
      </c>
      <c r="E44" s="176" t="str">
        <f>IFERROR(VLOOKUP(D44,Tabela.cadastro[[ID]:[Nome]],2,0),"")</f>
        <v>Antonieta Belém</v>
      </c>
      <c r="F44" s="177">
        <f>IFERROR(VLOOKUP(D44,Tabela66[#All],2,0),"")</f>
        <v>29</v>
      </c>
      <c r="G44" s="177" t="str">
        <f>IFERROR(VLOOKUP(D44,Tabela.cadastro[[ID]:[CP ou M]],5,0),"")</f>
        <v>M</v>
      </c>
      <c r="H44" s="177" t="str">
        <f>IFERROR(VLOOKUP(D44,Cadastros!A:F,6,0),"")</f>
        <v>F</v>
      </c>
      <c r="I44" s="177" t="str">
        <f>IFERROR(VLOOKUP(D44,Cadastros!A:I,9,0),"")</f>
        <v>N</v>
      </c>
      <c r="J44" s="177" t="str">
        <f>IFERROR(VLOOKUP(D44,Cadastros!A:J,10,0),"")</f>
        <v>N</v>
      </c>
      <c r="K44" s="177">
        <f>IF(COUNTIF(Tabela66[id],D44)=0,"",COUNTIF(Tabela66[id],D44))</f>
        <v>1</v>
      </c>
      <c r="L44" s="198"/>
      <c r="M44" s="227" t="str">
        <f t="shared" si="5"/>
        <v/>
      </c>
      <c r="N44" s="207"/>
      <c r="O44" s="226">
        <v>19</v>
      </c>
      <c r="P44" s="176" t="str">
        <f>IFERROR(VLOOKUP(O44,Cadastros!A:B,2),"")</f>
        <v>Antonieta Belém</v>
      </c>
      <c r="Q44" s="177">
        <f t="shared" si="1"/>
        <v>29</v>
      </c>
      <c r="R44" s="177" t="str">
        <f>IFERROR(VLOOKUP(O44,Cadastros!A:E,5,0),"")</f>
        <v>M</v>
      </c>
      <c r="S44" s="177" t="str">
        <f>IFERROR(VLOOKUP(O44,Cadastros!A:F,6,0),"")</f>
        <v>F</v>
      </c>
      <c r="T44" s="177" t="str">
        <f>IFERROR(VLOOKUP(O44,Cadastros!A:I,9,0),"")</f>
        <v>N</v>
      </c>
      <c r="U44" s="177" t="str">
        <f t="shared" si="2"/>
        <v>N</v>
      </c>
      <c r="V44" s="177" t="str">
        <f t="shared" si="3"/>
        <v>N</v>
      </c>
      <c r="W44" s="177">
        <f t="shared" si="4"/>
        <v>1</v>
      </c>
      <c r="Y44" s="240">
        <f t="array" ref="Y44">INDEX(Tabela.abordagens[],SMALL(IF(Tabela.abordagens[Mês]=$L$2,ROW(Tabela.abordagens[id])-2),ROW(A12)),1)</f>
        <v>20</v>
      </c>
      <c r="Z44" s="240">
        <f t="array" ref="Z44">INDEX(Tabela.abordagens[],SMALL(IF(Tabela.abordagens[Mês]=$L$2,ROW(Tabela.abordagens[Idade])-2),ROW(A12)),6)</f>
        <v>44</v>
      </c>
      <c r="AA44" s="240" t="str">
        <f t="array" ref="AA44">INDEX(Tabela.abordagens[],SMALL(IF(Tabela.abordagens[Mês]=$L$2,ROW(Tabela.abordagens[Idade])-2),ROW(A12)),4)</f>
        <v>N</v>
      </c>
      <c r="AB44" s="240" t="str">
        <f t="array" ref="AB44">INDEX(Tabela.abordagens[],SMALL(IF(Tabela.abordagens[Mês]=$L$2,ROW(Tabela.abordagens[Idade])-2),ROW(A12)),5)</f>
        <v>N</v>
      </c>
      <c r="AC44" s="207"/>
      <c r="AD44" s="207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</row>
    <row r="45" spans="2:153" ht="15" x14ac:dyDescent="0.25">
      <c r="B45" s="223">
        <f t="array" ref="B45">INDEX(Tabela.frequencia[],SMALL(IF(Tabela.frequencia[Mês]=$L$2,ROW(Tabela.frequencia[id])-1),ROW(A13)),1)</f>
        <v>1</v>
      </c>
      <c r="C45" s="229">
        <f t="array" ref="C45">INDEX(Tabela.frequencia[],SMALL(IF(Tabela.frequencia[Mês]=$L$2,ROW(Tabela.frequencia[id])-1),ROW(A13)),4)</f>
        <v>19</v>
      </c>
      <c r="D45" s="230">
        <v>20</v>
      </c>
      <c r="E45" s="176" t="str">
        <f>IFERROR(VLOOKUP(D45,Tabela.cadastro[[ID]:[Nome]],2,0),"")</f>
        <v>Josefina Andrade</v>
      </c>
      <c r="F45" s="177">
        <f>IFERROR(VLOOKUP(D45,Tabela66[#All],2,0),"")</f>
        <v>44</v>
      </c>
      <c r="G45" s="177" t="str">
        <f>IFERROR(VLOOKUP(D45,Tabela.cadastro[[ID]:[CP ou M]],5,0),"")</f>
        <v>M</v>
      </c>
      <c r="H45" s="177" t="str">
        <f>IFERROR(VLOOKUP(D45,Cadastros!A:F,6,0),"")</f>
        <v>F</v>
      </c>
      <c r="I45" s="177" t="str">
        <f>IFERROR(VLOOKUP(D45,Cadastros!A:I,9,0),"")</f>
        <v>N</v>
      </c>
      <c r="J45" s="177" t="str">
        <f>IFERROR(VLOOKUP(D45,Cadastros!A:J,10,0),"")</f>
        <v>N</v>
      </c>
      <c r="K45" s="177">
        <f>IF(COUNTIF(Tabela66[id],D45)=0,"",COUNTIF(Tabela66[id],D45))</f>
        <v>1</v>
      </c>
      <c r="L45" s="198"/>
      <c r="M45" s="227" t="str">
        <f t="shared" si="5"/>
        <v/>
      </c>
      <c r="N45" s="207"/>
      <c r="O45" s="226">
        <v>20</v>
      </c>
      <c r="P45" s="176" t="str">
        <f>IFERROR(VLOOKUP(O45,Cadastros!A:B,2),"")</f>
        <v>Josefina Andrade</v>
      </c>
      <c r="Q45" s="177">
        <f t="shared" si="1"/>
        <v>44</v>
      </c>
      <c r="R45" s="177" t="str">
        <f>IFERROR(VLOOKUP(O45,Cadastros!A:E,5,0),"")</f>
        <v>M</v>
      </c>
      <c r="S45" s="177" t="str">
        <f>IFERROR(VLOOKUP(O45,Cadastros!A:F,6,0),"")</f>
        <v>F</v>
      </c>
      <c r="T45" s="177" t="str">
        <f>IFERROR(VLOOKUP(O45,Cadastros!A:I,9,0),"")</f>
        <v>N</v>
      </c>
      <c r="U45" s="177" t="str">
        <f t="shared" si="2"/>
        <v>N</v>
      </c>
      <c r="V45" s="177" t="str">
        <f t="shared" si="3"/>
        <v>N</v>
      </c>
      <c r="W45" s="177">
        <f t="shared" si="4"/>
        <v>1</v>
      </c>
      <c r="Y45" s="240">
        <f t="array" ref="Y45">INDEX(Tabela.abordagens[],SMALL(IF(Tabela.abordagens[Mês]=$L$2,ROW(Tabela.abordagens[id])-2),ROW(A13)),1)</f>
        <v>1</v>
      </c>
      <c r="Z45" s="240">
        <f t="array" ref="Z45">INDEX(Tabela.abordagens[],SMALL(IF(Tabela.abordagens[Mês]=$L$2,ROW(Tabela.abordagens[Idade])-2),ROW(A13)),6)</f>
        <v>19</v>
      </c>
      <c r="AA45" s="240" t="str">
        <f t="array" ref="AA45">INDEX(Tabela.abordagens[],SMALL(IF(Tabela.abordagens[Mês]=$L$2,ROW(Tabela.abordagens[Idade])-2),ROW(A13)),4)</f>
        <v>N</v>
      </c>
      <c r="AB45" s="240" t="str">
        <f t="array" ref="AB45">INDEX(Tabela.abordagens[],SMALL(IF(Tabela.abordagens[Mês]=$L$2,ROW(Tabela.abordagens[Idade])-2),ROW(A13)),5)</f>
        <v>N</v>
      </c>
      <c r="AC45" s="207"/>
      <c r="AD45" s="207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</row>
    <row r="46" spans="2:153" ht="15" x14ac:dyDescent="0.25">
      <c r="B46" s="223">
        <f t="array" ref="B46">INDEX(Tabela.frequencia[],SMALL(IF(Tabela.frequencia[Mês]=$L$2,ROW(Tabela.frequencia[id])-1),ROW(A14)),1)</f>
        <v>2</v>
      </c>
      <c r="C46" s="229">
        <f t="array" ref="C46">INDEX(Tabela.frequencia[],SMALL(IF(Tabela.frequencia[Mês]=$L$2,ROW(Tabela.frequencia[id])-1),ROW(A14)),4)</f>
        <v>31</v>
      </c>
      <c r="D46" s="230">
        <v>1</v>
      </c>
      <c r="E46" s="176" t="str">
        <f>IFERROR(VLOOKUP(D46,Tabela.cadastro[[ID]:[Nome]],2,0),"")</f>
        <v>Maria do Carmo</v>
      </c>
      <c r="F46" s="177">
        <f>IFERROR(VLOOKUP(D46,Tabela66[#All],2,0),"")</f>
        <v>19</v>
      </c>
      <c r="G46" s="177" t="str">
        <f>IFERROR(VLOOKUP(D46,Tabela.cadastro[[ID]:[CP ou M]],5,0),"")</f>
        <v>CP</v>
      </c>
      <c r="H46" s="177" t="str">
        <f>IFERROR(VLOOKUP(D46,Cadastros!A:F,6,0),"")</f>
        <v>F</v>
      </c>
      <c r="I46" s="177" t="str">
        <f>IFERROR(VLOOKUP(D46,Cadastros!A:I,9,0),"")</f>
        <v>N</v>
      </c>
      <c r="J46" s="177" t="str">
        <f>IFERROR(VLOOKUP(D46,Cadastros!A:J,10,0),"")</f>
        <v>N</v>
      </c>
      <c r="K46" s="177">
        <f>IF(COUNTIF(Tabela66[id],D46)=0,"",COUNTIF(Tabela66[id],D46))</f>
        <v>1</v>
      </c>
      <c r="L46" s="198"/>
      <c r="M46" s="227" t="str">
        <f t="shared" si="5"/>
        <v/>
      </c>
      <c r="N46" s="207"/>
      <c r="O46" s="226">
        <v>1</v>
      </c>
      <c r="P46" s="176" t="str">
        <f>IFERROR(VLOOKUP(O46,Cadastros!A:B,2),"")</f>
        <v>Maria do Carmo</v>
      </c>
      <c r="Q46" s="177">
        <f t="shared" si="1"/>
        <v>19</v>
      </c>
      <c r="R46" s="177" t="str">
        <f>IFERROR(VLOOKUP(O46,Cadastros!A:E,5,0),"")</f>
        <v>CP</v>
      </c>
      <c r="S46" s="177" t="str">
        <f>IFERROR(VLOOKUP(O46,Cadastros!A:F,6,0),"")</f>
        <v>F</v>
      </c>
      <c r="T46" s="177" t="str">
        <f>IFERROR(VLOOKUP(O46,Cadastros!A:I,9,0),"")</f>
        <v>N</v>
      </c>
      <c r="U46" s="177" t="str">
        <f t="shared" si="2"/>
        <v>N</v>
      </c>
      <c r="V46" s="177" t="str">
        <f t="shared" si="3"/>
        <v>N</v>
      </c>
      <c r="W46" s="177">
        <f t="shared" si="4"/>
        <v>1</v>
      </c>
      <c r="Y46" s="240">
        <f t="array" ref="Y46">INDEX(Tabela.abordagens[],SMALL(IF(Tabela.abordagens[Mês]=$L$2,ROW(Tabela.abordagens[id])-2),ROW(A14)),1)</f>
        <v>2</v>
      </c>
      <c r="Z46" s="240">
        <f t="array" ref="Z46">INDEX(Tabela.abordagens[],SMALL(IF(Tabela.abordagens[Mês]=$L$2,ROW(Tabela.abordagens[Idade])-2),ROW(A14)),6)</f>
        <v>31</v>
      </c>
      <c r="AA46" s="240" t="str">
        <f t="array" ref="AA46">INDEX(Tabela.abordagens[],SMALL(IF(Tabela.abordagens[Mês]=$L$2,ROW(Tabela.abordagens[Idade])-2),ROW(A14)),4)</f>
        <v>N</v>
      </c>
      <c r="AB46" s="240" t="str">
        <f t="array" ref="AB46">INDEX(Tabela.abordagens[],SMALL(IF(Tabela.abordagens[Mês]=$L$2,ROW(Tabela.abordagens[Idade])-2),ROW(A14)),5)</f>
        <v>N</v>
      </c>
      <c r="AC46" s="207"/>
      <c r="AD46" s="207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</row>
    <row r="47" spans="2:153" ht="15" x14ac:dyDescent="0.25">
      <c r="B47" s="223" t="e">
        <f t="array" ref="B47">INDEX(Tabela.frequencia[],SMALL(IF(Tabela.frequencia[Mês]=$L$2,ROW(Tabela.frequencia[id])-1),ROW(#REF!)),1)</f>
        <v>#REF!</v>
      </c>
      <c r="C47" s="229" t="e">
        <f t="array" ref="C47">INDEX(Tabela.frequencia[],SMALL(IF(Tabela.frequencia[Mês]=$L$2,ROW(Tabela.frequencia[id])-1),ROW(#REF!)),4)</f>
        <v>#REF!</v>
      </c>
      <c r="D47" s="230">
        <v>2</v>
      </c>
      <c r="E47" s="176" t="str">
        <f>IFERROR(VLOOKUP(D47,Tabela.cadastro[[ID]:[Nome]],2,0),"")</f>
        <v>José Augusto</v>
      </c>
      <c r="F47" s="177">
        <f>IFERROR(VLOOKUP(D47,Tabela66[#All],2,0),"")</f>
        <v>31</v>
      </c>
      <c r="G47" s="177" t="str">
        <f>IFERROR(VLOOKUP(D47,Tabela.cadastro[[ID]:[CP ou M]],5,0),"")</f>
        <v>M</v>
      </c>
      <c r="H47" s="177" t="str">
        <f>IFERROR(VLOOKUP(D47,Cadastros!A:F,6,0),"")</f>
        <v>M</v>
      </c>
      <c r="I47" s="177" t="str">
        <f>IFERROR(VLOOKUP(D47,Cadastros!A:I,9,0),"")</f>
        <v>N</v>
      </c>
      <c r="J47" s="177" t="str">
        <f>IFERROR(VLOOKUP(D47,Cadastros!A:J,10,0),"")</f>
        <v>N</v>
      </c>
      <c r="K47" s="177">
        <f>IF(COUNTIF(Tabela66[id],D47)=0,"",COUNTIF(Tabela66[id],D47))</f>
        <v>1</v>
      </c>
      <c r="L47" s="198"/>
      <c r="M47" s="227" t="str">
        <f t="shared" si="5"/>
        <v/>
      </c>
      <c r="N47" s="207"/>
      <c r="O47" s="226">
        <v>2</v>
      </c>
      <c r="P47" s="176" t="str">
        <f>IFERROR(VLOOKUP(O47,Cadastros!A:B,2),"")</f>
        <v>José Augusto</v>
      </c>
      <c r="Q47" s="177">
        <f t="shared" si="1"/>
        <v>31</v>
      </c>
      <c r="R47" s="177" t="str">
        <f>IFERROR(VLOOKUP(O47,Cadastros!A:E,5,0),"")</f>
        <v>M</v>
      </c>
      <c r="S47" s="177" t="str">
        <f>IFERROR(VLOOKUP(O47,Cadastros!A:F,6,0),"")</f>
        <v>M</v>
      </c>
      <c r="T47" s="177" t="str">
        <f>IFERROR(VLOOKUP(O47,Cadastros!A:I,9,0),"")</f>
        <v>N</v>
      </c>
      <c r="U47" s="177" t="str">
        <f t="shared" si="2"/>
        <v>N</v>
      </c>
      <c r="V47" s="177" t="str">
        <f t="shared" si="3"/>
        <v>N</v>
      </c>
      <c r="W47" s="177">
        <f t="shared" si="4"/>
        <v>1</v>
      </c>
      <c r="Y47" s="240" t="e">
        <f t="array" ref="Y47">INDEX(Tabela.abordagens[],SMALL(IF(Tabela.abordagens[Mês]=$L$2,ROW(Tabela.abordagens[id])-2),ROW(#REF!)),1)</f>
        <v>#REF!</v>
      </c>
      <c r="Z47" s="240" t="e">
        <f t="array" ref="Z47">INDEX(Tabela.abordagens[],SMALL(IF(Tabela.abordagens[Mês]=$L$2,ROW(Tabela.abordagens[Idade])-2),ROW(#REF!)),6)</f>
        <v>#REF!</v>
      </c>
      <c r="AA47" s="240" t="e">
        <f t="array" ref="AA47">INDEX(Tabela.abordagens[],SMALL(IF(Tabela.abordagens[Mês]=$L$2,ROW(Tabela.abordagens[Idade])-2),ROW(#REF!)),4)</f>
        <v>#REF!</v>
      </c>
      <c r="AB47" s="240" t="e">
        <f t="array" ref="AB47">INDEX(Tabela.abordagens[],SMALL(IF(Tabela.abordagens[Mês]=$L$2,ROW(Tabela.abordagens[Idade])-2),ROW(#REF!)),5)</f>
        <v>#REF!</v>
      </c>
      <c r="AC47" s="207"/>
      <c r="AD47" s="207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</row>
    <row r="48" spans="2:153" ht="15" x14ac:dyDescent="0.25">
      <c r="B48" s="223" t="e">
        <f t="array" ref="B48">INDEX(Tabela.frequencia[],SMALL(IF(Tabela.frequencia[Mês]=$L$2,ROW(Tabela.frequencia[id])-1),ROW(#REF!)),1)</f>
        <v>#REF!</v>
      </c>
      <c r="C48" s="229" t="e">
        <f t="array" ref="C48">INDEX(Tabela.frequencia[],SMALL(IF(Tabela.frequencia[Mês]=$L$2,ROW(Tabela.frequencia[id])-1),ROW(#REF!)),4)</f>
        <v>#REF!</v>
      </c>
      <c r="D48" s="230">
        <v>3</v>
      </c>
      <c r="E48" s="176" t="str">
        <f>IFERROR(VLOOKUP(D48,Tabela.cadastro[[ID]:[Nome]],2,0),"")</f>
        <v>Joana Silva</v>
      </c>
      <c r="F48" s="177">
        <f>IFERROR(VLOOKUP(D48,Tabela66[#All],2,0),"")</f>
        <v>29</v>
      </c>
      <c r="G48" s="177" t="str">
        <f>IFERROR(VLOOKUP(D48,Tabela.cadastro[[ID]:[CP ou M]],5,0),"")</f>
        <v>M</v>
      </c>
      <c r="H48" s="177" t="str">
        <f>IFERROR(VLOOKUP(D48,Cadastros!A:F,6,0),"")</f>
        <v>F</v>
      </c>
      <c r="I48" s="177" t="str">
        <f>IFERROR(VLOOKUP(D48,Cadastros!A:I,9,0),"")</f>
        <v>N</v>
      </c>
      <c r="J48" s="177" t="str">
        <f>IFERROR(VLOOKUP(D48,Cadastros!A:J,10,0),"")</f>
        <v>N</v>
      </c>
      <c r="K48" s="177">
        <f>IF(COUNTIF(Tabela66[id],D48)=0,"",COUNTIF(Tabela66[id],D48))</f>
        <v>1</v>
      </c>
      <c r="L48" s="198"/>
      <c r="M48" s="227" t="str">
        <f t="shared" si="5"/>
        <v/>
      </c>
      <c r="N48" s="207"/>
      <c r="O48" s="226">
        <v>3</v>
      </c>
      <c r="P48" s="176" t="str">
        <f>IFERROR(VLOOKUP(O48,Cadastros!A:B,2),"")</f>
        <v>Joana Silva</v>
      </c>
      <c r="Q48" s="177">
        <f t="shared" si="1"/>
        <v>29</v>
      </c>
      <c r="R48" s="177" t="str">
        <f>IFERROR(VLOOKUP(O48,Cadastros!A:E,5,0),"")</f>
        <v>M</v>
      </c>
      <c r="S48" s="177" t="str">
        <f>IFERROR(VLOOKUP(O48,Cadastros!A:F,6,0),"")</f>
        <v>F</v>
      </c>
      <c r="T48" s="177" t="str">
        <f>IFERROR(VLOOKUP(O48,Cadastros!A:I,9,0),"")</f>
        <v>N</v>
      </c>
      <c r="U48" s="177" t="str">
        <f t="shared" si="2"/>
        <v>N</v>
      </c>
      <c r="V48" s="177" t="str">
        <f t="shared" si="3"/>
        <v>N</v>
      </c>
      <c r="W48" s="177">
        <f t="shared" si="4"/>
        <v>1</v>
      </c>
      <c r="Y48" s="240" t="e">
        <f t="array" ref="Y48">INDEX(Tabela.abordagens[],SMALL(IF(Tabela.abordagens[Mês]=$L$2,ROW(Tabela.abordagens[id])-2),ROW(#REF!)),1)</f>
        <v>#REF!</v>
      </c>
      <c r="Z48" s="240" t="e">
        <f t="array" ref="Z48">INDEX(Tabela.abordagens[],SMALL(IF(Tabela.abordagens[Mês]=$L$2,ROW(Tabela.abordagens[Idade])-2),ROW(#REF!)),6)</f>
        <v>#REF!</v>
      </c>
      <c r="AA48" s="240" t="e">
        <f t="array" ref="AA48">INDEX(Tabela.abordagens[],SMALL(IF(Tabela.abordagens[Mês]=$L$2,ROW(Tabela.abordagens[Idade])-2),ROW(#REF!)),4)</f>
        <v>#REF!</v>
      </c>
      <c r="AB48" s="240" t="e">
        <f t="array" ref="AB48">INDEX(Tabela.abordagens[],SMALL(IF(Tabela.abordagens[Mês]=$L$2,ROW(Tabela.abordagens[Idade])-2),ROW(#REF!)),5)</f>
        <v>#REF!</v>
      </c>
      <c r="AC48" s="207"/>
      <c r="AD48" s="207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</row>
    <row r="49" spans="2:47" ht="15" x14ac:dyDescent="0.25">
      <c r="B49" s="223" t="e">
        <f t="array" ref="B49">INDEX(Tabela.frequencia[],SMALL(IF(Tabela.frequencia[Mês]=$L$2,ROW(Tabela.frequencia[id])-1),ROW(#REF!)),1)</f>
        <v>#REF!</v>
      </c>
      <c r="C49" s="229" t="e">
        <f t="array" ref="C49">INDEX(Tabela.frequencia[],SMALL(IF(Tabela.frequencia[Mês]=$L$2,ROW(Tabela.frequencia[id])-1),ROW(#REF!)),4)</f>
        <v>#REF!</v>
      </c>
      <c r="D49" s="230">
        <v>4</v>
      </c>
      <c r="E49" s="176" t="str">
        <f>IFERROR(VLOOKUP(D49,Tabela.cadastro[[ID]:[Nome]],2,0),"")</f>
        <v>João Pereira</v>
      </c>
      <c r="F49" s="177">
        <f>IFERROR(VLOOKUP(D49,Tabela66[#All],2,0),"")</f>
        <v>41</v>
      </c>
      <c r="G49" s="177" t="str">
        <f>IFERROR(VLOOKUP(D49,Tabela.cadastro[[ID]:[CP ou M]],5,0),"")</f>
        <v>M</v>
      </c>
      <c r="H49" s="177" t="str">
        <f>IFERROR(VLOOKUP(D49,Cadastros!A:F,6,0),"")</f>
        <v>M</v>
      </c>
      <c r="I49" s="177" t="str">
        <f>IFERROR(VLOOKUP(D49,Cadastros!A:I,9,0),"")</f>
        <v>N</v>
      </c>
      <c r="J49" s="177" t="str">
        <f>IFERROR(VLOOKUP(D49,Cadastros!A:J,10,0),"")</f>
        <v>N</v>
      </c>
      <c r="K49" s="177">
        <f>IF(COUNTIF(Tabela66[id],D49)=0,"",COUNTIF(Tabela66[id],D49))</f>
        <v>1</v>
      </c>
      <c r="L49" s="198"/>
      <c r="M49" s="227" t="str">
        <f t="shared" si="5"/>
        <v/>
      </c>
      <c r="N49" s="207"/>
      <c r="O49" s="226">
        <v>4</v>
      </c>
      <c r="P49" s="176" t="str">
        <f>IFERROR(VLOOKUP(O49,Cadastros!A:B,2),"")</f>
        <v>João Pereira</v>
      </c>
      <c r="Q49" s="177">
        <f t="shared" si="1"/>
        <v>41</v>
      </c>
      <c r="R49" s="177" t="str">
        <f>IFERROR(VLOOKUP(O49,Cadastros!A:E,5,0),"")</f>
        <v>M</v>
      </c>
      <c r="S49" s="177" t="str">
        <f>IFERROR(VLOOKUP(O49,Cadastros!A:F,6,0),"")</f>
        <v>M</v>
      </c>
      <c r="T49" s="177" t="str">
        <f>IFERROR(VLOOKUP(O49,Cadastros!A:I,9,0),"")</f>
        <v>N</v>
      </c>
      <c r="U49" s="177" t="str">
        <f t="shared" si="2"/>
        <v>N</v>
      </c>
      <c r="V49" s="177" t="str">
        <f t="shared" si="3"/>
        <v>N</v>
      </c>
      <c r="W49" s="177">
        <f t="shared" si="4"/>
        <v>1</v>
      </c>
      <c r="Y49" s="240" t="e">
        <f t="array" ref="Y49">INDEX(Tabela.abordagens[],SMALL(IF(Tabela.abordagens[Mês]=$L$2,ROW(Tabela.abordagens[id])-2),ROW(#REF!)),1)</f>
        <v>#REF!</v>
      </c>
      <c r="Z49" s="240" t="e">
        <f t="array" ref="Z49">INDEX(Tabela.abordagens[],SMALL(IF(Tabela.abordagens[Mês]=$L$2,ROW(Tabela.abordagens[Idade])-2),ROW(#REF!)),6)</f>
        <v>#REF!</v>
      </c>
      <c r="AA49" s="240" t="e">
        <f t="array" ref="AA49">INDEX(Tabela.abordagens[],SMALL(IF(Tabela.abordagens[Mês]=$L$2,ROW(Tabela.abordagens[Idade])-2),ROW(#REF!)),4)</f>
        <v>#REF!</v>
      </c>
      <c r="AB49" s="240" t="e">
        <f t="array" ref="AB49">INDEX(Tabela.abordagens[],SMALL(IF(Tabela.abordagens[Mês]=$L$2,ROW(Tabela.abordagens[Idade])-2),ROW(#REF!)),5)</f>
        <v>#REF!</v>
      </c>
      <c r="AC49" s="207"/>
      <c r="AD49" s="207"/>
      <c r="AE49" s="228"/>
      <c r="AF49" s="228"/>
      <c r="AG49" s="228"/>
      <c r="AH49" s="228"/>
      <c r="AI49" s="228"/>
      <c r="AJ49" s="228"/>
      <c r="AK49" s="228"/>
      <c r="AL49" s="228"/>
      <c r="AM49" s="228"/>
      <c r="AN49" s="228"/>
      <c r="AO49" s="228"/>
      <c r="AP49" s="228"/>
      <c r="AQ49" s="228"/>
      <c r="AR49" s="228"/>
      <c r="AS49" s="228"/>
      <c r="AT49" s="228"/>
      <c r="AU49" s="228"/>
    </row>
    <row r="50" spans="2:47" ht="15" x14ac:dyDescent="0.25">
      <c r="B50" s="223" t="e">
        <f t="array" ref="B50">INDEX(Tabela.frequencia[],SMALL(IF(Tabela.frequencia[Mês]=$L$2,ROW(Tabela.frequencia[id])-1),ROW(#REF!)),1)</f>
        <v>#REF!</v>
      </c>
      <c r="C50" s="229" t="e">
        <f t="array" ref="C50">INDEX(Tabela.frequencia[],SMALL(IF(Tabela.frequencia[Mês]=$L$2,ROW(Tabela.frequencia[id])-1),ROW(#REF!)),4)</f>
        <v>#REF!</v>
      </c>
      <c r="D50" s="230">
        <v>6</v>
      </c>
      <c r="E50" s="176" t="str">
        <f>IFERROR(VLOOKUP(D50,Tabela.cadastro[[ID]:[Nome]],2,0),"")</f>
        <v>Marcos Costa</v>
      </c>
      <c r="F50" s="177">
        <f>IFERROR(VLOOKUP(D50,Tabela66[#All],2,0),"")</f>
        <v>14</v>
      </c>
      <c r="G50" s="177" t="str">
        <f>IFERROR(VLOOKUP(D50,Tabela.cadastro[[ID]:[CP ou M]],5,0),"")</f>
        <v>CP</v>
      </c>
      <c r="H50" s="177" t="str">
        <f>IFERROR(VLOOKUP(D50,Cadastros!A:F,6,0),"")</f>
        <v>M</v>
      </c>
      <c r="I50" s="177" t="str">
        <f>IFERROR(VLOOKUP(D50,Cadastros!A:I,9,0),"")</f>
        <v>S</v>
      </c>
      <c r="J50" s="177" t="str">
        <f>IFERROR(VLOOKUP(D50,Cadastros!A:J,10,0),"")</f>
        <v>S</v>
      </c>
      <c r="K50" s="177">
        <f>IF(COUNTIF(Tabela66[id],D50)=0,"",COUNTIF(Tabela66[id],D50))</f>
        <v>1</v>
      </c>
      <c r="L50" s="198"/>
      <c r="M50" s="227" t="str">
        <f t="shared" si="5"/>
        <v/>
      </c>
      <c r="N50" s="207"/>
      <c r="O50" s="226">
        <v>6</v>
      </c>
      <c r="P50" s="176" t="str">
        <f>IFERROR(VLOOKUP(O50,Cadastros!A:B,2),"")</f>
        <v>Marcos Costa</v>
      </c>
      <c r="Q50" s="177">
        <f t="shared" si="1"/>
        <v>14</v>
      </c>
      <c r="R50" s="177" t="str">
        <f>IFERROR(VLOOKUP(O50,Cadastros!A:E,5,0),"")</f>
        <v>CP</v>
      </c>
      <c r="S50" s="177" t="str">
        <f>IFERROR(VLOOKUP(O50,Cadastros!A:F,6,0),"")</f>
        <v>M</v>
      </c>
      <c r="T50" s="177" t="str">
        <f>IFERROR(VLOOKUP(O50,Cadastros!A:I,9,0),"")</f>
        <v>S</v>
      </c>
      <c r="U50" s="177" t="str">
        <f t="shared" si="2"/>
        <v>N</v>
      </c>
      <c r="V50" s="177" t="str">
        <f t="shared" si="3"/>
        <v>N</v>
      </c>
      <c r="W50" s="177">
        <f t="shared" si="4"/>
        <v>1</v>
      </c>
      <c r="Y50" s="240" t="e">
        <f t="array" ref="Y50">INDEX(Tabela.abordagens[],SMALL(IF(Tabela.abordagens[Mês]=$L$2,ROW(Tabela.abordagens[id])-2),ROW(#REF!)),1)</f>
        <v>#REF!</v>
      </c>
      <c r="Z50" s="240" t="e">
        <f t="array" ref="Z50">INDEX(Tabela.abordagens[],SMALL(IF(Tabela.abordagens[Mês]=$L$2,ROW(Tabela.abordagens[Idade])-2),ROW(#REF!)),6)</f>
        <v>#REF!</v>
      </c>
      <c r="AA50" s="240" t="e">
        <f t="array" ref="AA50">INDEX(Tabela.abordagens[],SMALL(IF(Tabela.abordagens[Mês]=$L$2,ROW(Tabela.abordagens[Idade])-2),ROW(#REF!)),4)</f>
        <v>#REF!</v>
      </c>
      <c r="AB50" s="240" t="e">
        <f t="array" ref="AB50">INDEX(Tabela.abordagens[],SMALL(IF(Tabela.abordagens[Mês]=$L$2,ROW(Tabela.abordagens[Idade])-2),ROW(#REF!)),5)</f>
        <v>#REF!</v>
      </c>
      <c r="AC50" s="207"/>
      <c r="AD50" s="207"/>
      <c r="AE50" s="228"/>
      <c r="AF50" s="228"/>
      <c r="AG50" s="228"/>
      <c r="AH50" s="228"/>
      <c r="AI50" s="228"/>
      <c r="AJ50" s="228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8"/>
    </row>
    <row r="51" spans="2:47" ht="15" x14ac:dyDescent="0.25">
      <c r="B51" s="223" t="e">
        <f t="array" ref="B51">INDEX(Tabela.frequencia[],SMALL(IF(Tabela.frequencia[Mês]=$L$2,ROW(Tabela.frequencia[id])-1),ROW(#REF!)),1)</f>
        <v>#REF!</v>
      </c>
      <c r="C51" s="229" t="e">
        <f t="array" ref="C51">INDEX(Tabela.frequencia[],SMALL(IF(Tabela.frequencia[Mês]=$L$2,ROW(Tabela.frequencia[id])-1),ROW(#REF!)),4)</f>
        <v>#REF!</v>
      </c>
      <c r="D51" s="230">
        <v>7</v>
      </c>
      <c r="E51" s="176" t="str">
        <f>IFERROR(VLOOKUP(D51,Tabela.cadastro[[ID]:[Nome]],2,0),"")</f>
        <v>Alan Gomes</v>
      </c>
      <c r="F51" s="177">
        <f>IFERROR(VLOOKUP(D51,Tabela66[#All],2,0),"")</f>
        <v>74</v>
      </c>
      <c r="G51" s="177" t="str">
        <f>IFERROR(VLOOKUP(D51,Tabela.cadastro[[ID]:[CP ou M]],5,0),"")</f>
        <v>CP</v>
      </c>
      <c r="H51" s="177" t="str">
        <f>IFERROR(VLOOKUP(D51,Cadastros!A:F,6,0),"")</f>
        <v>M</v>
      </c>
      <c r="I51" s="177" t="str">
        <f>IFERROR(VLOOKUP(D51,Cadastros!A:I,9,0),"")</f>
        <v>S</v>
      </c>
      <c r="J51" s="177" t="str">
        <f>IFERROR(VLOOKUP(D51,Cadastros!A:J,10,0),"")</f>
        <v>S</v>
      </c>
      <c r="K51" s="177">
        <f>IF(COUNTIF(Tabela66[id],D51)=0,"",COUNTIF(Tabela66[id],D51))</f>
        <v>1</v>
      </c>
      <c r="L51" s="198"/>
      <c r="M51" s="227" t="str">
        <f t="shared" si="5"/>
        <v/>
      </c>
      <c r="N51" s="207"/>
      <c r="O51" s="226">
        <v>7</v>
      </c>
      <c r="P51" s="176" t="str">
        <f>IFERROR(VLOOKUP(O51,Cadastros!A:B,2),"")</f>
        <v>Alan Gomes</v>
      </c>
      <c r="Q51" s="177">
        <f t="shared" si="1"/>
        <v>74</v>
      </c>
      <c r="R51" s="177" t="str">
        <f>IFERROR(VLOOKUP(O51,Cadastros!A:E,5,0),"")</f>
        <v>CP</v>
      </c>
      <c r="S51" s="177" t="str">
        <f>IFERROR(VLOOKUP(O51,Cadastros!A:F,6,0),"")</f>
        <v>M</v>
      </c>
      <c r="T51" s="177" t="str">
        <f>IFERROR(VLOOKUP(O51,Cadastros!A:I,9,0),"")</f>
        <v>S</v>
      </c>
      <c r="U51" s="177" t="str">
        <f t="shared" si="2"/>
        <v>N</v>
      </c>
      <c r="V51" s="177" t="str">
        <f t="shared" si="3"/>
        <v>N</v>
      </c>
      <c r="W51" s="177">
        <f t="shared" si="4"/>
        <v>1</v>
      </c>
      <c r="Y51" s="240" t="e">
        <f t="array" ref="Y51">INDEX(Tabela.abordagens[],SMALL(IF(Tabela.abordagens[Mês]=$L$2,ROW(Tabela.abordagens[id])-2),ROW(#REF!)),1)</f>
        <v>#REF!</v>
      </c>
      <c r="Z51" s="240" t="e">
        <f t="array" ref="Z51">INDEX(Tabela.abordagens[],SMALL(IF(Tabela.abordagens[Mês]=$L$2,ROW(Tabela.abordagens[Idade])-2),ROW(#REF!)),6)</f>
        <v>#REF!</v>
      </c>
      <c r="AA51" s="240" t="e">
        <f t="array" ref="AA51">INDEX(Tabela.abordagens[],SMALL(IF(Tabela.abordagens[Mês]=$L$2,ROW(Tabela.abordagens[Idade])-2),ROW(#REF!)),4)</f>
        <v>#REF!</v>
      </c>
      <c r="AB51" s="240" t="e">
        <f t="array" ref="AB51">INDEX(Tabela.abordagens[],SMALL(IF(Tabela.abordagens[Mês]=$L$2,ROW(Tabela.abordagens[Idade])-2),ROW(#REF!)),5)</f>
        <v>#REF!</v>
      </c>
      <c r="AC51" s="207"/>
      <c r="AD51" s="207"/>
      <c r="AE51" s="228"/>
      <c r="AF51" s="228"/>
      <c r="AG51" s="228"/>
      <c r="AH51" s="228"/>
      <c r="AI51" s="228"/>
      <c r="AJ51" s="228"/>
      <c r="AK51" s="228"/>
      <c r="AL51" s="228"/>
      <c r="AM51" s="228"/>
      <c r="AN51" s="228"/>
      <c r="AO51" s="228"/>
      <c r="AP51" s="228"/>
      <c r="AQ51" s="228"/>
      <c r="AR51" s="228"/>
      <c r="AS51" s="228"/>
      <c r="AT51" s="228"/>
      <c r="AU51" s="228"/>
    </row>
    <row r="52" spans="2:47" ht="15" x14ac:dyDescent="0.25">
      <c r="B52" s="223" t="e">
        <f t="array" ref="B52">INDEX(Tabela.frequencia[],SMALL(IF(Tabela.frequencia[Mês]=$L$2,ROW(Tabela.frequencia[id])-1),ROW(#REF!)),1)</f>
        <v>#REF!</v>
      </c>
      <c r="C52" s="229" t="e">
        <f t="array" ref="C52">INDEX(Tabela.frequencia[],SMALL(IF(Tabela.frequencia[Mês]=$L$2,ROW(Tabela.frequencia[id])-1),ROW(#REF!)),4)</f>
        <v>#REF!</v>
      </c>
      <c r="D52" s="230">
        <v>8</v>
      </c>
      <c r="E52" s="176" t="str">
        <f>IFERROR(VLOOKUP(D52,Tabela.cadastro[[ID]:[Nome]],2,0),"")</f>
        <v>Luiz Souza</v>
      </c>
      <c r="F52" s="177">
        <f>IFERROR(VLOOKUP(D52,Tabela66[#All],2,0),"")</f>
        <v>27</v>
      </c>
      <c r="G52" s="177" t="str">
        <f>IFERROR(VLOOKUP(D52,Tabela.cadastro[[ID]:[CP ou M]],5,0),"")</f>
        <v>M</v>
      </c>
      <c r="H52" s="177" t="str">
        <f>IFERROR(VLOOKUP(D52,Cadastros!A:F,6,0),"")</f>
        <v>M</v>
      </c>
      <c r="I52" s="177" t="str">
        <f>IFERROR(VLOOKUP(D52,Cadastros!A:I,9,0),"")</f>
        <v>N</v>
      </c>
      <c r="J52" s="177" t="str">
        <f>IFERROR(VLOOKUP(D52,Cadastros!A:J,10,0),"")</f>
        <v>N</v>
      </c>
      <c r="K52" s="177">
        <f>IF(COUNTIF(Tabela66[id],D52)=0,"",COUNTIF(Tabela66[id],D52))</f>
        <v>1</v>
      </c>
      <c r="L52" s="198"/>
      <c r="M52" s="227" t="str">
        <f t="shared" si="5"/>
        <v/>
      </c>
      <c r="N52" s="207"/>
      <c r="O52" s="226">
        <v>8</v>
      </c>
      <c r="P52" s="176" t="str">
        <f>IFERROR(VLOOKUP(O52,Cadastros!A:B,2),"")</f>
        <v>Luiz Souza</v>
      </c>
      <c r="Q52" s="177">
        <f t="shared" si="1"/>
        <v>27</v>
      </c>
      <c r="R52" s="177" t="str">
        <f>IFERROR(VLOOKUP(O52,Cadastros!A:E,5,0),"")</f>
        <v>M</v>
      </c>
      <c r="S52" s="177" t="str">
        <f>IFERROR(VLOOKUP(O52,Cadastros!A:F,6,0),"")</f>
        <v>M</v>
      </c>
      <c r="T52" s="177" t="str">
        <f>IFERROR(VLOOKUP(O52,Cadastros!A:I,9,0),"")</f>
        <v>N</v>
      </c>
      <c r="U52" s="177" t="str">
        <f t="shared" si="2"/>
        <v>N</v>
      </c>
      <c r="V52" s="177" t="str">
        <f t="shared" si="3"/>
        <v>N</v>
      </c>
      <c r="W52" s="177">
        <f t="shared" si="4"/>
        <v>1</v>
      </c>
      <c r="Y52" s="240" t="e">
        <f t="array" ref="Y52">INDEX(Tabela.abordagens[],SMALL(IF(Tabela.abordagens[Mês]=$L$2,ROW(Tabela.abordagens[id])-2),ROW(#REF!)),1)</f>
        <v>#REF!</v>
      </c>
      <c r="Z52" s="240" t="e">
        <f t="array" ref="Z52">INDEX(Tabela.abordagens[],SMALL(IF(Tabela.abordagens[Mês]=$L$2,ROW(Tabela.abordagens[Idade])-2),ROW(#REF!)),6)</f>
        <v>#REF!</v>
      </c>
      <c r="AA52" s="240" t="e">
        <f t="array" ref="AA52">INDEX(Tabela.abordagens[],SMALL(IF(Tabela.abordagens[Mês]=$L$2,ROW(Tabela.abordagens[Idade])-2),ROW(#REF!)),4)</f>
        <v>#REF!</v>
      </c>
      <c r="AB52" s="240" t="e">
        <f t="array" ref="AB52">INDEX(Tabela.abordagens[],SMALL(IF(Tabela.abordagens[Mês]=$L$2,ROW(Tabela.abordagens[Idade])-2),ROW(#REF!)),5)</f>
        <v>#REF!</v>
      </c>
      <c r="AC52" s="207"/>
      <c r="AD52" s="207"/>
      <c r="AE52" s="228"/>
      <c r="AF52" s="228"/>
      <c r="AG52" s="228"/>
      <c r="AH52" s="228"/>
      <c r="AI52" s="228"/>
      <c r="AJ52" s="228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8"/>
    </row>
    <row r="53" spans="2:47" ht="15" x14ac:dyDescent="0.25">
      <c r="B53" s="223" t="e">
        <f t="array" ref="B53">INDEX(Tabela.frequencia[],SMALL(IF(Tabela.frequencia[Mês]=$L$2,ROW(Tabela.frequencia[id])-1),ROW(#REF!)),1)</f>
        <v>#REF!</v>
      </c>
      <c r="C53" s="229" t="e">
        <f t="array" ref="C53">INDEX(Tabela.frequencia[],SMALL(IF(Tabela.frequencia[Mês]=$L$2,ROW(Tabela.frequencia[id])-1),ROW(#REF!)),4)</f>
        <v>#REF!</v>
      </c>
      <c r="D53" s="230" t="s">
        <v>157</v>
      </c>
      <c r="E53" s="176" t="str">
        <f>IFERROR(VLOOKUP(D53,Tabela.cadastro[[ID]:[Nome]],2,0),"")</f>
        <v/>
      </c>
      <c r="F53" s="177" t="str">
        <f>IFERROR(VLOOKUP(D53,Tabela66[#All],2,0),"")</f>
        <v/>
      </c>
      <c r="G53" s="177" t="str">
        <f>IFERROR(VLOOKUP(D53,Tabela.cadastro[[ID]:[CP ou M]],5,0),"")</f>
        <v/>
      </c>
      <c r="H53" s="177" t="str">
        <f>IFERROR(VLOOKUP(D53,Cadastros!A:F,6,0),"")</f>
        <v/>
      </c>
      <c r="I53" s="177" t="str">
        <f>IFERROR(VLOOKUP(D53,Cadastros!A:I,9,0),"")</f>
        <v/>
      </c>
      <c r="J53" s="177" t="str">
        <f>IFERROR(VLOOKUP(D53,Cadastros!A:J,10,0),"")</f>
        <v/>
      </c>
      <c r="K53" s="177">
        <f>IF(COUNTIF(Tabela66[id],D53)=0,"",COUNTIF(Tabela66[id],D53))</f>
        <v>15</v>
      </c>
      <c r="L53" s="198"/>
      <c r="M53" s="227" t="str">
        <f t="shared" si="5"/>
        <v/>
      </c>
      <c r="N53" s="207"/>
      <c r="O53" s="226" t="s">
        <v>157</v>
      </c>
      <c r="P53" s="176" t="str">
        <f>IFERROR(VLOOKUP(O53,Cadastros!A:B,2),"")</f>
        <v/>
      </c>
      <c r="Q53" s="177" t="str">
        <f t="shared" si="1"/>
        <v/>
      </c>
      <c r="R53" s="177" t="str">
        <f>IFERROR(VLOOKUP(O53,Cadastros!A:E,5,0),"")</f>
        <v/>
      </c>
      <c r="S53" s="177" t="str">
        <f>IFERROR(VLOOKUP(O53,Cadastros!A:F,6,0),"")</f>
        <v/>
      </c>
      <c r="T53" s="177" t="str">
        <f>IFERROR(VLOOKUP(O53,Cadastros!A:I,9,0),"")</f>
        <v/>
      </c>
      <c r="U53" s="177" t="str">
        <f t="shared" si="2"/>
        <v/>
      </c>
      <c r="V53" s="177" t="str">
        <f t="shared" si="3"/>
        <v/>
      </c>
      <c r="W53" s="177">
        <f t="shared" si="4"/>
        <v>15</v>
      </c>
      <c r="Y53" s="240" t="e">
        <f t="array" ref="Y53">INDEX(Tabela.abordagens[],SMALL(IF(Tabela.abordagens[Mês]=$L$2,ROW(Tabela.abordagens[id])-2),ROW(#REF!)),1)</f>
        <v>#REF!</v>
      </c>
      <c r="Z53" s="240" t="e">
        <f t="array" ref="Z53">INDEX(Tabela.abordagens[],SMALL(IF(Tabela.abordagens[Mês]=$L$2,ROW(Tabela.abordagens[Idade])-2),ROW(#REF!)),6)</f>
        <v>#REF!</v>
      </c>
      <c r="AA53" s="240" t="e">
        <f t="array" ref="AA53">INDEX(Tabela.abordagens[],SMALL(IF(Tabela.abordagens[Mês]=$L$2,ROW(Tabela.abordagens[Idade])-2),ROW(#REF!)),4)</f>
        <v>#REF!</v>
      </c>
      <c r="AB53" s="240" t="e">
        <f t="array" ref="AB53">INDEX(Tabela.abordagens[],SMALL(IF(Tabela.abordagens[Mês]=$L$2,ROW(Tabela.abordagens[Idade])-2),ROW(#REF!)),5)</f>
        <v>#REF!</v>
      </c>
      <c r="AC53" s="207"/>
      <c r="AD53" s="207"/>
      <c r="AE53" s="228"/>
      <c r="AF53" s="228"/>
      <c r="AG53" s="228"/>
      <c r="AH53" s="228"/>
      <c r="AI53" s="228"/>
      <c r="AJ53" s="228"/>
      <c r="AK53" s="228"/>
      <c r="AL53" s="228"/>
      <c r="AM53" s="228"/>
      <c r="AN53" s="228"/>
      <c r="AO53" s="228"/>
      <c r="AP53" s="228"/>
      <c r="AQ53" s="228"/>
      <c r="AR53" s="228"/>
      <c r="AS53" s="228"/>
      <c r="AT53" s="228"/>
      <c r="AU53" s="228"/>
    </row>
    <row r="54" spans="2:47" ht="15" x14ac:dyDescent="0.25">
      <c r="B54" s="223" t="e">
        <f t="array" ref="B54">INDEX(Tabela.frequencia[],SMALL(IF(Tabela.frequencia[Mês]=$L$2,ROW(Tabela.frequencia[id])-1),ROW(#REF!)),1)</f>
        <v>#REF!</v>
      </c>
      <c r="C54" s="229" t="e">
        <f t="array" ref="C54">INDEX(Tabela.frequencia[],SMALL(IF(Tabela.frequencia[Mês]=$L$2,ROW(Tabela.frequencia[id])-1),ROW(#REF!)),4)</f>
        <v>#REF!</v>
      </c>
      <c r="D54" s="228"/>
      <c r="E54" s="176" t="str">
        <f>IFERROR(VLOOKUP(D54,Tabela.cadastro[[ID]:[Nome]],2,0),"")</f>
        <v/>
      </c>
      <c r="F54" s="177" t="str">
        <f>IFERROR(VLOOKUP(D54,Tabela66[#All],2,0),"")</f>
        <v/>
      </c>
      <c r="G54" s="177" t="str">
        <f>IFERROR(VLOOKUP(D54,Tabela.cadastro[[ID]:[CP ou M]],5,0),"")</f>
        <v/>
      </c>
      <c r="H54" s="177" t="str">
        <f>IFERROR(VLOOKUP(D54,Cadastros!A:F,6,0),"")</f>
        <v/>
      </c>
      <c r="I54" s="177" t="str">
        <f>IFERROR(VLOOKUP(D54,Cadastros!A:I,9,0),"")</f>
        <v/>
      </c>
      <c r="J54" s="177" t="str">
        <f>IFERROR(VLOOKUP(D54,Cadastros!A:J,10,0),"")</f>
        <v/>
      </c>
      <c r="K54" s="177" t="str">
        <f>IF(COUNTIF(Tabela66[id],D54)=0,"",COUNTIF(Tabela66[id],D54))</f>
        <v/>
      </c>
      <c r="L54" s="198"/>
      <c r="M54" s="227" t="str">
        <f t="shared" si="5"/>
        <v/>
      </c>
      <c r="N54" s="207"/>
      <c r="O54" s="228"/>
      <c r="P54" s="176" t="str">
        <f>IFERROR(VLOOKUP(O54,Cadastros!A:B,2),"")</f>
        <v/>
      </c>
      <c r="Q54" s="177" t="str">
        <f t="shared" si="1"/>
        <v/>
      </c>
      <c r="R54" s="177" t="str">
        <f>IFERROR(VLOOKUP(O54,Cadastros!A:E,5,0),"")</f>
        <v/>
      </c>
      <c r="S54" s="177" t="str">
        <f>IFERROR(VLOOKUP(O54,Cadastros!A:F,6,0),"")</f>
        <v/>
      </c>
      <c r="T54" s="177" t="str">
        <f>IFERROR(VLOOKUP(O54,Cadastros!A:I,9,0),"")</f>
        <v/>
      </c>
      <c r="U54" s="177" t="str">
        <f t="shared" si="2"/>
        <v/>
      </c>
      <c r="V54" s="177" t="str">
        <f t="shared" si="3"/>
        <v/>
      </c>
      <c r="W54" s="177" t="str">
        <f t="shared" si="4"/>
        <v/>
      </c>
      <c r="Y54" s="240" t="e">
        <f t="array" ref="Y54">INDEX(Tabela.abordagens[],SMALL(IF(Tabela.abordagens[Mês]=$L$2,ROW(Tabela.abordagens[id])-2),ROW(#REF!)),1)</f>
        <v>#REF!</v>
      </c>
      <c r="Z54" s="240" t="e">
        <f t="array" ref="Z54">INDEX(Tabela.abordagens[],SMALL(IF(Tabela.abordagens[Mês]=$L$2,ROW(Tabela.abordagens[Idade])-2),ROW(#REF!)),6)</f>
        <v>#REF!</v>
      </c>
      <c r="AA54" s="240" t="e">
        <f t="array" ref="AA54">INDEX(Tabela.abordagens[],SMALL(IF(Tabela.abordagens[Mês]=$L$2,ROW(Tabela.abordagens[Idade])-2),ROW(#REF!)),4)</f>
        <v>#REF!</v>
      </c>
      <c r="AB54" s="240" t="e">
        <f t="array" ref="AB54">INDEX(Tabela.abordagens[],SMALL(IF(Tabela.abordagens[Mês]=$L$2,ROW(Tabela.abordagens[Idade])-2),ROW(#REF!)),5)</f>
        <v>#REF!</v>
      </c>
      <c r="AC54" s="207"/>
      <c r="AD54" s="207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</row>
    <row r="55" spans="2:47" ht="15" x14ac:dyDescent="0.25">
      <c r="B55" s="223" t="e">
        <f t="array" ref="B55">INDEX(Tabela.frequencia[],SMALL(IF(Tabela.frequencia[Mês]=$L$2,ROW(Tabela.frequencia[id])-1),ROW(#REF!)),1)</f>
        <v>#REF!</v>
      </c>
      <c r="C55" s="229" t="e">
        <f t="array" ref="C55">INDEX(Tabela.frequencia[],SMALL(IF(Tabela.frequencia[Mês]=$L$2,ROW(Tabela.frequencia[id])-1),ROW(#REF!)),4)</f>
        <v>#REF!</v>
      </c>
      <c r="D55" s="228"/>
      <c r="E55" s="176" t="str">
        <f>IFERROR(VLOOKUP(D55,Tabela.cadastro[[ID]:[Nome]],2,0),"")</f>
        <v/>
      </c>
      <c r="F55" s="177" t="str">
        <f>IFERROR(VLOOKUP(D55,Tabela66[#All],2,0),"")</f>
        <v/>
      </c>
      <c r="G55" s="177" t="str">
        <f>IFERROR(VLOOKUP(D55,Tabela.cadastro[[ID]:[CP ou M]],5,0),"")</f>
        <v/>
      </c>
      <c r="H55" s="177" t="str">
        <f>IFERROR(VLOOKUP(D55,Cadastros!A:F,6,0),"")</f>
        <v/>
      </c>
      <c r="I55" s="177" t="str">
        <f>IFERROR(VLOOKUP(D55,Cadastros!A:I,9,0),"")</f>
        <v/>
      </c>
      <c r="J55" s="177" t="str">
        <f>IFERROR(VLOOKUP(D55,Cadastros!A:J,10,0),"")</f>
        <v/>
      </c>
      <c r="K55" s="177" t="str">
        <f>IF(COUNTIF(Tabela66[id],D55)=0,"",COUNTIF(Tabela66[id],D55))</f>
        <v/>
      </c>
      <c r="L55" s="198"/>
      <c r="M55" s="227" t="str">
        <f t="shared" si="5"/>
        <v/>
      </c>
      <c r="N55" s="207"/>
      <c r="O55" s="228"/>
      <c r="P55" s="176" t="str">
        <f>IFERROR(VLOOKUP(O55,Cadastros!A:B,2),"")</f>
        <v/>
      </c>
      <c r="Q55" s="177" t="str">
        <f t="shared" si="1"/>
        <v/>
      </c>
      <c r="R55" s="177" t="str">
        <f>IFERROR(VLOOKUP(O55,Cadastros!A:E,5,0),"")</f>
        <v/>
      </c>
      <c r="S55" s="177" t="str">
        <f>IFERROR(VLOOKUP(O55,Cadastros!A:F,6,0),"")</f>
        <v/>
      </c>
      <c r="T55" s="177" t="str">
        <f>IFERROR(VLOOKUP(O55,Cadastros!A:I,9,0),"")</f>
        <v/>
      </c>
      <c r="U55" s="177" t="str">
        <f t="shared" si="2"/>
        <v/>
      </c>
      <c r="V55" s="177" t="str">
        <f t="shared" si="3"/>
        <v/>
      </c>
      <c r="W55" s="177" t="str">
        <f t="shared" si="4"/>
        <v/>
      </c>
      <c r="Y55" s="240" t="e">
        <f t="array" ref="Y55">INDEX(Tabela.abordagens[],SMALL(IF(Tabela.abordagens[Mês]=$L$2,ROW(Tabela.abordagens[id])-2),ROW(#REF!)),1)</f>
        <v>#REF!</v>
      </c>
      <c r="Z55" s="240" t="e">
        <f t="array" ref="Z55">INDEX(Tabela.abordagens[],SMALL(IF(Tabela.abordagens[Mês]=$L$2,ROW(Tabela.abordagens[Idade])-2),ROW(#REF!)),6)</f>
        <v>#REF!</v>
      </c>
      <c r="AA55" s="240" t="e">
        <f t="array" ref="AA55">INDEX(Tabela.abordagens[],SMALL(IF(Tabela.abordagens[Mês]=$L$2,ROW(Tabela.abordagens[Idade])-2),ROW(#REF!)),4)</f>
        <v>#REF!</v>
      </c>
      <c r="AB55" s="240" t="e">
        <f t="array" ref="AB55">INDEX(Tabela.abordagens[],SMALL(IF(Tabela.abordagens[Mês]=$L$2,ROW(Tabela.abordagens[Idade])-2),ROW(#REF!)),5)</f>
        <v>#REF!</v>
      </c>
      <c r="AC55" s="207"/>
      <c r="AD55" s="207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</row>
    <row r="56" spans="2:47" ht="15" x14ac:dyDescent="0.25">
      <c r="B56" s="223" t="e">
        <f t="array" ref="B56">INDEX(Tabela.frequencia[],SMALL(IF(Tabela.frequencia[Mês]=$L$2,ROW(Tabela.frequencia[id])-1),ROW(#REF!)),1)</f>
        <v>#REF!</v>
      </c>
      <c r="C56" s="229" t="e">
        <f t="array" ref="C56">INDEX(Tabela.frequencia[],SMALL(IF(Tabela.frequencia[Mês]=$L$2,ROW(Tabela.frequencia[id])-1),ROW(#REF!)),4)</f>
        <v>#REF!</v>
      </c>
      <c r="D56" s="228"/>
      <c r="E56" s="176" t="str">
        <f>IFERROR(VLOOKUP(D56,Tabela.cadastro[[ID]:[Nome]],2,0),"")</f>
        <v/>
      </c>
      <c r="F56" s="177" t="str">
        <f>IFERROR(VLOOKUP(D56,Tabela66[#All],2,0),"")</f>
        <v/>
      </c>
      <c r="G56" s="177" t="str">
        <f>IFERROR(VLOOKUP(D56,Tabela.cadastro[[ID]:[CP ou M]],5,0),"")</f>
        <v/>
      </c>
      <c r="H56" s="177" t="str">
        <f>IFERROR(VLOOKUP(D56,Cadastros!A:F,6,0),"")</f>
        <v/>
      </c>
      <c r="I56" s="177" t="str">
        <f>IFERROR(VLOOKUP(D56,Cadastros!A:I,9,0),"")</f>
        <v/>
      </c>
      <c r="J56" s="177" t="str">
        <f>IFERROR(VLOOKUP(D56,Cadastros!A:J,10,0),"")</f>
        <v/>
      </c>
      <c r="K56" s="177" t="str">
        <f>IF(COUNTIF(Tabela66[id],D56)=0,"",COUNTIF(Tabela66[id],D56))</f>
        <v/>
      </c>
      <c r="L56" s="198"/>
      <c r="M56" s="227" t="str">
        <f t="shared" si="5"/>
        <v/>
      </c>
      <c r="N56" s="207"/>
      <c r="O56" s="228"/>
      <c r="P56" s="176" t="str">
        <f>IFERROR(VLOOKUP(O56,Cadastros!A:B,2),"")</f>
        <v/>
      </c>
      <c r="Q56" s="177" t="str">
        <f t="shared" si="1"/>
        <v/>
      </c>
      <c r="R56" s="177" t="str">
        <f>IFERROR(VLOOKUP(O56,Cadastros!A:E,5,0),"")</f>
        <v/>
      </c>
      <c r="S56" s="177" t="str">
        <f>IFERROR(VLOOKUP(O56,Cadastros!A:F,6,0),"")</f>
        <v/>
      </c>
      <c r="T56" s="177" t="str">
        <f>IFERROR(VLOOKUP(O56,Cadastros!A:I,9,0),"")</f>
        <v/>
      </c>
      <c r="U56" s="177" t="str">
        <f t="shared" si="2"/>
        <v/>
      </c>
      <c r="V56" s="177" t="str">
        <f t="shared" si="3"/>
        <v/>
      </c>
      <c r="W56" s="177" t="str">
        <f t="shared" si="4"/>
        <v/>
      </c>
      <c r="Y56" s="240" t="e">
        <f t="array" ref="Y56">INDEX(Tabela.abordagens[],SMALL(IF(Tabela.abordagens[Mês]=$L$2,ROW(Tabela.abordagens[id])-2),ROW(#REF!)),1)</f>
        <v>#REF!</v>
      </c>
      <c r="Z56" s="240" t="e">
        <f t="array" ref="Z56">INDEX(Tabela.abordagens[],SMALL(IF(Tabela.abordagens[Mês]=$L$2,ROW(Tabela.abordagens[Idade])-2),ROW(#REF!)),6)</f>
        <v>#REF!</v>
      </c>
      <c r="AA56" s="240" t="e">
        <f t="array" ref="AA56">INDEX(Tabela.abordagens[],SMALL(IF(Tabela.abordagens[Mês]=$L$2,ROW(Tabela.abordagens[Idade])-2),ROW(#REF!)),4)</f>
        <v>#REF!</v>
      </c>
      <c r="AB56" s="240" t="e">
        <f t="array" ref="AB56">INDEX(Tabela.abordagens[],SMALL(IF(Tabela.abordagens[Mês]=$L$2,ROW(Tabela.abordagens[Idade])-2),ROW(#REF!)),5)</f>
        <v>#REF!</v>
      </c>
      <c r="AC56" s="207"/>
      <c r="AD56" s="207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</row>
    <row r="57" spans="2:47" ht="15" x14ac:dyDescent="0.25">
      <c r="B57" s="223" t="e">
        <f t="array" ref="B57">INDEX(Tabela.frequencia[],SMALL(IF(Tabela.frequencia[Mês]=$L$2,ROW(Tabela.frequencia[id])-1),ROW(#REF!)),1)</f>
        <v>#REF!</v>
      </c>
      <c r="C57" s="229" t="e">
        <f t="array" ref="C57">INDEX(Tabela.frequencia[],SMALL(IF(Tabela.frequencia[Mês]=$L$2,ROW(Tabela.frequencia[id])-1),ROW(#REF!)),4)</f>
        <v>#REF!</v>
      </c>
      <c r="D57" s="228"/>
      <c r="E57" s="176" t="str">
        <f>IFERROR(VLOOKUP(D57,Tabela.cadastro[[ID]:[Nome]],2,0),"")</f>
        <v/>
      </c>
      <c r="F57" s="177" t="str">
        <f>IFERROR(VLOOKUP(D57,Tabela66[#All],2,0),"")</f>
        <v/>
      </c>
      <c r="G57" s="177" t="str">
        <f>IFERROR(VLOOKUP(D57,Tabela.cadastro[[ID]:[CP ou M]],5,0),"")</f>
        <v/>
      </c>
      <c r="H57" s="177" t="str">
        <f>IFERROR(VLOOKUP(D57,Cadastros!A:F,6,0),"")</f>
        <v/>
      </c>
      <c r="I57" s="177" t="str">
        <f>IFERROR(VLOOKUP(D57,Cadastros!A:I,9,0),"")</f>
        <v/>
      </c>
      <c r="J57" s="177" t="str">
        <f>IFERROR(VLOOKUP(D57,Cadastros!A:J,10,0),"")</f>
        <v/>
      </c>
      <c r="K57" s="177" t="str">
        <f>IF(COUNTIF(Tabela66[id],D57)=0,"",COUNTIF(Tabela66[id],D57))</f>
        <v/>
      </c>
      <c r="L57" s="198"/>
      <c r="M57" s="227" t="str">
        <f t="shared" si="5"/>
        <v/>
      </c>
      <c r="N57" s="207"/>
      <c r="O57" s="228"/>
      <c r="P57" s="176" t="str">
        <f>IFERROR(VLOOKUP(O57,Cadastros!A:B,2),"")</f>
        <v/>
      </c>
      <c r="Q57" s="177" t="str">
        <f t="shared" si="1"/>
        <v/>
      </c>
      <c r="R57" s="177" t="str">
        <f>IFERROR(VLOOKUP(O57,Cadastros!A:E,5,0),"")</f>
        <v/>
      </c>
      <c r="S57" s="177" t="str">
        <f>IFERROR(VLOOKUP(O57,Cadastros!A:F,6,0),"")</f>
        <v/>
      </c>
      <c r="T57" s="177" t="str">
        <f>IFERROR(VLOOKUP(O57,Cadastros!A:I,9,0),"")</f>
        <v/>
      </c>
      <c r="U57" s="177" t="str">
        <f t="shared" si="2"/>
        <v/>
      </c>
      <c r="V57" s="177" t="str">
        <f t="shared" si="3"/>
        <v/>
      </c>
      <c r="W57" s="177" t="str">
        <f t="shared" si="4"/>
        <v/>
      </c>
      <c r="Y57" s="240" t="e">
        <f t="array" ref="Y57">INDEX(Tabela.abordagens[],SMALL(IF(Tabela.abordagens[Mês]=$L$2,ROW(Tabela.abordagens[id])-2),ROW(#REF!)),1)</f>
        <v>#REF!</v>
      </c>
      <c r="Z57" s="240" t="e">
        <f t="array" ref="Z57">INDEX(Tabela.abordagens[],SMALL(IF(Tabela.abordagens[Mês]=$L$2,ROW(Tabela.abordagens[Idade])-2),ROW(#REF!)),6)</f>
        <v>#REF!</v>
      </c>
      <c r="AA57" s="240" t="e">
        <f t="array" ref="AA57">INDEX(Tabela.abordagens[],SMALL(IF(Tabela.abordagens[Mês]=$L$2,ROW(Tabela.abordagens[Idade])-2),ROW(#REF!)),4)</f>
        <v>#REF!</v>
      </c>
      <c r="AB57" s="240" t="e">
        <f t="array" ref="AB57">INDEX(Tabela.abordagens[],SMALL(IF(Tabela.abordagens[Mês]=$L$2,ROW(Tabela.abordagens[Idade])-2),ROW(#REF!)),5)</f>
        <v>#REF!</v>
      </c>
      <c r="AC57" s="207"/>
      <c r="AD57" s="207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</row>
    <row r="58" spans="2:47" ht="15" x14ac:dyDescent="0.25">
      <c r="B58" s="223" t="e">
        <f t="array" ref="B58">INDEX(Tabela.frequencia[],SMALL(IF(Tabela.frequencia[Mês]=$L$2,ROW(Tabela.frequencia[id])-1),ROW(#REF!)),1)</f>
        <v>#REF!</v>
      </c>
      <c r="C58" s="229" t="e">
        <f t="array" ref="C58">INDEX(Tabela.frequencia[],SMALL(IF(Tabela.frequencia[Mês]=$L$2,ROW(Tabela.frequencia[id])-1),ROW(#REF!)),4)</f>
        <v>#REF!</v>
      </c>
      <c r="D58" s="228"/>
      <c r="E58" s="176" t="str">
        <f>IFERROR(VLOOKUP(D58,Tabela.cadastro[[ID]:[Nome]],2,0),"")</f>
        <v/>
      </c>
      <c r="F58" s="177" t="str">
        <f>IFERROR(VLOOKUP(D58,Tabela66[#All],2,0),"")</f>
        <v/>
      </c>
      <c r="G58" s="177" t="str">
        <f>IFERROR(VLOOKUP(D58,Tabela.cadastro[[ID]:[CP ou M]],5,0),"")</f>
        <v/>
      </c>
      <c r="H58" s="177" t="str">
        <f>IFERROR(VLOOKUP(D58,Cadastros!A:F,6,0),"")</f>
        <v/>
      </c>
      <c r="I58" s="177" t="str">
        <f>IFERROR(VLOOKUP(D58,Cadastros!A:I,9,0),"")</f>
        <v/>
      </c>
      <c r="J58" s="177" t="str">
        <f>IFERROR(VLOOKUP(D58,Cadastros!A:J,10,0),"")</f>
        <v/>
      </c>
      <c r="K58" s="177" t="str">
        <f>IF(COUNTIF(Tabela66[id],D58)=0,"",COUNTIF(Tabela66[id],D58))</f>
        <v/>
      </c>
      <c r="L58" s="198"/>
      <c r="M58" s="227" t="str">
        <f t="shared" si="5"/>
        <v/>
      </c>
      <c r="N58" s="207"/>
      <c r="O58" s="228"/>
      <c r="P58" s="176" t="str">
        <f>IFERROR(VLOOKUP(O58,Cadastros!A:B,2),"")</f>
        <v/>
      </c>
      <c r="Q58" s="177" t="str">
        <f t="shared" si="1"/>
        <v/>
      </c>
      <c r="R58" s="177" t="str">
        <f>IFERROR(VLOOKUP(O58,Cadastros!A:E,5,0),"")</f>
        <v/>
      </c>
      <c r="S58" s="177" t="str">
        <f>IFERROR(VLOOKUP(O58,Cadastros!A:F,6,0),"")</f>
        <v/>
      </c>
      <c r="T58" s="177" t="str">
        <f>IFERROR(VLOOKUP(O58,Cadastros!A:I,9,0),"")</f>
        <v/>
      </c>
      <c r="U58" s="177" t="str">
        <f t="shared" si="2"/>
        <v/>
      </c>
      <c r="V58" s="177" t="str">
        <f t="shared" si="3"/>
        <v/>
      </c>
      <c r="W58" s="177" t="str">
        <f t="shared" si="4"/>
        <v/>
      </c>
      <c r="Y58" s="240" t="e">
        <f t="array" ref="Y58">INDEX(Tabela.abordagens[],SMALL(IF(Tabela.abordagens[Mês]=$L$2,ROW(Tabela.abordagens[id])-2),ROW(#REF!)),1)</f>
        <v>#REF!</v>
      </c>
      <c r="Z58" s="240" t="e">
        <f t="array" ref="Z58">INDEX(Tabela.abordagens[],SMALL(IF(Tabela.abordagens[Mês]=$L$2,ROW(Tabela.abordagens[Idade])-2),ROW(#REF!)),6)</f>
        <v>#REF!</v>
      </c>
      <c r="AA58" s="240" t="e">
        <f t="array" ref="AA58">INDEX(Tabela.abordagens[],SMALL(IF(Tabela.abordagens[Mês]=$L$2,ROW(Tabela.abordagens[Idade])-2),ROW(#REF!)),4)</f>
        <v>#REF!</v>
      </c>
      <c r="AB58" s="240" t="e">
        <f t="array" ref="AB58">INDEX(Tabela.abordagens[],SMALL(IF(Tabela.abordagens[Mês]=$L$2,ROW(Tabela.abordagens[Idade])-2),ROW(#REF!)),5)</f>
        <v>#REF!</v>
      </c>
      <c r="AC58" s="207"/>
      <c r="AD58" s="207"/>
      <c r="AE58" s="228"/>
      <c r="AF58" s="228"/>
      <c r="AG58" s="228"/>
      <c r="AH58" s="228"/>
      <c r="AI58" s="228"/>
      <c r="AJ58" s="228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8"/>
    </row>
    <row r="59" spans="2:47" ht="15" x14ac:dyDescent="0.25">
      <c r="B59" s="223" t="e">
        <f t="array" ref="B59">INDEX(Tabela.frequencia[],SMALL(IF(Tabela.frequencia[Mês]=$L$2,ROW(Tabela.frequencia[id])-1),ROW(#REF!)),1)</f>
        <v>#REF!</v>
      </c>
      <c r="C59" s="229" t="e">
        <f t="array" ref="C59">INDEX(Tabela.frequencia[],SMALL(IF(Tabela.frequencia[Mês]=$L$2,ROW(Tabela.frequencia[id])-1),ROW(#REF!)),4)</f>
        <v>#REF!</v>
      </c>
      <c r="D59" s="228"/>
      <c r="E59" s="176" t="str">
        <f>IFERROR(VLOOKUP(D59,Tabela.cadastro[[ID]:[Nome]],2,0),"")</f>
        <v/>
      </c>
      <c r="F59" s="177" t="str">
        <f>IFERROR(VLOOKUP(D59,Tabela66[#All],2,0),"")</f>
        <v/>
      </c>
      <c r="G59" s="177" t="str">
        <f>IFERROR(VLOOKUP(D59,Tabela.cadastro[[ID]:[CP ou M]],5,0),"")</f>
        <v/>
      </c>
      <c r="H59" s="177" t="str">
        <f>IFERROR(VLOOKUP(D59,Cadastros!A:F,6,0),"")</f>
        <v/>
      </c>
      <c r="I59" s="177" t="str">
        <f>IFERROR(VLOOKUP(D59,Cadastros!A:I,9,0),"")</f>
        <v/>
      </c>
      <c r="J59" s="177" t="str">
        <f>IFERROR(VLOOKUP(D59,Cadastros!A:J,10,0),"")</f>
        <v/>
      </c>
      <c r="K59" s="177" t="str">
        <f>IF(COUNTIF(Tabela66[id],D59)=0,"",COUNTIF(Tabela66[id],D59))</f>
        <v/>
      </c>
      <c r="L59" s="198"/>
      <c r="M59" s="227" t="str">
        <f t="shared" si="5"/>
        <v/>
      </c>
      <c r="N59" s="207"/>
      <c r="O59" s="228"/>
      <c r="P59" s="176" t="str">
        <f>IFERROR(VLOOKUP(O59,Cadastros!A:B,2),"")</f>
        <v/>
      </c>
      <c r="Q59" s="177" t="str">
        <f t="shared" si="1"/>
        <v/>
      </c>
      <c r="R59" s="177" t="str">
        <f>IFERROR(VLOOKUP(O59,Cadastros!A:E,5,0),"")</f>
        <v/>
      </c>
      <c r="S59" s="177" t="str">
        <f>IFERROR(VLOOKUP(O59,Cadastros!A:F,6,0),"")</f>
        <v/>
      </c>
      <c r="T59" s="177" t="str">
        <f>IFERROR(VLOOKUP(O59,Cadastros!A:I,9,0),"")</f>
        <v/>
      </c>
      <c r="U59" s="177" t="str">
        <f t="shared" si="2"/>
        <v/>
      </c>
      <c r="V59" s="177" t="str">
        <f t="shared" si="3"/>
        <v/>
      </c>
      <c r="W59" s="177" t="str">
        <f t="shared" si="4"/>
        <v/>
      </c>
      <c r="Y59" s="240" t="e">
        <f t="array" ref="Y59">INDEX(Tabela.abordagens[],SMALL(IF(Tabela.abordagens[Mês]=$L$2,ROW(Tabela.abordagens[id])-2),ROW(#REF!)),1)</f>
        <v>#REF!</v>
      </c>
      <c r="Z59" s="240" t="e">
        <f t="array" ref="Z59">INDEX(Tabela.abordagens[],SMALL(IF(Tabela.abordagens[Mês]=$L$2,ROW(Tabela.abordagens[Idade])-2),ROW(#REF!)),6)</f>
        <v>#REF!</v>
      </c>
      <c r="AA59" s="240" t="e">
        <f t="array" ref="AA59">INDEX(Tabela.abordagens[],SMALL(IF(Tabela.abordagens[Mês]=$L$2,ROW(Tabela.abordagens[Idade])-2),ROW(#REF!)),4)</f>
        <v>#REF!</v>
      </c>
      <c r="AB59" s="240" t="e">
        <f t="array" ref="AB59">INDEX(Tabela.abordagens[],SMALL(IF(Tabela.abordagens[Mês]=$L$2,ROW(Tabela.abordagens[Idade])-2),ROW(#REF!)),5)</f>
        <v>#REF!</v>
      </c>
      <c r="AC59" s="207"/>
      <c r="AD59" s="207"/>
      <c r="AE59" s="228"/>
      <c r="AF59" s="228"/>
      <c r="AG59" s="228"/>
      <c r="AH59" s="228"/>
      <c r="AI59" s="228"/>
      <c r="AJ59" s="228"/>
      <c r="AK59" s="228"/>
      <c r="AL59" s="228"/>
      <c r="AM59" s="228"/>
      <c r="AN59" s="228"/>
      <c r="AO59" s="228"/>
      <c r="AP59" s="228"/>
      <c r="AQ59" s="228"/>
      <c r="AR59" s="228"/>
      <c r="AS59" s="228"/>
      <c r="AT59" s="228"/>
      <c r="AU59" s="228"/>
    </row>
    <row r="60" spans="2:47" ht="15" x14ac:dyDescent="0.25">
      <c r="B60" s="223" t="e">
        <f t="array" ref="B60">INDEX(Tabela.frequencia[],SMALL(IF(Tabela.frequencia[Mês]=$L$2,ROW(Tabela.frequencia[id])-1),ROW(#REF!)),1)</f>
        <v>#REF!</v>
      </c>
      <c r="C60" s="229" t="e">
        <f t="array" ref="C60">INDEX(Tabela.frequencia[],SMALL(IF(Tabela.frequencia[Mês]=$L$2,ROW(Tabela.frequencia[id])-1),ROW(#REF!)),4)</f>
        <v>#REF!</v>
      </c>
      <c r="D60" s="228"/>
      <c r="E60" s="176" t="str">
        <f>IFERROR(VLOOKUP(D60,Tabela.cadastro[[ID]:[Nome]],2,0),"")</f>
        <v/>
      </c>
      <c r="F60" s="177" t="str">
        <f>IFERROR(VLOOKUP(D60,Tabela66[#All],2,0),"")</f>
        <v/>
      </c>
      <c r="G60" s="177" t="str">
        <f>IFERROR(VLOOKUP(D60,Tabela.cadastro[[ID]:[CP ou M]],5,0),"")</f>
        <v/>
      </c>
      <c r="H60" s="177" t="str">
        <f>IFERROR(VLOOKUP(D60,Cadastros!A:F,6,0),"")</f>
        <v/>
      </c>
      <c r="I60" s="177" t="str">
        <f>IFERROR(VLOOKUP(D60,Cadastros!A:I,9,0),"")</f>
        <v/>
      </c>
      <c r="J60" s="177" t="str">
        <f>IFERROR(VLOOKUP(D60,Cadastros!A:J,10,0),"")</f>
        <v/>
      </c>
      <c r="K60" s="177" t="str">
        <f>IF(COUNTIF(Tabela66[id],D60)=0,"",COUNTIF(Tabela66[id],D60))</f>
        <v/>
      </c>
      <c r="L60" s="198"/>
      <c r="M60" s="227" t="str">
        <f t="shared" si="5"/>
        <v/>
      </c>
      <c r="N60" s="207"/>
      <c r="O60" s="228"/>
      <c r="P60" s="176" t="str">
        <f>IFERROR(VLOOKUP(O60,Cadastros!A:B,2),"")</f>
        <v/>
      </c>
      <c r="Q60" s="177" t="str">
        <f t="shared" si="1"/>
        <v/>
      </c>
      <c r="R60" s="177" t="str">
        <f>IFERROR(VLOOKUP(O60,Cadastros!A:E,5,0),"")</f>
        <v/>
      </c>
      <c r="S60" s="177" t="str">
        <f>IFERROR(VLOOKUP(O60,Cadastros!A:F,6,0),"")</f>
        <v/>
      </c>
      <c r="T60" s="177" t="str">
        <f>IFERROR(VLOOKUP(O60,Cadastros!A:I,9,0),"")</f>
        <v/>
      </c>
      <c r="U60" s="177" t="str">
        <f t="shared" si="2"/>
        <v/>
      </c>
      <c r="V60" s="177" t="str">
        <f t="shared" si="3"/>
        <v/>
      </c>
      <c r="W60" s="177" t="str">
        <f t="shared" si="4"/>
        <v/>
      </c>
      <c r="Y60" s="240" t="e">
        <f t="array" ref="Y60">INDEX(Tabela.abordagens[],SMALL(IF(Tabela.abordagens[Mês]=$L$2,ROW(Tabela.abordagens[id])-2),ROW(#REF!)),1)</f>
        <v>#REF!</v>
      </c>
      <c r="Z60" s="240" t="e">
        <f t="array" ref="Z60">INDEX(Tabela.abordagens[],SMALL(IF(Tabela.abordagens[Mês]=$L$2,ROW(Tabela.abordagens[Idade])-2),ROW(#REF!)),6)</f>
        <v>#REF!</v>
      </c>
      <c r="AA60" s="240" t="e">
        <f t="array" ref="AA60">INDEX(Tabela.abordagens[],SMALL(IF(Tabela.abordagens[Mês]=$L$2,ROW(Tabela.abordagens[Idade])-2),ROW(#REF!)),4)</f>
        <v>#REF!</v>
      </c>
      <c r="AB60" s="240" t="e">
        <f t="array" ref="AB60">INDEX(Tabela.abordagens[],SMALL(IF(Tabela.abordagens[Mês]=$L$2,ROW(Tabela.abordagens[Idade])-2),ROW(#REF!)),5)</f>
        <v>#REF!</v>
      </c>
      <c r="AC60" s="207"/>
      <c r="AD60" s="207"/>
      <c r="AE60" s="228"/>
      <c r="AF60" s="228"/>
      <c r="AG60" s="228"/>
      <c r="AH60" s="228"/>
      <c r="AI60" s="228"/>
      <c r="AJ60" s="228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8"/>
    </row>
    <row r="61" spans="2:47" ht="15" x14ac:dyDescent="0.25">
      <c r="B61" s="223" t="e">
        <f t="array" ref="B61">INDEX(Tabela.frequencia[],SMALL(IF(Tabela.frequencia[Mês]=$L$2,ROW(Tabela.frequencia[id])-1),ROW(#REF!)),1)</f>
        <v>#REF!</v>
      </c>
      <c r="C61" s="229" t="e">
        <f t="array" ref="C61">INDEX(Tabela.frequencia[],SMALL(IF(Tabela.frequencia[Mês]=$L$2,ROW(Tabela.frequencia[id])-1),ROW(#REF!)),4)</f>
        <v>#REF!</v>
      </c>
      <c r="D61" s="228"/>
      <c r="E61" s="176" t="str">
        <f>IFERROR(VLOOKUP(D61,Tabela.cadastro[[ID]:[Nome]],2,0),"")</f>
        <v/>
      </c>
      <c r="F61" s="177" t="str">
        <f>IFERROR(VLOOKUP(D61,Tabela66[#All],2,0),"")</f>
        <v/>
      </c>
      <c r="G61" s="177" t="str">
        <f>IFERROR(VLOOKUP(D61,Tabela.cadastro[[ID]:[CP ou M]],5,0),"")</f>
        <v/>
      </c>
      <c r="H61" s="177" t="str">
        <f>IFERROR(VLOOKUP(D61,Cadastros!A:F,6,0),"")</f>
        <v/>
      </c>
      <c r="I61" s="177" t="str">
        <f>IFERROR(VLOOKUP(D61,Cadastros!A:I,9,0),"")</f>
        <v/>
      </c>
      <c r="J61" s="177" t="str">
        <f>IFERROR(VLOOKUP(D61,Cadastros!A:J,10,0),"")</f>
        <v/>
      </c>
      <c r="K61" s="177" t="str">
        <f>IF(COUNTIF(Tabela66[id],D61)=0,"",COUNTIF(Tabela66[id],D61))</f>
        <v/>
      </c>
      <c r="L61" s="198"/>
      <c r="M61" s="227" t="str">
        <f t="shared" si="5"/>
        <v/>
      </c>
      <c r="N61" s="207"/>
      <c r="O61" s="228"/>
      <c r="P61" s="176" t="str">
        <f>IFERROR(VLOOKUP(O61,Cadastros!A:B,2),"")</f>
        <v/>
      </c>
      <c r="Q61" s="177" t="str">
        <f t="shared" si="1"/>
        <v/>
      </c>
      <c r="R61" s="177" t="str">
        <f>IFERROR(VLOOKUP(O61,Cadastros!A:E,5,0),"")</f>
        <v/>
      </c>
      <c r="S61" s="177" t="str">
        <f>IFERROR(VLOOKUP(O61,Cadastros!A:F,6,0),"")</f>
        <v/>
      </c>
      <c r="T61" s="177" t="str">
        <f>IFERROR(VLOOKUP(O61,Cadastros!A:I,9,0),"")</f>
        <v/>
      </c>
      <c r="U61" s="177" t="str">
        <f t="shared" si="2"/>
        <v/>
      </c>
      <c r="V61" s="177" t="str">
        <f t="shared" si="3"/>
        <v/>
      </c>
      <c r="W61" s="177" t="str">
        <f t="shared" si="4"/>
        <v/>
      </c>
      <c r="Y61" s="240" t="e">
        <f t="array" ref="Y61">INDEX(Tabela.abordagens[],SMALL(IF(Tabela.abordagens[Mês]=$L$2,ROW(Tabela.abordagens[id])-2),ROW(#REF!)),1)</f>
        <v>#REF!</v>
      </c>
      <c r="Z61" s="240" t="e">
        <f t="array" ref="Z61">INDEX(Tabela.abordagens[],SMALL(IF(Tabela.abordagens[Mês]=$L$2,ROW(Tabela.abordagens[Idade])-2),ROW(#REF!)),6)</f>
        <v>#REF!</v>
      </c>
      <c r="AA61" s="240" t="e">
        <f t="array" ref="AA61">INDEX(Tabela.abordagens[],SMALL(IF(Tabela.abordagens[Mês]=$L$2,ROW(Tabela.abordagens[Idade])-2),ROW(#REF!)),4)</f>
        <v>#REF!</v>
      </c>
      <c r="AB61" s="240" t="e">
        <f t="array" ref="AB61">INDEX(Tabela.abordagens[],SMALL(IF(Tabela.abordagens[Mês]=$L$2,ROW(Tabela.abordagens[Idade])-2),ROW(#REF!)),5)</f>
        <v>#REF!</v>
      </c>
      <c r="AC61" s="207"/>
      <c r="AD61" s="207"/>
      <c r="AE61" s="228"/>
      <c r="AF61" s="228"/>
      <c r="AG61" s="228"/>
      <c r="AH61" s="228"/>
      <c r="AI61" s="228"/>
      <c r="AJ61" s="228"/>
      <c r="AK61" s="228"/>
      <c r="AL61" s="228"/>
      <c r="AM61" s="228"/>
      <c r="AN61" s="228"/>
      <c r="AO61" s="228"/>
      <c r="AP61" s="228"/>
      <c r="AQ61" s="228"/>
      <c r="AR61" s="228"/>
      <c r="AS61" s="228"/>
      <c r="AT61" s="228"/>
      <c r="AU61" s="228"/>
    </row>
    <row r="62" spans="2:47" ht="15" x14ac:dyDescent="0.25">
      <c r="B62" s="223">
        <f t="array" ref="B62">INDEX(Tabela.frequencia[],SMALL(IF(Tabela.frequencia[Mês]=$L$2,ROW(Tabela.frequencia[id])-1),ROW(A15)),1)</f>
        <v>3</v>
      </c>
      <c r="C62" s="229">
        <f t="array" ref="C62">INDEX(Tabela.frequencia[],SMALL(IF(Tabela.frequencia[Mês]=$L$2,ROW(Tabela.frequencia[id])-1),ROW(A15)),4)</f>
        <v>29</v>
      </c>
      <c r="D62" s="228"/>
      <c r="E62" s="176" t="str">
        <f>IFERROR(VLOOKUP(D62,Tabela.cadastro[[ID]:[Nome]],2,0),"")</f>
        <v/>
      </c>
      <c r="F62" s="177" t="str">
        <f>IFERROR(VLOOKUP(D62,Tabela66[#All],2,0),"")</f>
        <v/>
      </c>
      <c r="G62" s="177" t="str">
        <f>IFERROR(VLOOKUP(D62,Tabela.cadastro[[ID]:[CP ou M]],5,0),"")</f>
        <v/>
      </c>
      <c r="H62" s="177" t="str">
        <f>IFERROR(VLOOKUP(D62,Cadastros!A:F,6,0),"")</f>
        <v/>
      </c>
      <c r="I62" s="177" t="str">
        <f>IFERROR(VLOOKUP(D62,Cadastros!A:I,9,0),"")</f>
        <v/>
      </c>
      <c r="J62" s="177" t="str">
        <f>IFERROR(VLOOKUP(D62,Cadastros!A:J,10,0),"")</f>
        <v/>
      </c>
      <c r="K62" s="177" t="str">
        <f>IF(COUNTIF(Tabela66[id],D62)=0,"",COUNTIF(Tabela66[id],D62))</f>
        <v/>
      </c>
      <c r="L62" s="198"/>
      <c r="M62" s="227" t="str">
        <f t="shared" si="5"/>
        <v/>
      </c>
      <c r="N62" s="207"/>
      <c r="O62" s="228"/>
      <c r="P62" s="176" t="str">
        <f>IFERROR(VLOOKUP(O62,Cadastros!A:B,2),"")</f>
        <v/>
      </c>
      <c r="Q62" s="177" t="str">
        <f t="shared" si="1"/>
        <v/>
      </c>
      <c r="R62" s="177" t="str">
        <f>IFERROR(VLOOKUP(O62,Cadastros!A:E,5,0),"")</f>
        <v/>
      </c>
      <c r="S62" s="177" t="str">
        <f>IFERROR(VLOOKUP(O62,Cadastros!A:F,6,0),"")</f>
        <v/>
      </c>
      <c r="T62" s="177" t="str">
        <f>IFERROR(VLOOKUP(O62,Cadastros!A:I,9,0),"")</f>
        <v/>
      </c>
      <c r="U62" s="177" t="str">
        <f t="shared" si="2"/>
        <v/>
      </c>
      <c r="V62" s="177" t="str">
        <f t="shared" si="3"/>
        <v/>
      </c>
      <c r="W62" s="177" t="str">
        <f t="shared" si="4"/>
        <v/>
      </c>
      <c r="Y62" s="240">
        <f t="array" ref="Y62">INDEX(Tabela.abordagens[],SMALL(IF(Tabela.abordagens[Mês]=$L$2,ROW(Tabela.abordagens[id])-2),ROW(A15)),1)</f>
        <v>3</v>
      </c>
      <c r="Z62" s="240">
        <f t="array" ref="Z62">INDEX(Tabela.abordagens[],SMALL(IF(Tabela.abordagens[Mês]=$L$2,ROW(Tabela.abordagens[Idade])-2),ROW(A15)),6)</f>
        <v>29</v>
      </c>
      <c r="AA62" s="240" t="str">
        <f t="array" ref="AA62">INDEX(Tabela.abordagens[],SMALL(IF(Tabela.abordagens[Mês]=$L$2,ROW(Tabela.abordagens[Idade])-2),ROW(A15)),4)</f>
        <v>N</v>
      </c>
      <c r="AB62" s="240" t="str">
        <f t="array" ref="AB62">INDEX(Tabela.abordagens[],SMALL(IF(Tabela.abordagens[Mês]=$L$2,ROW(Tabela.abordagens[Idade])-2),ROW(A15)),5)</f>
        <v>N</v>
      </c>
      <c r="AC62" s="207"/>
      <c r="AD62" s="207"/>
      <c r="AE62" s="228"/>
      <c r="AF62" s="228"/>
      <c r="AG62" s="228"/>
      <c r="AH62" s="228"/>
      <c r="AI62" s="228"/>
      <c r="AJ62" s="228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8"/>
    </row>
    <row r="63" spans="2:47" ht="15" x14ac:dyDescent="0.25">
      <c r="B63" s="223">
        <f t="array" ref="B63">INDEX(Tabela.frequencia[],SMALL(IF(Tabela.frequencia[Mês]=$L$2,ROW(Tabela.frequencia[id])-1),ROW(A16)),1)</f>
        <v>4</v>
      </c>
      <c r="C63" s="229">
        <f t="array" ref="C63">INDEX(Tabela.frequencia[],SMALL(IF(Tabela.frequencia[Mês]=$L$2,ROW(Tabela.frequencia[id])-1),ROW(A16)),4)</f>
        <v>41</v>
      </c>
      <c r="D63" s="228"/>
      <c r="E63" s="176" t="str">
        <f>IFERROR(VLOOKUP(D63,Tabela.cadastro[[ID]:[Nome]],2,0),"")</f>
        <v/>
      </c>
      <c r="F63" s="177" t="str">
        <f>IFERROR(VLOOKUP(D63,Tabela66[#All],2,0),"")</f>
        <v/>
      </c>
      <c r="G63" s="177" t="str">
        <f>IFERROR(VLOOKUP(D63,Tabela.cadastro[[ID]:[CP ou M]],5,0),"")</f>
        <v/>
      </c>
      <c r="H63" s="177" t="str">
        <f>IFERROR(VLOOKUP(D63,Cadastros!A:F,6,0),"")</f>
        <v/>
      </c>
      <c r="I63" s="177" t="str">
        <f>IFERROR(VLOOKUP(D63,Cadastros!A:I,9,0),"")</f>
        <v/>
      </c>
      <c r="J63" s="177" t="str">
        <f>IFERROR(VLOOKUP(D63,Cadastros!A:J,10,0),"")</f>
        <v/>
      </c>
      <c r="K63" s="177" t="str">
        <f>IF(COUNTIF(Tabela66[id],D63)=0,"",COUNTIF(Tabela66[id],D63))</f>
        <v/>
      </c>
      <c r="L63" s="198"/>
      <c r="M63" s="227" t="str">
        <f t="shared" si="5"/>
        <v/>
      </c>
      <c r="N63" s="207"/>
      <c r="O63" s="228"/>
      <c r="P63" s="176" t="str">
        <f>IFERROR(VLOOKUP(O63,Cadastros!A:B,2),"")</f>
        <v/>
      </c>
      <c r="Q63" s="177" t="str">
        <f t="shared" si="1"/>
        <v/>
      </c>
      <c r="R63" s="177" t="str">
        <f>IFERROR(VLOOKUP(O63,Cadastros!A:E,5,0),"")</f>
        <v/>
      </c>
      <c r="S63" s="177" t="str">
        <f>IFERROR(VLOOKUP(O63,Cadastros!A:F,6,0),"")</f>
        <v/>
      </c>
      <c r="T63" s="177" t="str">
        <f>IFERROR(VLOOKUP(O63,Cadastros!A:I,9,0),"")</f>
        <v/>
      </c>
      <c r="U63" s="177" t="str">
        <f t="shared" si="2"/>
        <v/>
      </c>
      <c r="V63" s="177" t="str">
        <f t="shared" si="3"/>
        <v/>
      </c>
      <c r="W63" s="177" t="str">
        <f t="shared" si="4"/>
        <v/>
      </c>
      <c r="Y63" s="240">
        <f t="array" ref="Y63">INDEX(Tabela.abordagens[],SMALL(IF(Tabela.abordagens[Mês]=$L$2,ROW(Tabela.abordagens[id])-2),ROW(A16)),1)</f>
        <v>4</v>
      </c>
      <c r="Z63" s="240">
        <f t="array" ref="Z63">INDEX(Tabela.abordagens[],SMALL(IF(Tabela.abordagens[Mês]=$L$2,ROW(Tabela.abordagens[Idade])-2),ROW(A16)),6)</f>
        <v>41</v>
      </c>
      <c r="AA63" s="240" t="str">
        <f t="array" ref="AA63">INDEX(Tabela.abordagens[],SMALL(IF(Tabela.abordagens[Mês]=$L$2,ROW(Tabela.abordagens[Idade])-2),ROW(A16)),4)</f>
        <v>N</v>
      </c>
      <c r="AB63" s="240" t="str">
        <f t="array" ref="AB63">INDEX(Tabela.abordagens[],SMALL(IF(Tabela.abordagens[Mês]=$L$2,ROW(Tabela.abordagens[Idade])-2),ROW(A16)),5)</f>
        <v>N</v>
      </c>
      <c r="AC63" s="207"/>
      <c r="AD63" s="207"/>
      <c r="AE63" s="228"/>
      <c r="AF63" s="228"/>
      <c r="AG63" s="228"/>
      <c r="AH63" s="228"/>
      <c r="AI63" s="228"/>
      <c r="AJ63" s="228"/>
      <c r="AK63" s="228"/>
      <c r="AL63" s="228"/>
      <c r="AM63" s="228"/>
      <c r="AN63" s="228"/>
      <c r="AO63" s="228"/>
      <c r="AP63" s="228"/>
      <c r="AQ63" s="228"/>
      <c r="AR63" s="228"/>
      <c r="AS63" s="228"/>
      <c r="AT63" s="228"/>
      <c r="AU63" s="228"/>
    </row>
    <row r="64" spans="2:47" ht="15" x14ac:dyDescent="0.25">
      <c r="B64" s="223">
        <f t="array" ref="B64">INDEX(Tabela.frequencia[],SMALL(IF(Tabela.frequencia[Mês]=$L$2,ROW(Tabela.frequencia[id])-1),ROW(A17)),1)</f>
        <v>5</v>
      </c>
      <c r="C64" s="229">
        <f t="array" ref="C64">INDEX(Tabela.frequencia[],SMALL(IF(Tabela.frequencia[Mês]=$L$2,ROW(Tabela.frequencia[id])-1),ROW(A17)),4)</f>
        <v>69</v>
      </c>
      <c r="D64" s="228"/>
      <c r="E64" s="176" t="str">
        <f>IFERROR(VLOOKUP(D64,Tabela.cadastro[[ID]:[Nome]],2,0),"")</f>
        <v/>
      </c>
      <c r="F64" s="177" t="str">
        <f>IFERROR(VLOOKUP(D64,Tabela66[#All],2,0),"")</f>
        <v/>
      </c>
      <c r="G64" s="177" t="str">
        <f>IFERROR(VLOOKUP(D64,Tabela.cadastro[[ID]:[CP ou M]],5,0),"")</f>
        <v/>
      </c>
      <c r="H64" s="177" t="str">
        <f>IFERROR(VLOOKUP(D64,Cadastros!A:F,6,0),"")</f>
        <v/>
      </c>
      <c r="I64" s="177" t="str">
        <f>IFERROR(VLOOKUP(D64,Cadastros!A:I,9,0),"")</f>
        <v/>
      </c>
      <c r="J64" s="177" t="str">
        <f>IFERROR(VLOOKUP(D64,Cadastros!A:J,10,0),"")</f>
        <v/>
      </c>
      <c r="K64" s="177" t="str">
        <f>IF(COUNTIF(Tabela66[id],D64)=0,"",COUNTIF(Tabela66[id],D64))</f>
        <v/>
      </c>
      <c r="L64" s="198"/>
      <c r="M64" s="227" t="str">
        <f t="shared" si="5"/>
        <v/>
      </c>
      <c r="N64" s="207"/>
      <c r="O64" s="228"/>
      <c r="P64" s="176" t="str">
        <f>IFERROR(VLOOKUP(O64,Cadastros!A:B,2),"")</f>
        <v/>
      </c>
      <c r="Q64" s="177" t="str">
        <f t="shared" si="1"/>
        <v/>
      </c>
      <c r="R64" s="177" t="str">
        <f>IFERROR(VLOOKUP(O64,Cadastros!A:E,5,0),"")</f>
        <v/>
      </c>
      <c r="S64" s="177" t="str">
        <f>IFERROR(VLOOKUP(O64,Cadastros!A:F,6,0),"")</f>
        <v/>
      </c>
      <c r="T64" s="177" t="str">
        <f>IFERROR(VLOOKUP(O64,Cadastros!A:I,9,0),"")</f>
        <v/>
      </c>
      <c r="U64" s="177" t="str">
        <f t="shared" si="2"/>
        <v/>
      </c>
      <c r="V64" s="177" t="str">
        <f t="shared" si="3"/>
        <v/>
      </c>
      <c r="W64" s="177" t="str">
        <f t="shared" si="4"/>
        <v/>
      </c>
      <c r="Y64" s="240">
        <f t="array" ref="Y64">INDEX(Tabela.abordagens[],SMALL(IF(Tabela.abordagens[Mês]=$L$2,ROW(Tabela.abordagens[id])-2),ROW(A17)),1)</f>
        <v>5</v>
      </c>
      <c r="Z64" s="240">
        <f t="array" ref="Z64">INDEX(Tabela.abordagens[],SMALL(IF(Tabela.abordagens[Mês]=$L$2,ROW(Tabela.abordagens[Idade])-2),ROW(A17)),6)</f>
        <v>69</v>
      </c>
      <c r="AA64" s="240" t="str">
        <f t="array" ref="AA64">INDEX(Tabela.abordagens[],SMALL(IF(Tabela.abordagens[Mês]=$L$2,ROW(Tabela.abordagens[Idade])-2),ROW(A17)),4)</f>
        <v>N</v>
      </c>
      <c r="AB64" s="240" t="str">
        <f t="array" ref="AB64">INDEX(Tabela.abordagens[],SMALL(IF(Tabela.abordagens[Mês]=$L$2,ROW(Tabela.abordagens[Idade])-2),ROW(A17)),5)</f>
        <v>N</v>
      </c>
      <c r="AC64" s="207"/>
      <c r="AD64" s="207"/>
      <c r="AE64" s="228"/>
      <c r="AF64" s="228"/>
      <c r="AG64" s="228"/>
      <c r="AH64" s="228"/>
      <c r="AI64" s="228"/>
      <c r="AJ64" s="228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8"/>
    </row>
    <row r="65" spans="2:47" ht="15" x14ac:dyDescent="0.25">
      <c r="B65" s="223">
        <f t="array" ref="B65">INDEX(Tabela.frequencia[],SMALL(IF(Tabela.frequencia[Mês]=$L$2,ROW(Tabela.frequencia[id])-1),ROW(A18)),1)</f>
        <v>6</v>
      </c>
      <c r="C65" s="229">
        <f t="array" ref="C65">INDEX(Tabela.frequencia[],SMALL(IF(Tabela.frequencia[Mês]=$L$2,ROW(Tabela.frequencia[id])-1),ROW(A18)),4)</f>
        <v>14</v>
      </c>
      <c r="D65" s="228"/>
      <c r="E65" s="176" t="str">
        <f>IFERROR(VLOOKUP(D65,Tabela.cadastro[[ID]:[Nome]],2,0),"")</f>
        <v/>
      </c>
      <c r="F65" s="177" t="str">
        <f>IFERROR(VLOOKUP(D65,Tabela66[#All],2,0),"")</f>
        <v/>
      </c>
      <c r="G65" s="177" t="str">
        <f>IFERROR(VLOOKUP(D65,Tabela.cadastro[[ID]:[CP ou M]],5,0),"")</f>
        <v/>
      </c>
      <c r="H65" s="177" t="str">
        <f>IFERROR(VLOOKUP(D65,Cadastros!A:F,6,0),"")</f>
        <v/>
      </c>
      <c r="I65" s="177" t="str">
        <f>IFERROR(VLOOKUP(D65,Cadastros!A:I,9,0),"")</f>
        <v/>
      </c>
      <c r="J65" s="177" t="str">
        <f>IFERROR(VLOOKUP(D65,Cadastros!A:J,10,0),"")</f>
        <v/>
      </c>
      <c r="K65" s="177" t="str">
        <f>IF(COUNTIF(Tabela66[id],D65)=0,"",COUNTIF(Tabela66[id],D65))</f>
        <v/>
      </c>
      <c r="L65" s="198"/>
      <c r="M65" s="227" t="str">
        <f t="shared" si="5"/>
        <v/>
      </c>
      <c r="N65" s="207"/>
      <c r="O65" s="228"/>
      <c r="P65" s="176" t="str">
        <f>IFERROR(VLOOKUP(O65,Cadastros!A:B,2),"")</f>
        <v/>
      </c>
      <c r="Q65" s="177" t="str">
        <f t="shared" si="1"/>
        <v/>
      </c>
      <c r="R65" s="177" t="str">
        <f>IFERROR(VLOOKUP(O65,Cadastros!A:E,5,0),"")</f>
        <v/>
      </c>
      <c r="S65" s="177" t="str">
        <f>IFERROR(VLOOKUP(O65,Cadastros!A:F,6,0),"")</f>
        <v/>
      </c>
      <c r="T65" s="177" t="str">
        <f>IFERROR(VLOOKUP(O65,Cadastros!A:I,9,0),"")</f>
        <v/>
      </c>
      <c r="U65" s="177" t="str">
        <f t="shared" si="2"/>
        <v/>
      </c>
      <c r="V65" s="177" t="str">
        <f t="shared" si="3"/>
        <v/>
      </c>
      <c r="W65" s="177" t="str">
        <f t="shared" si="4"/>
        <v/>
      </c>
      <c r="Y65" s="240">
        <f t="array" ref="Y65">INDEX(Tabela.abordagens[],SMALL(IF(Tabela.abordagens[Mês]=$L$2,ROW(Tabela.abordagens[id])-2),ROW(A18)),1)</f>
        <v>6</v>
      </c>
      <c r="Z65" s="240">
        <f t="array" ref="Z65">INDEX(Tabela.abordagens[],SMALL(IF(Tabela.abordagens[Mês]=$L$2,ROW(Tabela.abordagens[Idade])-2),ROW(A18)),6)</f>
        <v>14</v>
      </c>
      <c r="AA65" s="240" t="str">
        <f t="array" ref="AA65">INDEX(Tabela.abordagens[],SMALL(IF(Tabela.abordagens[Mês]=$L$2,ROW(Tabela.abordagens[Idade])-2),ROW(A18)),4)</f>
        <v>N</v>
      </c>
      <c r="AB65" s="240" t="str">
        <f t="array" ref="AB65">INDEX(Tabela.abordagens[],SMALL(IF(Tabela.abordagens[Mês]=$L$2,ROW(Tabela.abordagens[Idade])-2),ROW(A18)),5)</f>
        <v>N</v>
      </c>
      <c r="AC65" s="207"/>
      <c r="AD65" s="207"/>
      <c r="AE65" s="228"/>
      <c r="AF65" s="228"/>
      <c r="AG65" s="228"/>
      <c r="AH65" s="228"/>
      <c r="AI65" s="228"/>
      <c r="AJ65" s="228"/>
      <c r="AK65" s="228"/>
      <c r="AL65" s="228"/>
      <c r="AM65" s="228"/>
      <c r="AN65" s="228"/>
      <c r="AO65" s="228"/>
      <c r="AP65" s="228"/>
      <c r="AQ65" s="228"/>
      <c r="AR65" s="228"/>
      <c r="AS65" s="228"/>
      <c r="AT65" s="228"/>
      <c r="AU65" s="228"/>
    </row>
    <row r="66" spans="2:47" ht="15" x14ac:dyDescent="0.25">
      <c r="B66" s="223">
        <f t="array" ref="B66">INDEX(Tabela.frequencia[],SMALL(IF(Tabela.frequencia[Mês]=$L$2,ROW(Tabela.frequencia[id])-1),ROW(A19)),1)</f>
        <v>7</v>
      </c>
      <c r="C66" s="229">
        <f t="array" ref="C66">INDEX(Tabela.frequencia[],SMALL(IF(Tabela.frequencia[Mês]=$L$2,ROW(Tabela.frequencia[id])-1),ROW(A19)),4)</f>
        <v>74</v>
      </c>
      <c r="D66" s="228"/>
      <c r="E66" s="176" t="str">
        <f>IFERROR(VLOOKUP(D66,Tabela.cadastro[[ID]:[Nome]],2,0),"")</f>
        <v/>
      </c>
      <c r="F66" s="177" t="str">
        <f>IFERROR(VLOOKUP(D66,Tabela66[#All],2,0),"")</f>
        <v/>
      </c>
      <c r="G66" s="177" t="str">
        <f>IFERROR(VLOOKUP(D66,Tabela.cadastro[[ID]:[CP ou M]],5,0),"")</f>
        <v/>
      </c>
      <c r="H66" s="177" t="str">
        <f>IFERROR(VLOOKUP(D66,Cadastros!A:F,6,0),"")</f>
        <v/>
      </c>
      <c r="I66" s="177" t="str">
        <f>IFERROR(VLOOKUP(D66,Cadastros!A:I,9,0),"")</f>
        <v/>
      </c>
      <c r="J66" s="177" t="str">
        <f>IFERROR(VLOOKUP(D66,Cadastros!A:J,10,0),"")</f>
        <v/>
      </c>
      <c r="K66" s="177" t="str">
        <f>IF(COUNTIF(Tabela66[id],D66)=0,"",COUNTIF(Tabela66[id],D66))</f>
        <v/>
      </c>
      <c r="L66" s="198"/>
      <c r="M66" s="227" t="str">
        <f t="shared" si="5"/>
        <v/>
      </c>
      <c r="N66" s="207"/>
      <c r="O66" s="228"/>
      <c r="P66" s="176" t="str">
        <f>IFERROR(VLOOKUP(O66,Cadastros!A:B,2),"")</f>
        <v/>
      </c>
      <c r="Q66" s="177" t="str">
        <f t="shared" si="1"/>
        <v/>
      </c>
      <c r="R66" s="177" t="str">
        <f>IFERROR(VLOOKUP(O66,Cadastros!A:E,5,0),"")</f>
        <v/>
      </c>
      <c r="S66" s="177" t="str">
        <f>IFERROR(VLOOKUP(O66,Cadastros!A:F,6,0),"")</f>
        <v/>
      </c>
      <c r="T66" s="177" t="str">
        <f>IFERROR(VLOOKUP(O66,Cadastros!A:I,9,0),"")</f>
        <v/>
      </c>
      <c r="U66" s="177" t="str">
        <f t="shared" si="2"/>
        <v/>
      </c>
      <c r="V66" s="177" t="str">
        <f t="shared" si="3"/>
        <v/>
      </c>
      <c r="W66" s="177" t="str">
        <f t="shared" si="4"/>
        <v/>
      </c>
      <c r="Y66" s="240">
        <f t="array" ref="Y66">INDEX(Tabela.abordagens[],SMALL(IF(Tabela.abordagens[Mês]=$L$2,ROW(Tabela.abordagens[id])-2),ROW(A19)),1)</f>
        <v>7</v>
      </c>
      <c r="Z66" s="240">
        <f t="array" ref="Z66">INDEX(Tabela.abordagens[],SMALL(IF(Tabela.abordagens[Mês]=$L$2,ROW(Tabela.abordagens[Idade])-2),ROW(A19)),6)</f>
        <v>74</v>
      </c>
      <c r="AA66" s="240" t="str">
        <f t="array" ref="AA66">INDEX(Tabela.abordagens[],SMALL(IF(Tabela.abordagens[Mês]=$L$2,ROW(Tabela.abordagens[Idade])-2),ROW(A19)),4)</f>
        <v>N</v>
      </c>
      <c r="AB66" s="240" t="str">
        <f t="array" ref="AB66">INDEX(Tabela.abordagens[],SMALL(IF(Tabela.abordagens[Mês]=$L$2,ROW(Tabela.abordagens[Idade])-2),ROW(A19)),5)</f>
        <v>N</v>
      </c>
      <c r="AC66" s="207"/>
      <c r="AD66" s="207"/>
      <c r="AE66" s="228"/>
      <c r="AF66" s="228"/>
      <c r="AG66" s="228"/>
      <c r="AH66" s="228"/>
      <c r="AI66" s="228"/>
      <c r="AJ66" s="228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8"/>
    </row>
    <row r="67" spans="2:47" ht="15" x14ac:dyDescent="0.25">
      <c r="B67" s="223">
        <f t="array" ref="B67">INDEX(Tabela.frequencia[],SMALL(IF(Tabela.frequencia[Mês]=$L$2,ROW(Tabela.frequencia[id])-1),ROW(A20)),1)</f>
        <v>8</v>
      </c>
      <c r="C67" s="229">
        <f t="array" ref="C67">INDEX(Tabela.frequencia[],SMALL(IF(Tabela.frequencia[Mês]=$L$2,ROW(Tabela.frequencia[id])-1),ROW(A20)),4)</f>
        <v>27</v>
      </c>
      <c r="D67" s="228"/>
      <c r="E67" s="176" t="str">
        <f>IFERROR(VLOOKUP(D67,Tabela.cadastro[[ID]:[Nome]],2,0),"")</f>
        <v/>
      </c>
      <c r="F67" s="177" t="str">
        <f>IFERROR(VLOOKUP(D67,Tabela66[#All],2,0),"")</f>
        <v/>
      </c>
      <c r="G67" s="177" t="str">
        <f>IFERROR(VLOOKUP(D67,Tabela.cadastro[[ID]:[CP ou M]],5,0),"")</f>
        <v/>
      </c>
      <c r="H67" s="177" t="str">
        <f>IFERROR(VLOOKUP(D67,Cadastros!A:F,6,0),"")</f>
        <v/>
      </c>
      <c r="I67" s="177" t="str">
        <f>IFERROR(VLOOKUP(D67,Cadastros!A:I,9,0),"")</f>
        <v/>
      </c>
      <c r="J67" s="177" t="str">
        <f>IFERROR(VLOOKUP(D67,Cadastros!A:J,10,0),"")</f>
        <v/>
      </c>
      <c r="K67" s="177" t="str">
        <f>IF(COUNTIF(Tabela66[id],D67)=0,"",COUNTIF(Tabela66[id],D67))</f>
        <v/>
      </c>
      <c r="L67" s="198"/>
      <c r="M67" s="227" t="str">
        <f t="shared" si="5"/>
        <v/>
      </c>
      <c r="N67" s="207"/>
      <c r="O67" s="228"/>
      <c r="P67" s="176" t="str">
        <f>IFERROR(VLOOKUP(O67,Cadastros!A:B,2),"")</f>
        <v/>
      </c>
      <c r="Q67" s="177" t="str">
        <f t="shared" si="1"/>
        <v/>
      </c>
      <c r="R67" s="177" t="str">
        <f>IFERROR(VLOOKUP(O67,Cadastros!A:E,5,0),"")</f>
        <v/>
      </c>
      <c r="S67" s="177" t="str">
        <f>IFERROR(VLOOKUP(O67,Cadastros!A:F,6,0),"")</f>
        <v/>
      </c>
      <c r="T67" s="177" t="str">
        <f>IFERROR(VLOOKUP(O67,Cadastros!A:I,9,0),"")</f>
        <v/>
      </c>
      <c r="U67" s="177" t="str">
        <f t="shared" si="2"/>
        <v/>
      </c>
      <c r="V67" s="177" t="str">
        <f t="shared" si="3"/>
        <v/>
      </c>
      <c r="W67" s="177" t="str">
        <f t="shared" si="4"/>
        <v/>
      </c>
      <c r="Y67" s="240">
        <f t="array" ref="Y67">INDEX(Tabela.abordagens[],SMALL(IF(Tabela.abordagens[Mês]=$L$2,ROW(Tabela.abordagens[id])-2),ROW(A20)),1)</f>
        <v>8</v>
      </c>
      <c r="Z67" s="240">
        <f t="array" ref="Z67">INDEX(Tabela.abordagens[],SMALL(IF(Tabela.abordagens[Mês]=$L$2,ROW(Tabela.abordagens[Idade])-2),ROW(A20)),6)</f>
        <v>27</v>
      </c>
      <c r="AA67" s="240" t="str">
        <f t="array" ref="AA67">INDEX(Tabela.abordagens[],SMALL(IF(Tabela.abordagens[Mês]=$L$2,ROW(Tabela.abordagens[Idade])-2),ROW(A20)),4)</f>
        <v>N</v>
      </c>
      <c r="AB67" s="240" t="str">
        <f t="array" ref="AB67">INDEX(Tabela.abordagens[],SMALL(IF(Tabela.abordagens[Mês]=$L$2,ROW(Tabela.abordagens[Idade])-2),ROW(A20)),5)</f>
        <v>N</v>
      </c>
      <c r="AC67" s="207"/>
      <c r="AD67" s="207"/>
      <c r="AE67" s="228"/>
      <c r="AF67" s="228"/>
      <c r="AG67" s="228"/>
      <c r="AH67" s="228"/>
      <c r="AI67" s="228"/>
      <c r="AJ67" s="228"/>
      <c r="AK67" s="228"/>
      <c r="AL67" s="228"/>
      <c r="AM67" s="228"/>
      <c r="AN67" s="228"/>
      <c r="AO67" s="228"/>
      <c r="AP67" s="228"/>
      <c r="AQ67" s="228"/>
      <c r="AR67" s="228"/>
      <c r="AS67" s="228"/>
      <c r="AT67" s="228"/>
      <c r="AU67" s="228"/>
    </row>
    <row r="68" spans="2:47" ht="15" x14ac:dyDescent="0.25">
      <c r="B68" s="223">
        <f t="array" ref="B68">INDEX(Tabela.frequencia[],SMALL(IF(Tabela.frequencia[Mês]=$L$2,ROW(Tabela.frequencia[id])-1),ROW(A21)),1)</f>
        <v>12</v>
      </c>
      <c r="C68" s="229">
        <f t="array" ref="C68">INDEX(Tabela.frequencia[],SMALL(IF(Tabela.frequencia[Mês]=$L$2,ROW(Tabela.frequencia[id])-1),ROW(A21)),4)</f>
        <v>25</v>
      </c>
      <c r="D68" s="228"/>
      <c r="E68" s="176" t="str">
        <f>IFERROR(VLOOKUP(D68,Tabela.cadastro[[ID]:[Nome]],2,0),"")</f>
        <v/>
      </c>
      <c r="F68" s="177" t="str">
        <f>IFERROR(VLOOKUP(D68,Tabela66[#All],2,0),"")</f>
        <v/>
      </c>
      <c r="G68" s="177" t="str">
        <f>IFERROR(VLOOKUP(D68,Tabela.cadastro[[ID]:[CP ou M]],5,0),"")</f>
        <v/>
      </c>
      <c r="H68" s="177" t="str">
        <f>IFERROR(VLOOKUP(D68,Cadastros!A:F,6,0),"")</f>
        <v/>
      </c>
      <c r="I68" s="177" t="str">
        <f>IFERROR(VLOOKUP(D68,Cadastros!A:I,9,0),"")</f>
        <v/>
      </c>
      <c r="J68" s="177" t="str">
        <f>IFERROR(VLOOKUP(D68,Cadastros!A:J,10,0),"")</f>
        <v/>
      </c>
      <c r="K68" s="177" t="str">
        <f>IF(COUNTIF(Tabela66[id],D68)=0,"",COUNTIF(Tabela66[id],D68))</f>
        <v/>
      </c>
      <c r="L68" s="198"/>
      <c r="M68" s="227" t="str">
        <f t="shared" si="5"/>
        <v/>
      </c>
      <c r="N68" s="207"/>
      <c r="O68" s="228"/>
      <c r="P68" s="176" t="str">
        <f>IFERROR(VLOOKUP(O68,Cadastros!A:B,2),"")</f>
        <v/>
      </c>
      <c r="Q68" s="177" t="str">
        <f t="shared" si="1"/>
        <v/>
      </c>
      <c r="R68" s="177" t="str">
        <f>IFERROR(VLOOKUP(O68,Cadastros!A:E,5,0),"")</f>
        <v/>
      </c>
      <c r="S68" s="177" t="str">
        <f>IFERROR(VLOOKUP(O68,Cadastros!A:F,6,0),"")</f>
        <v/>
      </c>
      <c r="T68" s="177" t="str">
        <f>IFERROR(VLOOKUP(O68,Cadastros!A:I,9,0),"")</f>
        <v/>
      </c>
      <c r="U68" s="177" t="str">
        <f t="shared" si="2"/>
        <v/>
      </c>
      <c r="V68" s="177" t="str">
        <f t="shared" si="3"/>
        <v/>
      </c>
      <c r="W68" s="177" t="str">
        <f t="shared" si="4"/>
        <v/>
      </c>
      <c r="Y68" s="240">
        <f t="array" ref="Y68">INDEX(Tabela.abordagens[],SMALL(IF(Tabela.abordagens[Mês]=$L$2,ROW(Tabela.abordagens[id])-2),ROW(A21)),1)</f>
        <v>12</v>
      </c>
      <c r="Z68" s="240">
        <f t="array" ref="Z68">INDEX(Tabela.abordagens[],SMALL(IF(Tabela.abordagens[Mês]=$L$2,ROW(Tabela.abordagens[Idade])-2),ROW(A21)),6)</f>
        <v>25</v>
      </c>
      <c r="AA68" s="240" t="str">
        <f t="array" ref="AA68">INDEX(Tabela.abordagens[],SMALL(IF(Tabela.abordagens[Mês]=$L$2,ROW(Tabela.abordagens[Idade])-2),ROW(A21)),4)</f>
        <v>N</v>
      </c>
      <c r="AB68" s="240" t="str">
        <f t="array" ref="AB68">INDEX(Tabela.abordagens[],SMALL(IF(Tabela.abordagens[Mês]=$L$2,ROW(Tabela.abordagens[Idade])-2),ROW(A21)),5)</f>
        <v>N</v>
      </c>
      <c r="AC68" s="207"/>
      <c r="AD68" s="207"/>
      <c r="AE68" s="228"/>
      <c r="AF68" s="228"/>
      <c r="AG68" s="228"/>
      <c r="AH68" s="228"/>
      <c r="AI68" s="228"/>
      <c r="AJ68" s="228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8"/>
    </row>
    <row r="69" spans="2:47" ht="15" x14ac:dyDescent="0.25">
      <c r="B69" s="223">
        <f t="array" ref="B69">INDEX(Tabela.frequencia[],SMALL(IF(Tabela.frequencia[Mês]=$L$2,ROW(Tabela.frequencia[id])-1),ROW(A22)),1)</f>
        <v>13</v>
      </c>
      <c r="C69" s="229">
        <f t="array" ref="C69">INDEX(Tabela.frequencia[],SMALL(IF(Tabela.frequencia[Mês]=$L$2,ROW(Tabela.frequencia[id])-1),ROW(A22)),4)</f>
        <v>21</v>
      </c>
      <c r="D69" s="228"/>
      <c r="E69" s="176" t="str">
        <f>IFERROR(VLOOKUP(D69,Tabela.cadastro[[ID]:[Nome]],2,0),"")</f>
        <v/>
      </c>
      <c r="F69" s="177" t="str">
        <f>IFERROR(VLOOKUP(D69,Tabela66[#All],2,0),"")</f>
        <v/>
      </c>
      <c r="G69" s="177" t="str">
        <f>IFERROR(VLOOKUP(D69,Tabela.cadastro[[ID]:[CP ou M]],5,0),"")</f>
        <v/>
      </c>
      <c r="H69" s="177" t="str">
        <f>IFERROR(VLOOKUP(D69,Cadastros!A:F,6,0),"")</f>
        <v/>
      </c>
      <c r="I69" s="177" t="str">
        <f>IFERROR(VLOOKUP(D69,Cadastros!A:I,9,0),"")</f>
        <v/>
      </c>
      <c r="J69" s="177" t="str">
        <f>IFERROR(VLOOKUP(D69,Cadastros!A:J,10,0),"")</f>
        <v/>
      </c>
      <c r="K69" s="177" t="str">
        <f>IF(COUNTIF(Tabela66[id],D69)=0,"",COUNTIF(Tabela66[id],D69))</f>
        <v/>
      </c>
      <c r="L69" s="198"/>
      <c r="M69" s="227" t="str">
        <f t="shared" si="5"/>
        <v/>
      </c>
      <c r="N69" s="207"/>
      <c r="O69" s="228"/>
      <c r="P69" s="176" t="str">
        <f>IFERROR(VLOOKUP(O69,Cadastros!A:B,2),"")</f>
        <v/>
      </c>
      <c r="Q69" s="177" t="str">
        <f t="shared" si="1"/>
        <v/>
      </c>
      <c r="R69" s="177" t="str">
        <f>IFERROR(VLOOKUP(O69,Cadastros!A:E,5,0),"")</f>
        <v/>
      </c>
      <c r="S69" s="177" t="str">
        <f>IFERROR(VLOOKUP(O69,Cadastros!A:F,6,0),"")</f>
        <v/>
      </c>
      <c r="T69" s="177" t="str">
        <f>IFERROR(VLOOKUP(O69,Cadastros!A:I,9,0),"")</f>
        <v/>
      </c>
      <c r="U69" s="177" t="str">
        <f t="shared" si="2"/>
        <v/>
      </c>
      <c r="V69" s="177" t="str">
        <f t="shared" si="3"/>
        <v/>
      </c>
      <c r="W69" s="177" t="str">
        <f t="shared" si="4"/>
        <v/>
      </c>
      <c r="Y69" s="240">
        <f t="array" ref="Y69">INDEX(Tabela.abordagens[],SMALL(IF(Tabela.abordagens[Mês]=$L$2,ROW(Tabela.abordagens[id])-2),ROW(A22)),1)</f>
        <v>13</v>
      </c>
      <c r="Z69" s="240">
        <f t="array" ref="Z69">INDEX(Tabela.abordagens[],SMALL(IF(Tabela.abordagens[Mês]=$L$2,ROW(Tabela.abordagens[Idade])-2),ROW(A22)),6)</f>
        <v>21</v>
      </c>
      <c r="AA69" s="240" t="str">
        <f t="array" ref="AA69">INDEX(Tabela.abordagens[],SMALL(IF(Tabela.abordagens[Mês]=$L$2,ROW(Tabela.abordagens[Idade])-2),ROW(A22)),4)</f>
        <v>N</v>
      </c>
      <c r="AB69" s="240" t="str">
        <f t="array" ref="AB69">INDEX(Tabela.abordagens[],SMALL(IF(Tabela.abordagens[Mês]=$L$2,ROW(Tabela.abordagens[Idade])-2),ROW(A22)),5)</f>
        <v>N</v>
      </c>
      <c r="AC69" s="207"/>
      <c r="AD69" s="207"/>
      <c r="AE69" s="228"/>
      <c r="AF69" s="228"/>
      <c r="AG69" s="228"/>
      <c r="AH69" s="228"/>
      <c r="AI69" s="228"/>
      <c r="AJ69" s="228"/>
      <c r="AK69" s="228"/>
      <c r="AL69" s="228"/>
      <c r="AM69" s="228"/>
      <c r="AN69" s="228"/>
      <c r="AO69" s="228"/>
      <c r="AP69" s="228"/>
      <c r="AQ69" s="228"/>
      <c r="AR69" s="228"/>
      <c r="AS69" s="228"/>
      <c r="AT69" s="228"/>
      <c r="AU69" s="228"/>
    </row>
    <row r="70" spans="2:47" ht="15" x14ac:dyDescent="0.25">
      <c r="B70" s="223">
        <f t="array" ref="B70">INDEX(Tabela.frequencia[],SMALL(IF(Tabela.frequencia[Mês]=$L$2,ROW(Tabela.frequencia[id])-1),ROW(A23)),1)</f>
        <v>14</v>
      </c>
      <c r="C70" s="229">
        <f t="array" ref="C70">INDEX(Tabela.frequencia[],SMALL(IF(Tabela.frequencia[Mês]=$L$2,ROW(Tabela.frequencia[id])-1),ROW(A23)),4)</f>
        <v>20</v>
      </c>
      <c r="D70" s="228"/>
      <c r="E70" s="176" t="str">
        <f>IFERROR(VLOOKUP(D70,Tabela.cadastro[[ID]:[Nome]],2,0),"")</f>
        <v/>
      </c>
      <c r="F70" s="177" t="str">
        <f>IFERROR(VLOOKUP(D70,Tabela66[#All],2,0),"")</f>
        <v/>
      </c>
      <c r="G70" s="177" t="str">
        <f>IFERROR(VLOOKUP(D70,Tabela.cadastro[[ID]:[CP ou M]],5,0),"")</f>
        <v/>
      </c>
      <c r="H70" s="177" t="str">
        <f>IFERROR(VLOOKUP(D70,Cadastros!A:F,6,0),"")</f>
        <v/>
      </c>
      <c r="I70" s="177" t="str">
        <f>IFERROR(VLOOKUP(D70,Cadastros!A:I,9,0),"")</f>
        <v/>
      </c>
      <c r="J70" s="177" t="str">
        <f>IFERROR(VLOOKUP(D70,Cadastros!A:J,10,0),"")</f>
        <v/>
      </c>
      <c r="K70" s="177" t="str">
        <f>IF(COUNTIF(Tabela66[id],D70)=0,"",COUNTIF(Tabela66[id],D70))</f>
        <v/>
      </c>
      <c r="L70" s="198"/>
      <c r="M70" s="227" t="str">
        <f t="shared" si="5"/>
        <v/>
      </c>
      <c r="N70" s="207"/>
      <c r="O70" s="228"/>
      <c r="P70" s="176" t="str">
        <f>IFERROR(VLOOKUP(O70,Cadastros!A:B,2),"")</f>
        <v/>
      </c>
      <c r="Q70" s="177" t="str">
        <f t="shared" si="1"/>
        <v/>
      </c>
      <c r="R70" s="177" t="str">
        <f>IFERROR(VLOOKUP(O70,Cadastros!A:E,5,0),"")</f>
        <v/>
      </c>
      <c r="S70" s="177" t="str">
        <f>IFERROR(VLOOKUP(O70,Cadastros!A:F,6,0),"")</f>
        <v/>
      </c>
      <c r="T70" s="177" t="str">
        <f>IFERROR(VLOOKUP(O70,Cadastros!A:I,9,0),"")</f>
        <v/>
      </c>
      <c r="U70" s="177" t="str">
        <f t="shared" si="2"/>
        <v/>
      </c>
      <c r="V70" s="177" t="str">
        <f t="shared" si="3"/>
        <v/>
      </c>
      <c r="W70" s="177" t="str">
        <f t="shared" si="4"/>
        <v/>
      </c>
      <c r="Y70" s="240">
        <f t="array" ref="Y70">INDEX(Tabela.abordagens[],SMALL(IF(Tabela.abordagens[Mês]=$L$2,ROW(Tabela.abordagens[id])-2),ROW(A23)),1)</f>
        <v>14</v>
      </c>
      <c r="Z70" s="240">
        <f t="array" ref="Z70">INDEX(Tabela.abordagens[],SMALL(IF(Tabela.abordagens[Mês]=$L$2,ROW(Tabela.abordagens[Idade])-2),ROW(A23)),6)</f>
        <v>20</v>
      </c>
      <c r="AA70" s="240" t="str">
        <f t="array" ref="AA70">INDEX(Tabela.abordagens[],SMALL(IF(Tabela.abordagens[Mês]=$L$2,ROW(Tabela.abordagens[Idade])-2),ROW(A23)),4)</f>
        <v>N</v>
      </c>
      <c r="AB70" s="240" t="str">
        <f t="array" ref="AB70">INDEX(Tabela.abordagens[],SMALL(IF(Tabela.abordagens[Mês]=$L$2,ROW(Tabela.abordagens[Idade])-2),ROW(A23)),5)</f>
        <v>N</v>
      </c>
      <c r="AC70" s="207"/>
      <c r="AD70" s="207"/>
      <c r="AE70" s="228"/>
      <c r="AF70" s="228"/>
      <c r="AG70" s="228"/>
      <c r="AH70" s="228"/>
      <c r="AI70" s="228"/>
      <c r="AJ70" s="228"/>
      <c r="AK70" s="228"/>
      <c r="AL70" s="228"/>
      <c r="AM70" s="228"/>
      <c r="AN70" s="228"/>
      <c r="AO70" s="228"/>
      <c r="AP70" s="228"/>
      <c r="AQ70" s="228"/>
      <c r="AR70" s="228"/>
      <c r="AS70" s="228"/>
      <c r="AT70" s="228"/>
      <c r="AU70" s="228"/>
    </row>
    <row r="71" spans="2:47" ht="15" x14ac:dyDescent="0.25">
      <c r="B71" s="223">
        <f t="array" ref="B71">INDEX(Tabela.frequencia[],SMALL(IF(Tabela.frequencia[Mês]=$L$2,ROW(Tabela.frequencia[id])-1),ROW(A24)),1)</f>
        <v>15</v>
      </c>
      <c r="C71" s="229">
        <f t="array" ref="C71">INDEX(Tabela.frequencia[],SMALL(IF(Tabela.frequencia[Mês]=$L$2,ROW(Tabela.frequencia[id])-1),ROW(A24)),4)</f>
        <v>36</v>
      </c>
      <c r="D71" s="228"/>
      <c r="E71" s="176" t="str">
        <f>IFERROR(VLOOKUP(D71,Tabela.cadastro[[ID]:[Nome]],2,0),"")</f>
        <v/>
      </c>
      <c r="F71" s="177" t="str">
        <f>IFERROR(VLOOKUP(D71,Tabela66[#All],2,0),"")</f>
        <v/>
      </c>
      <c r="G71" s="177" t="str">
        <f>IFERROR(VLOOKUP(D71,Tabela.cadastro[[ID]:[CP ou M]],5,0),"")</f>
        <v/>
      </c>
      <c r="H71" s="177" t="str">
        <f>IFERROR(VLOOKUP(D71,Cadastros!A:F,6,0),"")</f>
        <v/>
      </c>
      <c r="I71" s="177" t="str">
        <f>IFERROR(VLOOKUP(D71,Cadastros!A:I,9,0),"")</f>
        <v/>
      </c>
      <c r="J71" s="177" t="str">
        <f>IFERROR(VLOOKUP(D71,Cadastros!A:J,10,0),"")</f>
        <v/>
      </c>
      <c r="K71" s="177" t="str">
        <f>IF(COUNTIF(Tabela66[id],D71)=0,"",COUNTIF(Tabela66[id],D71))</f>
        <v/>
      </c>
      <c r="L71" s="198"/>
      <c r="M71" s="227" t="str">
        <f t="shared" si="5"/>
        <v/>
      </c>
      <c r="N71" s="207"/>
      <c r="O71" s="228"/>
      <c r="P71" s="176" t="str">
        <f>IFERROR(VLOOKUP(O71,Cadastros!A:B,2),"")</f>
        <v/>
      </c>
      <c r="Q71" s="177" t="str">
        <f t="shared" si="1"/>
        <v/>
      </c>
      <c r="R71" s="177" t="str">
        <f>IFERROR(VLOOKUP(O71,Cadastros!A:E,5,0),"")</f>
        <v/>
      </c>
      <c r="S71" s="177" t="str">
        <f>IFERROR(VLOOKUP(O71,Cadastros!A:F,6,0),"")</f>
        <v/>
      </c>
      <c r="T71" s="177" t="str">
        <f>IFERROR(VLOOKUP(O71,Cadastros!A:I,9,0),"")</f>
        <v/>
      </c>
      <c r="U71" s="177" t="str">
        <f t="shared" si="2"/>
        <v/>
      </c>
      <c r="V71" s="177" t="str">
        <f t="shared" si="3"/>
        <v/>
      </c>
      <c r="W71" s="177" t="str">
        <f t="shared" si="4"/>
        <v/>
      </c>
      <c r="Y71" s="240">
        <f t="array" ref="Y71">INDEX(Tabela.abordagens[],SMALL(IF(Tabela.abordagens[Mês]=$L$2,ROW(Tabela.abordagens[id])-2),ROW(A24)),1)</f>
        <v>15</v>
      </c>
      <c r="Z71" s="240">
        <f t="array" ref="Z71">INDEX(Tabela.abordagens[],SMALL(IF(Tabela.abordagens[Mês]=$L$2,ROW(Tabela.abordagens[Idade])-2),ROW(A24)),6)</f>
        <v>36</v>
      </c>
      <c r="AA71" s="240" t="str">
        <f t="array" ref="AA71">INDEX(Tabela.abordagens[],SMALL(IF(Tabela.abordagens[Mês]=$L$2,ROW(Tabela.abordagens[Idade])-2),ROW(A24)),4)</f>
        <v>N</v>
      </c>
      <c r="AB71" s="240" t="str">
        <f t="array" ref="AB71">INDEX(Tabela.abordagens[],SMALL(IF(Tabela.abordagens[Mês]=$L$2,ROW(Tabela.abordagens[Idade])-2),ROW(A24)),5)</f>
        <v>N</v>
      </c>
      <c r="AC71" s="207"/>
      <c r="AD71" s="207"/>
      <c r="AE71" s="228"/>
      <c r="AF71" s="228"/>
      <c r="AG71" s="228"/>
      <c r="AH71" s="228"/>
      <c r="AI71" s="228"/>
      <c r="AJ71" s="228"/>
      <c r="AK71" s="228"/>
      <c r="AL71" s="228"/>
      <c r="AM71" s="228"/>
      <c r="AN71" s="228"/>
      <c r="AO71" s="228"/>
      <c r="AP71" s="228"/>
      <c r="AQ71" s="228"/>
      <c r="AR71" s="228"/>
      <c r="AS71" s="228"/>
      <c r="AT71" s="228"/>
      <c r="AU71" s="228"/>
    </row>
    <row r="72" spans="2:47" ht="15" x14ac:dyDescent="0.25">
      <c r="B72" s="223">
        <f t="array" ref="B72">INDEX(Tabela.frequencia[],SMALL(IF(Tabela.frequencia[Mês]=$L$2,ROW(Tabela.frequencia[id])-1),ROW(A25)),1)</f>
        <v>16</v>
      </c>
      <c r="C72" s="229">
        <f t="array" ref="C72">INDEX(Tabela.frequencia[],SMALL(IF(Tabela.frequencia[Mês]=$L$2,ROW(Tabela.frequencia[id])-1),ROW(A25)),4)</f>
        <v>27</v>
      </c>
      <c r="D72" s="228"/>
      <c r="E72" s="176" t="str">
        <f>IFERROR(VLOOKUP(D72,Tabela.cadastro[[ID]:[Nome]],2,0),"")</f>
        <v/>
      </c>
      <c r="F72" s="177" t="str">
        <f>IFERROR(VLOOKUP(D72,Tabela66[#All],2,0),"")</f>
        <v/>
      </c>
      <c r="G72" s="177" t="str">
        <f>IFERROR(VLOOKUP(D72,Tabela.cadastro[[ID]:[CP ou M]],5,0),"")</f>
        <v/>
      </c>
      <c r="H72" s="177" t="str">
        <f>IFERROR(VLOOKUP(D72,Cadastros!A:F,6,0),"")</f>
        <v/>
      </c>
      <c r="I72" s="177" t="str">
        <f>IFERROR(VLOOKUP(D72,Cadastros!A:I,9,0),"")</f>
        <v/>
      </c>
      <c r="J72" s="177" t="str">
        <f>IFERROR(VLOOKUP(D72,Cadastros!A:J,10,0),"")</f>
        <v/>
      </c>
      <c r="K72" s="177" t="str">
        <f>IF(COUNTIF(Tabela66[id],D72)=0,"",COUNTIF(Tabela66[id],D72))</f>
        <v/>
      </c>
      <c r="L72" s="198"/>
      <c r="M72" s="227" t="str">
        <f t="shared" si="5"/>
        <v/>
      </c>
      <c r="N72" s="207"/>
      <c r="O72" s="228"/>
      <c r="P72" s="176" t="str">
        <f>IFERROR(VLOOKUP(O72,Cadastros!A:B,2),"")</f>
        <v/>
      </c>
      <c r="Q72" s="177" t="str">
        <f t="shared" si="1"/>
        <v/>
      </c>
      <c r="R72" s="177" t="str">
        <f>IFERROR(VLOOKUP(O72,Cadastros!A:E,5,0),"")</f>
        <v/>
      </c>
      <c r="S72" s="177" t="str">
        <f>IFERROR(VLOOKUP(O72,Cadastros!A:F,6,0),"")</f>
        <v/>
      </c>
      <c r="T72" s="177" t="str">
        <f>IFERROR(VLOOKUP(O72,Cadastros!A:I,9,0),"")</f>
        <v/>
      </c>
      <c r="U72" s="177" t="str">
        <f t="shared" si="2"/>
        <v/>
      </c>
      <c r="V72" s="177" t="str">
        <f t="shared" si="3"/>
        <v/>
      </c>
      <c r="W72" s="177" t="str">
        <f t="shared" si="4"/>
        <v/>
      </c>
      <c r="Y72" s="240">
        <f t="array" ref="Y72">INDEX(Tabela.abordagens[],SMALL(IF(Tabela.abordagens[Mês]=$L$2,ROW(Tabela.abordagens[id])-2),ROW(A25)),1)</f>
        <v>16</v>
      </c>
      <c r="Z72" s="240">
        <f t="array" ref="Z72">INDEX(Tabela.abordagens[],SMALL(IF(Tabela.abordagens[Mês]=$L$2,ROW(Tabela.abordagens[Idade])-2),ROW(A25)),6)</f>
        <v>27</v>
      </c>
      <c r="AA72" s="240" t="str">
        <f t="array" ref="AA72">INDEX(Tabela.abordagens[],SMALL(IF(Tabela.abordagens[Mês]=$L$2,ROW(Tabela.abordagens[Idade])-2),ROW(A25)),4)</f>
        <v>N</v>
      </c>
      <c r="AB72" s="240" t="str">
        <f t="array" ref="AB72">INDEX(Tabela.abordagens[],SMALL(IF(Tabela.abordagens[Mês]=$L$2,ROW(Tabela.abordagens[Idade])-2),ROW(A25)),5)</f>
        <v>N</v>
      </c>
      <c r="AC72" s="207"/>
      <c r="AD72" s="207"/>
      <c r="AE72" s="228"/>
      <c r="AF72" s="228"/>
      <c r="AG72" s="228"/>
      <c r="AH72" s="228"/>
      <c r="AI72" s="228"/>
      <c r="AJ72" s="228"/>
      <c r="AK72" s="228"/>
      <c r="AL72" s="228"/>
      <c r="AM72" s="228"/>
      <c r="AN72" s="228"/>
      <c r="AO72" s="228"/>
      <c r="AP72" s="228"/>
      <c r="AQ72" s="228"/>
      <c r="AR72" s="228"/>
      <c r="AS72" s="228"/>
      <c r="AT72" s="228"/>
      <c r="AU72" s="228"/>
    </row>
    <row r="73" spans="2:47" ht="15" x14ac:dyDescent="0.25">
      <c r="B73" s="223">
        <f t="array" ref="B73">INDEX(Tabela.frequencia[],SMALL(IF(Tabela.frequencia[Mês]=$L$2,ROW(Tabela.frequencia[id])-1),ROW(A26)),1)</f>
        <v>16</v>
      </c>
      <c r="C73" s="229">
        <f t="array" ref="C73">INDEX(Tabela.frequencia[],SMALL(IF(Tabela.frequencia[Mês]=$L$2,ROW(Tabela.frequencia[id])-1),ROW(A26)),4)</f>
        <v>27</v>
      </c>
      <c r="D73" s="228"/>
      <c r="E73" s="176" t="str">
        <f>IFERROR(VLOOKUP(D73,Tabela.cadastro[[ID]:[Nome]],2,0),"")</f>
        <v/>
      </c>
      <c r="F73" s="177" t="str">
        <f>IFERROR(VLOOKUP(D73,Tabela66[#All],2,0),"")</f>
        <v/>
      </c>
      <c r="G73" s="177" t="str">
        <f>IFERROR(VLOOKUP(D73,Tabela.cadastro[[ID]:[CP ou M]],5,0),"")</f>
        <v/>
      </c>
      <c r="H73" s="177" t="str">
        <f>IFERROR(VLOOKUP(D73,Cadastros!A:F,6,0),"")</f>
        <v/>
      </c>
      <c r="I73" s="177" t="str">
        <f>IFERROR(VLOOKUP(D73,Cadastros!A:I,9,0),"")</f>
        <v/>
      </c>
      <c r="J73" s="177" t="str">
        <f>IFERROR(VLOOKUP(D73,Cadastros!A:J,10,0),"")</f>
        <v/>
      </c>
      <c r="K73" s="177" t="str">
        <f>IF(COUNTIF(Tabela66[id],D73)=0,"",COUNTIF(Tabela66[id],D73))</f>
        <v/>
      </c>
      <c r="L73" s="198"/>
      <c r="M73" s="227" t="str">
        <f t="shared" si="5"/>
        <v/>
      </c>
      <c r="N73" s="207"/>
      <c r="O73" s="228"/>
      <c r="P73" s="176" t="str">
        <f>IFERROR(VLOOKUP(O73,Cadastros!A:B,2),"")</f>
        <v/>
      </c>
      <c r="Q73" s="177" t="str">
        <f t="shared" si="1"/>
        <v/>
      </c>
      <c r="R73" s="177" t="str">
        <f>IFERROR(VLOOKUP(O73,Cadastros!A:E,5,0),"")</f>
        <v/>
      </c>
      <c r="S73" s="177" t="str">
        <f>IFERROR(VLOOKUP(O73,Cadastros!A:F,6,0),"")</f>
        <v/>
      </c>
      <c r="T73" s="177" t="str">
        <f>IFERROR(VLOOKUP(O73,Cadastros!A:I,9,0),"")</f>
        <v/>
      </c>
      <c r="U73" s="177" t="str">
        <f t="shared" si="2"/>
        <v/>
      </c>
      <c r="V73" s="177" t="str">
        <f t="shared" si="3"/>
        <v/>
      </c>
      <c r="W73" s="177" t="str">
        <f t="shared" si="4"/>
        <v/>
      </c>
      <c r="Y73" s="240" t="e">
        <f t="array" ref="Y73">INDEX(Tabela.abordagens[],SMALL(IF(Tabela.abordagens[Mês]=$L$2,ROW(Tabela.abordagens[id])-2),ROW(A26)),1)</f>
        <v>#NUM!</v>
      </c>
      <c r="Z73" s="240" t="e">
        <f t="array" ref="Z73">INDEX(Tabela.abordagens[],SMALL(IF(Tabela.abordagens[Mês]=$L$2,ROW(Tabela.abordagens[Idade])-2),ROW(A26)),6)</f>
        <v>#NUM!</v>
      </c>
      <c r="AA73" s="240" t="e">
        <f t="array" ref="AA73">INDEX(Tabela.abordagens[],SMALL(IF(Tabela.abordagens[Mês]=$L$2,ROW(Tabela.abordagens[Idade])-2),ROW(A26)),4)</f>
        <v>#NUM!</v>
      </c>
      <c r="AB73" s="240" t="e">
        <f t="array" ref="AB73">INDEX(Tabela.abordagens[],SMALL(IF(Tabela.abordagens[Mês]=$L$2,ROW(Tabela.abordagens[Idade])-2),ROW(A26)),5)</f>
        <v>#NUM!</v>
      </c>
      <c r="AC73" s="207"/>
      <c r="AD73" s="207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</row>
    <row r="74" spans="2:47" ht="15" x14ac:dyDescent="0.25">
      <c r="B74" s="223">
        <f t="array" ref="B74">INDEX(Tabela.frequencia[],SMALL(IF(Tabela.frequencia[Mês]=$L$2,ROW(Tabela.frequencia[id])-1),ROW(A27)),1)</f>
        <v>16</v>
      </c>
      <c r="C74" s="229">
        <f t="array" ref="C74">INDEX(Tabela.frequencia[],SMALL(IF(Tabela.frequencia[Mês]=$L$2,ROW(Tabela.frequencia[id])-1),ROW(A27)),4)</f>
        <v>27</v>
      </c>
      <c r="D74" s="228"/>
      <c r="E74" s="176" t="str">
        <f>IFERROR(VLOOKUP(D74,Tabela.cadastro[[ID]:[Nome]],2,0),"")</f>
        <v/>
      </c>
      <c r="F74" s="177" t="str">
        <f>IFERROR(VLOOKUP(D74,Tabela66[#All],2,0),"")</f>
        <v/>
      </c>
      <c r="G74" s="177" t="str">
        <f>IFERROR(VLOOKUP(D74,Tabela.cadastro[[ID]:[CP ou M]],5,0),"")</f>
        <v/>
      </c>
      <c r="H74" s="177" t="str">
        <f>IFERROR(VLOOKUP(D74,Cadastros!A:F,6,0),"")</f>
        <v/>
      </c>
      <c r="I74" s="177" t="str">
        <f>IFERROR(VLOOKUP(D74,Cadastros!A:I,9,0),"")</f>
        <v/>
      </c>
      <c r="J74" s="177" t="str">
        <f>IFERROR(VLOOKUP(D74,Cadastros!A:J,10,0),"")</f>
        <v/>
      </c>
      <c r="K74" s="177" t="str">
        <f>IF(COUNTIF(Tabela66[id],D74)=0,"",COUNTIF(Tabela66[id],D74))</f>
        <v/>
      </c>
      <c r="L74" s="198"/>
      <c r="M74" s="227" t="str">
        <f t="shared" si="5"/>
        <v/>
      </c>
      <c r="N74" s="207"/>
      <c r="O74" s="228"/>
      <c r="P74" s="176" t="str">
        <f>IFERROR(VLOOKUP(O74,Cadastros!A:B,2),"")</f>
        <v/>
      </c>
      <c r="Q74" s="177" t="str">
        <f t="shared" si="1"/>
        <v/>
      </c>
      <c r="R74" s="177" t="str">
        <f>IFERROR(VLOOKUP(O74,Cadastros!A:E,5,0),"")</f>
        <v/>
      </c>
      <c r="S74" s="177" t="str">
        <f>IFERROR(VLOOKUP(O74,Cadastros!A:F,6,0),"")</f>
        <v/>
      </c>
      <c r="T74" s="177" t="str">
        <f>IFERROR(VLOOKUP(O74,Cadastros!A:I,9,0),"")</f>
        <v/>
      </c>
      <c r="U74" s="177" t="str">
        <f t="shared" si="2"/>
        <v/>
      </c>
      <c r="V74" s="177" t="str">
        <f t="shared" si="3"/>
        <v/>
      </c>
      <c r="W74" s="177" t="str">
        <f t="shared" si="4"/>
        <v/>
      </c>
      <c r="Y74" s="240" t="e">
        <f t="array" ref="Y74">INDEX(Tabela.abordagens[],SMALL(IF(Tabela.abordagens[Mês]=$L$2,ROW(Tabela.abordagens[id])-2),ROW(A27)),1)</f>
        <v>#NUM!</v>
      </c>
      <c r="Z74" s="240" t="e">
        <f t="array" ref="Z74">INDEX(Tabela.abordagens[],SMALL(IF(Tabela.abordagens[Mês]=$L$2,ROW(Tabela.abordagens[Idade])-2),ROW(A27)),6)</f>
        <v>#NUM!</v>
      </c>
      <c r="AA74" s="240" t="e">
        <f t="array" ref="AA74">INDEX(Tabela.abordagens[],SMALL(IF(Tabela.abordagens[Mês]=$L$2,ROW(Tabela.abordagens[Idade])-2),ROW(A27)),4)</f>
        <v>#NUM!</v>
      </c>
      <c r="AB74" s="240" t="e">
        <f t="array" ref="AB74">INDEX(Tabela.abordagens[],SMALL(IF(Tabela.abordagens[Mês]=$L$2,ROW(Tabela.abordagens[Idade])-2),ROW(A27)),5)</f>
        <v>#NUM!</v>
      </c>
      <c r="AC74" s="207"/>
      <c r="AD74" s="207"/>
      <c r="AE74" s="228"/>
      <c r="AF74" s="228"/>
      <c r="AG74" s="228"/>
      <c r="AH74" s="228"/>
      <c r="AI74" s="228"/>
      <c r="AJ74" s="228"/>
      <c r="AK74" s="228"/>
      <c r="AL74" s="228"/>
      <c r="AM74" s="228"/>
      <c r="AN74" s="228"/>
      <c r="AO74" s="228"/>
      <c r="AP74" s="228"/>
      <c r="AQ74" s="228"/>
      <c r="AR74" s="228"/>
      <c r="AS74" s="228"/>
      <c r="AT74" s="228"/>
      <c r="AU74" s="228"/>
    </row>
    <row r="75" spans="2:47" ht="15" x14ac:dyDescent="0.25">
      <c r="B75" s="223">
        <f t="array" ref="B75">INDEX(Tabela.frequencia[],SMALL(IF(Tabela.frequencia[Mês]=$L$2,ROW(Tabela.frequencia[id])-1),ROW(A28)),1)</f>
        <v>16</v>
      </c>
      <c r="C75" s="229">
        <f t="array" ref="C75">INDEX(Tabela.frequencia[],SMALL(IF(Tabela.frequencia[Mês]=$L$2,ROW(Tabela.frequencia[id])-1),ROW(A28)),4)</f>
        <v>27</v>
      </c>
      <c r="D75" s="228"/>
      <c r="E75" s="176" t="str">
        <f>IFERROR(VLOOKUP(D75,Tabela.cadastro[[ID]:[Nome]],2,0),"")</f>
        <v/>
      </c>
      <c r="F75" s="177" t="str">
        <f>IFERROR(VLOOKUP(D75,Tabela66[#All],2,0),"")</f>
        <v/>
      </c>
      <c r="G75" s="177" t="str">
        <f>IFERROR(VLOOKUP(D75,Tabela.cadastro[[ID]:[CP ou M]],5,0),"")</f>
        <v/>
      </c>
      <c r="H75" s="177" t="str">
        <f>IFERROR(VLOOKUP(D75,Cadastros!A:F,6,0),"")</f>
        <v/>
      </c>
      <c r="I75" s="177" t="str">
        <f>IFERROR(VLOOKUP(D75,Cadastros!A:I,9,0),"")</f>
        <v/>
      </c>
      <c r="J75" s="177" t="str">
        <f>IFERROR(VLOOKUP(D75,Cadastros!A:J,10,0),"")</f>
        <v/>
      </c>
      <c r="K75" s="177" t="str">
        <f>IF(COUNTIF(Tabela66[id],D75)=0,"",COUNTIF(Tabela66[id],D75))</f>
        <v/>
      </c>
      <c r="L75" s="198"/>
      <c r="M75" s="227" t="str">
        <f t="shared" si="5"/>
        <v/>
      </c>
      <c r="N75" s="207"/>
      <c r="O75" s="228"/>
      <c r="P75" s="176" t="str">
        <f>IFERROR(VLOOKUP(O75,Cadastros!A:B,2),"")</f>
        <v/>
      </c>
      <c r="Q75" s="177" t="str">
        <f t="shared" si="1"/>
        <v/>
      </c>
      <c r="R75" s="177" t="str">
        <f>IFERROR(VLOOKUP(O75,Cadastros!A:E,5,0),"")</f>
        <v/>
      </c>
      <c r="S75" s="177" t="str">
        <f>IFERROR(VLOOKUP(O75,Cadastros!A:F,6,0),"")</f>
        <v/>
      </c>
      <c r="T75" s="177" t="str">
        <f>IFERROR(VLOOKUP(O75,Cadastros!A:I,9,0),"")</f>
        <v/>
      </c>
      <c r="U75" s="177" t="str">
        <f t="shared" si="2"/>
        <v/>
      </c>
      <c r="V75" s="177" t="str">
        <f t="shared" si="3"/>
        <v/>
      </c>
      <c r="W75" s="177" t="str">
        <f t="shared" si="4"/>
        <v/>
      </c>
      <c r="Y75" s="240" t="e">
        <f t="array" ref="Y75">INDEX(Tabela.abordagens[],SMALL(IF(Tabela.abordagens[Mês]=$L$2,ROW(Tabela.abordagens[id])-2),ROW(A28)),1)</f>
        <v>#NUM!</v>
      </c>
      <c r="Z75" s="240" t="e">
        <f t="array" ref="Z75">INDEX(Tabela.abordagens[],SMALL(IF(Tabela.abordagens[Mês]=$L$2,ROW(Tabela.abordagens[Idade])-2),ROW(A28)),6)</f>
        <v>#NUM!</v>
      </c>
      <c r="AA75" s="240" t="e">
        <f t="array" ref="AA75">INDEX(Tabela.abordagens[],SMALL(IF(Tabela.abordagens[Mês]=$L$2,ROW(Tabela.abordagens[Idade])-2),ROW(A28)),4)</f>
        <v>#NUM!</v>
      </c>
      <c r="AB75" s="240" t="e">
        <f t="array" ref="AB75">INDEX(Tabela.abordagens[],SMALL(IF(Tabela.abordagens[Mês]=$L$2,ROW(Tabela.abordagens[Idade])-2),ROW(A28)),5)</f>
        <v>#NUM!</v>
      </c>
      <c r="AC75" s="207"/>
      <c r="AD75" s="207"/>
      <c r="AE75" s="228"/>
      <c r="AF75" s="228"/>
      <c r="AG75" s="228"/>
      <c r="AH75" s="228"/>
      <c r="AI75" s="228"/>
      <c r="AJ75" s="228"/>
      <c r="AK75" s="228"/>
      <c r="AL75" s="228"/>
      <c r="AM75" s="228"/>
      <c r="AN75" s="228"/>
      <c r="AO75" s="228"/>
      <c r="AP75" s="228"/>
      <c r="AQ75" s="228"/>
      <c r="AR75" s="228"/>
      <c r="AS75" s="228"/>
      <c r="AT75" s="228"/>
      <c r="AU75" s="228"/>
    </row>
    <row r="76" spans="2:47" ht="15" x14ac:dyDescent="0.25">
      <c r="B76" s="223">
        <f t="array" ref="B76">INDEX(Tabela.frequencia[],SMALL(IF(Tabela.frequencia[Mês]=$L$2,ROW(Tabela.frequencia[id])-1),ROW(A29)),1)</f>
        <v>16</v>
      </c>
      <c r="C76" s="229">
        <f t="array" ref="C76">INDEX(Tabela.frequencia[],SMALL(IF(Tabela.frequencia[Mês]=$L$2,ROW(Tabela.frequencia[id])-1),ROW(A29)),4)</f>
        <v>27</v>
      </c>
      <c r="D76" s="228"/>
      <c r="E76" s="176" t="str">
        <f>IFERROR(VLOOKUP(D76,Tabela.cadastro[[ID]:[Nome]],2,0),"")</f>
        <v/>
      </c>
      <c r="F76" s="177" t="str">
        <f>IFERROR(VLOOKUP(D76,Tabela66[#All],2,0),"")</f>
        <v/>
      </c>
      <c r="G76" s="177" t="str">
        <f>IFERROR(VLOOKUP(D76,Tabela.cadastro[[ID]:[CP ou M]],5,0),"")</f>
        <v/>
      </c>
      <c r="H76" s="177" t="str">
        <f>IFERROR(VLOOKUP(D76,Cadastros!A:F,6,0),"")</f>
        <v/>
      </c>
      <c r="I76" s="177" t="str">
        <f>IFERROR(VLOOKUP(D76,Cadastros!A:I,9,0),"")</f>
        <v/>
      </c>
      <c r="J76" s="177" t="str">
        <f>IFERROR(VLOOKUP(D76,Cadastros!A:J,10,0),"")</f>
        <v/>
      </c>
      <c r="K76" s="177" t="str">
        <f>IF(COUNTIF(Tabela66[id],D76)=0,"",COUNTIF(Tabela66[id],D76))</f>
        <v/>
      </c>
      <c r="L76" s="198"/>
      <c r="M76" s="227" t="str">
        <f t="shared" si="5"/>
        <v/>
      </c>
      <c r="N76" s="207"/>
      <c r="P76" s="176" t="str">
        <f>IFERROR(VLOOKUP(O76,Cadastros!A:B,2),"")</f>
        <v/>
      </c>
      <c r="Q76" s="177" t="str">
        <f t="shared" si="1"/>
        <v/>
      </c>
      <c r="R76" s="177" t="str">
        <f>IFERROR(VLOOKUP(O76,Cadastros!A:E,5,0),"")</f>
        <v/>
      </c>
      <c r="S76" s="177" t="str">
        <f>IFERROR(VLOOKUP(O76,Cadastros!A:F,6,0),"")</f>
        <v/>
      </c>
      <c r="T76" s="177" t="str">
        <f>IFERROR(VLOOKUP(O76,Cadastros!A:I,9,0),"")</f>
        <v/>
      </c>
      <c r="U76" s="177" t="str">
        <f t="shared" si="2"/>
        <v/>
      </c>
      <c r="V76" s="177" t="str">
        <f t="shared" si="3"/>
        <v/>
      </c>
      <c r="W76" s="177" t="str">
        <f t="shared" si="4"/>
        <v/>
      </c>
      <c r="Y76" s="240" t="e">
        <f t="array" ref="Y76">INDEX(Tabela.abordagens[],SMALL(IF(Tabela.abordagens[Mês]=$L$2,ROW(Tabela.abordagens[id])-2),ROW(A29)),1)</f>
        <v>#NUM!</v>
      </c>
      <c r="Z76" s="240" t="e">
        <f t="array" ref="Z76">INDEX(Tabela.abordagens[],SMALL(IF(Tabela.abordagens[Mês]=$L$2,ROW(Tabela.abordagens[Idade])-2),ROW(A29)),6)</f>
        <v>#NUM!</v>
      </c>
      <c r="AA76" s="240" t="e">
        <f t="array" ref="AA76">INDEX(Tabela.abordagens[],SMALL(IF(Tabela.abordagens[Mês]=$L$2,ROW(Tabela.abordagens[Idade])-2),ROW(A29)),4)</f>
        <v>#NUM!</v>
      </c>
      <c r="AB76" s="240" t="e">
        <f t="array" ref="AB76">INDEX(Tabela.abordagens[],SMALL(IF(Tabela.abordagens[Mês]=$L$2,ROW(Tabela.abordagens[Idade])-2),ROW(A29)),5)</f>
        <v>#NUM!</v>
      </c>
      <c r="AC76" s="207"/>
      <c r="AD76" s="207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</row>
    <row r="77" spans="2:47" ht="15" x14ac:dyDescent="0.25">
      <c r="B77" s="223">
        <f t="array" ref="B77">INDEX(Tabela.frequencia[],SMALL(IF(Tabela.frequencia[Mês]=$L$2,ROW(Tabela.frequencia[id])-1),ROW(A30)),1)</f>
        <v>16</v>
      </c>
      <c r="C77" s="229">
        <f t="array" ref="C77">INDEX(Tabela.frequencia[],SMALL(IF(Tabela.frequencia[Mês]=$L$2,ROW(Tabela.frequencia[id])-1),ROW(A30)),4)</f>
        <v>27</v>
      </c>
      <c r="D77" s="228"/>
      <c r="E77" s="176" t="str">
        <f>IFERROR(VLOOKUP(D77,Tabela.cadastro[[ID]:[Nome]],2,0),"")</f>
        <v/>
      </c>
      <c r="F77" s="177" t="str">
        <f>IFERROR(VLOOKUP(D77,Tabela66[#All],2,0),"")</f>
        <v/>
      </c>
      <c r="G77" s="177" t="str">
        <f>IFERROR(VLOOKUP(D77,Tabela.cadastro[[ID]:[CP ou M]],5,0),"")</f>
        <v/>
      </c>
      <c r="H77" s="177" t="str">
        <f>IFERROR(VLOOKUP(D77,Cadastros!A:F,6,0),"")</f>
        <v/>
      </c>
      <c r="I77" s="177" t="str">
        <f>IFERROR(VLOOKUP(D77,Cadastros!A:I,9,0),"")</f>
        <v/>
      </c>
      <c r="J77" s="177" t="str">
        <f>IFERROR(VLOOKUP(D77,Cadastros!A:J,10,0),"")</f>
        <v/>
      </c>
      <c r="K77" s="177" t="str">
        <f>IF(COUNTIF(Tabela66[id],D77)=0,"",COUNTIF(Tabela66[id],D77))</f>
        <v/>
      </c>
      <c r="L77" s="198"/>
      <c r="M77" s="227" t="str">
        <f t="shared" si="5"/>
        <v/>
      </c>
      <c r="N77" s="207"/>
      <c r="P77" s="176" t="str">
        <f>IFERROR(VLOOKUP(O77,Cadastros!A:B,2),"")</f>
        <v/>
      </c>
      <c r="Q77" s="177" t="str">
        <f t="shared" si="1"/>
        <v/>
      </c>
      <c r="R77" s="177" t="str">
        <f>IFERROR(VLOOKUP(O77,Cadastros!A:E,5,0),"")</f>
        <v/>
      </c>
      <c r="S77" s="177" t="str">
        <f>IFERROR(VLOOKUP(O77,Cadastros!A:F,6,0),"")</f>
        <v/>
      </c>
      <c r="T77" s="177" t="str">
        <f>IFERROR(VLOOKUP(O77,Cadastros!A:I,9,0),"")</f>
        <v/>
      </c>
      <c r="U77" s="177" t="str">
        <f t="shared" si="2"/>
        <v/>
      </c>
      <c r="V77" s="177" t="str">
        <f t="shared" si="3"/>
        <v/>
      </c>
      <c r="W77" s="177" t="str">
        <f t="shared" si="4"/>
        <v/>
      </c>
      <c r="Y77" s="240" t="e">
        <f t="array" ref="Y77">INDEX(Tabela.abordagens[],SMALL(IF(Tabela.abordagens[Mês]=$L$2,ROW(Tabela.abordagens[id])-2),ROW(A30)),1)</f>
        <v>#NUM!</v>
      </c>
      <c r="Z77" s="240" t="e">
        <f t="array" ref="Z77">INDEX(Tabela.abordagens[],SMALL(IF(Tabela.abordagens[Mês]=$L$2,ROW(Tabela.abordagens[Idade])-2),ROW(A30)),6)</f>
        <v>#NUM!</v>
      </c>
      <c r="AA77" s="240" t="e">
        <f t="array" ref="AA77">INDEX(Tabela.abordagens[],SMALL(IF(Tabela.abordagens[Mês]=$L$2,ROW(Tabela.abordagens[Idade])-2),ROW(A30)),4)</f>
        <v>#NUM!</v>
      </c>
      <c r="AB77" s="240" t="e">
        <f t="array" ref="AB77">INDEX(Tabela.abordagens[],SMALL(IF(Tabela.abordagens[Mês]=$L$2,ROW(Tabela.abordagens[Idade])-2),ROW(A30)),5)</f>
        <v>#NUM!</v>
      </c>
      <c r="AC77" s="207"/>
      <c r="AD77" s="207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</row>
    <row r="78" spans="2:47" ht="15" x14ac:dyDescent="0.25">
      <c r="B78" s="223">
        <f t="array" ref="B78">INDEX(Tabela.frequencia[],SMALL(IF(Tabela.frequencia[Mês]=$L$2,ROW(Tabela.frequencia[id])-1),ROW(A31)),1)</f>
        <v>16</v>
      </c>
      <c r="C78" s="229">
        <f t="array" ref="C78">INDEX(Tabela.frequencia[],SMALL(IF(Tabela.frequencia[Mês]=$L$2,ROW(Tabela.frequencia[id])-1),ROW(A31)),4)</f>
        <v>27</v>
      </c>
      <c r="D78" s="228"/>
      <c r="E78" s="176" t="str">
        <f>IFERROR(VLOOKUP(D78,Tabela.cadastro[[ID]:[Nome]],2,0),"")</f>
        <v/>
      </c>
      <c r="F78" s="177" t="str">
        <f>IFERROR(VLOOKUP(D78,Tabela66[#All],2,0),"")</f>
        <v/>
      </c>
      <c r="G78" s="177" t="str">
        <f>IFERROR(VLOOKUP(D78,Tabela.cadastro[[ID]:[CP ou M]],5,0),"")</f>
        <v/>
      </c>
      <c r="H78" s="177" t="str">
        <f>IFERROR(VLOOKUP(D78,Cadastros!A:F,6,0),"")</f>
        <v/>
      </c>
      <c r="I78" s="177" t="str">
        <f>IFERROR(VLOOKUP(D78,Cadastros!A:I,9,0),"")</f>
        <v/>
      </c>
      <c r="J78" s="177" t="str">
        <f>IFERROR(VLOOKUP(D78,Cadastros!A:J,10,0),"")</f>
        <v/>
      </c>
      <c r="K78" s="177" t="str">
        <f>IF(COUNTIF(Tabela66[id],D78)=0,"",COUNTIF(Tabela66[id],D78))</f>
        <v/>
      </c>
      <c r="L78" s="198"/>
      <c r="M78" s="227" t="str">
        <f t="shared" si="5"/>
        <v/>
      </c>
      <c r="N78" s="207"/>
      <c r="P78" s="176" t="str">
        <f>IFERROR(VLOOKUP(O78,Cadastros!A:B,2),"")</f>
        <v/>
      </c>
      <c r="Q78" s="177" t="str">
        <f t="shared" si="1"/>
        <v/>
      </c>
      <c r="R78" s="177" t="str">
        <f>IFERROR(VLOOKUP(O78,Cadastros!A:E,5,0),"")</f>
        <v/>
      </c>
      <c r="S78" s="177" t="str">
        <f>IFERROR(VLOOKUP(O78,Cadastros!A:F,6,0),"")</f>
        <v/>
      </c>
      <c r="T78" s="177" t="str">
        <f>IFERROR(VLOOKUP(O78,Cadastros!A:I,9,0),"")</f>
        <v/>
      </c>
      <c r="U78" s="177" t="str">
        <f t="shared" si="2"/>
        <v/>
      </c>
      <c r="V78" s="177" t="str">
        <f t="shared" si="3"/>
        <v/>
      </c>
      <c r="W78" s="177" t="str">
        <f t="shared" si="4"/>
        <v/>
      </c>
      <c r="Y78" s="240" t="e">
        <f t="array" ref="Y78">INDEX(Tabela.abordagens[],SMALL(IF(Tabela.abordagens[Mês]=$L$2,ROW(Tabela.abordagens[id])-2),ROW(A31)),1)</f>
        <v>#NUM!</v>
      </c>
      <c r="Z78" s="240" t="e">
        <f t="array" ref="Z78">INDEX(Tabela.abordagens[],SMALL(IF(Tabela.abordagens[Mês]=$L$2,ROW(Tabela.abordagens[Idade])-2),ROW(A31)),6)</f>
        <v>#NUM!</v>
      </c>
      <c r="AA78" s="240" t="e">
        <f t="array" ref="AA78">INDEX(Tabela.abordagens[],SMALL(IF(Tabela.abordagens[Mês]=$L$2,ROW(Tabela.abordagens[Idade])-2),ROW(A31)),4)</f>
        <v>#NUM!</v>
      </c>
      <c r="AB78" s="240" t="e">
        <f t="array" ref="AB78">INDEX(Tabela.abordagens[],SMALL(IF(Tabela.abordagens[Mês]=$L$2,ROW(Tabela.abordagens[Idade])-2),ROW(A31)),5)</f>
        <v>#NUM!</v>
      </c>
      <c r="AC78" s="207"/>
      <c r="AD78" s="207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</row>
    <row r="79" spans="2:47" ht="15" x14ac:dyDescent="0.25">
      <c r="B79" s="223">
        <f t="array" ref="B79">INDEX(Tabela.frequencia[],SMALL(IF(Tabela.frequencia[Mês]=$L$2,ROW(Tabela.frequencia[id])-1),ROW(A32)),1)</f>
        <v>16</v>
      </c>
      <c r="C79" s="229">
        <f t="array" ref="C79">INDEX(Tabela.frequencia[],SMALL(IF(Tabela.frequencia[Mês]=$L$2,ROW(Tabela.frequencia[id])-1),ROW(A32)),4)</f>
        <v>27</v>
      </c>
      <c r="D79" s="228"/>
      <c r="E79" s="176" t="str">
        <f>IFERROR(VLOOKUP(D79,Tabela.cadastro[[ID]:[Nome]],2,0),"")</f>
        <v/>
      </c>
      <c r="F79" s="177" t="str">
        <f>IFERROR(VLOOKUP(D79,Tabela66[#All],2,0),"")</f>
        <v/>
      </c>
      <c r="G79" s="177" t="str">
        <f>IFERROR(VLOOKUP(D79,Tabela.cadastro[[ID]:[CP ou M]],5,0),"")</f>
        <v/>
      </c>
      <c r="H79" s="177" t="str">
        <f>IFERROR(VLOOKUP(D79,Cadastros!A:F,6,0),"")</f>
        <v/>
      </c>
      <c r="I79" s="177" t="str">
        <f>IFERROR(VLOOKUP(D79,Cadastros!A:I,9,0),"")</f>
        <v/>
      </c>
      <c r="J79" s="177" t="str">
        <f>IFERROR(VLOOKUP(D79,Cadastros!A:J,10,0),"")</f>
        <v/>
      </c>
      <c r="K79" s="177" t="str">
        <f>IF(COUNTIF(Tabela66[id],D79)=0,"",COUNTIF(Tabela66[id],D79))</f>
        <v/>
      </c>
      <c r="L79" s="198"/>
      <c r="M79" s="227" t="str">
        <f t="shared" si="5"/>
        <v/>
      </c>
      <c r="N79" s="207"/>
      <c r="P79" s="176" t="str">
        <f>IFERROR(VLOOKUP(O79,Cadastros!A:B,2),"")</f>
        <v/>
      </c>
      <c r="Q79" s="177" t="str">
        <f t="shared" si="1"/>
        <v/>
      </c>
      <c r="R79" s="177" t="str">
        <f>IFERROR(VLOOKUP(O79,Cadastros!A:E,5,0),"")</f>
        <v/>
      </c>
      <c r="S79" s="177" t="str">
        <f>IFERROR(VLOOKUP(O79,Cadastros!A:F,6,0),"")</f>
        <v/>
      </c>
      <c r="T79" s="177" t="str">
        <f>IFERROR(VLOOKUP(O79,Cadastros!A:I,9,0),"")</f>
        <v/>
      </c>
      <c r="U79" s="177" t="str">
        <f t="shared" si="2"/>
        <v/>
      </c>
      <c r="V79" s="177" t="str">
        <f t="shared" si="3"/>
        <v/>
      </c>
      <c r="W79" s="177" t="str">
        <f t="shared" si="4"/>
        <v/>
      </c>
      <c r="Y79" s="240" t="e">
        <f t="array" ref="Y79">INDEX(Tabela.abordagens[],SMALL(IF(Tabela.abordagens[Mês]=$L$2,ROW(Tabela.abordagens[id])-2),ROW(A32)),1)</f>
        <v>#NUM!</v>
      </c>
      <c r="Z79" s="240" t="e">
        <f t="array" ref="Z79">INDEX(Tabela.abordagens[],SMALL(IF(Tabela.abordagens[Mês]=$L$2,ROW(Tabela.abordagens[Idade])-2),ROW(A32)),6)</f>
        <v>#NUM!</v>
      </c>
      <c r="AA79" s="240" t="e">
        <f t="array" ref="AA79">INDEX(Tabela.abordagens[],SMALL(IF(Tabela.abordagens[Mês]=$L$2,ROW(Tabela.abordagens[Idade])-2),ROW(A32)),4)</f>
        <v>#NUM!</v>
      </c>
      <c r="AB79" s="240" t="e">
        <f t="array" ref="AB79">INDEX(Tabela.abordagens[],SMALL(IF(Tabela.abordagens[Mês]=$L$2,ROW(Tabela.abordagens[Idade])-2),ROW(A32)),5)</f>
        <v>#NUM!</v>
      </c>
      <c r="AC79" s="207"/>
      <c r="AD79" s="207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</row>
    <row r="80" spans="2:47" ht="15" x14ac:dyDescent="0.25">
      <c r="B80" s="223">
        <f t="array" ref="B80">INDEX(Tabela.frequencia[],SMALL(IF(Tabela.frequencia[Mês]=$L$2,ROW(Tabela.frequencia[id])-1),ROW(A33)),1)</f>
        <v>16</v>
      </c>
      <c r="C80" s="229">
        <f t="array" ref="C80">INDEX(Tabela.frequencia[],SMALL(IF(Tabela.frequencia[Mês]=$L$2,ROW(Tabela.frequencia[id])-1),ROW(A33)),4)</f>
        <v>27</v>
      </c>
      <c r="D80" s="228"/>
      <c r="E80" s="176" t="str">
        <f>IFERROR(VLOOKUP(D80,Tabela.cadastro[[ID]:[Nome]],2,0),"")</f>
        <v/>
      </c>
      <c r="F80" s="177" t="str">
        <f>IFERROR(VLOOKUP(D80,Tabela66[#All],2,0),"")</f>
        <v/>
      </c>
      <c r="G80" s="177" t="str">
        <f>IFERROR(VLOOKUP(D80,Tabela.cadastro[[ID]:[CP ou M]],5,0),"")</f>
        <v/>
      </c>
      <c r="H80" s="177" t="str">
        <f>IFERROR(VLOOKUP(D80,Cadastros!A:F,6,0),"")</f>
        <v/>
      </c>
      <c r="I80" s="177" t="str">
        <f>IFERROR(VLOOKUP(D80,Cadastros!A:I,9,0),"")</f>
        <v/>
      </c>
      <c r="J80" s="177" t="str">
        <f>IFERROR(VLOOKUP(D80,Cadastros!A:J,10,0),"")</f>
        <v/>
      </c>
      <c r="K80" s="177" t="str">
        <f>IF(COUNTIF(Tabela66[id],D80)=0,"",COUNTIF(Tabela66[id],D80))</f>
        <v/>
      </c>
      <c r="L80" s="198"/>
      <c r="M80" s="227" t="str">
        <f t="shared" si="5"/>
        <v/>
      </c>
      <c r="N80" s="207"/>
      <c r="P80" s="176" t="str">
        <f>IFERROR(VLOOKUP(O80,Cadastros!A:B,2),"")</f>
        <v/>
      </c>
      <c r="Q80" s="177" t="str">
        <f t="shared" si="1"/>
        <v/>
      </c>
      <c r="R80" s="177" t="str">
        <f>IFERROR(VLOOKUP(O80,Cadastros!A:E,5,0),"")</f>
        <v/>
      </c>
      <c r="S80" s="177" t="str">
        <f>IFERROR(VLOOKUP(O80,Cadastros!A:F,6,0),"")</f>
        <v/>
      </c>
      <c r="T80" s="177" t="str">
        <f>IFERROR(VLOOKUP(O80,Cadastros!A:I,9,0),"")</f>
        <v/>
      </c>
      <c r="U80" s="177" t="str">
        <f t="shared" si="2"/>
        <v/>
      </c>
      <c r="V80" s="177" t="str">
        <f t="shared" si="3"/>
        <v/>
      </c>
      <c r="W80" s="177" t="str">
        <f t="shared" si="4"/>
        <v/>
      </c>
      <c r="Y80" s="240" t="e">
        <f t="array" ref="Y80">INDEX(Tabela.abordagens[],SMALL(IF(Tabela.abordagens[Mês]=$L$2,ROW(Tabela.abordagens[id])-2),ROW(A33)),1)</f>
        <v>#NUM!</v>
      </c>
      <c r="Z80" s="240" t="e">
        <f t="array" ref="Z80">INDEX(Tabela.abordagens[],SMALL(IF(Tabela.abordagens[Mês]=$L$2,ROW(Tabela.abordagens[Idade])-2),ROW(A33)),6)</f>
        <v>#NUM!</v>
      </c>
      <c r="AA80" s="240" t="e">
        <f t="array" ref="AA80">INDEX(Tabela.abordagens[],SMALL(IF(Tabela.abordagens[Mês]=$L$2,ROW(Tabela.abordagens[Idade])-2),ROW(A33)),4)</f>
        <v>#NUM!</v>
      </c>
      <c r="AB80" s="240" t="e">
        <f t="array" ref="AB80">INDEX(Tabela.abordagens[],SMALL(IF(Tabela.abordagens[Mês]=$L$2,ROW(Tabela.abordagens[Idade])-2),ROW(A33)),5)</f>
        <v>#NUM!</v>
      </c>
      <c r="AC80" s="207"/>
      <c r="AD80" s="207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</row>
    <row r="81" spans="2:47" ht="15" x14ac:dyDescent="0.25">
      <c r="B81" s="223">
        <f t="array" ref="B81">INDEX(Tabela.frequencia[],SMALL(IF(Tabela.frequencia[Mês]=$L$2,ROW(Tabela.frequencia[id])-1),ROW(A34)),1)</f>
        <v>16</v>
      </c>
      <c r="C81" s="229">
        <f t="array" ref="C81">INDEX(Tabela.frequencia[],SMALL(IF(Tabela.frequencia[Mês]=$L$2,ROW(Tabela.frequencia[id])-1),ROW(A34)),4)</f>
        <v>27</v>
      </c>
      <c r="D81" s="228"/>
      <c r="E81" s="176" t="str">
        <f>IFERROR(VLOOKUP(D81,Tabela.cadastro[[ID]:[Nome]],2,0),"")</f>
        <v/>
      </c>
      <c r="F81" s="177" t="str">
        <f>IFERROR(VLOOKUP(D81,Tabela66[#All],2,0),"")</f>
        <v/>
      </c>
      <c r="G81" s="177" t="str">
        <f>IFERROR(VLOOKUP(D81,Tabela.cadastro[[ID]:[CP ou M]],5,0),"")</f>
        <v/>
      </c>
      <c r="H81" s="177" t="str">
        <f>IFERROR(VLOOKUP(D81,Cadastros!A:F,6,0),"")</f>
        <v/>
      </c>
      <c r="I81" s="177" t="str">
        <f>IFERROR(VLOOKUP(D81,Cadastros!A:I,9,0),"")</f>
        <v/>
      </c>
      <c r="J81" s="177" t="str">
        <f>IFERROR(VLOOKUP(D81,Cadastros!A:J,10,0),"")</f>
        <v/>
      </c>
      <c r="K81" s="177" t="str">
        <f>IF(COUNTIF(Tabela66[id],D81)=0,"",COUNTIF(Tabela66[id],D81))</f>
        <v/>
      </c>
      <c r="L81" s="198"/>
      <c r="M81" s="227" t="str">
        <f t="shared" si="5"/>
        <v/>
      </c>
      <c r="N81" s="207"/>
      <c r="P81" s="176" t="str">
        <f>IFERROR(VLOOKUP(O81,Cadastros!A:B,2),"")</f>
        <v/>
      </c>
      <c r="Q81" s="177" t="str">
        <f t="shared" si="1"/>
        <v/>
      </c>
      <c r="R81" s="177" t="str">
        <f>IFERROR(VLOOKUP(O81,Cadastros!A:E,5,0),"")</f>
        <v/>
      </c>
      <c r="S81" s="177" t="str">
        <f>IFERROR(VLOOKUP(O81,Cadastros!A:F,6,0),"")</f>
        <v/>
      </c>
      <c r="T81" s="177" t="str">
        <f>IFERROR(VLOOKUP(O81,Cadastros!A:I,9,0),"")</f>
        <v/>
      </c>
      <c r="U81" s="177" t="str">
        <f t="shared" si="2"/>
        <v/>
      </c>
      <c r="V81" s="177" t="str">
        <f t="shared" si="3"/>
        <v/>
      </c>
      <c r="W81" s="177" t="str">
        <f t="shared" si="4"/>
        <v/>
      </c>
      <c r="Y81" s="240" t="e">
        <f t="array" ref="Y81">INDEX(Tabela.abordagens[],SMALL(IF(Tabela.abordagens[Mês]=$L$2,ROW(Tabela.abordagens[id])-2),ROW(A34)),1)</f>
        <v>#NUM!</v>
      </c>
      <c r="Z81" s="240" t="e">
        <f t="array" ref="Z81">INDEX(Tabela.abordagens[],SMALL(IF(Tabela.abordagens[Mês]=$L$2,ROW(Tabela.abordagens[Idade])-2),ROW(A34)),6)</f>
        <v>#NUM!</v>
      </c>
      <c r="AA81" s="240" t="e">
        <f t="array" ref="AA81">INDEX(Tabela.abordagens[],SMALL(IF(Tabela.abordagens[Mês]=$L$2,ROW(Tabela.abordagens[Idade])-2),ROW(A34)),4)</f>
        <v>#NUM!</v>
      </c>
      <c r="AB81" s="240" t="e">
        <f t="array" ref="AB81">INDEX(Tabela.abordagens[],SMALL(IF(Tabela.abordagens[Mês]=$L$2,ROW(Tabela.abordagens[Idade])-2),ROW(A34)),5)</f>
        <v>#NUM!</v>
      </c>
      <c r="AC81" s="207"/>
      <c r="AD81" s="207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</row>
    <row r="82" spans="2:47" ht="15" x14ac:dyDescent="0.25">
      <c r="B82" s="223">
        <f t="array" ref="B82">INDEX(Tabela.frequencia[],SMALL(IF(Tabela.frequencia[Mês]=$L$2,ROW(Tabela.frequencia[id])-1),ROW(A35)),1)</f>
        <v>16</v>
      </c>
      <c r="C82" s="229">
        <f t="array" ref="C82">INDEX(Tabela.frequencia[],SMALL(IF(Tabela.frequencia[Mês]=$L$2,ROW(Tabela.frequencia[id])-1),ROW(A35)),4)</f>
        <v>27</v>
      </c>
      <c r="D82" s="228"/>
      <c r="E82" s="176" t="str">
        <f>IFERROR(VLOOKUP(D82,Tabela.cadastro[[ID]:[Nome]],2,0),"")</f>
        <v/>
      </c>
      <c r="F82" s="177" t="str">
        <f>IFERROR(VLOOKUP(D82,Tabela66[#All],2,0),"")</f>
        <v/>
      </c>
      <c r="G82" s="177" t="str">
        <f>IFERROR(VLOOKUP(D82,Tabela.cadastro[[ID]:[CP ou M]],5,0),"")</f>
        <v/>
      </c>
      <c r="H82" s="177" t="str">
        <f>IFERROR(VLOOKUP(D82,Cadastros!A:F,6,0),"")</f>
        <v/>
      </c>
      <c r="I82" s="177" t="str">
        <f>IFERROR(VLOOKUP(D82,Cadastros!A:I,9,0),"")</f>
        <v/>
      </c>
      <c r="J82" s="177" t="str">
        <f>IFERROR(VLOOKUP(D82,Cadastros!A:J,10,0),"")</f>
        <v/>
      </c>
      <c r="K82" s="177" t="str">
        <f>IF(COUNTIF(Tabela66[id],D82)=0,"",COUNTIF(Tabela66[id],D82))</f>
        <v/>
      </c>
      <c r="L82" s="198"/>
      <c r="M82" s="227" t="str">
        <f t="shared" si="5"/>
        <v/>
      </c>
      <c r="N82" s="207"/>
      <c r="P82" s="176" t="str">
        <f>IFERROR(VLOOKUP(O82,Cadastros!A:B,2),"")</f>
        <v/>
      </c>
      <c r="Q82" s="177" t="str">
        <f t="shared" si="1"/>
        <v/>
      </c>
      <c r="R82" s="177" t="str">
        <f>IFERROR(VLOOKUP(O82,Cadastros!A:E,5,0),"")</f>
        <v/>
      </c>
      <c r="S82" s="177" t="str">
        <f>IFERROR(VLOOKUP(O82,Cadastros!A:F,6,0),"")</f>
        <v/>
      </c>
      <c r="T82" s="177" t="str">
        <f>IFERROR(VLOOKUP(O82,Cadastros!A:I,9,0),"")</f>
        <v/>
      </c>
      <c r="U82" s="177" t="str">
        <f t="shared" si="2"/>
        <v/>
      </c>
      <c r="V82" s="177" t="str">
        <f t="shared" si="3"/>
        <v/>
      </c>
      <c r="W82" s="177" t="str">
        <f t="shared" si="4"/>
        <v/>
      </c>
      <c r="Y82" s="240" t="e">
        <f t="array" ref="Y82">INDEX(Tabela.abordagens[],SMALL(IF(Tabela.abordagens[Mês]=$L$2,ROW(Tabela.abordagens[id])-2),ROW(A35)),1)</f>
        <v>#NUM!</v>
      </c>
      <c r="Z82" s="240" t="e">
        <f t="array" ref="Z82">INDEX(Tabela.abordagens[],SMALL(IF(Tabela.abordagens[Mês]=$L$2,ROW(Tabela.abordagens[Idade])-2),ROW(A35)),6)</f>
        <v>#NUM!</v>
      </c>
      <c r="AA82" s="240" t="e">
        <f t="array" ref="AA82">INDEX(Tabela.abordagens[],SMALL(IF(Tabela.abordagens[Mês]=$L$2,ROW(Tabela.abordagens[Idade])-2),ROW(A35)),4)</f>
        <v>#NUM!</v>
      </c>
      <c r="AB82" s="240" t="e">
        <f t="array" ref="AB82">INDEX(Tabela.abordagens[],SMALL(IF(Tabela.abordagens[Mês]=$L$2,ROW(Tabela.abordagens[Idade])-2),ROW(A35)),5)</f>
        <v>#NUM!</v>
      </c>
      <c r="AC82" s="207"/>
      <c r="AD82" s="207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</row>
    <row r="83" spans="2:47" ht="15" x14ac:dyDescent="0.25">
      <c r="B83" s="223">
        <f t="array" ref="B83">INDEX(Tabela.frequencia[],SMALL(IF(Tabela.frequencia[Mês]=$L$2,ROW(Tabela.frequencia[id])-1),ROW(A36)),1)</f>
        <v>16</v>
      </c>
      <c r="C83" s="229">
        <f t="array" ref="C83">INDEX(Tabela.frequencia[],SMALL(IF(Tabela.frequencia[Mês]=$L$2,ROW(Tabela.frequencia[id])-1),ROW(A36)),4)</f>
        <v>27</v>
      </c>
      <c r="D83" s="228"/>
      <c r="E83" s="176" t="str">
        <f>IFERROR(VLOOKUP(D83,Tabela.cadastro[[ID]:[Nome]],2,0),"")</f>
        <v/>
      </c>
      <c r="F83" s="177" t="str">
        <f>IFERROR(VLOOKUP(D83,Tabela66[#All],2,0),"")</f>
        <v/>
      </c>
      <c r="G83" s="177" t="str">
        <f>IFERROR(VLOOKUP(D83,Tabela.cadastro[[ID]:[CP ou M]],5,0),"")</f>
        <v/>
      </c>
      <c r="H83" s="177" t="str">
        <f>IFERROR(VLOOKUP(D83,Cadastros!A:F,6,0),"")</f>
        <v/>
      </c>
      <c r="I83" s="177" t="str">
        <f>IFERROR(VLOOKUP(D83,Cadastros!A:I,9,0),"")</f>
        <v/>
      </c>
      <c r="J83" s="177" t="str">
        <f>IFERROR(VLOOKUP(D83,Cadastros!A:J,10,0),"")</f>
        <v/>
      </c>
      <c r="K83" s="177" t="str">
        <f>IF(COUNTIF(Tabela66[id],D83)=0,"",COUNTIF(Tabela66[id],D83))</f>
        <v/>
      </c>
      <c r="L83" s="198"/>
      <c r="M83" s="227" t="str">
        <f t="shared" si="5"/>
        <v/>
      </c>
      <c r="N83" s="207"/>
      <c r="P83" s="176" t="str">
        <f>IFERROR(VLOOKUP(O83,Cadastros!A:B,2),"")</f>
        <v/>
      </c>
      <c r="Q83" s="177" t="str">
        <f t="shared" si="1"/>
        <v/>
      </c>
      <c r="R83" s="177" t="str">
        <f>IFERROR(VLOOKUP(O83,Cadastros!A:E,5,0),"")</f>
        <v/>
      </c>
      <c r="S83" s="177" t="str">
        <f>IFERROR(VLOOKUP(O83,Cadastros!A:F,6,0),"")</f>
        <v/>
      </c>
      <c r="T83" s="177" t="str">
        <f>IFERROR(VLOOKUP(O83,Cadastros!A:I,9,0),"")</f>
        <v/>
      </c>
      <c r="U83" s="177" t="str">
        <f t="shared" si="2"/>
        <v/>
      </c>
      <c r="V83" s="177" t="str">
        <f t="shared" si="3"/>
        <v/>
      </c>
      <c r="W83" s="177" t="str">
        <f t="shared" si="4"/>
        <v/>
      </c>
      <c r="Y83" s="240" t="e">
        <f t="array" ref="Y83">INDEX(Tabela.abordagens[],SMALL(IF(Tabela.abordagens[Mês]=$L$2,ROW(Tabela.abordagens[id])-2),ROW(A36)),1)</f>
        <v>#NUM!</v>
      </c>
      <c r="Z83" s="240" t="e">
        <f t="array" ref="Z83">INDEX(Tabela.abordagens[],SMALL(IF(Tabela.abordagens[Mês]=$L$2,ROW(Tabela.abordagens[Idade])-2),ROW(A36)),6)</f>
        <v>#NUM!</v>
      </c>
      <c r="AA83" s="240" t="e">
        <f t="array" ref="AA83">INDEX(Tabela.abordagens[],SMALL(IF(Tabela.abordagens[Mês]=$L$2,ROW(Tabela.abordagens[Idade])-2),ROW(A36)),4)</f>
        <v>#NUM!</v>
      </c>
      <c r="AB83" s="240" t="e">
        <f t="array" ref="AB83">INDEX(Tabela.abordagens[],SMALL(IF(Tabela.abordagens[Mês]=$L$2,ROW(Tabela.abordagens[Idade])-2),ROW(A36)),5)</f>
        <v>#NUM!</v>
      </c>
      <c r="AC83" s="207"/>
      <c r="AD83" s="207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</row>
    <row r="84" spans="2:47" ht="15" x14ac:dyDescent="0.25">
      <c r="B84" s="223">
        <f t="array" ref="B84">INDEX(Tabela.frequencia[],SMALL(IF(Tabela.frequencia[Mês]=$L$2,ROW(Tabela.frequencia[id])-1),ROW(A37)),1)</f>
        <v>16</v>
      </c>
      <c r="C84" s="229">
        <f t="array" ref="C84">INDEX(Tabela.frequencia[],SMALL(IF(Tabela.frequencia[Mês]=$L$2,ROW(Tabela.frequencia[id])-1),ROW(A37)),4)</f>
        <v>27</v>
      </c>
      <c r="D84" s="228"/>
      <c r="E84" s="176" t="str">
        <f>IFERROR(VLOOKUP(D84,Tabela.cadastro[[ID]:[Nome]],2,0),"")</f>
        <v/>
      </c>
      <c r="F84" s="177" t="str">
        <f>IFERROR(VLOOKUP(D84,Tabela66[#All],2,0),"")</f>
        <v/>
      </c>
      <c r="G84" s="177" t="str">
        <f>IFERROR(VLOOKUP(D84,Tabela.cadastro[[ID]:[CP ou M]],5,0),"")</f>
        <v/>
      </c>
      <c r="H84" s="177" t="str">
        <f>IFERROR(VLOOKUP(D84,Cadastros!A:F,6,0),"")</f>
        <v/>
      </c>
      <c r="I84" s="177" t="str">
        <f>IFERROR(VLOOKUP(D84,Cadastros!A:I,9,0),"")</f>
        <v/>
      </c>
      <c r="J84" s="177" t="str">
        <f>IFERROR(VLOOKUP(D84,Cadastros!A:J,10,0),"")</f>
        <v/>
      </c>
      <c r="K84" s="177" t="str">
        <f>IF(COUNTIF(Tabela66[id],D84)=0,"",COUNTIF(Tabela66[id],D84))</f>
        <v/>
      </c>
      <c r="L84" s="198"/>
      <c r="M84" s="227" t="str">
        <f t="shared" si="5"/>
        <v/>
      </c>
      <c r="N84" s="207"/>
      <c r="P84" s="176" t="str">
        <f>IFERROR(VLOOKUP(O84,Cadastros!A:B,2),"")</f>
        <v/>
      </c>
      <c r="Q84" s="177" t="str">
        <f t="shared" si="1"/>
        <v/>
      </c>
      <c r="R84" s="177" t="str">
        <f>IFERROR(VLOOKUP(O84,Cadastros!A:E,5,0),"")</f>
        <v/>
      </c>
      <c r="S84" s="177" t="str">
        <f>IFERROR(VLOOKUP(O84,Cadastros!A:F,6,0),"")</f>
        <v/>
      </c>
      <c r="T84" s="177" t="str">
        <f>IFERROR(VLOOKUP(O84,Cadastros!A:I,9,0),"")</f>
        <v/>
      </c>
      <c r="U84" s="177" t="str">
        <f t="shared" si="2"/>
        <v/>
      </c>
      <c r="V84" s="177" t="str">
        <f t="shared" si="3"/>
        <v/>
      </c>
      <c r="W84" s="177" t="str">
        <f t="shared" si="4"/>
        <v/>
      </c>
      <c r="Y84" s="240" t="e">
        <f t="array" ref="Y84">INDEX(Tabela.abordagens[],SMALL(IF(Tabela.abordagens[Mês]=$L$2,ROW(Tabela.abordagens[id])-2),ROW(A37)),1)</f>
        <v>#NUM!</v>
      </c>
      <c r="Z84" s="240" t="e">
        <f t="array" ref="Z84">INDEX(Tabela.abordagens[],SMALL(IF(Tabela.abordagens[Mês]=$L$2,ROW(Tabela.abordagens[Idade])-2),ROW(A37)),6)</f>
        <v>#NUM!</v>
      </c>
      <c r="AA84" s="240" t="e">
        <f t="array" ref="AA84">INDEX(Tabela.abordagens[],SMALL(IF(Tabela.abordagens[Mês]=$L$2,ROW(Tabela.abordagens[Idade])-2),ROW(A37)),4)</f>
        <v>#NUM!</v>
      </c>
      <c r="AB84" s="240" t="e">
        <f t="array" ref="AB84">INDEX(Tabela.abordagens[],SMALL(IF(Tabela.abordagens[Mês]=$L$2,ROW(Tabela.abordagens[Idade])-2),ROW(A37)),5)</f>
        <v>#NUM!</v>
      </c>
      <c r="AC84" s="207"/>
      <c r="AD84" s="207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</row>
    <row r="85" spans="2:47" ht="15" x14ac:dyDescent="0.25">
      <c r="B85" s="223">
        <f t="array" ref="B85">INDEX(Tabela.frequencia[],SMALL(IF(Tabela.frequencia[Mês]=$L$2,ROW(Tabela.frequencia[id])-1),ROW(A38)),1)</f>
        <v>15</v>
      </c>
      <c r="C85" s="229">
        <f t="array" ref="C85">INDEX(Tabela.frequencia[],SMALL(IF(Tabela.frequencia[Mês]=$L$2,ROW(Tabela.frequencia[id])-1),ROW(A38)),4)</f>
        <v>36</v>
      </c>
      <c r="D85" s="228"/>
      <c r="E85" s="176" t="str">
        <f>IFERROR(VLOOKUP(D85,Tabela.cadastro[[ID]:[Nome]],2,0),"")</f>
        <v/>
      </c>
      <c r="F85" s="177" t="str">
        <f>IFERROR(VLOOKUP(D85,Tabela66[#All],2,0),"")</f>
        <v/>
      </c>
      <c r="G85" s="177" t="str">
        <f>IFERROR(VLOOKUP(D85,Tabela.cadastro[[ID]:[CP ou M]],5,0),"")</f>
        <v/>
      </c>
      <c r="H85" s="177" t="str">
        <f>IFERROR(VLOOKUP(D85,Cadastros!A:F,6,0),"")</f>
        <v/>
      </c>
      <c r="I85" s="177" t="str">
        <f>IFERROR(VLOOKUP(D85,Cadastros!A:I,9,0),"")</f>
        <v/>
      </c>
      <c r="J85" s="177" t="str">
        <f>IFERROR(VLOOKUP(D85,Cadastros!A:J,10,0),"")</f>
        <v/>
      </c>
      <c r="K85" s="177" t="str">
        <f>IF(COUNTIF(Tabela66[id],D85)=0,"",COUNTIF(Tabela66[id],D85))</f>
        <v/>
      </c>
      <c r="L85" s="198"/>
      <c r="M85" s="227" t="str">
        <f t="shared" si="5"/>
        <v/>
      </c>
      <c r="N85" s="207"/>
      <c r="P85" s="176" t="str">
        <f>IFERROR(VLOOKUP(O85,Cadastros!A:B,2),"")</f>
        <v/>
      </c>
      <c r="Q85" s="177" t="str">
        <f t="shared" si="1"/>
        <v/>
      </c>
      <c r="R85" s="177" t="str">
        <f>IFERROR(VLOOKUP(O85,Cadastros!A:E,5,0),"")</f>
        <v/>
      </c>
      <c r="S85" s="177" t="str">
        <f>IFERROR(VLOOKUP(O85,Cadastros!A:F,6,0),"")</f>
        <v/>
      </c>
      <c r="T85" s="177" t="str">
        <f>IFERROR(VLOOKUP(O85,Cadastros!A:I,9,0),"")</f>
        <v/>
      </c>
      <c r="U85" s="177" t="str">
        <f t="shared" si="2"/>
        <v/>
      </c>
      <c r="V85" s="177" t="str">
        <f t="shared" si="3"/>
        <v/>
      </c>
      <c r="W85" s="177" t="str">
        <f t="shared" si="4"/>
        <v/>
      </c>
      <c r="Y85" s="240" t="e">
        <f t="array" ref="Y85">INDEX(Tabela.abordagens[],SMALL(IF(Tabela.abordagens[Mês]=$L$2,ROW(Tabela.abordagens[id])-2),ROW(A38)),1)</f>
        <v>#NUM!</v>
      </c>
      <c r="Z85" s="240" t="e">
        <f t="array" ref="Z85">INDEX(Tabela.abordagens[],SMALL(IF(Tabela.abordagens[Mês]=$L$2,ROW(Tabela.abordagens[Idade])-2),ROW(A38)),6)</f>
        <v>#NUM!</v>
      </c>
      <c r="AA85" s="240" t="e">
        <f t="array" ref="AA85">INDEX(Tabela.abordagens[],SMALL(IF(Tabela.abordagens[Mês]=$L$2,ROW(Tabela.abordagens[Idade])-2),ROW(A38)),4)</f>
        <v>#NUM!</v>
      </c>
      <c r="AB85" s="240" t="e">
        <f t="array" ref="AB85">INDEX(Tabela.abordagens[],SMALL(IF(Tabela.abordagens[Mês]=$L$2,ROW(Tabela.abordagens[Idade])-2),ROW(A38)),5)</f>
        <v>#NUM!</v>
      </c>
      <c r="AC85" s="207"/>
      <c r="AD85" s="207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</row>
    <row r="86" spans="2:47" ht="15" x14ac:dyDescent="0.25">
      <c r="B86" s="223">
        <f t="array" ref="B86">INDEX(Tabela.frequencia[],SMALL(IF(Tabela.frequencia[Mês]=$L$2,ROW(Tabela.frequencia[id])-1),ROW(A39)),1)</f>
        <v>15</v>
      </c>
      <c r="C86" s="229">
        <f t="array" ref="C86">INDEX(Tabela.frequencia[],SMALL(IF(Tabela.frequencia[Mês]=$L$2,ROW(Tabela.frequencia[id])-1),ROW(A39)),4)</f>
        <v>36</v>
      </c>
      <c r="D86" s="228"/>
      <c r="E86" s="176" t="str">
        <f>IFERROR(VLOOKUP(D86,Tabela.cadastro[[ID]:[Nome]],2,0),"")</f>
        <v/>
      </c>
      <c r="F86" s="177" t="str">
        <f>IFERROR(VLOOKUP(D86,Tabela66[#All],2,0),"")</f>
        <v/>
      </c>
      <c r="G86" s="177" t="str">
        <f>IFERROR(VLOOKUP(D86,Tabela.cadastro[[ID]:[CP ou M]],5,0),"")</f>
        <v/>
      </c>
      <c r="H86" s="177" t="str">
        <f>IFERROR(VLOOKUP(D86,Cadastros!A:F,6,0),"")</f>
        <v/>
      </c>
      <c r="I86" s="177" t="str">
        <f>IFERROR(VLOOKUP(D86,Cadastros!A:I,9,0),"")</f>
        <v/>
      </c>
      <c r="J86" s="177" t="str">
        <f>IFERROR(VLOOKUP(D86,Cadastros!A:J,10,0),"")</f>
        <v/>
      </c>
      <c r="K86" s="177" t="str">
        <f>IF(COUNTIF(Tabela66[id],D86)=0,"",COUNTIF(Tabela66[id],D86))</f>
        <v/>
      </c>
      <c r="L86" s="198"/>
      <c r="M86" s="227" t="str">
        <f t="shared" si="5"/>
        <v/>
      </c>
      <c r="N86" s="207"/>
      <c r="P86" s="176" t="str">
        <f>IFERROR(VLOOKUP(O86,Cadastros!A:B,2),"")</f>
        <v/>
      </c>
      <c r="Q86" s="177" t="str">
        <f t="shared" si="1"/>
        <v/>
      </c>
      <c r="R86" s="177" t="str">
        <f>IFERROR(VLOOKUP(O86,Cadastros!A:E,5,0),"")</f>
        <v/>
      </c>
      <c r="S86" s="177" t="str">
        <f>IFERROR(VLOOKUP(O86,Cadastros!A:F,6,0),"")</f>
        <v/>
      </c>
      <c r="T86" s="177" t="str">
        <f>IFERROR(VLOOKUP(O86,Cadastros!A:I,9,0),"")</f>
        <v/>
      </c>
      <c r="U86" s="177" t="str">
        <f t="shared" si="2"/>
        <v/>
      </c>
      <c r="V86" s="177" t="str">
        <f t="shared" si="3"/>
        <v/>
      </c>
      <c r="W86" s="177" t="str">
        <f t="shared" si="4"/>
        <v/>
      </c>
      <c r="Y86" s="240" t="e">
        <f t="array" ref="Y86">INDEX(Tabela.abordagens[],SMALL(IF(Tabela.abordagens[Mês]=$L$2,ROW(Tabela.abordagens[id])-2),ROW(A39)),1)</f>
        <v>#NUM!</v>
      </c>
      <c r="Z86" s="240" t="e">
        <f t="array" ref="Z86">INDEX(Tabela.abordagens[],SMALL(IF(Tabela.abordagens[Mês]=$L$2,ROW(Tabela.abordagens[Idade])-2),ROW(A39)),6)</f>
        <v>#NUM!</v>
      </c>
      <c r="AA86" s="240" t="e">
        <f t="array" ref="AA86">INDEX(Tabela.abordagens[],SMALL(IF(Tabela.abordagens[Mês]=$L$2,ROW(Tabela.abordagens[Idade])-2),ROW(A39)),4)</f>
        <v>#NUM!</v>
      </c>
      <c r="AB86" s="240" t="e">
        <f t="array" ref="AB86">INDEX(Tabela.abordagens[],SMALL(IF(Tabela.abordagens[Mês]=$L$2,ROW(Tabela.abordagens[Idade])-2),ROW(A39)),5)</f>
        <v>#NUM!</v>
      </c>
      <c r="AC86" s="207"/>
      <c r="AD86" s="207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</row>
    <row r="87" spans="2:47" ht="15" x14ac:dyDescent="0.25">
      <c r="B87" s="223">
        <f t="array" ref="B87">INDEX(Tabela.frequencia[],SMALL(IF(Tabela.frequencia[Mês]=$L$2,ROW(Tabela.frequencia[id])-1),ROW(A40)),1)</f>
        <v>15</v>
      </c>
      <c r="C87" s="229">
        <f t="array" ref="C87">INDEX(Tabela.frequencia[],SMALL(IF(Tabela.frequencia[Mês]=$L$2,ROW(Tabela.frequencia[id])-1),ROW(A40)),4)</f>
        <v>36</v>
      </c>
      <c r="D87" s="228"/>
      <c r="E87" s="176" t="str">
        <f>IFERROR(VLOOKUP(D87,Tabela.cadastro[[ID]:[Nome]],2,0),"")</f>
        <v/>
      </c>
      <c r="F87" s="177" t="str">
        <f>IFERROR(VLOOKUP(D87,Tabela66[#All],2,0),"")</f>
        <v/>
      </c>
      <c r="G87" s="177" t="str">
        <f>IFERROR(VLOOKUP(D87,Tabela.cadastro[[ID]:[CP ou M]],5,0),"")</f>
        <v/>
      </c>
      <c r="H87" s="177" t="str">
        <f>IFERROR(VLOOKUP(D87,Cadastros!A:F,6,0),"")</f>
        <v/>
      </c>
      <c r="I87" s="177" t="str">
        <f>IFERROR(VLOOKUP(D87,Cadastros!A:I,9,0),"")</f>
        <v/>
      </c>
      <c r="J87" s="177" t="str">
        <f>IFERROR(VLOOKUP(D87,Cadastros!A:J,10,0),"")</f>
        <v/>
      </c>
      <c r="K87" s="177" t="str">
        <f>IF(COUNTIF(Tabela66[id],D87)=0,"",COUNTIF(Tabela66[id],D87))</f>
        <v/>
      </c>
      <c r="L87" s="198"/>
      <c r="M87" s="227" t="str">
        <f t="shared" si="5"/>
        <v/>
      </c>
      <c r="N87" s="207"/>
      <c r="P87" s="176" t="str">
        <f>IFERROR(VLOOKUP(O87,Cadastros!A:B,2),"")</f>
        <v/>
      </c>
      <c r="Q87" s="177" t="str">
        <f t="shared" si="1"/>
        <v/>
      </c>
      <c r="R87" s="177" t="str">
        <f>IFERROR(VLOOKUP(O87,Cadastros!A:E,5,0),"")</f>
        <v/>
      </c>
      <c r="S87" s="177" t="str">
        <f>IFERROR(VLOOKUP(O87,Cadastros!A:F,6,0),"")</f>
        <v/>
      </c>
      <c r="T87" s="177" t="str">
        <f>IFERROR(VLOOKUP(O87,Cadastros!A:I,9,0),"")</f>
        <v/>
      </c>
      <c r="U87" s="177" t="str">
        <f t="shared" si="2"/>
        <v/>
      </c>
      <c r="V87" s="177" t="str">
        <f t="shared" si="3"/>
        <v/>
      </c>
      <c r="W87" s="177" t="str">
        <f t="shared" si="4"/>
        <v/>
      </c>
      <c r="Y87" s="240" t="e">
        <f t="array" ref="Y87">INDEX(Tabela.abordagens[],SMALL(IF(Tabela.abordagens[Mês]=$L$2,ROW(Tabela.abordagens[id])-2),ROW(A40)),1)</f>
        <v>#NUM!</v>
      </c>
      <c r="Z87" s="240" t="e">
        <f t="array" ref="Z87">INDEX(Tabela.abordagens[],SMALL(IF(Tabela.abordagens[Mês]=$L$2,ROW(Tabela.abordagens[Idade])-2),ROW(A40)),6)</f>
        <v>#NUM!</v>
      </c>
      <c r="AA87" s="240" t="e">
        <f t="array" ref="AA87">INDEX(Tabela.abordagens[],SMALL(IF(Tabela.abordagens[Mês]=$L$2,ROW(Tabela.abordagens[Idade])-2),ROW(A40)),4)</f>
        <v>#NUM!</v>
      </c>
      <c r="AB87" s="240" t="e">
        <f t="array" ref="AB87">INDEX(Tabela.abordagens[],SMALL(IF(Tabela.abordagens[Mês]=$L$2,ROW(Tabela.abordagens[Idade])-2),ROW(A40)),5)</f>
        <v>#NUM!</v>
      </c>
      <c r="AC87" s="207"/>
      <c r="AD87" s="207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</row>
    <row r="88" spans="2:47" ht="15" x14ac:dyDescent="0.25">
      <c r="B88" s="223">
        <f t="array" ref="B88">INDEX(Tabela.frequencia[],SMALL(IF(Tabela.frequencia[Mês]=$L$2,ROW(Tabela.frequencia[id])-1),ROW(A41)),1)</f>
        <v>15</v>
      </c>
      <c r="C88" s="229">
        <f t="array" ref="C88">INDEX(Tabela.frequencia[],SMALL(IF(Tabela.frequencia[Mês]=$L$2,ROW(Tabela.frequencia[id])-1),ROW(A41)),4)</f>
        <v>36</v>
      </c>
      <c r="D88" s="228"/>
      <c r="E88" s="176" t="str">
        <f>IFERROR(VLOOKUP(D88,Tabela.cadastro[[ID]:[Nome]],2,0),"")</f>
        <v/>
      </c>
      <c r="F88" s="177" t="str">
        <f>IFERROR(VLOOKUP(D88,Tabela66[#All],2,0),"")</f>
        <v/>
      </c>
      <c r="G88" s="177" t="str">
        <f>IFERROR(VLOOKUP(D88,Tabela.cadastro[[ID]:[CP ou M]],5,0),"")</f>
        <v/>
      </c>
      <c r="H88" s="177" t="str">
        <f>IFERROR(VLOOKUP(D88,Cadastros!A:F,6,0),"")</f>
        <v/>
      </c>
      <c r="I88" s="177" t="str">
        <f>IFERROR(VLOOKUP(D88,Cadastros!A:I,9,0),"")</f>
        <v/>
      </c>
      <c r="J88" s="177" t="str">
        <f>IFERROR(VLOOKUP(D88,Cadastros!A:J,10,0),"")</f>
        <v/>
      </c>
      <c r="K88" s="177" t="str">
        <f>IF(COUNTIF(Tabela66[id],D88)=0,"",COUNTIF(Tabela66[id],D88))</f>
        <v/>
      </c>
      <c r="L88" s="198"/>
      <c r="M88" s="227" t="str">
        <f t="shared" si="5"/>
        <v/>
      </c>
      <c r="N88" s="207"/>
      <c r="P88" s="176" t="str">
        <f>IFERROR(VLOOKUP(O88,Cadastros!A:B,2),"")</f>
        <v/>
      </c>
      <c r="Q88" s="177" t="str">
        <f t="shared" si="1"/>
        <v/>
      </c>
      <c r="R88" s="177" t="str">
        <f>IFERROR(VLOOKUP(O88,Cadastros!A:E,5,0),"")</f>
        <v/>
      </c>
      <c r="S88" s="177" t="str">
        <f>IFERROR(VLOOKUP(O88,Cadastros!A:F,6,0),"")</f>
        <v/>
      </c>
      <c r="T88" s="177" t="str">
        <f>IFERROR(VLOOKUP(O88,Cadastros!A:I,9,0),"")</f>
        <v/>
      </c>
      <c r="U88" s="177" t="str">
        <f t="shared" si="2"/>
        <v/>
      </c>
      <c r="V88" s="177" t="str">
        <f t="shared" si="3"/>
        <v/>
      </c>
      <c r="W88" s="177" t="str">
        <f t="shared" si="4"/>
        <v/>
      </c>
      <c r="Y88" s="240" t="e">
        <f t="array" ref="Y88">INDEX(Tabela.abordagens[],SMALL(IF(Tabela.abordagens[Mês]=$L$2,ROW(Tabela.abordagens[id])-2),ROW(A41)),1)</f>
        <v>#NUM!</v>
      </c>
      <c r="Z88" s="240" t="e">
        <f t="array" ref="Z88">INDEX(Tabela.abordagens[],SMALL(IF(Tabela.abordagens[Mês]=$L$2,ROW(Tabela.abordagens[Idade])-2),ROW(A41)),6)</f>
        <v>#NUM!</v>
      </c>
      <c r="AA88" s="240" t="e">
        <f t="array" ref="AA88">INDEX(Tabela.abordagens[],SMALL(IF(Tabela.abordagens[Mês]=$L$2,ROW(Tabela.abordagens[Idade])-2),ROW(A41)),4)</f>
        <v>#NUM!</v>
      </c>
      <c r="AB88" s="240" t="e">
        <f t="array" ref="AB88">INDEX(Tabela.abordagens[],SMALL(IF(Tabela.abordagens[Mês]=$L$2,ROW(Tabela.abordagens[Idade])-2),ROW(A41)),5)</f>
        <v>#NUM!</v>
      </c>
      <c r="AC88" s="207"/>
      <c r="AD88" s="207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</row>
    <row r="89" spans="2:47" ht="15" x14ac:dyDescent="0.25">
      <c r="B89" s="223">
        <f t="array" ref="B89">INDEX(Tabela.frequencia[],SMALL(IF(Tabela.frequencia[Mês]=$L$2,ROW(Tabela.frequencia[id])-1),ROW(A42)),1)</f>
        <v>15</v>
      </c>
      <c r="C89" s="229">
        <f t="array" ref="C89">INDEX(Tabela.frequencia[],SMALL(IF(Tabela.frequencia[Mês]=$L$2,ROW(Tabela.frequencia[id])-1),ROW(A42)),4)</f>
        <v>36</v>
      </c>
      <c r="D89" s="228"/>
      <c r="E89" s="176" t="str">
        <f>IFERROR(VLOOKUP(D89,Tabela.cadastro[[ID]:[Nome]],2,0),"")</f>
        <v/>
      </c>
      <c r="F89" s="177" t="str">
        <f>IFERROR(VLOOKUP(D89,Tabela66[#All],2,0),"")</f>
        <v/>
      </c>
      <c r="G89" s="177" t="str">
        <f>IFERROR(VLOOKUP(D89,Tabela.cadastro[[ID]:[CP ou M]],5,0),"")</f>
        <v/>
      </c>
      <c r="H89" s="177" t="str">
        <f>IFERROR(VLOOKUP(D89,Cadastros!A:F,6,0),"")</f>
        <v/>
      </c>
      <c r="I89" s="177" t="str">
        <f>IFERROR(VLOOKUP(D89,Cadastros!A:I,9,0),"")</f>
        <v/>
      </c>
      <c r="J89" s="177" t="str">
        <f>IFERROR(VLOOKUP(D89,Cadastros!A:J,10,0),"")</f>
        <v/>
      </c>
      <c r="K89" s="177" t="str">
        <f>IF(COUNTIF(Tabela66[id],D89)=0,"",COUNTIF(Tabela66[id],D89))</f>
        <v/>
      </c>
      <c r="L89" s="198"/>
      <c r="M89" s="227" t="str">
        <f t="shared" si="5"/>
        <v/>
      </c>
      <c r="N89" s="207"/>
      <c r="P89" s="176" t="str">
        <f>IFERROR(VLOOKUP(O89,Cadastros!A:B,2),"")</f>
        <v/>
      </c>
      <c r="Q89" s="177" t="str">
        <f t="shared" si="1"/>
        <v/>
      </c>
      <c r="R89" s="177" t="str">
        <f>IFERROR(VLOOKUP(O89,Cadastros!A:E,5,0),"")</f>
        <v/>
      </c>
      <c r="S89" s="177" t="str">
        <f>IFERROR(VLOOKUP(O89,Cadastros!A:F,6,0),"")</f>
        <v/>
      </c>
      <c r="T89" s="177" t="str">
        <f>IFERROR(VLOOKUP(O89,Cadastros!A:I,9,0),"")</f>
        <v/>
      </c>
      <c r="U89" s="177" t="str">
        <f t="shared" si="2"/>
        <v/>
      </c>
      <c r="V89" s="177" t="str">
        <f t="shared" si="3"/>
        <v/>
      </c>
      <c r="W89" s="177" t="str">
        <f t="shared" si="4"/>
        <v/>
      </c>
      <c r="Y89" s="240" t="e">
        <f t="array" ref="Y89">INDEX(Tabela.abordagens[],SMALL(IF(Tabela.abordagens[Mês]=$L$2,ROW(Tabela.abordagens[id])-2),ROW(A42)),1)</f>
        <v>#NUM!</v>
      </c>
      <c r="Z89" s="240" t="e">
        <f t="array" ref="Z89">INDEX(Tabela.abordagens[],SMALL(IF(Tabela.abordagens[Mês]=$L$2,ROW(Tabela.abordagens[Idade])-2),ROW(A42)),6)</f>
        <v>#NUM!</v>
      </c>
      <c r="AA89" s="240" t="e">
        <f t="array" ref="AA89">INDEX(Tabela.abordagens[],SMALL(IF(Tabela.abordagens[Mês]=$L$2,ROW(Tabela.abordagens[Idade])-2),ROW(A42)),4)</f>
        <v>#NUM!</v>
      </c>
      <c r="AB89" s="240" t="e">
        <f t="array" ref="AB89">INDEX(Tabela.abordagens[],SMALL(IF(Tabela.abordagens[Mês]=$L$2,ROW(Tabela.abordagens[Idade])-2),ROW(A42)),5)</f>
        <v>#NUM!</v>
      </c>
      <c r="AC89" s="207"/>
      <c r="AD89" s="207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</row>
    <row r="90" spans="2:47" ht="15" x14ac:dyDescent="0.25">
      <c r="B90" s="223">
        <f t="array" ref="B90">INDEX(Tabela.frequencia[],SMALL(IF(Tabela.frequencia[Mês]=$L$2,ROW(Tabela.frequencia[id])-1),ROW(A43)),1)</f>
        <v>15</v>
      </c>
      <c r="C90" s="229">
        <f t="array" ref="C90">INDEX(Tabela.frequencia[],SMALL(IF(Tabela.frequencia[Mês]=$L$2,ROW(Tabela.frequencia[id])-1),ROW(A43)),4)</f>
        <v>36</v>
      </c>
      <c r="D90" s="228"/>
      <c r="E90" s="176" t="str">
        <f>IFERROR(VLOOKUP(D90,Tabela.cadastro[[ID]:[Nome]],2,0),"")</f>
        <v/>
      </c>
      <c r="F90" s="177" t="str">
        <f>IFERROR(VLOOKUP(D90,Tabela66[#All],2,0),"")</f>
        <v/>
      </c>
      <c r="G90" s="177" t="str">
        <f>IFERROR(VLOOKUP(D90,Tabela.cadastro[[ID]:[CP ou M]],5,0),"")</f>
        <v/>
      </c>
      <c r="H90" s="177" t="str">
        <f>IFERROR(VLOOKUP(D90,Cadastros!A:F,6,0),"")</f>
        <v/>
      </c>
      <c r="I90" s="177" t="str">
        <f>IFERROR(VLOOKUP(D90,Cadastros!A:I,9,0),"")</f>
        <v/>
      </c>
      <c r="J90" s="177" t="str">
        <f>IFERROR(VLOOKUP(D90,Cadastros!A:J,10,0),"")</f>
        <v/>
      </c>
      <c r="K90" s="177" t="str">
        <f>IF(COUNTIF(Tabela66[id],D90)=0,"",COUNTIF(Tabela66[id],D90))</f>
        <v/>
      </c>
      <c r="L90" s="198"/>
      <c r="M90" s="227" t="str">
        <f t="shared" si="5"/>
        <v/>
      </c>
      <c r="N90" s="207"/>
      <c r="P90" s="176" t="str">
        <f>IFERROR(VLOOKUP(O90,Cadastros!A:B,2),"")</f>
        <v/>
      </c>
      <c r="Q90" s="177" t="str">
        <f t="shared" si="1"/>
        <v/>
      </c>
      <c r="R90" s="177" t="str">
        <f>IFERROR(VLOOKUP(O90,Cadastros!A:E,5,0),"")</f>
        <v/>
      </c>
      <c r="S90" s="177" t="str">
        <f>IFERROR(VLOOKUP(O90,Cadastros!A:F,6,0),"")</f>
        <v/>
      </c>
      <c r="T90" s="177" t="str">
        <f>IFERROR(VLOOKUP(O90,Cadastros!A:I,9,0),"")</f>
        <v/>
      </c>
      <c r="U90" s="177" t="str">
        <f t="shared" si="2"/>
        <v/>
      </c>
      <c r="V90" s="177" t="str">
        <f t="shared" si="3"/>
        <v/>
      </c>
      <c r="W90" s="177" t="str">
        <f t="shared" si="4"/>
        <v/>
      </c>
      <c r="Y90" s="240" t="e">
        <f t="array" ref="Y90">INDEX(Tabela.abordagens[],SMALL(IF(Tabela.abordagens[Mês]=$L$2,ROW(Tabela.abordagens[id])-2),ROW(A43)),1)</f>
        <v>#NUM!</v>
      </c>
      <c r="Z90" s="240" t="e">
        <f t="array" ref="Z90">INDEX(Tabela.abordagens[],SMALL(IF(Tabela.abordagens[Mês]=$L$2,ROW(Tabela.abordagens[Idade])-2),ROW(A43)),6)</f>
        <v>#NUM!</v>
      </c>
      <c r="AA90" s="240" t="e">
        <f t="array" ref="AA90">INDEX(Tabela.abordagens[],SMALL(IF(Tabela.abordagens[Mês]=$L$2,ROW(Tabela.abordagens[Idade])-2),ROW(A43)),4)</f>
        <v>#NUM!</v>
      </c>
      <c r="AB90" s="240" t="e">
        <f t="array" ref="AB90">INDEX(Tabela.abordagens[],SMALL(IF(Tabela.abordagens[Mês]=$L$2,ROW(Tabela.abordagens[Idade])-2),ROW(A43)),5)</f>
        <v>#NUM!</v>
      </c>
      <c r="AC90" s="207"/>
      <c r="AD90" s="207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</row>
    <row r="91" spans="2:47" ht="15" x14ac:dyDescent="0.25">
      <c r="B91" s="223">
        <f t="array" ref="B91">INDEX(Tabela.frequencia[],SMALL(IF(Tabela.frequencia[Mês]=$L$2,ROW(Tabela.frequencia[id])-1),ROW(A44)),1)</f>
        <v>15</v>
      </c>
      <c r="C91" s="229">
        <f t="array" ref="C91">INDEX(Tabela.frequencia[],SMALL(IF(Tabela.frequencia[Mês]=$L$2,ROW(Tabela.frequencia[id])-1),ROW(A44)),4)</f>
        <v>36</v>
      </c>
      <c r="D91" s="228"/>
      <c r="E91" s="176" t="str">
        <f>IFERROR(VLOOKUP(D91,Tabela.cadastro[[ID]:[Nome]],2,0),"")</f>
        <v/>
      </c>
      <c r="F91" s="177" t="str">
        <f>IFERROR(VLOOKUP(D91,Tabela66[#All],2,0),"")</f>
        <v/>
      </c>
      <c r="G91" s="177" t="str">
        <f>IFERROR(VLOOKUP(D91,Tabela.cadastro[[ID]:[CP ou M]],5,0),"")</f>
        <v/>
      </c>
      <c r="H91" s="177" t="str">
        <f>IFERROR(VLOOKUP(D91,Cadastros!A:F,6,0),"")</f>
        <v/>
      </c>
      <c r="I91" s="177" t="str">
        <f>IFERROR(VLOOKUP(D91,Cadastros!A:I,9,0),"")</f>
        <v/>
      </c>
      <c r="J91" s="177" t="str">
        <f>IFERROR(VLOOKUP(D91,Cadastros!A:J,10,0),"")</f>
        <v/>
      </c>
      <c r="K91" s="177" t="str">
        <f>IF(COUNTIF(Tabela66[id],D91)=0,"",COUNTIF(Tabela66[id],D91))</f>
        <v/>
      </c>
      <c r="L91" s="198"/>
      <c r="M91" s="227" t="str">
        <f t="shared" si="5"/>
        <v/>
      </c>
      <c r="N91" s="207"/>
      <c r="P91" s="176" t="str">
        <f>IFERROR(VLOOKUP(O91,Cadastros!A:B,2),"")</f>
        <v/>
      </c>
      <c r="Q91" s="177" t="str">
        <f t="shared" si="1"/>
        <v/>
      </c>
      <c r="R91" s="177" t="str">
        <f>IFERROR(VLOOKUP(O91,Cadastros!A:E,5,0),"")</f>
        <v/>
      </c>
      <c r="S91" s="177" t="str">
        <f>IFERROR(VLOOKUP(O91,Cadastros!A:F,6,0),"")</f>
        <v/>
      </c>
      <c r="T91" s="177" t="str">
        <f>IFERROR(VLOOKUP(O91,Cadastros!A:I,9,0),"")</f>
        <v/>
      </c>
      <c r="U91" s="177" t="str">
        <f t="shared" si="2"/>
        <v/>
      </c>
      <c r="V91" s="177" t="str">
        <f t="shared" si="3"/>
        <v/>
      </c>
      <c r="W91" s="177" t="str">
        <f t="shared" si="4"/>
        <v/>
      </c>
      <c r="Y91" s="240" t="e">
        <f t="array" ref="Y91">INDEX(Tabela.abordagens[],SMALL(IF(Tabela.abordagens[Mês]=$L$2,ROW(Tabela.abordagens[id])-2),ROW(A44)),1)</f>
        <v>#NUM!</v>
      </c>
      <c r="Z91" s="240" t="e">
        <f t="array" ref="Z91">INDEX(Tabela.abordagens[],SMALL(IF(Tabela.abordagens[Mês]=$L$2,ROW(Tabela.abordagens[Idade])-2),ROW(A44)),6)</f>
        <v>#NUM!</v>
      </c>
      <c r="AA91" s="240" t="e">
        <f t="array" ref="AA91">INDEX(Tabela.abordagens[],SMALL(IF(Tabela.abordagens[Mês]=$L$2,ROW(Tabela.abordagens[Idade])-2),ROW(A44)),4)</f>
        <v>#NUM!</v>
      </c>
      <c r="AB91" s="240" t="e">
        <f t="array" ref="AB91">INDEX(Tabela.abordagens[],SMALL(IF(Tabela.abordagens[Mês]=$L$2,ROW(Tabela.abordagens[Idade])-2),ROW(A44)),5)</f>
        <v>#NUM!</v>
      </c>
      <c r="AC91" s="207"/>
      <c r="AD91" s="207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</row>
    <row r="92" spans="2:47" ht="15" x14ac:dyDescent="0.25">
      <c r="B92" s="223">
        <f t="array" ref="B92">INDEX(Tabela.frequencia[],SMALL(IF(Tabela.frequencia[Mês]=$L$2,ROW(Tabela.frequencia[id])-1),ROW(A45)),1)</f>
        <v>15</v>
      </c>
      <c r="C92" s="229">
        <f t="array" ref="C92">INDEX(Tabela.frequencia[],SMALL(IF(Tabela.frequencia[Mês]=$L$2,ROW(Tabela.frequencia[id])-1),ROW(A45)),4)</f>
        <v>36</v>
      </c>
      <c r="D92" s="228"/>
      <c r="E92" s="176" t="str">
        <f>IFERROR(VLOOKUP(D92,Tabela.cadastro[[ID]:[Nome]],2,0),"")</f>
        <v/>
      </c>
      <c r="F92" s="177" t="str">
        <f>IFERROR(VLOOKUP(D92,Tabela66[#All],2,0),"")</f>
        <v/>
      </c>
      <c r="G92" s="177" t="str">
        <f>IFERROR(VLOOKUP(D92,Tabela.cadastro[[ID]:[CP ou M]],5,0),"")</f>
        <v/>
      </c>
      <c r="H92" s="177" t="str">
        <f>IFERROR(VLOOKUP(D92,Cadastros!A:F,6,0),"")</f>
        <v/>
      </c>
      <c r="I92" s="177" t="str">
        <f>IFERROR(VLOOKUP(D92,Cadastros!A:I,9,0),"")</f>
        <v/>
      </c>
      <c r="J92" s="177" t="str">
        <f>IFERROR(VLOOKUP(D92,Cadastros!A:J,10,0),"")</f>
        <v/>
      </c>
      <c r="K92" s="177" t="str">
        <f>IF(COUNTIF(Tabela66[id],D92)=0,"",COUNTIF(Tabela66[id],D92))</f>
        <v/>
      </c>
      <c r="L92" s="198"/>
      <c r="M92" s="227" t="str">
        <f t="shared" si="5"/>
        <v/>
      </c>
      <c r="N92" s="207"/>
      <c r="P92" s="176" t="str">
        <f>IFERROR(VLOOKUP(O92,Cadastros!A:B,2),"")</f>
        <v/>
      </c>
      <c r="Q92" s="177" t="str">
        <f t="shared" si="1"/>
        <v/>
      </c>
      <c r="R92" s="177" t="str">
        <f>IFERROR(VLOOKUP(O92,Cadastros!A:E,5,0),"")</f>
        <v/>
      </c>
      <c r="S92" s="177" t="str">
        <f>IFERROR(VLOOKUP(O92,Cadastros!A:F,6,0),"")</f>
        <v/>
      </c>
      <c r="T92" s="177" t="str">
        <f>IFERROR(VLOOKUP(O92,Cadastros!A:I,9,0),"")</f>
        <v/>
      </c>
      <c r="U92" s="177" t="str">
        <f t="shared" si="2"/>
        <v/>
      </c>
      <c r="V92" s="177" t="str">
        <f t="shared" si="3"/>
        <v/>
      </c>
      <c r="W92" s="177" t="str">
        <f t="shared" si="4"/>
        <v/>
      </c>
      <c r="Y92" s="240" t="e">
        <f t="array" ref="Y92">INDEX(Tabela.abordagens[],SMALL(IF(Tabela.abordagens[Mês]=$L$2,ROW(Tabela.abordagens[id])-2),ROW(A45)),1)</f>
        <v>#NUM!</v>
      </c>
      <c r="Z92" s="240" t="e">
        <f t="array" ref="Z92">INDEX(Tabela.abordagens[],SMALL(IF(Tabela.abordagens[Mês]=$L$2,ROW(Tabela.abordagens[Idade])-2),ROW(A45)),6)</f>
        <v>#NUM!</v>
      </c>
      <c r="AA92" s="240" t="e">
        <f t="array" ref="AA92">INDEX(Tabela.abordagens[],SMALL(IF(Tabela.abordagens[Mês]=$L$2,ROW(Tabela.abordagens[Idade])-2),ROW(A45)),4)</f>
        <v>#NUM!</v>
      </c>
      <c r="AB92" s="240" t="e">
        <f t="array" ref="AB92">INDEX(Tabela.abordagens[],SMALL(IF(Tabela.abordagens[Mês]=$L$2,ROW(Tabela.abordagens[Idade])-2),ROW(A45)),5)</f>
        <v>#NUM!</v>
      </c>
      <c r="AC92" s="207"/>
      <c r="AD92" s="207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</row>
    <row r="93" spans="2:47" ht="15" x14ac:dyDescent="0.25">
      <c r="B93" s="223">
        <f t="array" ref="B93">INDEX(Tabela.frequencia[],SMALL(IF(Tabela.frequencia[Mês]=$L$2,ROW(Tabela.frequencia[id])-1),ROW(A46)),1)</f>
        <v>15</v>
      </c>
      <c r="C93" s="229">
        <f t="array" ref="C93">INDEX(Tabela.frequencia[],SMALL(IF(Tabela.frequencia[Mês]=$L$2,ROW(Tabela.frequencia[id])-1),ROW(A46)),4)</f>
        <v>36</v>
      </c>
      <c r="D93" s="228"/>
      <c r="E93" s="176" t="str">
        <f>IFERROR(VLOOKUP(D93,Tabela.cadastro[[ID]:[Nome]],2,0),"")</f>
        <v/>
      </c>
      <c r="F93" s="177" t="str">
        <f>IFERROR(VLOOKUP(D93,Tabela66[#All],2,0),"")</f>
        <v/>
      </c>
      <c r="G93" s="177" t="str">
        <f>IFERROR(VLOOKUP(D93,Tabela.cadastro[[ID]:[CP ou M]],5,0),"")</f>
        <v/>
      </c>
      <c r="H93" s="177" t="str">
        <f>IFERROR(VLOOKUP(D93,Cadastros!A:F,6,0),"")</f>
        <v/>
      </c>
      <c r="I93" s="177" t="str">
        <f>IFERROR(VLOOKUP(D93,Cadastros!A:I,9,0),"")</f>
        <v/>
      </c>
      <c r="J93" s="177" t="str">
        <f>IFERROR(VLOOKUP(D93,Cadastros!A:J,10,0),"")</f>
        <v/>
      </c>
      <c r="K93" s="177" t="str">
        <f>IF(COUNTIF(Tabela66[id],D93)=0,"",COUNTIF(Tabela66[id],D93))</f>
        <v/>
      </c>
      <c r="L93" s="198"/>
      <c r="M93" s="227" t="str">
        <f t="shared" si="5"/>
        <v/>
      </c>
      <c r="N93" s="207"/>
      <c r="P93" s="176" t="str">
        <f>IFERROR(VLOOKUP(O93,Cadastros!A:B,2),"")</f>
        <v/>
      </c>
      <c r="Q93" s="177" t="str">
        <f t="shared" si="1"/>
        <v/>
      </c>
      <c r="R93" s="177" t="str">
        <f>IFERROR(VLOOKUP(O93,Cadastros!A:E,5,0),"")</f>
        <v/>
      </c>
      <c r="S93" s="177" t="str">
        <f>IFERROR(VLOOKUP(O93,Cadastros!A:F,6,0),"")</f>
        <v/>
      </c>
      <c r="T93" s="177" t="str">
        <f>IFERROR(VLOOKUP(O93,Cadastros!A:I,9,0),"")</f>
        <v/>
      </c>
      <c r="U93" s="177" t="str">
        <f t="shared" si="2"/>
        <v/>
      </c>
      <c r="V93" s="177" t="str">
        <f t="shared" si="3"/>
        <v/>
      </c>
      <c r="W93" s="177" t="str">
        <f t="shared" si="4"/>
        <v/>
      </c>
      <c r="Y93" s="240" t="e">
        <f t="array" ref="Y93">INDEX(Tabela.abordagens[],SMALL(IF(Tabela.abordagens[Mês]=$L$2,ROW(Tabela.abordagens[id])-2),ROW(A46)),1)</f>
        <v>#NUM!</v>
      </c>
      <c r="Z93" s="240" t="e">
        <f t="array" ref="Z93">INDEX(Tabela.abordagens[],SMALL(IF(Tabela.abordagens[Mês]=$L$2,ROW(Tabela.abordagens[Idade])-2),ROW(A46)),6)</f>
        <v>#NUM!</v>
      </c>
      <c r="AA93" s="240" t="e">
        <f t="array" ref="AA93">INDEX(Tabela.abordagens[],SMALL(IF(Tabela.abordagens[Mês]=$L$2,ROW(Tabela.abordagens[Idade])-2),ROW(A46)),4)</f>
        <v>#NUM!</v>
      </c>
      <c r="AB93" s="240" t="e">
        <f t="array" ref="AB93">INDEX(Tabela.abordagens[],SMALL(IF(Tabela.abordagens[Mês]=$L$2,ROW(Tabela.abordagens[Idade])-2),ROW(A46)),5)</f>
        <v>#NUM!</v>
      </c>
      <c r="AC93" s="207"/>
      <c r="AD93" s="207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</row>
    <row r="94" spans="2:47" ht="15" x14ac:dyDescent="0.25">
      <c r="B94" s="223">
        <f t="array" ref="B94">INDEX(Tabela.frequencia[],SMALL(IF(Tabela.frequencia[Mês]=$L$2,ROW(Tabela.frequencia[id])-1),ROW(A47)),1)</f>
        <v>12</v>
      </c>
      <c r="C94" s="229">
        <f t="array" ref="C94">INDEX(Tabela.frequencia[],SMALL(IF(Tabela.frequencia[Mês]=$L$2,ROW(Tabela.frequencia[id])-1),ROW(A47)),4)</f>
        <v>25</v>
      </c>
      <c r="D94" s="228"/>
      <c r="E94" s="176" t="str">
        <f>IFERROR(VLOOKUP(D94,Tabela.cadastro[[ID]:[Nome]],2,0),"")</f>
        <v/>
      </c>
      <c r="F94" s="177" t="str">
        <f>IFERROR(VLOOKUP(D94,Tabela66[#All],2,0),"")</f>
        <v/>
      </c>
      <c r="G94" s="177" t="str">
        <f>IFERROR(VLOOKUP(D94,Tabela.cadastro[[ID]:[CP ou M]],5,0),"")</f>
        <v/>
      </c>
      <c r="H94" s="177" t="str">
        <f>IFERROR(VLOOKUP(D94,Cadastros!A:F,6,0),"")</f>
        <v/>
      </c>
      <c r="I94" s="177" t="str">
        <f>IFERROR(VLOOKUP(D94,Cadastros!A:I,9,0),"")</f>
        <v/>
      </c>
      <c r="J94" s="177" t="str">
        <f>IFERROR(VLOOKUP(D94,Cadastros!A:J,10,0),"")</f>
        <v/>
      </c>
      <c r="K94" s="177" t="str">
        <f>IF(COUNTIF(Tabela66[id],D94)=0,"",COUNTIF(Tabela66[id],D94))</f>
        <v/>
      </c>
      <c r="L94" s="198"/>
      <c r="M94" s="227" t="str">
        <f t="shared" si="5"/>
        <v/>
      </c>
      <c r="N94" s="207"/>
      <c r="P94" s="176" t="str">
        <f>IFERROR(VLOOKUP(O94,Cadastros!A:B,2),"")</f>
        <v/>
      </c>
      <c r="Q94" s="177" t="str">
        <f t="shared" si="1"/>
        <v/>
      </c>
      <c r="R94" s="177" t="str">
        <f>IFERROR(VLOOKUP(O94,Cadastros!A:E,5,0),"")</f>
        <v/>
      </c>
      <c r="S94" s="177" t="str">
        <f>IFERROR(VLOOKUP(O94,Cadastros!A:F,6,0),"")</f>
        <v/>
      </c>
      <c r="T94" s="177" t="str">
        <f>IFERROR(VLOOKUP(O94,Cadastros!A:I,9,0),"")</f>
        <v/>
      </c>
      <c r="U94" s="177" t="str">
        <f t="shared" si="2"/>
        <v/>
      </c>
      <c r="V94" s="177" t="str">
        <f t="shared" si="3"/>
        <v/>
      </c>
      <c r="W94" s="177" t="str">
        <f t="shared" si="4"/>
        <v/>
      </c>
      <c r="Y94" s="240" t="e">
        <f t="array" ref="Y94">INDEX(Tabela.abordagens[],SMALL(IF(Tabela.abordagens[Mês]=$L$2,ROW(Tabela.abordagens[id])-2),ROW(A47)),1)</f>
        <v>#NUM!</v>
      </c>
      <c r="Z94" s="240" t="e">
        <f t="array" ref="Z94">INDEX(Tabela.abordagens[],SMALL(IF(Tabela.abordagens[Mês]=$L$2,ROW(Tabela.abordagens[Idade])-2),ROW(A47)),6)</f>
        <v>#NUM!</v>
      </c>
      <c r="AA94" s="240" t="e">
        <f t="array" ref="AA94">INDEX(Tabela.abordagens[],SMALL(IF(Tabela.abordagens[Mês]=$L$2,ROW(Tabela.abordagens[Idade])-2),ROW(A47)),4)</f>
        <v>#NUM!</v>
      </c>
      <c r="AB94" s="240" t="e">
        <f t="array" ref="AB94">INDEX(Tabela.abordagens[],SMALL(IF(Tabela.abordagens[Mês]=$L$2,ROW(Tabela.abordagens[Idade])-2),ROW(A47)),5)</f>
        <v>#NUM!</v>
      </c>
      <c r="AC94" s="207"/>
      <c r="AD94" s="207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</row>
    <row r="95" spans="2:47" ht="15" x14ac:dyDescent="0.25">
      <c r="B95" s="223">
        <f t="array" ref="B95">INDEX(Tabela.frequencia[],SMALL(IF(Tabela.frequencia[Mês]=$L$2,ROW(Tabela.frequencia[id])-1),ROW(A48)),1)</f>
        <v>12</v>
      </c>
      <c r="C95" s="229">
        <f t="array" ref="C95">INDEX(Tabela.frequencia[],SMALL(IF(Tabela.frequencia[Mês]=$L$2,ROW(Tabela.frequencia[id])-1),ROW(A48)),4)</f>
        <v>25</v>
      </c>
      <c r="D95" s="228"/>
      <c r="E95" s="176" t="str">
        <f>IFERROR(VLOOKUP(D95,Tabela.cadastro[[ID]:[Nome]],2,0),"")</f>
        <v/>
      </c>
      <c r="F95" s="177" t="str">
        <f>IFERROR(VLOOKUP(D95,Tabela66[#All],2,0),"")</f>
        <v/>
      </c>
      <c r="G95" s="177" t="str">
        <f>IFERROR(VLOOKUP(D95,Tabela.cadastro[[ID]:[CP ou M]],5,0),"")</f>
        <v/>
      </c>
      <c r="H95" s="177" t="str">
        <f>IFERROR(VLOOKUP(D95,Cadastros!A:F,6,0),"")</f>
        <v/>
      </c>
      <c r="I95" s="177" t="str">
        <f>IFERROR(VLOOKUP(D95,Cadastros!A:I,9,0),"")</f>
        <v/>
      </c>
      <c r="J95" s="177" t="str">
        <f>IFERROR(VLOOKUP(D95,Cadastros!A:J,10,0),"")</f>
        <v/>
      </c>
      <c r="K95" s="177" t="str">
        <f>IF(COUNTIF(Tabela66[id],D95)=0,"",COUNTIF(Tabela66[id],D95))</f>
        <v/>
      </c>
      <c r="L95" s="198"/>
      <c r="M95" s="227" t="str">
        <f t="shared" si="5"/>
        <v/>
      </c>
      <c r="N95" s="207"/>
      <c r="P95" s="176" t="str">
        <f>IFERROR(VLOOKUP(O95,Cadastros!A:B,2),"")</f>
        <v/>
      </c>
      <c r="Q95" s="177" t="str">
        <f t="shared" si="1"/>
        <v/>
      </c>
      <c r="R95" s="177" t="str">
        <f>IFERROR(VLOOKUP(O95,Cadastros!A:E,5,0),"")</f>
        <v/>
      </c>
      <c r="S95" s="177" t="str">
        <f>IFERROR(VLOOKUP(O95,Cadastros!A:F,6,0),"")</f>
        <v/>
      </c>
      <c r="T95" s="177" t="str">
        <f>IFERROR(VLOOKUP(O95,Cadastros!A:I,9,0),"")</f>
        <v/>
      </c>
      <c r="U95" s="177" t="str">
        <f t="shared" si="2"/>
        <v/>
      </c>
      <c r="V95" s="177" t="str">
        <f t="shared" si="3"/>
        <v/>
      </c>
      <c r="W95" s="177" t="str">
        <f t="shared" si="4"/>
        <v/>
      </c>
      <c r="Y95" s="240" t="e">
        <f t="array" ref="Y95">INDEX(Tabela.abordagens[],SMALL(IF(Tabela.abordagens[Mês]=$L$2,ROW(Tabela.abordagens[id])-2),ROW(A48)),1)</f>
        <v>#NUM!</v>
      </c>
      <c r="Z95" s="240" t="e">
        <f t="array" ref="Z95">INDEX(Tabela.abordagens[],SMALL(IF(Tabela.abordagens[Mês]=$L$2,ROW(Tabela.abordagens[Idade])-2),ROW(A48)),6)</f>
        <v>#NUM!</v>
      </c>
      <c r="AA95" s="240" t="e">
        <f t="array" ref="AA95">INDEX(Tabela.abordagens[],SMALL(IF(Tabela.abordagens[Mês]=$L$2,ROW(Tabela.abordagens[Idade])-2),ROW(A48)),4)</f>
        <v>#NUM!</v>
      </c>
      <c r="AB95" s="240" t="e">
        <f t="array" ref="AB95">INDEX(Tabela.abordagens[],SMALL(IF(Tabela.abordagens[Mês]=$L$2,ROW(Tabela.abordagens[Idade])-2),ROW(A48)),5)</f>
        <v>#NUM!</v>
      </c>
      <c r="AC95" s="207"/>
      <c r="AD95" s="207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</row>
    <row r="96" spans="2:47" ht="15" x14ac:dyDescent="0.25">
      <c r="B96" s="223">
        <f t="array" ref="B96">INDEX(Tabela.frequencia[],SMALL(IF(Tabela.frequencia[Mês]=$L$2,ROW(Tabela.frequencia[id])-1),ROW(A49)),1)</f>
        <v>12</v>
      </c>
      <c r="C96" s="229">
        <f t="array" ref="C96">INDEX(Tabela.frequencia[],SMALL(IF(Tabela.frequencia[Mês]=$L$2,ROW(Tabela.frequencia[id])-1),ROW(A49)),4)</f>
        <v>25</v>
      </c>
      <c r="D96" s="228"/>
      <c r="E96" s="176" t="str">
        <f>IFERROR(VLOOKUP(D96,Tabela.cadastro[[ID]:[Nome]],2,0),"")</f>
        <v/>
      </c>
      <c r="F96" s="177" t="str">
        <f>IFERROR(VLOOKUP(D96,Tabela66[#All],2,0),"")</f>
        <v/>
      </c>
      <c r="G96" s="177" t="str">
        <f>IFERROR(VLOOKUP(D96,Tabela.cadastro[[ID]:[CP ou M]],5,0),"")</f>
        <v/>
      </c>
      <c r="H96" s="177" t="str">
        <f>IFERROR(VLOOKUP(D96,Cadastros!A:F,6,0),"")</f>
        <v/>
      </c>
      <c r="I96" s="177" t="str">
        <f>IFERROR(VLOOKUP(D96,Cadastros!A:I,9,0),"")</f>
        <v/>
      </c>
      <c r="J96" s="177" t="str">
        <f>IFERROR(VLOOKUP(D96,Cadastros!A:J,10,0),"")</f>
        <v/>
      </c>
      <c r="K96" s="177" t="str">
        <f>IF(COUNTIF(Tabela66[id],D96)=0,"",COUNTIF(Tabela66[id],D96))</f>
        <v/>
      </c>
      <c r="L96" s="198"/>
      <c r="M96" s="227" t="str">
        <f t="shared" si="5"/>
        <v/>
      </c>
      <c r="N96" s="207"/>
      <c r="P96" s="176" t="str">
        <f>IFERROR(VLOOKUP(O96,Cadastros!A:B,2),"")</f>
        <v/>
      </c>
      <c r="Q96" s="177" t="str">
        <f t="shared" si="1"/>
        <v/>
      </c>
      <c r="R96" s="177" t="str">
        <f>IFERROR(VLOOKUP(O96,Cadastros!A:E,5,0),"")</f>
        <v/>
      </c>
      <c r="S96" s="177" t="str">
        <f>IFERROR(VLOOKUP(O96,Cadastros!A:F,6,0),"")</f>
        <v/>
      </c>
      <c r="T96" s="177" t="str">
        <f>IFERROR(VLOOKUP(O96,Cadastros!A:I,9,0),"")</f>
        <v/>
      </c>
      <c r="U96" s="177" t="str">
        <f t="shared" si="2"/>
        <v/>
      </c>
      <c r="V96" s="177" t="str">
        <f t="shared" si="3"/>
        <v/>
      </c>
      <c r="W96" s="177" t="str">
        <f t="shared" si="4"/>
        <v/>
      </c>
      <c r="Y96" s="240" t="e">
        <f t="array" ref="Y96">INDEX(Tabela.abordagens[],SMALL(IF(Tabela.abordagens[Mês]=$L$2,ROW(Tabela.abordagens[id])-2),ROW(A49)),1)</f>
        <v>#NUM!</v>
      </c>
      <c r="Z96" s="240" t="e">
        <f t="array" ref="Z96">INDEX(Tabela.abordagens[],SMALL(IF(Tabela.abordagens[Mês]=$L$2,ROW(Tabela.abordagens[Idade])-2),ROW(A49)),6)</f>
        <v>#NUM!</v>
      </c>
      <c r="AA96" s="240" t="e">
        <f t="array" ref="AA96">INDEX(Tabela.abordagens[],SMALL(IF(Tabela.abordagens[Mês]=$L$2,ROW(Tabela.abordagens[Idade])-2),ROW(A49)),4)</f>
        <v>#NUM!</v>
      </c>
      <c r="AB96" s="240" t="e">
        <f t="array" ref="AB96">INDEX(Tabela.abordagens[],SMALL(IF(Tabela.abordagens[Mês]=$L$2,ROW(Tabela.abordagens[Idade])-2),ROW(A49)),5)</f>
        <v>#NUM!</v>
      </c>
      <c r="AC96" s="207"/>
      <c r="AD96" s="207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</row>
    <row r="97" spans="2:47" ht="15" x14ac:dyDescent="0.25">
      <c r="B97" s="223">
        <f t="array" ref="B97">INDEX(Tabela.frequencia[],SMALL(IF(Tabela.frequencia[Mês]=$L$2,ROW(Tabela.frequencia[id])-1),ROW(A50)),1)</f>
        <v>12</v>
      </c>
      <c r="C97" s="229">
        <f t="array" ref="C97">INDEX(Tabela.frequencia[],SMALL(IF(Tabela.frequencia[Mês]=$L$2,ROW(Tabela.frequencia[id])-1),ROW(A50)),4)</f>
        <v>25</v>
      </c>
      <c r="D97" s="228"/>
      <c r="E97" s="176" t="str">
        <f>IFERROR(VLOOKUP(D97,Tabela.cadastro[[ID]:[Nome]],2,0),"")</f>
        <v/>
      </c>
      <c r="F97" s="177" t="str">
        <f>IFERROR(VLOOKUP(D97,Tabela66[#All],2,0),"")</f>
        <v/>
      </c>
      <c r="G97" s="177" t="str">
        <f>IFERROR(VLOOKUP(D97,Tabela.cadastro[[ID]:[CP ou M]],5,0),"")</f>
        <v/>
      </c>
      <c r="H97" s="177" t="str">
        <f>IFERROR(VLOOKUP(D97,Cadastros!A:F,6,0),"")</f>
        <v/>
      </c>
      <c r="I97" s="177" t="str">
        <f>IFERROR(VLOOKUP(D97,Cadastros!A:I,9,0),"")</f>
        <v/>
      </c>
      <c r="J97" s="177" t="str">
        <f>IFERROR(VLOOKUP(D97,Cadastros!A:J,10,0),"")</f>
        <v/>
      </c>
      <c r="K97" s="177" t="str">
        <f>IF(COUNTIF(Tabela66[id],D97)=0,"",COUNTIF(Tabela66[id],D97))</f>
        <v/>
      </c>
      <c r="L97" s="198"/>
      <c r="M97" s="227" t="str">
        <f t="shared" si="5"/>
        <v/>
      </c>
      <c r="N97" s="207"/>
      <c r="P97" s="176" t="str">
        <f>IFERROR(VLOOKUP(O97,Cadastros!A:B,2),"")</f>
        <v/>
      </c>
      <c r="Q97" s="177" t="str">
        <f t="shared" si="1"/>
        <v/>
      </c>
      <c r="R97" s="177" t="str">
        <f>IFERROR(VLOOKUP(O97,Cadastros!A:E,5,0),"")</f>
        <v/>
      </c>
      <c r="S97" s="177" t="str">
        <f>IFERROR(VLOOKUP(O97,Cadastros!A:F,6,0),"")</f>
        <v/>
      </c>
      <c r="T97" s="177" t="str">
        <f>IFERROR(VLOOKUP(O97,Cadastros!A:I,9,0),"")</f>
        <v/>
      </c>
      <c r="U97" s="177" t="str">
        <f t="shared" si="2"/>
        <v/>
      </c>
      <c r="V97" s="177" t="str">
        <f t="shared" si="3"/>
        <v/>
      </c>
      <c r="W97" s="177" t="str">
        <f t="shared" si="4"/>
        <v/>
      </c>
      <c r="Y97" s="240" t="e">
        <f t="array" ref="Y97">INDEX(Tabela.abordagens[],SMALL(IF(Tabela.abordagens[Mês]=$L$2,ROW(Tabela.abordagens[id])-2),ROW(A50)),1)</f>
        <v>#NUM!</v>
      </c>
      <c r="Z97" s="240" t="e">
        <f t="array" ref="Z97">INDEX(Tabela.abordagens[],SMALL(IF(Tabela.abordagens[Mês]=$L$2,ROW(Tabela.abordagens[Idade])-2),ROW(A50)),6)</f>
        <v>#NUM!</v>
      </c>
      <c r="AA97" s="240" t="e">
        <f t="array" ref="AA97">INDEX(Tabela.abordagens[],SMALL(IF(Tabela.abordagens[Mês]=$L$2,ROW(Tabela.abordagens[Idade])-2),ROW(A50)),4)</f>
        <v>#NUM!</v>
      </c>
      <c r="AB97" s="240" t="e">
        <f t="array" ref="AB97">INDEX(Tabela.abordagens[],SMALL(IF(Tabela.abordagens[Mês]=$L$2,ROW(Tabela.abordagens[Idade])-2),ROW(A50)),5)</f>
        <v>#NUM!</v>
      </c>
      <c r="AC97" s="207"/>
      <c r="AD97" s="207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</row>
    <row r="98" spans="2:47" ht="15" x14ac:dyDescent="0.25">
      <c r="B98" s="223" t="e">
        <f t="array" ref="B98">INDEX(Tabela.frequencia[],SMALL(IF(Tabela.frequencia[Mês]=$L$2,ROW(Tabela.frequencia[id])-1),ROW(A51)),1)</f>
        <v>#NUM!</v>
      </c>
      <c r="C98" s="229" t="e">
        <f t="array" ref="C98">INDEX(Tabela.frequencia[],SMALL(IF(Tabela.frequencia[Mês]=$L$2,ROW(Tabela.frequencia[id])-1),ROW(A51)),4)</f>
        <v>#NUM!</v>
      </c>
      <c r="D98" s="228"/>
      <c r="E98" s="176" t="str">
        <f>IFERROR(VLOOKUP(D98,Tabela.cadastro[[ID]:[Nome]],2,0),"")</f>
        <v/>
      </c>
      <c r="F98" s="177" t="str">
        <f>IFERROR(VLOOKUP(D98,Tabela66[#All],2,0),"")</f>
        <v/>
      </c>
      <c r="G98" s="177" t="str">
        <f>IFERROR(VLOOKUP(D98,Tabela.cadastro[[ID]:[CP ou M]],5,0),"")</f>
        <v/>
      </c>
      <c r="H98" s="177" t="str">
        <f>IFERROR(VLOOKUP(D98,Cadastros!A:F,6,0),"")</f>
        <v/>
      </c>
      <c r="I98" s="177" t="str">
        <f>IFERROR(VLOOKUP(D98,Cadastros!A:I,9,0),"")</f>
        <v/>
      </c>
      <c r="J98" s="177" t="str">
        <f>IFERROR(VLOOKUP(D98,Cadastros!A:J,10,0),"")</f>
        <v/>
      </c>
      <c r="K98" s="177" t="str">
        <f>IF(COUNTIF(Tabela66[id],D98)=0,"",COUNTIF(Tabela66[id],D98))</f>
        <v/>
      </c>
      <c r="L98" s="198"/>
      <c r="M98" s="227" t="str">
        <f t="shared" si="5"/>
        <v/>
      </c>
      <c r="N98" s="207"/>
      <c r="P98" s="176" t="str">
        <f>IFERROR(VLOOKUP(O98,Cadastros!A:B,2),"")</f>
        <v/>
      </c>
      <c r="Q98" s="177" t="str">
        <f t="shared" ref="Q98:Q161" si="6">IFERROR(VLOOKUP(O98,$Y$33:$Z$866,2,0),"")</f>
        <v/>
      </c>
      <c r="R98" s="177" t="str">
        <f>IFERROR(VLOOKUP(O98,Cadastros!A:E,5,0),"")</f>
        <v/>
      </c>
      <c r="S98" s="177" t="str">
        <f>IFERROR(VLOOKUP(O98,Cadastros!A:F,6,0),"")</f>
        <v/>
      </c>
      <c r="T98" s="177" t="str">
        <f>IFERROR(VLOOKUP(O98,Cadastros!A:I,9,0),"")</f>
        <v/>
      </c>
      <c r="U98" s="177" t="str">
        <f t="shared" ref="U98:U161" si="7">IFERROR(VLOOKUP(O98,Y$33:AB$866,3,0),"")</f>
        <v/>
      </c>
      <c r="V98" s="177" t="str">
        <f t="shared" ref="V98:V161" si="8">IFERROR(VLOOKUP(O98,Y$33:AB$866,4,0),"")</f>
        <v/>
      </c>
      <c r="W98" s="177" t="str">
        <f t="shared" ref="W98:W161" si="9">IF(COUNTIF(Y$33:Y$866,O98)=0,"",COUNTIF(Y$33:Y$866,O98))</f>
        <v/>
      </c>
      <c r="Y98" s="240" t="e">
        <f t="array" ref="Y98">INDEX(Tabela.abordagens[],SMALL(IF(Tabela.abordagens[Mês]=$L$2,ROW(Tabela.abordagens[id])-2),ROW(A51)),1)</f>
        <v>#NUM!</v>
      </c>
      <c r="Z98" s="240" t="e">
        <f t="array" ref="Z98">INDEX(Tabela.abordagens[],SMALL(IF(Tabela.abordagens[Mês]=$L$2,ROW(Tabela.abordagens[Idade])-2),ROW(A51)),6)</f>
        <v>#NUM!</v>
      </c>
      <c r="AA98" s="240" t="e">
        <f t="array" ref="AA98">INDEX(Tabela.abordagens[],SMALL(IF(Tabela.abordagens[Mês]=$L$2,ROW(Tabela.abordagens[Idade])-2),ROW(A51)),4)</f>
        <v>#NUM!</v>
      </c>
      <c r="AB98" s="240" t="e">
        <f t="array" ref="AB98">INDEX(Tabela.abordagens[],SMALL(IF(Tabela.abordagens[Mês]=$L$2,ROW(Tabela.abordagens[Idade])-2),ROW(A51)),5)</f>
        <v>#NUM!</v>
      </c>
      <c r="AC98" s="207"/>
      <c r="AD98" s="207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</row>
    <row r="99" spans="2:47" ht="15" x14ac:dyDescent="0.25">
      <c r="B99" s="223" t="e">
        <f t="array" ref="B99">INDEX(Tabela.frequencia[],SMALL(IF(Tabela.frequencia[Mês]=$L$2,ROW(Tabela.frequencia[id])-1),ROW(A52)),1)</f>
        <v>#NUM!</v>
      </c>
      <c r="C99" s="229" t="e">
        <f t="array" ref="C99">INDEX(Tabela.frequencia[],SMALL(IF(Tabela.frequencia[Mês]=$L$2,ROW(Tabela.frequencia[id])-1),ROW(A52)),4)</f>
        <v>#NUM!</v>
      </c>
      <c r="D99" s="228"/>
      <c r="E99" s="176" t="str">
        <f>IFERROR(VLOOKUP(D99,Tabela.cadastro[[ID]:[Nome]],2,0),"")</f>
        <v/>
      </c>
      <c r="F99" s="177" t="str">
        <f>IFERROR(VLOOKUP(D99,Tabela66[#All],2,0),"")</f>
        <v/>
      </c>
      <c r="G99" s="177" t="str">
        <f>IFERROR(VLOOKUP(D99,Tabela.cadastro[[ID]:[CP ou M]],5,0),"")</f>
        <v/>
      </c>
      <c r="H99" s="177" t="str">
        <f>IFERROR(VLOOKUP(D99,Cadastros!A:F,6,0),"")</f>
        <v/>
      </c>
      <c r="I99" s="177" t="str">
        <f>IFERROR(VLOOKUP(D99,Cadastros!A:I,9,0),"")</f>
        <v/>
      </c>
      <c r="J99" s="177" t="str">
        <f>IFERROR(VLOOKUP(D99,Cadastros!A:J,10,0),"")</f>
        <v/>
      </c>
      <c r="K99" s="177" t="str">
        <f>IF(COUNTIF(Tabela66[id],D99)=0,"",COUNTIF(Tabela66[id],D99))</f>
        <v/>
      </c>
      <c r="L99" s="198"/>
      <c r="M99" s="227" t="str">
        <f t="shared" si="5"/>
        <v/>
      </c>
      <c r="N99" s="207"/>
      <c r="P99" s="176" t="str">
        <f>IFERROR(VLOOKUP(O99,Cadastros!A:B,2),"")</f>
        <v/>
      </c>
      <c r="Q99" s="177" t="str">
        <f t="shared" si="6"/>
        <v/>
      </c>
      <c r="R99" s="177" t="str">
        <f>IFERROR(VLOOKUP(O99,Cadastros!A:E,5,0),"")</f>
        <v/>
      </c>
      <c r="S99" s="177" t="str">
        <f>IFERROR(VLOOKUP(O99,Cadastros!A:F,6,0),"")</f>
        <v/>
      </c>
      <c r="T99" s="177" t="str">
        <f>IFERROR(VLOOKUP(O99,Cadastros!A:I,9,0),"")</f>
        <v/>
      </c>
      <c r="U99" s="177" t="str">
        <f t="shared" si="7"/>
        <v/>
      </c>
      <c r="V99" s="177" t="str">
        <f t="shared" si="8"/>
        <v/>
      </c>
      <c r="W99" s="177" t="str">
        <f t="shared" si="9"/>
        <v/>
      </c>
      <c r="Y99" s="240" t="e">
        <f t="array" ref="Y99">INDEX(Tabela.abordagens[],SMALL(IF(Tabela.abordagens[Mês]=$L$2,ROW(Tabela.abordagens[id])-2),ROW(A52)),1)</f>
        <v>#NUM!</v>
      </c>
      <c r="Z99" s="240" t="e">
        <f t="array" ref="Z99">INDEX(Tabela.abordagens[],SMALL(IF(Tabela.abordagens[Mês]=$L$2,ROW(Tabela.abordagens[Idade])-2),ROW(A52)),6)</f>
        <v>#NUM!</v>
      </c>
      <c r="AA99" s="240" t="e">
        <f t="array" ref="AA99">INDEX(Tabela.abordagens[],SMALL(IF(Tabela.abordagens[Mês]=$L$2,ROW(Tabela.abordagens[Idade])-2),ROW(A52)),4)</f>
        <v>#NUM!</v>
      </c>
      <c r="AB99" s="240" t="e">
        <f t="array" ref="AB99">INDEX(Tabela.abordagens[],SMALL(IF(Tabela.abordagens[Mês]=$L$2,ROW(Tabela.abordagens[Idade])-2),ROW(A52)),5)</f>
        <v>#NUM!</v>
      </c>
      <c r="AC99" s="207"/>
      <c r="AD99" s="207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</row>
    <row r="100" spans="2:47" ht="15" x14ac:dyDescent="0.25">
      <c r="B100" s="223" t="e">
        <f t="array" ref="B100">INDEX(Tabela.frequencia[],SMALL(IF(Tabela.frequencia[Mês]=$L$2,ROW(Tabela.frequencia[id])-1),ROW(A53)),1)</f>
        <v>#NUM!</v>
      </c>
      <c r="C100" s="229" t="e">
        <f t="array" ref="C100">INDEX(Tabela.frequencia[],SMALL(IF(Tabela.frequencia[Mês]=$L$2,ROW(Tabela.frequencia[id])-1),ROW(A53)),4)</f>
        <v>#NUM!</v>
      </c>
      <c r="D100" s="228"/>
      <c r="E100" s="176" t="str">
        <f>IFERROR(VLOOKUP(D100,Tabela.cadastro[[ID]:[Nome]],2,0),"")</f>
        <v/>
      </c>
      <c r="F100" s="177" t="str">
        <f>IFERROR(VLOOKUP(D100,Tabela66[#All],2,0),"")</f>
        <v/>
      </c>
      <c r="G100" s="177" t="str">
        <f>IFERROR(VLOOKUP(D100,Tabela.cadastro[[ID]:[CP ou M]],5,0),"")</f>
        <v/>
      </c>
      <c r="H100" s="177" t="str">
        <f>IFERROR(VLOOKUP(D100,Cadastros!A:F,6,0),"")</f>
        <v/>
      </c>
      <c r="I100" s="177" t="str">
        <f>IFERROR(VLOOKUP(D100,Cadastros!A:I,9,0),"")</f>
        <v/>
      </c>
      <c r="J100" s="177" t="str">
        <f>IFERROR(VLOOKUP(D100,Cadastros!A:J,10,0),"")</f>
        <v/>
      </c>
      <c r="K100" s="177" t="str">
        <f>IF(COUNTIF(Tabela66[id],D100)=0,"",COUNTIF(Tabela66[id],D100))</f>
        <v/>
      </c>
      <c r="L100" s="198"/>
      <c r="M100" s="227" t="str">
        <f t="shared" si="5"/>
        <v/>
      </c>
      <c r="N100" s="207"/>
      <c r="P100" s="176" t="str">
        <f>IFERROR(VLOOKUP(O100,Cadastros!A:B,2),"")</f>
        <v/>
      </c>
      <c r="Q100" s="177" t="str">
        <f t="shared" si="6"/>
        <v/>
      </c>
      <c r="R100" s="177" t="str">
        <f>IFERROR(VLOOKUP(O100,Cadastros!A:E,5,0),"")</f>
        <v/>
      </c>
      <c r="S100" s="177" t="str">
        <f>IFERROR(VLOOKUP(O100,Cadastros!A:F,6,0),"")</f>
        <v/>
      </c>
      <c r="T100" s="177" t="str">
        <f>IFERROR(VLOOKUP(O100,Cadastros!A:I,9,0),"")</f>
        <v/>
      </c>
      <c r="U100" s="177" t="str">
        <f t="shared" si="7"/>
        <v/>
      </c>
      <c r="V100" s="177" t="str">
        <f t="shared" si="8"/>
        <v/>
      </c>
      <c r="W100" s="177" t="str">
        <f t="shared" si="9"/>
        <v/>
      </c>
      <c r="Y100" s="240" t="e">
        <f t="array" ref="Y100">INDEX(Tabela.abordagens[],SMALL(IF(Tabela.abordagens[Mês]=$L$2,ROW(Tabela.abordagens[id])-2),ROW(A53)),1)</f>
        <v>#NUM!</v>
      </c>
      <c r="Z100" s="240" t="e">
        <f t="array" ref="Z100">INDEX(Tabela.abordagens[],SMALL(IF(Tabela.abordagens[Mês]=$L$2,ROW(Tabela.abordagens[Idade])-2),ROW(A53)),6)</f>
        <v>#NUM!</v>
      </c>
      <c r="AA100" s="240" t="e">
        <f t="array" ref="AA100">INDEX(Tabela.abordagens[],SMALL(IF(Tabela.abordagens[Mês]=$L$2,ROW(Tabela.abordagens[Idade])-2),ROW(A53)),4)</f>
        <v>#NUM!</v>
      </c>
      <c r="AB100" s="240" t="e">
        <f t="array" ref="AB100">INDEX(Tabela.abordagens[],SMALL(IF(Tabela.abordagens[Mês]=$L$2,ROW(Tabela.abordagens[Idade])-2),ROW(A53)),5)</f>
        <v>#NUM!</v>
      </c>
      <c r="AC100" s="207"/>
      <c r="AD100" s="207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</row>
    <row r="101" spans="2:47" ht="15" x14ac:dyDescent="0.25">
      <c r="B101" s="223" t="e">
        <f t="array" ref="B101">INDEX(Tabela.frequencia[],SMALL(IF(Tabela.frequencia[Mês]=$L$2,ROW(Tabela.frequencia[id])-1),ROW(A54)),1)</f>
        <v>#NUM!</v>
      </c>
      <c r="C101" s="229" t="e">
        <f t="array" ref="C101">INDEX(Tabela.frequencia[],SMALL(IF(Tabela.frequencia[Mês]=$L$2,ROW(Tabela.frequencia[id])-1),ROW(A54)),4)</f>
        <v>#NUM!</v>
      </c>
      <c r="D101" s="228"/>
      <c r="E101" s="176" t="str">
        <f>IFERROR(VLOOKUP(D101,Tabela.cadastro[[ID]:[Nome]],2,0),"")</f>
        <v/>
      </c>
      <c r="F101" s="177" t="str">
        <f>IFERROR(VLOOKUP(D101,Tabela66[#All],2,0),"")</f>
        <v/>
      </c>
      <c r="G101" s="177" t="str">
        <f>IFERROR(VLOOKUP(D101,Tabela.cadastro[[ID]:[CP ou M]],5,0),"")</f>
        <v/>
      </c>
      <c r="H101" s="177" t="str">
        <f>IFERROR(VLOOKUP(D101,Cadastros!A:F,6,0),"")</f>
        <v/>
      </c>
      <c r="I101" s="177" t="str">
        <f>IFERROR(VLOOKUP(D101,Cadastros!A:I,9,0),"")</f>
        <v/>
      </c>
      <c r="J101" s="177" t="str">
        <f>IFERROR(VLOOKUP(D101,Cadastros!A:J,10,0),"")</f>
        <v/>
      </c>
      <c r="K101" s="177" t="str">
        <f>IF(COUNTIF(Tabela66[id],D101)=0,"",COUNTIF(Tabela66[id],D101))</f>
        <v/>
      </c>
      <c r="L101" s="198"/>
      <c r="M101" s="227" t="str">
        <f t="shared" si="5"/>
        <v/>
      </c>
      <c r="N101" s="207"/>
      <c r="P101" s="176" t="str">
        <f>IFERROR(VLOOKUP(O101,Cadastros!A:B,2),"")</f>
        <v/>
      </c>
      <c r="Q101" s="177" t="str">
        <f t="shared" si="6"/>
        <v/>
      </c>
      <c r="R101" s="177" t="str">
        <f>IFERROR(VLOOKUP(O101,Cadastros!A:E,5,0),"")</f>
        <v/>
      </c>
      <c r="S101" s="177" t="str">
        <f>IFERROR(VLOOKUP(O101,Cadastros!A:F,6,0),"")</f>
        <v/>
      </c>
      <c r="T101" s="177" t="str">
        <f>IFERROR(VLOOKUP(O101,Cadastros!A:I,9,0),"")</f>
        <v/>
      </c>
      <c r="U101" s="177" t="str">
        <f t="shared" si="7"/>
        <v/>
      </c>
      <c r="V101" s="177" t="str">
        <f t="shared" si="8"/>
        <v/>
      </c>
      <c r="W101" s="177" t="str">
        <f t="shared" si="9"/>
        <v/>
      </c>
      <c r="Y101" s="240" t="e">
        <f t="array" ref="Y101">INDEX(Tabela.abordagens[],SMALL(IF(Tabela.abordagens[Mês]=$L$2,ROW(Tabela.abordagens[id])-2),ROW(A54)),1)</f>
        <v>#NUM!</v>
      </c>
      <c r="Z101" s="240" t="e">
        <f t="array" ref="Z101">INDEX(Tabela.abordagens[],SMALL(IF(Tabela.abordagens[Mês]=$L$2,ROW(Tabela.abordagens[Idade])-2),ROW(A54)),6)</f>
        <v>#NUM!</v>
      </c>
      <c r="AA101" s="240" t="e">
        <f t="array" ref="AA101">INDEX(Tabela.abordagens[],SMALL(IF(Tabela.abordagens[Mês]=$L$2,ROW(Tabela.abordagens[Idade])-2),ROW(A54)),4)</f>
        <v>#NUM!</v>
      </c>
      <c r="AB101" s="240" t="e">
        <f t="array" ref="AB101">INDEX(Tabela.abordagens[],SMALL(IF(Tabela.abordagens[Mês]=$L$2,ROW(Tabela.abordagens[Idade])-2),ROW(A54)),5)</f>
        <v>#NUM!</v>
      </c>
      <c r="AC101" s="207"/>
      <c r="AD101" s="207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</row>
    <row r="102" spans="2:47" ht="15" x14ac:dyDescent="0.25">
      <c r="B102" s="223" t="e">
        <f t="array" ref="B102">INDEX(Tabela.frequencia[],SMALL(IF(Tabela.frequencia[Mês]=$L$2,ROW(Tabela.frequencia[id])-1),ROW(A55)),1)</f>
        <v>#NUM!</v>
      </c>
      <c r="C102" s="229" t="e">
        <f t="array" ref="C102">INDEX(Tabela.frequencia[],SMALL(IF(Tabela.frequencia[Mês]=$L$2,ROW(Tabela.frequencia[id])-1),ROW(A55)),4)</f>
        <v>#NUM!</v>
      </c>
      <c r="D102" s="228"/>
      <c r="E102" s="176" t="str">
        <f>IFERROR(VLOOKUP(D102,Tabela.cadastro[[ID]:[Nome]],2,0),"")</f>
        <v/>
      </c>
      <c r="F102" s="177" t="str">
        <f>IFERROR(VLOOKUP(D102,Tabela66[#All],2,0),"")</f>
        <v/>
      </c>
      <c r="G102" s="177" t="str">
        <f>IFERROR(VLOOKUP(D102,Tabela.cadastro[[ID]:[CP ou M]],5,0),"")</f>
        <v/>
      </c>
      <c r="H102" s="177" t="str">
        <f>IFERROR(VLOOKUP(D102,Cadastros!A:F,6,0),"")</f>
        <v/>
      </c>
      <c r="I102" s="177" t="str">
        <f>IFERROR(VLOOKUP(D102,Cadastros!A:I,9,0),"")</f>
        <v/>
      </c>
      <c r="J102" s="177" t="str">
        <f>IFERROR(VLOOKUP(D102,Cadastros!A:J,10,0),"")</f>
        <v/>
      </c>
      <c r="K102" s="177" t="str">
        <f>IF(COUNTIF(Tabela66[id],D102)=0,"",COUNTIF(Tabela66[id],D102))</f>
        <v/>
      </c>
      <c r="L102" s="198"/>
      <c r="M102" s="227" t="str">
        <f t="shared" si="5"/>
        <v/>
      </c>
      <c r="N102" s="207"/>
      <c r="P102" s="176" t="str">
        <f>IFERROR(VLOOKUP(O102,Cadastros!A:B,2),"")</f>
        <v/>
      </c>
      <c r="Q102" s="177" t="str">
        <f t="shared" si="6"/>
        <v/>
      </c>
      <c r="R102" s="177" t="str">
        <f>IFERROR(VLOOKUP(O102,Cadastros!A:E,5,0),"")</f>
        <v/>
      </c>
      <c r="S102" s="177" t="str">
        <f>IFERROR(VLOOKUP(O102,Cadastros!A:F,6,0),"")</f>
        <v/>
      </c>
      <c r="T102" s="177" t="str">
        <f>IFERROR(VLOOKUP(O102,Cadastros!A:I,9,0),"")</f>
        <v/>
      </c>
      <c r="U102" s="177" t="str">
        <f t="shared" si="7"/>
        <v/>
      </c>
      <c r="V102" s="177" t="str">
        <f t="shared" si="8"/>
        <v/>
      </c>
      <c r="W102" s="177" t="str">
        <f t="shared" si="9"/>
        <v/>
      </c>
      <c r="Y102" s="240" t="e">
        <f t="array" ref="Y102">INDEX(Tabela.abordagens[],SMALL(IF(Tabela.abordagens[Mês]=$L$2,ROW(Tabela.abordagens[id])-2),ROW(A55)),1)</f>
        <v>#NUM!</v>
      </c>
      <c r="Z102" s="240" t="e">
        <f t="array" ref="Z102">INDEX(Tabela.abordagens[],SMALL(IF(Tabela.abordagens[Mês]=$L$2,ROW(Tabela.abordagens[Idade])-2),ROW(A55)),6)</f>
        <v>#NUM!</v>
      </c>
      <c r="AA102" s="240" t="e">
        <f t="array" ref="AA102">INDEX(Tabela.abordagens[],SMALL(IF(Tabela.abordagens[Mês]=$L$2,ROW(Tabela.abordagens[Idade])-2),ROW(A55)),4)</f>
        <v>#NUM!</v>
      </c>
      <c r="AB102" s="240" t="e">
        <f t="array" ref="AB102">INDEX(Tabela.abordagens[],SMALL(IF(Tabela.abordagens[Mês]=$L$2,ROW(Tabela.abordagens[Idade])-2),ROW(A55)),5)</f>
        <v>#NUM!</v>
      </c>
      <c r="AC102" s="207"/>
      <c r="AD102" s="207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</row>
    <row r="103" spans="2:47" ht="15" x14ac:dyDescent="0.25">
      <c r="B103" s="223" t="e">
        <f t="array" ref="B103">INDEX(Tabela.frequencia[],SMALL(IF(Tabela.frequencia[Mês]=$L$2,ROW(Tabela.frequencia[id])-1),ROW(A56)),1)</f>
        <v>#NUM!</v>
      </c>
      <c r="C103" s="229" t="e">
        <f t="array" ref="C103">INDEX(Tabela.frequencia[],SMALL(IF(Tabela.frequencia[Mês]=$L$2,ROW(Tabela.frequencia[id])-1),ROW(A56)),4)</f>
        <v>#NUM!</v>
      </c>
      <c r="D103" s="228"/>
      <c r="E103" s="176" t="str">
        <f>IFERROR(VLOOKUP(D103,Tabela.cadastro[[ID]:[Nome]],2,0),"")</f>
        <v/>
      </c>
      <c r="F103" s="177" t="str">
        <f>IFERROR(VLOOKUP(D103,Tabela66[#All],2,0),"")</f>
        <v/>
      </c>
      <c r="G103" s="177" t="str">
        <f>IFERROR(VLOOKUP(D103,Tabela.cadastro[[ID]:[CP ou M]],5,0),"")</f>
        <v/>
      </c>
      <c r="H103" s="177" t="str">
        <f>IFERROR(VLOOKUP(D103,Cadastros!A:F,6,0),"")</f>
        <v/>
      </c>
      <c r="I103" s="177" t="str">
        <f>IFERROR(VLOOKUP(D103,Cadastros!A:I,9,0),"")</f>
        <v/>
      </c>
      <c r="J103" s="177" t="str">
        <f>IFERROR(VLOOKUP(D103,Cadastros!A:J,10,0),"")</f>
        <v/>
      </c>
      <c r="K103" s="177" t="str">
        <f>IF(COUNTIF(Tabela66[id],D103)=0,"",COUNTIF(Tabela66[id],D103))</f>
        <v/>
      </c>
      <c r="L103" s="198"/>
      <c r="M103" s="227" t="str">
        <f t="shared" si="5"/>
        <v/>
      </c>
      <c r="N103" s="207"/>
      <c r="P103" s="176" t="str">
        <f>IFERROR(VLOOKUP(O103,Cadastros!A:B,2),"")</f>
        <v/>
      </c>
      <c r="Q103" s="177" t="str">
        <f t="shared" si="6"/>
        <v/>
      </c>
      <c r="R103" s="177" t="str">
        <f>IFERROR(VLOOKUP(O103,Cadastros!A:E,5,0),"")</f>
        <v/>
      </c>
      <c r="S103" s="177" t="str">
        <f>IFERROR(VLOOKUP(O103,Cadastros!A:F,6,0),"")</f>
        <v/>
      </c>
      <c r="T103" s="177" t="str">
        <f>IFERROR(VLOOKUP(O103,Cadastros!A:I,9,0),"")</f>
        <v/>
      </c>
      <c r="U103" s="177" t="str">
        <f t="shared" si="7"/>
        <v/>
      </c>
      <c r="V103" s="177" t="str">
        <f t="shared" si="8"/>
        <v/>
      </c>
      <c r="W103" s="177" t="str">
        <f t="shared" si="9"/>
        <v/>
      </c>
      <c r="Y103" s="240" t="e">
        <f t="array" ref="Y103">INDEX(Tabela.abordagens[],SMALL(IF(Tabela.abordagens[Mês]=$L$2,ROW(Tabela.abordagens[id])-2),ROW(A56)),1)</f>
        <v>#NUM!</v>
      </c>
      <c r="Z103" s="240" t="e">
        <f t="array" ref="Z103">INDEX(Tabela.abordagens[],SMALL(IF(Tabela.abordagens[Mês]=$L$2,ROW(Tabela.abordagens[Idade])-2),ROW(A56)),6)</f>
        <v>#NUM!</v>
      </c>
      <c r="AA103" s="240" t="e">
        <f t="array" ref="AA103">INDEX(Tabela.abordagens[],SMALL(IF(Tabela.abordagens[Mês]=$L$2,ROW(Tabela.abordagens[Idade])-2),ROW(A56)),4)</f>
        <v>#NUM!</v>
      </c>
      <c r="AB103" s="240" t="e">
        <f t="array" ref="AB103">INDEX(Tabela.abordagens[],SMALL(IF(Tabela.abordagens[Mês]=$L$2,ROW(Tabela.abordagens[Idade])-2),ROW(A56)),5)</f>
        <v>#NUM!</v>
      </c>
      <c r="AC103" s="207"/>
      <c r="AD103" s="207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</row>
    <row r="104" spans="2:47" ht="15" x14ac:dyDescent="0.25">
      <c r="B104" s="223" t="e">
        <f t="array" ref="B104">INDEX(Tabela.frequencia[],SMALL(IF(Tabela.frequencia[Mês]=$L$2,ROW(Tabela.frequencia[id])-1),ROW(A57)),1)</f>
        <v>#NUM!</v>
      </c>
      <c r="C104" s="229" t="e">
        <f t="array" ref="C104">INDEX(Tabela.frequencia[],SMALL(IF(Tabela.frequencia[Mês]=$L$2,ROW(Tabela.frequencia[id])-1),ROW(A57)),4)</f>
        <v>#NUM!</v>
      </c>
      <c r="D104" s="228"/>
      <c r="E104" s="176" t="str">
        <f>IFERROR(VLOOKUP(D104,Tabela.cadastro[[ID]:[Nome]],2,0),"")</f>
        <v/>
      </c>
      <c r="F104" s="177" t="str">
        <f>IFERROR(VLOOKUP(D104,Tabela66[#All],2,0),"")</f>
        <v/>
      </c>
      <c r="G104" s="177" t="str">
        <f>IFERROR(VLOOKUP(D104,Tabela.cadastro[[ID]:[CP ou M]],5,0),"")</f>
        <v/>
      </c>
      <c r="H104" s="177" t="str">
        <f>IFERROR(VLOOKUP(D104,Cadastros!A:F,6,0),"")</f>
        <v/>
      </c>
      <c r="I104" s="177" t="str">
        <f>IFERROR(VLOOKUP(D104,Cadastros!A:I,9,0),"")</f>
        <v/>
      </c>
      <c r="J104" s="177" t="str">
        <f>IFERROR(VLOOKUP(D104,Cadastros!A:J,10,0),"")</f>
        <v/>
      </c>
      <c r="K104" s="177" t="str">
        <f>IF(COUNTIF(Tabela66[id],D104)=0,"",COUNTIF(Tabela66[id],D104))</f>
        <v/>
      </c>
      <c r="L104" s="198"/>
      <c r="M104" s="227" t="str">
        <f t="shared" si="5"/>
        <v/>
      </c>
      <c r="N104" s="207"/>
      <c r="P104" s="176" t="str">
        <f>IFERROR(VLOOKUP(O104,Cadastros!A:B,2),"")</f>
        <v/>
      </c>
      <c r="Q104" s="177" t="str">
        <f t="shared" si="6"/>
        <v/>
      </c>
      <c r="R104" s="177" t="str">
        <f>IFERROR(VLOOKUP(O104,Cadastros!A:E,5,0),"")</f>
        <v/>
      </c>
      <c r="S104" s="177" t="str">
        <f>IFERROR(VLOOKUP(O104,Cadastros!A:F,6,0),"")</f>
        <v/>
      </c>
      <c r="T104" s="177" t="str">
        <f>IFERROR(VLOOKUP(O104,Cadastros!A:I,9,0),"")</f>
        <v/>
      </c>
      <c r="U104" s="177" t="str">
        <f t="shared" si="7"/>
        <v/>
      </c>
      <c r="V104" s="177" t="str">
        <f t="shared" si="8"/>
        <v/>
      </c>
      <c r="W104" s="177" t="str">
        <f t="shared" si="9"/>
        <v/>
      </c>
      <c r="Y104" s="240" t="e">
        <f t="array" ref="Y104">INDEX(Tabela.abordagens[],SMALL(IF(Tabela.abordagens[Mês]=$L$2,ROW(Tabela.abordagens[id])-2),ROW(A57)),1)</f>
        <v>#NUM!</v>
      </c>
      <c r="Z104" s="240" t="e">
        <f t="array" ref="Z104">INDEX(Tabela.abordagens[],SMALL(IF(Tabela.abordagens[Mês]=$L$2,ROW(Tabela.abordagens[Idade])-2),ROW(A57)),6)</f>
        <v>#NUM!</v>
      </c>
      <c r="AA104" s="240" t="e">
        <f t="array" ref="AA104">INDEX(Tabela.abordagens[],SMALL(IF(Tabela.abordagens[Mês]=$L$2,ROW(Tabela.abordagens[Idade])-2),ROW(A57)),4)</f>
        <v>#NUM!</v>
      </c>
      <c r="AB104" s="240" t="e">
        <f t="array" ref="AB104">INDEX(Tabela.abordagens[],SMALL(IF(Tabela.abordagens[Mês]=$L$2,ROW(Tabela.abordagens[Idade])-2),ROW(A57)),5)</f>
        <v>#NUM!</v>
      </c>
      <c r="AC104" s="207"/>
      <c r="AD104" s="207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</row>
    <row r="105" spans="2:47" ht="15" x14ac:dyDescent="0.25">
      <c r="B105" s="223" t="e">
        <f t="array" ref="B105">INDEX(Tabela.frequencia[],SMALL(IF(Tabela.frequencia[Mês]=$L$2,ROW(Tabela.frequencia[id])-1),ROW(A58)),1)</f>
        <v>#NUM!</v>
      </c>
      <c r="C105" s="229" t="e">
        <f t="array" ref="C105">INDEX(Tabela.frequencia[],SMALL(IF(Tabela.frequencia[Mês]=$L$2,ROW(Tabela.frequencia[id])-1),ROW(A58)),4)</f>
        <v>#NUM!</v>
      </c>
      <c r="D105" s="228"/>
      <c r="E105" s="176" t="str">
        <f>IFERROR(VLOOKUP(D105,Tabela.cadastro[[ID]:[Nome]],2,0),"")</f>
        <v/>
      </c>
      <c r="F105" s="177" t="str">
        <f>IFERROR(VLOOKUP(D105,Tabela66[#All],2,0),"")</f>
        <v/>
      </c>
      <c r="G105" s="177" t="str">
        <f>IFERROR(VLOOKUP(D105,Tabela.cadastro[[ID]:[CP ou M]],5,0),"")</f>
        <v/>
      </c>
      <c r="H105" s="177" t="str">
        <f>IFERROR(VLOOKUP(D105,Cadastros!A:F,6,0),"")</f>
        <v/>
      </c>
      <c r="I105" s="177" t="str">
        <f>IFERROR(VLOOKUP(D105,Cadastros!A:I,9,0),"")</f>
        <v/>
      </c>
      <c r="J105" s="177" t="str">
        <f>IFERROR(VLOOKUP(D105,Cadastros!A:J,10,0),"")</f>
        <v/>
      </c>
      <c r="K105" s="177" t="str">
        <f>IF(COUNTIF(Tabela66[id],D105)=0,"",COUNTIF(Tabela66[id],D105))</f>
        <v/>
      </c>
      <c r="L105" s="198"/>
      <c r="M105" s="227" t="str">
        <f t="shared" si="5"/>
        <v/>
      </c>
      <c r="N105" s="207"/>
      <c r="P105" s="176" t="str">
        <f>IFERROR(VLOOKUP(O105,Cadastros!A:B,2),"")</f>
        <v/>
      </c>
      <c r="Q105" s="177" t="str">
        <f t="shared" si="6"/>
        <v/>
      </c>
      <c r="R105" s="177" t="str">
        <f>IFERROR(VLOOKUP(O105,Cadastros!A:E,5,0),"")</f>
        <v/>
      </c>
      <c r="S105" s="177" t="str">
        <f>IFERROR(VLOOKUP(O105,Cadastros!A:F,6,0),"")</f>
        <v/>
      </c>
      <c r="T105" s="177" t="str">
        <f>IFERROR(VLOOKUP(O105,Cadastros!A:I,9,0),"")</f>
        <v/>
      </c>
      <c r="U105" s="177" t="str">
        <f t="shared" si="7"/>
        <v/>
      </c>
      <c r="V105" s="177" t="str">
        <f t="shared" si="8"/>
        <v/>
      </c>
      <c r="W105" s="177" t="str">
        <f t="shared" si="9"/>
        <v/>
      </c>
      <c r="Y105" s="240" t="e">
        <f t="array" ref="Y105">INDEX(Tabela.abordagens[],SMALL(IF(Tabela.abordagens[Mês]=$L$2,ROW(Tabela.abordagens[id])-2),ROW(A58)),1)</f>
        <v>#NUM!</v>
      </c>
      <c r="Z105" s="240" t="e">
        <f t="array" ref="Z105">INDEX(Tabela.abordagens[],SMALL(IF(Tabela.abordagens[Mês]=$L$2,ROW(Tabela.abordagens[Idade])-2),ROW(A58)),6)</f>
        <v>#NUM!</v>
      </c>
      <c r="AA105" s="240" t="e">
        <f t="array" ref="AA105">INDEX(Tabela.abordagens[],SMALL(IF(Tabela.abordagens[Mês]=$L$2,ROW(Tabela.abordagens[Idade])-2),ROW(A58)),4)</f>
        <v>#NUM!</v>
      </c>
      <c r="AB105" s="240" t="e">
        <f t="array" ref="AB105">INDEX(Tabela.abordagens[],SMALL(IF(Tabela.abordagens[Mês]=$L$2,ROW(Tabela.abordagens[Idade])-2),ROW(A58)),5)</f>
        <v>#NUM!</v>
      </c>
      <c r="AC105" s="207"/>
      <c r="AD105" s="207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</row>
    <row r="106" spans="2:47" ht="15" x14ac:dyDescent="0.25">
      <c r="B106" s="223" t="e">
        <f t="array" ref="B106">INDEX(Tabela.frequencia[],SMALL(IF(Tabela.frequencia[Mês]=$L$2,ROW(Tabela.frequencia[id])-1),ROW(A59)),1)</f>
        <v>#NUM!</v>
      </c>
      <c r="C106" s="229" t="e">
        <f t="array" ref="C106">INDEX(Tabela.frequencia[],SMALL(IF(Tabela.frequencia[Mês]=$L$2,ROW(Tabela.frequencia[id])-1),ROW(A59)),4)</f>
        <v>#NUM!</v>
      </c>
      <c r="D106" s="228"/>
      <c r="E106" s="176" t="str">
        <f>IFERROR(VLOOKUP(D106,Tabela.cadastro[[ID]:[Nome]],2,0),"")</f>
        <v/>
      </c>
      <c r="F106" s="177" t="str">
        <f>IFERROR(VLOOKUP(D106,Tabela66[#All],2,0),"")</f>
        <v/>
      </c>
      <c r="G106" s="177" t="str">
        <f>IFERROR(VLOOKUP(D106,Tabela.cadastro[[ID]:[CP ou M]],5,0),"")</f>
        <v/>
      </c>
      <c r="H106" s="177" t="str">
        <f>IFERROR(VLOOKUP(D106,Cadastros!A:F,6,0),"")</f>
        <v/>
      </c>
      <c r="I106" s="177" t="str">
        <f>IFERROR(VLOOKUP(D106,Cadastros!A:I,9,0),"")</f>
        <v/>
      </c>
      <c r="J106" s="177" t="str">
        <f>IFERROR(VLOOKUP(D106,Cadastros!A:J,10,0),"")</f>
        <v/>
      </c>
      <c r="K106" s="177" t="str">
        <f>IF(COUNTIF(Tabela66[id],D106)=0,"",COUNTIF(Tabela66[id],D106))</f>
        <v/>
      </c>
      <c r="L106" s="198"/>
      <c r="M106" s="227" t="str">
        <f t="shared" ref="M106:M169" si="10">IF(AND(K106:K937&gt;=5,L106:L937="Não"),"*","")</f>
        <v/>
      </c>
      <c r="N106" s="207"/>
      <c r="P106" s="176" t="str">
        <f>IFERROR(VLOOKUP(O106,Cadastros!A:B,2),"")</f>
        <v/>
      </c>
      <c r="Q106" s="177" t="str">
        <f t="shared" si="6"/>
        <v/>
      </c>
      <c r="R106" s="177" t="str">
        <f>IFERROR(VLOOKUP(O106,Cadastros!A:E,5,0),"")</f>
        <v/>
      </c>
      <c r="S106" s="177" t="str">
        <f>IFERROR(VLOOKUP(O106,Cadastros!A:F,6,0),"")</f>
        <v/>
      </c>
      <c r="T106" s="177" t="str">
        <f>IFERROR(VLOOKUP(O106,Cadastros!A:I,9,0),"")</f>
        <v/>
      </c>
      <c r="U106" s="177" t="str">
        <f t="shared" si="7"/>
        <v/>
      </c>
      <c r="V106" s="177" t="str">
        <f t="shared" si="8"/>
        <v/>
      </c>
      <c r="W106" s="177" t="str">
        <f t="shared" si="9"/>
        <v/>
      </c>
      <c r="Y106" s="240" t="e">
        <f t="array" ref="Y106">INDEX(Tabela.abordagens[],SMALL(IF(Tabela.abordagens[Mês]=$L$2,ROW(Tabela.abordagens[id])-2),ROW(A59)),1)</f>
        <v>#NUM!</v>
      </c>
      <c r="Z106" s="240" t="e">
        <f t="array" ref="Z106">INDEX(Tabela.abordagens[],SMALL(IF(Tabela.abordagens[Mês]=$L$2,ROW(Tabela.abordagens[Idade])-2),ROW(A59)),6)</f>
        <v>#NUM!</v>
      </c>
      <c r="AA106" s="240" t="e">
        <f t="array" ref="AA106">INDEX(Tabela.abordagens[],SMALL(IF(Tabela.abordagens[Mês]=$L$2,ROW(Tabela.abordagens[Idade])-2),ROW(A59)),4)</f>
        <v>#NUM!</v>
      </c>
      <c r="AB106" s="240" t="e">
        <f t="array" ref="AB106">INDEX(Tabela.abordagens[],SMALL(IF(Tabela.abordagens[Mês]=$L$2,ROW(Tabela.abordagens[Idade])-2),ROW(A59)),5)</f>
        <v>#NUM!</v>
      </c>
      <c r="AC106" s="207"/>
      <c r="AD106" s="207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</row>
    <row r="107" spans="2:47" ht="15" x14ac:dyDescent="0.25">
      <c r="B107" s="223" t="e">
        <f t="array" ref="B107">INDEX(Tabela.frequencia[],SMALL(IF(Tabela.frequencia[Mês]=$L$2,ROW(Tabela.frequencia[id])-1),ROW(A60)),1)</f>
        <v>#NUM!</v>
      </c>
      <c r="C107" s="229" t="e">
        <f t="array" ref="C107">INDEX(Tabela.frequencia[],SMALL(IF(Tabela.frequencia[Mês]=$L$2,ROW(Tabela.frequencia[id])-1),ROW(A60)),4)</f>
        <v>#NUM!</v>
      </c>
      <c r="D107" s="228"/>
      <c r="E107" s="176" t="str">
        <f>IFERROR(VLOOKUP(D107,Tabela.cadastro[[ID]:[Nome]],2,0),"")</f>
        <v/>
      </c>
      <c r="F107" s="177" t="str">
        <f>IFERROR(VLOOKUP(D107,Tabela66[#All],2,0),"")</f>
        <v/>
      </c>
      <c r="G107" s="177" t="str">
        <f>IFERROR(VLOOKUP(D107,Tabela.cadastro[[ID]:[CP ou M]],5,0),"")</f>
        <v/>
      </c>
      <c r="H107" s="177" t="str">
        <f>IFERROR(VLOOKUP(D107,Cadastros!A:F,6,0),"")</f>
        <v/>
      </c>
      <c r="I107" s="177" t="str">
        <f>IFERROR(VLOOKUP(D107,Cadastros!A:I,9,0),"")</f>
        <v/>
      </c>
      <c r="J107" s="177" t="str">
        <f>IFERROR(VLOOKUP(D107,Cadastros!A:J,10,0),"")</f>
        <v/>
      </c>
      <c r="K107" s="177" t="str">
        <f>IF(COUNTIF(Tabela66[id],D107)=0,"",COUNTIF(Tabela66[id],D107))</f>
        <v/>
      </c>
      <c r="L107" s="198"/>
      <c r="M107" s="227" t="str">
        <f t="shared" si="10"/>
        <v/>
      </c>
      <c r="N107" s="207"/>
      <c r="P107" s="176" t="str">
        <f>IFERROR(VLOOKUP(O107,Cadastros!A:B,2),"")</f>
        <v/>
      </c>
      <c r="Q107" s="177" t="str">
        <f t="shared" si="6"/>
        <v/>
      </c>
      <c r="R107" s="177" t="str">
        <f>IFERROR(VLOOKUP(O107,Cadastros!A:E,5,0),"")</f>
        <v/>
      </c>
      <c r="S107" s="177" t="str">
        <f>IFERROR(VLOOKUP(O107,Cadastros!A:F,6,0),"")</f>
        <v/>
      </c>
      <c r="T107" s="177" t="str">
        <f>IFERROR(VLOOKUP(O107,Cadastros!A:I,9,0),"")</f>
        <v/>
      </c>
      <c r="U107" s="177" t="str">
        <f t="shared" si="7"/>
        <v/>
      </c>
      <c r="V107" s="177" t="str">
        <f t="shared" si="8"/>
        <v/>
      </c>
      <c r="W107" s="177" t="str">
        <f t="shared" si="9"/>
        <v/>
      </c>
      <c r="Y107" s="240" t="e">
        <f t="array" ref="Y107">INDEX(Tabela.abordagens[],SMALL(IF(Tabela.abordagens[Mês]=$L$2,ROW(Tabela.abordagens[id])-2),ROW(A60)),1)</f>
        <v>#NUM!</v>
      </c>
      <c r="Z107" s="240" t="e">
        <f t="array" ref="Z107">INDEX(Tabela.abordagens[],SMALL(IF(Tabela.abordagens[Mês]=$L$2,ROW(Tabela.abordagens[Idade])-2),ROW(A60)),6)</f>
        <v>#NUM!</v>
      </c>
      <c r="AA107" s="240" t="e">
        <f t="array" ref="AA107">INDEX(Tabela.abordagens[],SMALL(IF(Tabela.abordagens[Mês]=$L$2,ROW(Tabela.abordagens[Idade])-2),ROW(A60)),4)</f>
        <v>#NUM!</v>
      </c>
      <c r="AB107" s="240" t="e">
        <f t="array" ref="AB107">INDEX(Tabela.abordagens[],SMALL(IF(Tabela.abordagens[Mês]=$L$2,ROW(Tabela.abordagens[Idade])-2),ROW(A60)),5)</f>
        <v>#NUM!</v>
      </c>
      <c r="AC107" s="207"/>
      <c r="AD107" s="207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</row>
    <row r="108" spans="2:47" ht="15" x14ac:dyDescent="0.25">
      <c r="B108" s="223" t="e">
        <f t="array" ref="B108">INDEX(Tabela.frequencia[],SMALL(IF(Tabela.frequencia[Mês]=$L$2,ROW(Tabela.frequencia[id])-1),ROW(A61)),1)</f>
        <v>#NUM!</v>
      </c>
      <c r="C108" s="229" t="e">
        <f t="array" ref="C108">INDEX(Tabela.frequencia[],SMALL(IF(Tabela.frequencia[Mês]=$L$2,ROW(Tabela.frequencia[id])-1),ROW(A61)),4)</f>
        <v>#NUM!</v>
      </c>
      <c r="D108" s="228"/>
      <c r="E108" s="176" t="str">
        <f>IFERROR(VLOOKUP(D108,Tabela.cadastro[[ID]:[Nome]],2,0),"")</f>
        <v/>
      </c>
      <c r="F108" s="177" t="str">
        <f>IFERROR(VLOOKUP(D108,Tabela66[#All],2,0),"")</f>
        <v/>
      </c>
      <c r="G108" s="177" t="str">
        <f>IFERROR(VLOOKUP(D108,Tabela.cadastro[[ID]:[CP ou M]],5,0),"")</f>
        <v/>
      </c>
      <c r="H108" s="177" t="str">
        <f>IFERROR(VLOOKUP(D108,Cadastros!A:F,6,0),"")</f>
        <v/>
      </c>
      <c r="I108" s="177" t="str">
        <f>IFERROR(VLOOKUP(D108,Cadastros!A:I,9,0),"")</f>
        <v/>
      </c>
      <c r="J108" s="177" t="str">
        <f>IFERROR(VLOOKUP(D108,Cadastros!A:J,10,0),"")</f>
        <v/>
      </c>
      <c r="K108" s="177" t="str">
        <f>IF(COUNTIF(Tabela66[id],D108)=0,"",COUNTIF(Tabela66[id],D108))</f>
        <v/>
      </c>
      <c r="L108" s="198"/>
      <c r="M108" s="227" t="str">
        <f t="shared" si="10"/>
        <v/>
      </c>
      <c r="N108" s="207"/>
      <c r="P108" s="176" t="str">
        <f>IFERROR(VLOOKUP(O108,Cadastros!A:B,2),"")</f>
        <v/>
      </c>
      <c r="Q108" s="177" t="str">
        <f t="shared" si="6"/>
        <v/>
      </c>
      <c r="R108" s="177" t="str">
        <f>IFERROR(VLOOKUP(O108,Cadastros!A:E,5,0),"")</f>
        <v/>
      </c>
      <c r="S108" s="177" t="str">
        <f>IFERROR(VLOOKUP(O108,Cadastros!A:F,6,0),"")</f>
        <v/>
      </c>
      <c r="T108" s="177" t="str">
        <f>IFERROR(VLOOKUP(O108,Cadastros!A:I,9,0),"")</f>
        <v/>
      </c>
      <c r="U108" s="177" t="str">
        <f t="shared" si="7"/>
        <v/>
      </c>
      <c r="V108" s="177" t="str">
        <f t="shared" si="8"/>
        <v/>
      </c>
      <c r="W108" s="177" t="str">
        <f t="shared" si="9"/>
        <v/>
      </c>
      <c r="Y108" s="240" t="e">
        <f t="array" ref="Y108">INDEX(Tabela.abordagens[],SMALL(IF(Tabela.abordagens[Mês]=$L$2,ROW(Tabela.abordagens[id])-2),ROW(A61)),1)</f>
        <v>#NUM!</v>
      </c>
      <c r="Z108" s="240" t="e">
        <f t="array" ref="Z108">INDEX(Tabela.abordagens[],SMALL(IF(Tabela.abordagens[Mês]=$L$2,ROW(Tabela.abordagens[Idade])-2),ROW(A61)),6)</f>
        <v>#NUM!</v>
      </c>
      <c r="AA108" s="240" t="e">
        <f t="array" ref="AA108">INDEX(Tabela.abordagens[],SMALL(IF(Tabela.abordagens[Mês]=$L$2,ROW(Tabela.abordagens[Idade])-2),ROW(A61)),4)</f>
        <v>#NUM!</v>
      </c>
      <c r="AB108" s="240" t="e">
        <f t="array" ref="AB108">INDEX(Tabela.abordagens[],SMALL(IF(Tabela.abordagens[Mês]=$L$2,ROW(Tabela.abordagens[Idade])-2),ROW(A61)),5)</f>
        <v>#NUM!</v>
      </c>
      <c r="AC108" s="207"/>
      <c r="AD108" s="207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</row>
    <row r="109" spans="2:47" ht="15" x14ac:dyDescent="0.25">
      <c r="B109" s="223" t="e">
        <f t="array" ref="B109">INDEX(Tabela.frequencia[],SMALL(IF(Tabela.frequencia[Mês]=$L$2,ROW(Tabela.frequencia[id])-1),ROW(A62)),1)</f>
        <v>#NUM!</v>
      </c>
      <c r="C109" s="229" t="e">
        <f t="array" ref="C109">INDEX(Tabela.frequencia[],SMALL(IF(Tabela.frequencia[Mês]=$L$2,ROW(Tabela.frequencia[id])-1),ROW(A62)),4)</f>
        <v>#NUM!</v>
      </c>
      <c r="D109" s="228"/>
      <c r="E109" s="176" t="str">
        <f>IFERROR(VLOOKUP(D109,Tabela.cadastro[[ID]:[Nome]],2,0),"")</f>
        <v/>
      </c>
      <c r="F109" s="177" t="str">
        <f>IFERROR(VLOOKUP(D109,Tabela66[#All],2,0),"")</f>
        <v/>
      </c>
      <c r="G109" s="177" t="str">
        <f>IFERROR(VLOOKUP(D109,Tabela.cadastro[[ID]:[CP ou M]],5,0),"")</f>
        <v/>
      </c>
      <c r="H109" s="177" t="str">
        <f>IFERROR(VLOOKUP(D109,Cadastros!A:F,6,0),"")</f>
        <v/>
      </c>
      <c r="I109" s="177" t="str">
        <f>IFERROR(VLOOKUP(D109,Cadastros!A:I,9,0),"")</f>
        <v/>
      </c>
      <c r="J109" s="177" t="str">
        <f>IFERROR(VLOOKUP(D109,Cadastros!A:J,10,0),"")</f>
        <v/>
      </c>
      <c r="K109" s="177" t="str">
        <f>IF(COUNTIF(Tabela66[id],D109)=0,"",COUNTIF(Tabela66[id],D109))</f>
        <v/>
      </c>
      <c r="L109" s="198"/>
      <c r="M109" s="227" t="str">
        <f t="shared" si="10"/>
        <v/>
      </c>
      <c r="N109" s="207"/>
      <c r="P109" s="176" t="str">
        <f>IFERROR(VLOOKUP(O109,Cadastros!A:B,2),"")</f>
        <v/>
      </c>
      <c r="Q109" s="177" t="str">
        <f t="shared" si="6"/>
        <v/>
      </c>
      <c r="R109" s="177" t="str">
        <f>IFERROR(VLOOKUP(O109,Cadastros!A:E,5,0),"")</f>
        <v/>
      </c>
      <c r="S109" s="177" t="str">
        <f>IFERROR(VLOOKUP(O109,Cadastros!A:F,6,0),"")</f>
        <v/>
      </c>
      <c r="T109" s="177" t="str">
        <f>IFERROR(VLOOKUP(O109,Cadastros!A:I,9,0),"")</f>
        <v/>
      </c>
      <c r="U109" s="177" t="str">
        <f t="shared" si="7"/>
        <v/>
      </c>
      <c r="V109" s="177" t="str">
        <f t="shared" si="8"/>
        <v/>
      </c>
      <c r="W109" s="177" t="str">
        <f t="shared" si="9"/>
        <v/>
      </c>
      <c r="Y109" s="240" t="e">
        <f t="array" ref="Y109">INDEX(Tabela.abordagens[],SMALL(IF(Tabela.abordagens[Mês]=$L$2,ROW(Tabela.abordagens[id])-2),ROW(A62)),1)</f>
        <v>#NUM!</v>
      </c>
      <c r="Z109" s="240" t="e">
        <f t="array" ref="Z109">INDEX(Tabela.abordagens[],SMALL(IF(Tabela.abordagens[Mês]=$L$2,ROW(Tabela.abordagens[Idade])-2),ROW(A62)),6)</f>
        <v>#NUM!</v>
      </c>
      <c r="AA109" s="240" t="e">
        <f t="array" ref="AA109">INDEX(Tabela.abordagens[],SMALL(IF(Tabela.abordagens[Mês]=$L$2,ROW(Tabela.abordagens[Idade])-2),ROW(A62)),4)</f>
        <v>#NUM!</v>
      </c>
      <c r="AB109" s="240" t="e">
        <f t="array" ref="AB109">INDEX(Tabela.abordagens[],SMALL(IF(Tabela.abordagens[Mês]=$L$2,ROW(Tabela.abordagens[Idade])-2),ROW(A62)),5)</f>
        <v>#NUM!</v>
      </c>
      <c r="AC109" s="207"/>
      <c r="AD109" s="207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</row>
    <row r="110" spans="2:47" ht="15" x14ac:dyDescent="0.25">
      <c r="B110" s="223" t="e">
        <f t="array" ref="B110">INDEX(Tabela.frequencia[],SMALL(IF(Tabela.frequencia[Mês]=$L$2,ROW(Tabela.frequencia[id])-1),ROW(A63)),1)</f>
        <v>#NUM!</v>
      </c>
      <c r="C110" s="229" t="e">
        <f t="array" ref="C110">INDEX(Tabela.frequencia[],SMALL(IF(Tabela.frequencia[Mês]=$L$2,ROW(Tabela.frequencia[id])-1),ROW(A63)),4)</f>
        <v>#NUM!</v>
      </c>
      <c r="D110" s="228"/>
      <c r="E110" s="176" t="str">
        <f>IFERROR(VLOOKUP(D110,Tabela.cadastro[[ID]:[Nome]],2,0),"")</f>
        <v/>
      </c>
      <c r="F110" s="177" t="str">
        <f>IFERROR(VLOOKUP(D110,Tabela66[#All],2,0),"")</f>
        <v/>
      </c>
      <c r="G110" s="177" t="str">
        <f>IFERROR(VLOOKUP(D110,Tabela.cadastro[[ID]:[CP ou M]],5,0),"")</f>
        <v/>
      </c>
      <c r="H110" s="177" t="str">
        <f>IFERROR(VLOOKUP(D110,Cadastros!A:F,6,0),"")</f>
        <v/>
      </c>
      <c r="I110" s="177" t="str">
        <f>IFERROR(VLOOKUP(D110,Cadastros!A:I,9,0),"")</f>
        <v/>
      </c>
      <c r="J110" s="177" t="str">
        <f>IFERROR(VLOOKUP(D110,Cadastros!A:J,10,0),"")</f>
        <v/>
      </c>
      <c r="K110" s="177" t="str">
        <f>IF(COUNTIF(Tabela66[id],D110)=0,"",COUNTIF(Tabela66[id],D110))</f>
        <v/>
      </c>
      <c r="L110" s="198"/>
      <c r="M110" s="227" t="str">
        <f t="shared" si="10"/>
        <v/>
      </c>
      <c r="N110" s="207"/>
      <c r="P110" s="176" t="str">
        <f>IFERROR(VLOOKUP(O110,Cadastros!A:B,2),"")</f>
        <v/>
      </c>
      <c r="Q110" s="177" t="str">
        <f t="shared" si="6"/>
        <v/>
      </c>
      <c r="R110" s="177" t="str">
        <f>IFERROR(VLOOKUP(O110,Cadastros!A:E,5,0),"")</f>
        <v/>
      </c>
      <c r="S110" s="177" t="str">
        <f>IFERROR(VLOOKUP(O110,Cadastros!A:F,6,0),"")</f>
        <v/>
      </c>
      <c r="T110" s="177" t="str">
        <f>IFERROR(VLOOKUP(O110,Cadastros!A:I,9,0),"")</f>
        <v/>
      </c>
      <c r="U110" s="177" t="str">
        <f t="shared" si="7"/>
        <v/>
      </c>
      <c r="V110" s="177" t="str">
        <f t="shared" si="8"/>
        <v/>
      </c>
      <c r="W110" s="177" t="str">
        <f t="shared" si="9"/>
        <v/>
      </c>
      <c r="Y110" s="240" t="e">
        <f t="array" ref="Y110">INDEX(Tabela.abordagens[],SMALL(IF(Tabela.abordagens[Mês]=$L$2,ROW(Tabela.abordagens[id])-2),ROW(A63)),1)</f>
        <v>#NUM!</v>
      </c>
      <c r="Z110" s="240" t="e">
        <f t="array" ref="Z110">INDEX(Tabela.abordagens[],SMALL(IF(Tabela.abordagens[Mês]=$L$2,ROW(Tabela.abordagens[Idade])-2),ROW(A63)),6)</f>
        <v>#NUM!</v>
      </c>
      <c r="AA110" s="240" t="e">
        <f t="array" ref="AA110">INDEX(Tabela.abordagens[],SMALL(IF(Tabela.abordagens[Mês]=$L$2,ROW(Tabela.abordagens[Idade])-2),ROW(A63)),4)</f>
        <v>#NUM!</v>
      </c>
      <c r="AB110" s="240" t="e">
        <f t="array" ref="AB110">INDEX(Tabela.abordagens[],SMALL(IF(Tabela.abordagens[Mês]=$L$2,ROW(Tabela.abordagens[Idade])-2),ROW(A63)),5)</f>
        <v>#NUM!</v>
      </c>
      <c r="AC110" s="207"/>
      <c r="AD110" s="207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</row>
    <row r="111" spans="2:47" ht="15" x14ac:dyDescent="0.25">
      <c r="B111" s="223" t="e">
        <f t="array" ref="B111">INDEX(Tabela.frequencia[],SMALL(IF(Tabela.frequencia[Mês]=$L$2,ROW(Tabela.frequencia[id])-1),ROW(A64)),1)</f>
        <v>#NUM!</v>
      </c>
      <c r="C111" s="229" t="e">
        <f t="array" ref="C111">INDEX(Tabela.frequencia[],SMALL(IF(Tabela.frequencia[Mês]=$L$2,ROW(Tabela.frequencia[id])-1),ROW(A64)),4)</f>
        <v>#NUM!</v>
      </c>
      <c r="D111" s="228"/>
      <c r="E111" s="176" t="str">
        <f>IFERROR(VLOOKUP(D111,Tabela.cadastro[[ID]:[Nome]],2,0),"")</f>
        <v/>
      </c>
      <c r="F111" s="177" t="str">
        <f>IFERROR(VLOOKUP(D111,Tabela66[#All],2,0),"")</f>
        <v/>
      </c>
      <c r="G111" s="177" t="str">
        <f>IFERROR(VLOOKUP(D111,Tabela.cadastro[[ID]:[CP ou M]],5,0),"")</f>
        <v/>
      </c>
      <c r="H111" s="177" t="str">
        <f>IFERROR(VLOOKUP(D111,Cadastros!A:F,6,0),"")</f>
        <v/>
      </c>
      <c r="I111" s="177" t="str">
        <f>IFERROR(VLOOKUP(D111,Cadastros!A:I,9,0),"")</f>
        <v/>
      </c>
      <c r="J111" s="177" t="str">
        <f>IFERROR(VLOOKUP(D111,Cadastros!A:J,10,0),"")</f>
        <v/>
      </c>
      <c r="K111" s="177" t="str">
        <f>IF(COUNTIF(Tabela66[id],D111)=0,"",COUNTIF(Tabela66[id],D111))</f>
        <v/>
      </c>
      <c r="L111" s="198"/>
      <c r="M111" s="227" t="str">
        <f t="shared" si="10"/>
        <v/>
      </c>
      <c r="N111" s="207"/>
      <c r="P111" s="176" t="str">
        <f>IFERROR(VLOOKUP(O111,Cadastros!A:B,2),"")</f>
        <v/>
      </c>
      <c r="Q111" s="177" t="str">
        <f t="shared" si="6"/>
        <v/>
      </c>
      <c r="R111" s="177" t="str">
        <f>IFERROR(VLOOKUP(O111,Cadastros!A:E,5,0),"")</f>
        <v/>
      </c>
      <c r="S111" s="177" t="str">
        <f>IFERROR(VLOOKUP(O111,Cadastros!A:F,6,0),"")</f>
        <v/>
      </c>
      <c r="T111" s="177" t="str">
        <f>IFERROR(VLOOKUP(O111,Cadastros!A:I,9,0),"")</f>
        <v/>
      </c>
      <c r="U111" s="177" t="str">
        <f t="shared" si="7"/>
        <v/>
      </c>
      <c r="V111" s="177" t="str">
        <f t="shared" si="8"/>
        <v/>
      </c>
      <c r="W111" s="177" t="str">
        <f t="shared" si="9"/>
        <v/>
      </c>
      <c r="Y111" s="240" t="e">
        <f t="array" ref="Y111">INDEX(Tabela.abordagens[],SMALL(IF(Tabela.abordagens[Mês]=$L$2,ROW(Tabela.abordagens[id])-2),ROW(A64)),1)</f>
        <v>#NUM!</v>
      </c>
      <c r="Z111" s="240" t="e">
        <f t="array" ref="Z111">INDEX(Tabela.abordagens[],SMALL(IF(Tabela.abordagens[Mês]=$L$2,ROW(Tabela.abordagens[Idade])-2),ROW(A64)),6)</f>
        <v>#NUM!</v>
      </c>
      <c r="AA111" s="240" t="e">
        <f t="array" ref="AA111">INDEX(Tabela.abordagens[],SMALL(IF(Tabela.abordagens[Mês]=$L$2,ROW(Tabela.abordagens[Idade])-2),ROW(A64)),4)</f>
        <v>#NUM!</v>
      </c>
      <c r="AB111" s="240" t="e">
        <f t="array" ref="AB111">INDEX(Tabela.abordagens[],SMALL(IF(Tabela.abordagens[Mês]=$L$2,ROW(Tabela.abordagens[Idade])-2),ROW(A64)),5)</f>
        <v>#NUM!</v>
      </c>
      <c r="AC111" s="207"/>
      <c r="AD111" s="207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</row>
    <row r="112" spans="2:47" ht="15" x14ac:dyDescent="0.25">
      <c r="B112" s="223" t="e">
        <f t="array" ref="B112">INDEX(Tabela.frequencia[],SMALL(IF(Tabela.frequencia[Mês]=$L$2,ROW(Tabela.frequencia[id])-1),ROW(A65)),1)</f>
        <v>#NUM!</v>
      </c>
      <c r="C112" s="229" t="e">
        <f t="array" ref="C112">INDEX(Tabela.frequencia[],SMALL(IF(Tabela.frequencia[Mês]=$L$2,ROW(Tabela.frequencia[id])-1),ROW(A65)),4)</f>
        <v>#NUM!</v>
      </c>
      <c r="D112" s="228"/>
      <c r="E112" s="176" t="str">
        <f>IFERROR(VLOOKUP(D112,Tabela.cadastro[[ID]:[Nome]],2,0),"")</f>
        <v/>
      </c>
      <c r="F112" s="177" t="str">
        <f>IFERROR(VLOOKUP(D112,Tabela66[#All],2,0),"")</f>
        <v/>
      </c>
      <c r="G112" s="177" t="str">
        <f>IFERROR(VLOOKUP(D112,Tabela.cadastro[[ID]:[CP ou M]],5,0),"")</f>
        <v/>
      </c>
      <c r="H112" s="177" t="str">
        <f>IFERROR(VLOOKUP(D112,Cadastros!A:F,6,0),"")</f>
        <v/>
      </c>
      <c r="I112" s="177" t="str">
        <f>IFERROR(VLOOKUP(D112,Cadastros!A:I,9,0),"")</f>
        <v/>
      </c>
      <c r="J112" s="177" t="str">
        <f>IFERROR(VLOOKUP(D112,Cadastros!A:J,10,0),"")</f>
        <v/>
      </c>
      <c r="K112" s="177" t="str">
        <f>IF(COUNTIF(Tabela66[id],D112)=0,"",COUNTIF(Tabela66[id],D112))</f>
        <v/>
      </c>
      <c r="L112" s="198"/>
      <c r="M112" s="227" t="str">
        <f t="shared" si="10"/>
        <v/>
      </c>
      <c r="N112" s="207"/>
      <c r="P112" s="176" t="str">
        <f>IFERROR(VLOOKUP(O112,Cadastros!A:B,2),"")</f>
        <v/>
      </c>
      <c r="Q112" s="177" t="str">
        <f t="shared" si="6"/>
        <v/>
      </c>
      <c r="R112" s="177" t="str">
        <f>IFERROR(VLOOKUP(O112,Cadastros!A:E,5,0),"")</f>
        <v/>
      </c>
      <c r="S112" s="177" t="str">
        <f>IFERROR(VLOOKUP(O112,Cadastros!A:F,6,0),"")</f>
        <v/>
      </c>
      <c r="T112" s="177" t="str">
        <f>IFERROR(VLOOKUP(O112,Cadastros!A:I,9,0),"")</f>
        <v/>
      </c>
      <c r="U112" s="177" t="str">
        <f t="shared" si="7"/>
        <v/>
      </c>
      <c r="V112" s="177" t="str">
        <f t="shared" si="8"/>
        <v/>
      </c>
      <c r="W112" s="177" t="str">
        <f t="shared" si="9"/>
        <v/>
      </c>
      <c r="Y112" s="240" t="e">
        <f t="array" ref="Y112">INDEX(Tabela.abordagens[],SMALL(IF(Tabela.abordagens[Mês]=$L$2,ROW(Tabela.abordagens[id])-2),ROW(A65)),1)</f>
        <v>#NUM!</v>
      </c>
      <c r="Z112" s="240" t="e">
        <f t="array" ref="Z112">INDEX(Tabela.abordagens[],SMALL(IF(Tabela.abordagens[Mês]=$L$2,ROW(Tabela.abordagens[Idade])-2),ROW(A65)),6)</f>
        <v>#NUM!</v>
      </c>
      <c r="AA112" s="240" t="e">
        <f t="array" ref="AA112">INDEX(Tabela.abordagens[],SMALL(IF(Tabela.abordagens[Mês]=$L$2,ROW(Tabela.abordagens[Idade])-2),ROW(A65)),4)</f>
        <v>#NUM!</v>
      </c>
      <c r="AB112" s="240" t="e">
        <f t="array" ref="AB112">INDEX(Tabela.abordagens[],SMALL(IF(Tabela.abordagens[Mês]=$L$2,ROW(Tabela.abordagens[Idade])-2),ROW(A65)),5)</f>
        <v>#NUM!</v>
      </c>
      <c r="AC112" s="207"/>
      <c r="AD112" s="207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</row>
    <row r="113" spans="2:47" ht="15" x14ac:dyDescent="0.25">
      <c r="B113" s="223" t="e">
        <f t="array" ref="B113">INDEX(Tabela.frequencia[],SMALL(IF(Tabela.frequencia[Mês]=$L$2,ROW(Tabela.frequencia[id])-1),ROW(A66)),1)</f>
        <v>#NUM!</v>
      </c>
      <c r="C113" s="229" t="e">
        <f t="array" ref="C113">INDEX(Tabela.frequencia[],SMALL(IF(Tabela.frequencia[Mês]=$L$2,ROW(Tabela.frequencia[id])-1),ROW(A66)),4)</f>
        <v>#NUM!</v>
      </c>
      <c r="D113" s="228"/>
      <c r="E113" s="176" t="str">
        <f>IFERROR(VLOOKUP(D113,Tabela.cadastro[[ID]:[Nome]],2,0),"")</f>
        <v/>
      </c>
      <c r="F113" s="177" t="str">
        <f>IFERROR(VLOOKUP(D113,Tabela66[#All],2,0),"")</f>
        <v/>
      </c>
      <c r="G113" s="177" t="str">
        <f>IFERROR(VLOOKUP(D113,Tabela.cadastro[[ID]:[CP ou M]],5,0),"")</f>
        <v/>
      </c>
      <c r="H113" s="177" t="str">
        <f>IFERROR(VLOOKUP(D113,Cadastros!A:F,6,0),"")</f>
        <v/>
      </c>
      <c r="I113" s="177" t="str">
        <f>IFERROR(VLOOKUP(D113,Cadastros!A:I,9,0),"")</f>
        <v/>
      </c>
      <c r="J113" s="177" t="str">
        <f>IFERROR(VLOOKUP(D113,Cadastros!A:J,10,0),"")</f>
        <v/>
      </c>
      <c r="K113" s="177" t="str">
        <f>IF(COUNTIF(Tabela66[id],D113)=0,"",COUNTIF(Tabela66[id],D113))</f>
        <v/>
      </c>
      <c r="L113" s="198"/>
      <c r="M113" s="227" t="str">
        <f t="shared" si="10"/>
        <v/>
      </c>
      <c r="N113" s="207"/>
      <c r="P113" s="176" t="str">
        <f>IFERROR(VLOOKUP(O113,Cadastros!A:B,2),"")</f>
        <v/>
      </c>
      <c r="Q113" s="177" t="str">
        <f t="shared" si="6"/>
        <v/>
      </c>
      <c r="R113" s="177" t="str">
        <f>IFERROR(VLOOKUP(O113,Cadastros!A:E,5,0),"")</f>
        <v/>
      </c>
      <c r="S113" s="177" t="str">
        <f>IFERROR(VLOOKUP(O113,Cadastros!A:F,6,0),"")</f>
        <v/>
      </c>
      <c r="T113" s="177" t="str">
        <f>IFERROR(VLOOKUP(O113,Cadastros!A:I,9,0),"")</f>
        <v/>
      </c>
      <c r="U113" s="177" t="str">
        <f t="shared" si="7"/>
        <v/>
      </c>
      <c r="V113" s="177" t="str">
        <f t="shared" si="8"/>
        <v/>
      </c>
      <c r="W113" s="177" t="str">
        <f t="shared" si="9"/>
        <v/>
      </c>
      <c r="Y113" s="240" t="e">
        <f t="array" ref="Y113">INDEX(Tabela.abordagens[],SMALL(IF(Tabela.abordagens[Mês]=$L$2,ROW(Tabela.abordagens[id])-2),ROW(A66)),1)</f>
        <v>#NUM!</v>
      </c>
      <c r="Z113" s="240" t="e">
        <f t="array" ref="Z113">INDEX(Tabela.abordagens[],SMALL(IF(Tabela.abordagens[Mês]=$L$2,ROW(Tabela.abordagens[Idade])-2),ROW(A66)),6)</f>
        <v>#NUM!</v>
      </c>
      <c r="AA113" s="240" t="e">
        <f t="array" ref="AA113">INDEX(Tabela.abordagens[],SMALL(IF(Tabela.abordagens[Mês]=$L$2,ROW(Tabela.abordagens[Idade])-2),ROW(A66)),4)</f>
        <v>#NUM!</v>
      </c>
      <c r="AB113" s="240" t="e">
        <f t="array" ref="AB113">INDEX(Tabela.abordagens[],SMALL(IF(Tabela.abordagens[Mês]=$L$2,ROW(Tabela.abordagens[Idade])-2),ROW(A66)),5)</f>
        <v>#NUM!</v>
      </c>
      <c r="AC113" s="207"/>
      <c r="AD113" s="207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</row>
    <row r="114" spans="2:47" ht="15" x14ac:dyDescent="0.25">
      <c r="B114" s="223" t="e">
        <f t="array" ref="B114">INDEX(Tabela.frequencia[],SMALL(IF(Tabela.frequencia[Mês]=$L$2,ROW(Tabela.frequencia[id])-1),ROW(A67)),1)</f>
        <v>#NUM!</v>
      </c>
      <c r="C114" s="229" t="e">
        <f t="array" ref="C114">INDEX(Tabela.frequencia[],SMALL(IF(Tabela.frequencia[Mês]=$L$2,ROW(Tabela.frequencia[id])-1),ROW(A67)),4)</f>
        <v>#NUM!</v>
      </c>
      <c r="D114" s="228"/>
      <c r="E114" s="176" t="str">
        <f>IFERROR(VLOOKUP(D114,Tabela.cadastro[[ID]:[Nome]],2,0),"")</f>
        <v/>
      </c>
      <c r="F114" s="177" t="str">
        <f>IFERROR(VLOOKUP(D114,Tabela66[#All],2,0),"")</f>
        <v/>
      </c>
      <c r="G114" s="177" t="str">
        <f>IFERROR(VLOOKUP(D114,Tabela.cadastro[[ID]:[CP ou M]],5,0),"")</f>
        <v/>
      </c>
      <c r="H114" s="177" t="str">
        <f>IFERROR(VLOOKUP(D114,Cadastros!A:F,6,0),"")</f>
        <v/>
      </c>
      <c r="I114" s="177" t="str">
        <f>IFERROR(VLOOKUP(D114,Cadastros!A:I,9,0),"")</f>
        <v/>
      </c>
      <c r="J114" s="177" t="str">
        <f>IFERROR(VLOOKUP(D114,Cadastros!A:J,10,0),"")</f>
        <v/>
      </c>
      <c r="K114" s="177" t="str">
        <f>IF(COUNTIF(Tabela66[id],D114)=0,"",COUNTIF(Tabela66[id],D114))</f>
        <v/>
      </c>
      <c r="L114" s="198"/>
      <c r="M114" s="227" t="str">
        <f t="shared" si="10"/>
        <v/>
      </c>
      <c r="N114" s="207"/>
      <c r="P114" s="176" t="str">
        <f>IFERROR(VLOOKUP(O114,Cadastros!A:B,2),"")</f>
        <v/>
      </c>
      <c r="Q114" s="177" t="str">
        <f t="shared" si="6"/>
        <v/>
      </c>
      <c r="R114" s="177" t="str">
        <f>IFERROR(VLOOKUP(O114,Cadastros!A:E,5,0),"")</f>
        <v/>
      </c>
      <c r="S114" s="177" t="str">
        <f>IFERROR(VLOOKUP(O114,Cadastros!A:F,6,0),"")</f>
        <v/>
      </c>
      <c r="T114" s="177" t="str">
        <f>IFERROR(VLOOKUP(O114,Cadastros!A:I,9,0),"")</f>
        <v/>
      </c>
      <c r="U114" s="177" t="str">
        <f t="shared" si="7"/>
        <v/>
      </c>
      <c r="V114" s="177" t="str">
        <f t="shared" si="8"/>
        <v/>
      </c>
      <c r="W114" s="177" t="str">
        <f t="shared" si="9"/>
        <v/>
      </c>
      <c r="Y114" s="240" t="e">
        <f t="array" ref="Y114">INDEX(Tabela.abordagens[],SMALL(IF(Tabela.abordagens[Mês]=$L$2,ROW(Tabela.abordagens[id])-2),ROW(A67)),1)</f>
        <v>#NUM!</v>
      </c>
      <c r="Z114" s="240" t="e">
        <f t="array" ref="Z114">INDEX(Tabela.abordagens[],SMALL(IF(Tabela.abordagens[Mês]=$L$2,ROW(Tabela.abordagens[Idade])-2),ROW(A67)),6)</f>
        <v>#NUM!</v>
      </c>
      <c r="AA114" s="240" t="e">
        <f t="array" ref="AA114">INDEX(Tabela.abordagens[],SMALL(IF(Tabela.abordagens[Mês]=$L$2,ROW(Tabela.abordagens[Idade])-2),ROW(A67)),4)</f>
        <v>#NUM!</v>
      </c>
      <c r="AB114" s="240" t="e">
        <f t="array" ref="AB114">INDEX(Tabela.abordagens[],SMALL(IF(Tabela.abordagens[Mês]=$L$2,ROW(Tabela.abordagens[Idade])-2),ROW(A67)),5)</f>
        <v>#NUM!</v>
      </c>
      <c r="AC114" s="207"/>
      <c r="AD114" s="207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</row>
    <row r="115" spans="2:47" ht="15" x14ac:dyDescent="0.25">
      <c r="B115" s="223" t="e">
        <f t="array" ref="B115">INDEX(Tabela.frequencia[],SMALL(IF(Tabela.frequencia[Mês]=$L$2,ROW(Tabela.frequencia[id])-1),ROW(A68)),1)</f>
        <v>#NUM!</v>
      </c>
      <c r="C115" s="229" t="e">
        <f t="array" ref="C115">INDEX(Tabela.frequencia[],SMALL(IF(Tabela.frequencia[Mês]=$L$2,ROW(Tabela.frequencia[id])-1),ROW(A68)),4)</f>
        <v>#NUM!</v>
      </c>
      <c r="D115" s="228"/>
      <c r="E115" s="176" t="str">
        <f>IFERROR(VLOOKUP(D115,Tabela.cadastro[[ID]:[Nome]],2,0),"")</f>
        <v/>
      </c>
      <c r="F115" s="177" t="str">
        <f>IFERROR(VLOOKUP(D115,Tabela66[#All],2,0),"")</f>
        <v/>
      </c>
      <c r="G115" s="177" t="str">
        <f>IFERROR(VLOOKUP(D115,Tabela.cadastro[[ID]:[CP ou M]],5,0),"")</f>
        <v/>
      </c>
      <c r="H115" s="177" t="str">
        <f>IFERROR(VLOOKUP(D115,Cadastros!A:F,6,0),"")</f>
        <v/>
      </c>
      <c r="I115" s="177" t="str">
        <f>IFERROR(VLOOKUP(D115,Cadastros!A:I,9,0),"")</f>
        <v/>
      </c>
      <c r="J115" s="177" t="str">
        <f>IFERROR(VLOOKUP(D115,Cadastros!A:J,10,0),"")</f>
        <v/>
      </c>
      <c r="K115" s="177" t="str">
        <f>IF(COUNTIF(Tabela66[id],D115)=0,"",COUNTIF(Tabela66[id],D115))</f>
        <v/>
      </c>
      <c r="L115" s="198"/>
      <c r="M115" s="227" t="str">
        <f t="shared" si="10"/>
        <v/>
      </c>
      <c r="N115" s="207"/>
      <c r="P115" s="176" t="str">
        <f>IFERROR(VLOOKUP(O115,Cadastros!A:B,2),"")</f>
        <v/>
      </c>
      <c r="Q115" s="177" t="str">
        <f t="shared" si="6"/>
        <v/>
      </c>
      <c r="R115" s="177" t="str">
        <f>IFERROR(VLOOKUP(O115,Cadastros!A:E,5,0),"")</f>
        <v/>
      </c>
      <c r="S115" s="177" t="str">
        <f>IFERROR(VLOOKUP(O115,Cadastros!A:F,6,0),"")</f>
        <v/>
      </c>
      <c r="T115" s="177" t="str">
        <f>IFERROR(VLOOKUP(O115,Cadastros!A:I,9,0),"")</f>
        <v/>
      </c>
      <c r="U115" s="177" t="str">
        <f t="shared" si="7"/>
        <v/>
      </c>
      <c r="V115" s="177" t="str">
        <f t="shared" si="8"/>
        <v/>
      </c>
      <c r="W115" s="177" t="str">
        <f t="shared" si="9"/>
        <v/>
      </c>
      <c r="Y115" s="240" t="e">
        <f t="array" ref="Y115">INDEX(Tabela.abordagens[],SMALL(IF(Tabela.abordagens[Mês]=$L$2,ROW(Tabela.abordagens[id])-2),ROW(A68)),1)</f>
        <v>#NUM!</v>
      </c>
      <c r="Z115" s="240" t="e">
        <f t="array" ref="Z115">INDEX(Tabela.abordagens[],SMALL(IF(Tabela.abordagens[Mês]=$L$2,ROW(Tabela.abordagens[Idade])-2),ROW(A68)),6)</f>
        <v>#NUM!</v>
      </c>
      <c r="AA115" s="240" t="e">
        <f t="array" ref="AA115">INDEX(Tabela.abordagens[],SMALL(IF(Tabela.abordagens[Mês]=$L$2,ROW(Tabela.abordagens[Idade])-2),ROW(A68)),4)</f>
        <v>#NUM!</v>
      </c>
      <c r="AB115" s="240" t="e">
        <f t="array" ref="AB115">INDEX(Tabela.abordagens[],SMALL(IF(Tabela.abordagens[Mês]=$L$2,ROW(Tabela.abordagens[Idade])-2),ROW(A68)),5)</f>
        <v>#NUM!</v>
      </c>
      <c r="AC115" s="207"/>
      <c r="AD115" s="207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</row>
    <row r="116" spans="2:47" ht="15" x14ac:dyDescent="0.25">
      <c r="B116" s="223" t="e">
        <f t="array" ref="B116">INDEX(Tabela.frequencia[],SMALL(IF(Tabela.frequencia[Mês]=$L$2,ROW(Tabela.frequencia[id])-1),ROW(A69)),1)</f>
        <v>#NUM!</v>
      </c>
      <c r="C116" s="229" t="e">
        <f t="array" ref="C116">INDEX(Tabela.frequencia[],SMALL(IF(Tabela.frequencia[Mês]=$L$2,ROW(Tabela.frequencia[id])-1),ROW(A69)),4)</f>
        <v>#NUM!</v>
      </c>
      <c r="D116" s="228"/>
      <c r="E116" s="176" t="str">
        <f>IFERROR(VLOOKUP(D116,Tabela.cadastro[[ID]:[Nome]],2,0),"")</f>
        <v/>
      </c>
      <c r="F116" s="177" t="str">
        <f>IFERROR(VLOOKUP(D116,Tabela66[#All],2,0),"")</f>
        <v/>
      </c>
      <c r="G116" s="177" t="str">
        <f>IFERROR(VLOOKUP(D116,Tabela.cadastro[[ID]:[CP ou M]],5,0),"")</f>
        <v/>
      </c>
      <c r="H116" s="177" t="str">
        <f>IFERROR(VLOOKUP(D116,Cadastros!A:F,6,0),"")</f>
        <v/>
      </c>
      <c r="I116" s="177" t="str">
        <f>IFERROR(VLOOKUP(D116,Cadastros!A:I,9,0),"")</f>
        <v/>
      </c>
      <c r="J116" s="177" t="str">
        <f>IFERROR(VLOOKUP(D116,Cadastros!A:J,10,0),"")</f>
        <v/>
      </c>
      <c r="K116" s="177" t="str">
        <f>IF(COUNTIF(Tabela66[id],D116)=0,"",COUNTIF(Tabela66[id],D116))</f>
        <v/>
      </c>
      <c r="L116" s="198"/>
      <c r="M116" s="227" t="str">
        <f t="shared" si="10"/>
        <v/>
      </c>
      <c r="N116" s="207"/>
      <c r="P116" s="176" t="str">
        <f>IFERROR(VLOOKUP(O116,Cadastros!A:B,2),"")</f>
        <v/>
      </c>
      <c r="Q116" s="177" t="str">
        <f t="shared" si="6"/>
        <v/>
      </c>
      <c r="R116" s="177" t="str">
        <f>IFERROR(VLOOKUP(O116,Cadastros!A:E,5,0),"")</f>
        <v/>
      </c>
      <c r="S116" s="177" t="str">
        <f>IFERROR(VLOOKUP(O116,Cadastros!A:F,6,0),"")</f>
        <v/>
      </c>
      <c r="T116" s="177" t="str">
        <f>IFERROR(VLOOKUP(O116,Cadastros!A:I,9,0),"")</f>
        <v/>
      </c>
      <c r="U116" s="177" t="str">
        <f t="shared" si="7"/>
        <v/>
      </c>
      <c r="V116" s="177" t="str">
        <f t="shared" si="8"/>
        <v/>
      </c>
      <c r="W116" s="177" t="str">
        <f t="shared" si="9"/>
        <v/>
      </c>
      <c r="Y116" s="240" t="e">
        <f t="array" ref="Y116">INDEX(Tabela.abordagens[],SMALL(IF(Tabela.abordagens[Mês]=$L$2,ROW(Tabela.abordagens[id])-2),ROW(A69)),1)</f>
        <v>#NUM!</v>
      </c>
      <c r="Z116" s="240" t="e">
        <f t="array" ref="Z116">INDEX(Tabela.abordagens[],SMALL(IF(Tabela.abordagens[Mês]=$L$2,ROW(Tabela.abordagens[Idade])-2),ROW(A69)),6)</f>
        <v>#NUM!</v>
      </c>
      <c r="AA116" s="240" t="e">
        <f t="array" ref="AA116">INDEX(Tabela.abordagens[],SMALL(IF(Tabela.abordagens[Mês]=$L$2,ROW(Tabela.abordagens[Idade])-2),ROW(A69)),4)</f>
        <v>#NUM!</v>
      </c>
      <c r="AB116" s="240" t="e">
        <f t="array" ref="AB116">INDEX(Tabela.abordagens[],SMALL(IF(Tabela.abordagens[Mês]=$L$2,ROW(Tabela.abordagens[Idade])-2),ROW(A69)),5)</f>
        <v>#NUM!</v>
      </c>
      <c r="AC116" s="207"/>
      <c r="AD116" s="207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</row>
    <row r="117" spans="2:47" ht="15" x14ac:dyDescent="0.25">
      <c r="B117" s="223" t="e">
        <f t="array" ref="B117">INDEX(Tabela.frequencia[],SMALL(IF(Tabela.frequencia[Mês]=$L$2,ROW(Tabela.frequencia[id])-1),ROW(A70)),1)</f>
        <v>#NUM!</v>
      </c>
      <c r="C117" s="229" t="e">
        <f t="array" ref="C117">INDEX(Tabela.frequencia[],SMALL(IF(Tabela.frequencia[Mês]=$L$2,ROW(Tabela.frequencia[id])-1),ROW(A70)),4)</f>
        <v>#NUM!</v>
      </c>
      <c r="D117" s="228"/>
      <c r="E117" s="176" t="str">
        <f>IFERROR(VLOOKUP(D117,Tabela.cadastro[[ID]:[Nome]],2,0),"")</f>
        <v/>
      </c>
      <c r="F117" s="177" t="str">
        <f>IFERROR(VLOOKUP(D117,Tabela66[#All],2,0),"")</f>
        <v/>
      </c>
      <c r="G117" s="177" t="str">
        <f>IFERROR(VLOOKUP(D117,Tabela.cadastro[[ID]:[CP ou M]],5,0),"")</f>
        <v/>
      </c>
      <c r="H117" s="177" t="str">
        <f>IFERROR(VLOOKUP(D117,Cadastros!A:F,6,0),"")</f>
        <v/>
      </c>
      <c r="I117" s="177" t="str">
        <f>IFERROR(VLOOKUP(D117,Cadastros!A:I,9,0),"")</f>
        <v/>
      </c>
      <c r="J117" s="177" t="str">
        <f>IFERROR(VLOOKUP(D117,Cadastros!A:J,10,0),"")</f>
        <v/>
      </c>
      <c r="K117" s="177" t="str">
        <f>IF(COUNTIF(Tabela66[id],D117)=0,"",COUNTIF(Tabela66[id],D117))</f>
        <v/>
      </c>
      <c r="L117" s="198"/>
      <c r="M117" s="227" t="str">
        <f t="shared" si="10"/>
        <v/>
      </c>
      <c r="N117" s="207"/>
      <c r="P117" s="176" t="str">
        <f>IFERROR(VLOOKUP(O117,Cadastros!A:B,2),"")</f>
        <v/>
      </c>
      <c r="Q117" s="177" t="str">
        <f t="shared" si="6"/>
        <v/>
      </c>
      <c r="R117" s="177" t="str">
        <f>IFERROR(VLOOKUP(O117,Cadastros!A:E,5,0),"")</f>
        <v/>
      </c>
      <c r="S117" s="177" t="str">
        <f>IFERROR(VLOOKUP(O117,Cadastros!A:F,6,0),"")</f>
        <v/>
      </c>
      <c r="T117" s="177" t="str">
        <f>IFERROR(VLOOKUP(O117,Cadastros!A:I,9,0),"")</f>
        <v/>
      </c>
      <c r="U117" s="177" t="str">
        <f t="shared" si="7"/>
        <v/>
      </c>
      <c r="V117" s="177" t="str">
        <f t="shared" si="8"/>
        <v/>
      </c>
      <c r="W117" s="177" t="str">
        <f t="shared" si="9"/>
        <v/>
      </c>
      <c r="Y117" s="240" t="e">
        <f t="array" ref="Y117">INDEX(Tabela.abordagens[],SMALL(IF(Tabela.abordagens[Mês]=$L$2,ROW(Tabela.abordagens[id])-2),ROW(A70)),1)</f>
        <v>#NUM!</v>
      </c>
      <c r="Z117" s="240" t="e">
        <f t="array" ref="Z117">INDEX(Tabela.abordagens[],SMALL(IF(Tabela.abordagens[Mês]=$L$2,ROW(Tabela.abordagens[Idade])-2),ROW(A70)),6)</f>
        <v>#NUM!</v>
      </c>
      <c r="AA117" s="240" t="e">
        <f t="array" ref="AA117">INDEX(Tabela.abordagens[],SMALL(IF(Tabela.abordagens[Mês]=$L$2,ROW(Tabela.abordagens[Idade])-2),ROW(A70)),4)</f>
        <v>#NUM!</v>
      </c>
      <c r="AB117" s="240" t="e">
        <f t="array" ref="AB117">INDEX(Tabela.abordagens[],SMALL(IF(Tabela.abordagens[Mês]=$L$2,ROW(Tabela.abordagens[Idade])-2),ROW(A70)),5)</f>
        <v>#NUM!</v>
      </c>
      <c r="AC117" s="207"/>
      <c r="AD117" s="207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</row>
    <row r="118" spans="2:47" ht="15" x14ac:dyDescent="0.25">
      <c r="B118" s="223" t="e">
        <f t="array" ref="B118">INDEX(Tabela.frequencia[],SMALL(IF(Tabela.frequencia[Mês]=$L$2,ROW(Tabela.frequencia[id])-1),ROW(A71)),1)</f>
        <v>#NUM!</v>
      </c>
      <c r="C118" s="229" t="e">
        <f t="array" ref="C118">INDEX(Tabela.frequencia[],SMALL(IF(Tabela.frequencia[Mês]=$L$2,ROW(Tabela.frequencia[id])-1),ROW(A71)),4)</f>
        <v>#NUM!</v>
      </c>
      <c r="D118" s="228"/>
      <c r="E118" s="176" t="str">
        <f>IFERROR(VLOOKUP(D118,Tabela.cadastro[[ID]:[Nome]],2,0),"")</f>
        <v/>
      </c>
      <c r="F118" s="177" t="str">
        <f>IFERROR(VLOOKUP(D118,Tabela66[#All],2,0),"")</f>
        <v/>
      </c>
      <c r="G118" s="177" t="str">
        <f>IFERROR(VLOOKUP(D118,Tabela.cadastro[[ID]:[CP ou M]],5,0),"")</f>
        <v/>
      </c>
      <c r="H118" s="177" t="str">
        <f>IFERROR(VLOOKUP(D118,Cadastros!A:F,6,0),"")</f>
        <v/>
      </c>
      <c r="I118" s="177" t="str">
        <f>IFERROR(VLOOKUP(D118,Cadastros!A:I,9,0),"")</f>
        <v/>
      </c>
      <c r="J118" s="177" t="str">
        <f>IFERROR(VLOOKUP(D118,Cadastros!A:J,10,0),"")</f>
        <v/>
      </c>
      <c r="K118" s="177" t="str">
        <f>IF(COUNTIF(Tabela66[id],D118)=0,"",COUNTIF(Tabela66[id],D118))</f>
        <v/>
      </c>
      <c r="L118" s="198"/>
      <c r="M118" s="227" t="str">
        <f t="shared" si="10"/>
        <v/>
      </c>
      <c r="N118" s="207"/>
      <c r="P118" s="176" t="str">
        <f>IFERROR(VLOOKUP(O118,Cadastros!A:B,2),"")</f>
        <v/>
      </c>
      <c r="Q118" s="177" t="str">
        <f t="shared" si="6"/>
        <v/>
      </c>
      <c r="R118" s="177" t="str">
        <f>IFERROR(VLOOKUP(O118,Cadastros!A:E,5,0),"")</f>
        <v/>
      </c>
      <c r="S118" s="177" t="str">
        <f>IFERROR(VLOOKUP(O118,Cadastros!A:F,6,0),"")</f>
        <v/>
      </c>
      <c r="T118" s="177" t="str">
        <f>IFERROR(VLOOKUP(O118,Cadastros!A:I,9,0),"")</f>
        <v/>
      </c>
      <c r="U118" s="177" t="str">
        <f t="shared" si="7"/>
        <v/>
      </c>
      <c r="V118" s="177" t="str">
        <f t="shared" si="8"/>
        <v/>
      </c>
      <c r="W118" s="177" t="str">
        <f t="shared" si="9"/>
        <v/>
      </c>
      <c r="Y118" s="240" t="e">
        <f t="array" ref="Y118">INDEX(Tabela.abordagens[],SMALL(IF(Tabela.abordagens[Mês]=$L$2,ROW(Tabela.abordagens[id])-2),ROW(A71)),1)</f>
        <v>#NUM!</v>
      </c>
      <c r="Z118" s="240" t="e">
        <f t="array" ref="Z118">INDEX(Tabela.abordagens[],SMALL(IF(Tabela.abordagens[Mês]=$L$2,ROW(Tabela.abordagens[Idade])-2),ROW(A71)),6)</f>
        <v>#NUM!</v>
      </c>
      <c r="AA118" s="240" t="e">
        <f t="array" ref="AA118">INDEX(Tabela.abordagens[],SMALL(IF(Tabela.abordagens[Mês]=$L$2,ROW(Tabela.abordagens[Idade])-2),ROW(A71)),4)</f>
        <v>#NUM!</v>
      </c>
      <c r="AB118" s="240" t="e">
        <f t="array" ref="AB118">INDEX(Tabela.abordagens[],SMALL(IF(Tabela.abordagens[Mês]=$L$2,ROW(Tabela.abordagens[Idade])-2),ROW(A71)),5)</f>
        <v>#NUM!</v>
      </c>
      <c r="AC118" s="207"/>
      <c r="AD118" s="207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</row>
    <row r="119" spans="2:47" ht="15" x14ac:dyDescent="0.25">
      <c r="B119" s="223" t="e">
        <f t="array" ref="B119">INDEX(Tabela.frequencia[],SMALL(IF(Tabela.frequencia[Mês]=$L$2,ROW(Tabela.frequencia[id])-1),ROW(A72)),1)</f>
        <v>#NUM!</v>
      </c>
      <c r="C119" s="229" t="e">
        <f t="array" ref="C119">INDEX(Tabela.frequencia[],SMALL(IF(Tabela.frequencia[Mês]=$L$2,ROW(Tabela.frequencia[id])-1),ROW(A72)),4)</f>
        <v>#NUM!</v>
      </c>
      <c r="D119" s="228"/>
      <c r="E119" s="176" t="str">
        <f>IFERROR(VLOOKUP(D119,Tabela.cadastro[[ID]:[Nome]],2,0),"")</f>
        <v/>
      </c>
      <c r="F119" s="177" t="str">
        <f>IFERROR(VLOOKUP(D119,Tabela66[#All],2,0),"")</f>
        <v/>
      </c>
      <c r="G119" s="177" t="str">
        <f>IFERROR(VLOOKUP(D119,Tabela.cadastro[[ID]:[CP ou M]],5,0),"")</f>
        <v/>
      </c>
      <c r="H119" s="177" t="str">
        <f>IFERROR(VLOOKUP(D119,Cadastros!A:F,6,0),"")</f>
        <v/>
      </c>
      <c r="I119" s="177" t="str">
        <f>IFERROR(VLOOKUP(D119,Cadastros!A:I,9,0),"")</f>
        <v/>
      </c>
      <c r="J119" s="177" t="str">
        <f>IFERROR(VLOOKUP(D119,Cadastros!A:J,10,0),"")</f>
        <v/>
      </c>
      <c r="K119" s="177" t="str">
        <f>IF(COUNTIF(Tabela66[id],D119)=0,"",COUNTIF(Tabela66[id],D119))</f>
        <v/>
      </c>
      <c r="L119" s="198"/>
      <c r="M119" s="227" t="str">
        <f t="shared" si="10"/>
        <v/>
      </c>
      <c r="N119" s="207"/>
      <c r="P119" s="176" t="str">
        <f>IFERROR(VLOOKUP(O119,Cadastros!A:B,2),"")</f>
        <v/>
      </c>
      <c r="Q119" s="177" t="str">
        <f t="shared" si="6"/>
        <v/>
      </c>
      <c r="R119" s="177" t="str">
        <f>IFERROR(VLOOKUP(O119,Cadastros!A:E,5,0),"")</f>
        <v/>
      </c>
      <c r="S119" s="177" t="str">
        <f>IFERROR(VLOOKUP(O119,Cadastros!A:F,6,0),"")</f>
        <v/>
      </c>
      <c r="T119" s="177" t="str">
        <f>IFERROR(VLOOKUP(O119,Cadastros!A:I,9,0),"")</f>
        <v/>
      </c>
      <c r="U119" s="177" t="str">
        <f t="shared" si="7"/>
        <v/>
      </c>
      <c r="V119" s="177" t="str">
        <f t="shared" si="8"/>
        <v/>
      </c>
      <c r="W119" s="177" t="str">
        <f t="shared" si="9"/>
        <v/>
      </c>
      <c r="Y119" s="240" t="e">
        <f t="array" ref="Y119">INDEX(Tabela.abordagens[],SMALL(IF(Tabela.abordagens[Mês]=$L$2,ROW(Tabela.abordagens[id])-2),ROW(A72)),1)</f>
        <v>#NUM!</v>
      </c>
      <c r="Z119" s="240" t="e">
        <f t="array" ref="Z119">INDEX(Tabela.abordagens[],SMALL(IF(Tabela.abordagens[Mês]=$L$2,ROW(Tabela.abordagens[Idade])-2),ROW(A72)),6)</f>
        <v>#NUM!</v>
      </c>
      <c r="AA119" s="240" t="e">
        <f t="array" ref="AA119">INDEX(Tabela.abordagens[],SMALL(IF(Tabela.abordagens[Mês]=$L$2,ROW(Tabela.abordagens[Idade])-2),ROW(A72)),4)</f>
        <v>#NUM!</v>
      </c>
      <c r="AB119" s="240" t="e">
        <f t="array" ref="AB119">INDEX(Tabela.abordagens[],SMALL(IF(Tabela.abordagens[Mês]=$L$2,ROW(Tabela.abordagens[Idade])-2),ROW(A72)),5)</f>
        <v>#NUM!</v>
      </c>
      <c r="AC119" s="207"/>
      <c r="AD119" s="207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</row>
    <row r="120" spans="2:47" ht="15" x14ac:dyDescent="0.25">
      <c r="B120" s="223" t="e">
        <f t="array" ref="B120">INDEX(Tabela.frequencia[],SMALL(IF(Tabela.frequencia[Mês]=$L$2,ROW(Tabela.frequencia[id])-1),ROW(A73)),1)</f>
        <v>#NUM!</v>
      </c>
      <c r="C120" s="229" t="e">
        <f t="array" ref="C120">INDEX(Tabela.frequencia[],SMALL(IF(Tabela.frequencia[Mês]=$L$2,ROW(Tabela.frequencia[id])-1),ROW(A73)),4)</f>
        <v>#NUM!</v>
      </c>
      <c r="D120" s="228"/>
      <c r="E120" s="176" t="str">
        <f>IFERROR(VLOOKUP(D120,Tabela.cadastro[[ID]:[Nome]],2,0),"")</f>
        <v/>
      </c>
      <c r="F120" s="177" t="str">
        <f>IFERROR(VLOOKUP(D120,Tabela66[#All],2,0),"")</f>
        <v/>
      </c>
      <c r="G120" s="177" t="str">
        <f>IFERROR(VLOOKUP(D120,Tabela.cadastro[[ID]:[CP ou M]],5,0),"")</f>
        <v/>
      </c>
      <c r="H120" s="177" t="str">
        <f>IFERROR(VLOOKUP(D120,Cadastros!A:F,6,0),"")</f>
        <v/>
      </c>
      <c r="I120" s="177" t="str">
        <f>IFERROR(VLOOKUP(D120,Cadastros!A:I,9,0),"")</f>
        <v/>
      </c>
      <c r="J120" s="177" t="str">
        <f>IFERROR(VLOOKUP(D120,Cadastros!A:J,10,0),"")</f>
        <v/>
      </c>
      <c r="K120" s="177" t="str">
        <f>IF(COUNTIF(Tabela66[id],D120)=0,"",COUNTIF(Tabela66[id],D120))</f>
        <v/>
      </c>
      <c r="L120" s="198"/>
      <c r="M120" s="227" t="str">
        <f t="shared" si="10"/>
        <v/>
      </c>
      <c r="N120" s="207"/>
      <c r="P120" s="176" t="str">
        <f>IFERROR(VLOOKUP(O120,Cadastros!A:B,2),"")</f>
        <v/>
      </c>
      <c r="Q120" s="177" t="str">
        <f t="shared" si="6"/>
        <v/>
      </c>
      <c r="R120" s="177" t="str">
        <f>IFERROR(VLOOKUP(O120,Cadastros!A:E,5,0),"")</f>
        <v/>
      </c>
      <c r="S120" s="177" t="str">
        <f>IFERROR(VLOOKUP(O120,Cadastros!A:F,6,0),"")</f>
        <v/>
      </c>
      <c r="T120" s="177" t="str">
        <f>IFERROR(VLOOKUP(O120,Cadastros!A:I,9,0),"")</f>
        <v/>
      </c>
      <c r="U120" s="177" t="str">
        <f t="shared" si="7"/>
        <v/>
      </c>
      <c r="V120" s="177" t="str">
        <f t="shared" si="8"/>
        <v/>
      </c>
      <c r="W120" s="177" t="str">
        <f t="shared" si="9"/>
        <v/>
      </c>
      <c r="Y120" s="240" t="e">
        <f t="array" ref="Y120">INDEX(Tabela.abordagens[],SMALL(IF(Tabela.abordagens[Mês]=$L$2,ROW(Tabela.abordagens[id])-2),ROW(A73)),1)</f>
        <v>#NUM!</v>
      </c>
      <c r="Z120" s="240" t="e">
        <f t="array" ref="Z120">INDEX(Tabela.abordagens[],SMALL(IF(Tabela.abordagens[Mês]=$L$2,ROW(Tabela.abordagens[Idade])-2),ROW(A73)),6)</f>
        <v>#NUM!</v>
      </c>
      <c r="AA120" s="240" t="e">
        <f t="array" ref="AA120">INDEX(Tabela.abordagens[],SMALL(IF(Tabela.abordagens[Mês]=$L$2,ROW(Tabela.abordagens[Idade])-2),ROW(A73)),4)</f>
        <v>#NUM!</v>
      </c>
      <c r="AB120" s="240" t="e">
        <f t="array" ref="AB120">INDEX(Tabela.abordagens[],SMALL(IF(Tabela.abordagens[Mês]=$L$2,ROW(Tabela.abordagens[Idade])-2),ROW(A73)),5)</f>
        <v>#NUM!</v>
      </c>
      <c r="AC120" s="207"/>
      <c r="AD120" s="207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</row>
    <row r="121" spans="2:47" ht="15" x14ac:dyDescent="0.25">
      <c r="B121" s="223" t="e">
        <f t="array" ref="B121">INDEX(Tabela.frequencia[],SMALL(IF(Tabela.frequencia[Mês]=$L$2,ROW(Tabela.frequencia[id])-1),ROW(A74)),1)</f>
        <v>#NUM!</v>
      </c>
      <c r="C121" s="229" t="e">
        <f t="array" ref="C121">INDEX(Tabela.frequencia[],SMALL(IF(Tabela.frequencia[Mês]=$L$2,ROW(Tabela.frequencia[id])-1),ROW(A74)),4)</f>
        <v>#NUM!</v>
      </c>
      <c r="D121" s="228"/>
      <c r="E121" s="176" t="str">
        <f>IFERROR(VLOOKUP(D121,Tabela.cadastro[[ID]:[Nome]],2,0),"")</f>
        <v/>
      </c>
      <c r="F121" s="177" t="str">
        <f>IFERROR(VLOOKUP(D121,Tabela66[#All],2,0),"")</f>
        <v/>
      </c>
      <c r="G121" s="177" t="str">
        <f>IFERROR(VLOOKUP(D121,Tabela.cadastro[[ID]:[CP ou M]],5,0),"")</f>
        <v/>
      </c>
      <c r="H121" s="177" t="str">
        <f>IFERROR(VLOOKUP(D121,Cadastros!A:F,6,0),"")</f>
        <v/>
      </c>
      <c r="I121" s="177" t="str">
        <f>IFERROR(VLOOKUP(D121,Cadastros!A:I,9,0),"")</f>
        <v/>
      </c>
      <c r="J121" s="177" t="str">
        <f>IFERROR(VLOOKUP(D121,Cadastros!A:J,10,0),"")</f>
        <v/>
      </c>
      <c r="K121" s="177" t="str">
        <f>IF(COUNTIF(Tabela66[id],D121)=0,"",COUNTIF(Tabela66[id],D121))</f>
        <v/>
      </c>
      <c r="L121" s="198"/>
      <c r="M121" s="227" t="str">
        <f t="shared" si="10"/>
        <v/>
      </c>
      <c r="N121" s="207"/>
      <c r="P121" s="176" t="str">
        <f>IFERROR(VLOOKUP(O121,Cadastros!A:B,2),"")</f>
        <v/>
      </c>
      <c r="Q121" s="177" t="str">
        <f t="shared" si="6"/>
        <v/>
      </c>
      <c r="R121" s="177" t="str">
        <f>IFERROR(VLOOKUP(O121,Cadastros!A:E,5,0),"")</f>
        <v/>
      </c>
      <c r="S121" s="177" t="str">
        <f>IFERROR(VLOOKUP(O121,Cadastros!A:F,6,0),"")</f>
        <v/>
      </c>
      <c r="T121" s="177" t="str">
        <f>IFERROR(VLOOKUP(O121,Cadastros!A:I,9,0),"")</f>
        <v/>
      </c>
      <c r="U121" s="177" t="str">
        <f t="shared" si="7"/>
        <v/>
      </c>
      <c r="V121" s="177" t="str">
        <f t="shared" si="8"/>
        <v/>
      </c>
      <c r="W121" s="177" t="str">
        <f t="shared" si="9"/>
        <v/>
      </c>
      <c r="Y121" s="240" t="e">
        <f t="array" ref="Y121">INDEX(Tabela.abordagens[],SMALL(IF(Tabela.abordagens[Mês]=$L$2,ROW(Tabela.abordagens[id])-2),ROW(A74)),1)</f>
        <v>#NUM!</v>
      </c>
      <c r="Z121" s="240" t="e">
        <f t="array" ref="Z121">INDEX(Tabela.abordagens[],SMALL(IF(Tabela.abordagens[Mês]=$L$2,ROW(Tabela.abordagens[Idade])-2),ROW(A74)),6)</f>
        <v>#NUM!</v>
      </c>
      <c r="AA121" s="240" t="e">
        <f t="array" ref="AA121">INDEX(Tabela.abordagens[],SMALL(IF(Tabela.abordagens[Mês]=$L$2,ROW(Tabela.abordagens[Idade])-2),ROW(A74)),4)</f>
        <v>#NUM!</v>
      </c>
      <c r="AB121" s="240" t="e">
        <f t="array" ref="AB121">INDEX(Tabela.abordagens[],SMALL(IF(Tabela.abordagens[Mês]=$L$2,ROW(Tabela.abordagens[Idade])-2),ROW(A74)),5)</f>
        <v>#NUM!</v>
      </c>
      <c r="AC121" s="207"/>
      <c r="AD121" s="207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</row>
    <row r="122" spans="2:47" ht="15" x14ac:dyDescent="0.25">
      <c r="B122" s="223" t="e">
        <f t="array" ref="B122">INDEX(Tabela.frequencia[],SMALL(IF(Tabela.frequencia[Mês]=$L$2,ROW(Tabela.frequencia[id])-1),ROW(A75)),1)</f>
        <v>#NUM!</v>
      </c>
      <c r="C122" s="229" t="e">
        <f t="array" ref="C122">INDEX(Tabela.frequencia[],SMALL(IF(Tabela.frequencia[Mês]=$L$2,ROW(Tabela.frequencia[id])-1),ROW(A75)),4)</f>
        <v>#NUM!</v>
      </c>
      <c r="D122" s="228"/>
      <c r="E122" s="176" t="str">
        <f>IFERROR(VLOOKUP(D122,Tabela.cadastro[[ID]:[Nome]],2,0),"")</f>
        <v/>
      </c>
      <c r="F122" s="177" t="str">
        <f>IFERROR(VLOOKUP(D122,Tabela66[#All],2,0),"")</f>
        <v/>
      </c>
      <c r="G122" s="177" t="str">
        <f>IFERROR(VLOOKUP(D122,Tabela.cadastro[[ID]:[CP ou M]],5,0),"")</f>
        <v/>
      </c>
      <c r="H122" s="177" t="str">
        <f>IFERROR(VLOOKUP(D122,Cadastros!A:F,6,0),"")</f>
        <v/>
      </c>
      <c r="I122" s="177" t="str">
        <f>IFERROR(VLOOKUP(D122,Cadastros!A:I,9,0),"")</f>
        <v/>
      </c>
      <c r="J122" s="177" t="str">
        <f>IFERROR(VLOOKUP(D122,Cadastros!A:J,10,0),"")</f>
        <v/>
      </c>
      <c r="K122" s="177" t="str">
        <f>IF(COUNTIF(Tabela66[id],D122)=0,"",COUNTIF(Tabela66[id],D122))</f>
        <v/>
      </c>
      <c r="L122" s="198"/>
      <c r="M122" s="227" t="str">
        <f t="shared" si="10"/>
        <v/>
      </c>
      <c r="N122" s="207"/>
      <c r="P122" s="176" t="str">
        <f>IFERROR(VLOOKUP(O122,Cadastros!A:B,2),"")</f>
        <v/>
      </c>
      <c r="Q122" s="177" t="str">
        <f t="shared" si="6"/>
        <v/>
      </c>
      <c r="R122" s="177" t="str">
        <f>IFERROR(VLOOKUP(O122,Cadastros!A:E,5,0),"")</f>
        <v/>
      </c>
      <c r="S122" s="177" t="str">
        <f>IFERROR(VLOOKUP(O122,Cadastros!A:F,6,0),"")</f>
        <v/>
      </c>
      <c r="T122" s="177" t="str">
        <f>IFERROR(VLOOKUP(O122,Cadastros!A:I,9,0),"")</f>
        <v/>
      </c>
      <c r="U122" s="177" t="str">
        <f t="shared" si="7"/>
        <v/>
      </c>
      <c r="V122" s="177" t="str">
        <f t="shared" si="8"/>
        <v/>
      </c>
      <c r="W122" s="177" t="str">
        <f t="shared" si="9"/>
        <v/>
      </c>
      <c r="Y122" s="240" t="e">
        <f t="array" ref="Y122">INDEX(Tabela.abordagens[],SMALL(IF(Tabela.abordagens[Mês]=$L$2,ROW(Tabela.abordagens[id])-2),ROW(A75)),1)</f>
        <v>#NUM!</v>
      </c>
      <c r="Z122" s="240" t="e">
        <f t="array" ref="Z122">INDEX(Tabela.abordagens[],SMALL(IF(Tabela.abordagens[Mês]=$L$2,ROW(Tabela.abordagens[Idade])-2),ROW(A75)),6)</f>
        <v>#NUM!</v>
      </c>
      <c r="AA122" s="240" t="e">
        <f t="array" ref="AA122">INDEX(Tabela.abordagens[],SMALL(IF(Tabela.abordagens[Mês]=$L$2,ROW(Tabela.abordagens[Idade])-2),ROW(A75)),4)</f>
        <v>#NUM!</v>
      </c>
      <c r="AB122" s="240" t="e">
        <f t="array" ref="AB122">INDEX(Tabela.abordagens[],SMALL(IF(Tabela.abordagens[Mês]=$L$2,ROW(Tabela.abordagens[Idade])-2),ROW(A75)),5)</f>
        <v>#NUM!</v>
      </c>
      <c r="AC122" s="207"/>
      <c r="AD122" s="207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</row>
    <row r="123" spans="2:47" ht="15" x14ac:dyDescent="0.25">
      <c r="B123" s="223" t="e">
        <f t="array" ref="B123">INDEX(Tabela.frequencia[],SMALL(IF(Tabela.frequencia[Mês]=$L$2,ROW(Tabela.frequencia[id])-1),ROW(A76)),1)</f>
        <v>#NUM!</v>
      </c>
      <c r="C123" s="229" t="e">
        <f t="array" ref="C123">INDEX(Tabela.frequencia[],SMALL(IF(Tabela.frequencia[Mês]=$L$2,ROW(Tabela.frequencia[id])-1),ROW(A76)),4)</f>
        <v>#NUM!</v>
      </c>
      <c r="D123" s="228"/>
      <c r="E123" s="176" t="str">
        <f>IFERROR(VLOOKUP(D123,Tabela.cadastro[[ID]:[Nome]],2,0),"")</f>
        <v/>
      </c>
      <c r="F123" s="177" t="str">
        <f>IFERROR(VLOOKUP(D123,Tabela66[#All],2,0),"")</f>
        <v/>
      </c>
      <c r="G123" s="177" t="str">
        <f>IFERROR(VLOOKUP(D123,Tabela.cadastro[[ID]:[CP ou M]],5,0),"")</f>
        <v/>
      </c>
      <c r="H123" s="177" t="str">
        <f>IFERROR(VLOOKUP(D123,Cadastros!A:F,6,0),"")</f>
        <v/>
      </c>
      <c r="I123" s="177" t="str">
        <f>IFERROR(VLOOKUP(D123,Cadastros!A:I,9,0),"")</f>
        <v/>
      </c>
      <c r="J123" s="177" t="str">
        <f>IFERROR(VLOOKUP(D123,Cadastros!A:J,10,0),"")</f>
        <v/>
      </c>
      <c r="K123" s="177" t="str">
        <f>IF(COUNTIF(Tabela66[id],D123)=0,"",COUNTIF(Tabela66[id],D123))</f>
        <v/>
      </c>
      <c r="L123" s="198"/>
      <c r="M123" s="227" t="str">
        <f t="shared" si="10"/>
        <v/>
      </c>
      <c r="N123" s="207"/>
      <c r="P123" s="176" t="str">
        <f>IFERROR(VLOOKUP(O123,Cadastros!A:B,2),"")</f>
        <v/>
      </c>
      <c r="Q123" s="177" t="str">
        <f t="shared" si="6"/>
        <v/>
      </c>
      <c r="R123" s="177" t="str">
        <f>IFERROR(VLOOKUP(O123,Cadastros!A:E,5,0),"")</f>
        <v/>
      </c>
      <c r="S123" s="177" t="str">
        <f>IFERROR(VLOOKUP(O123,Cadastros!A:F,6,0),"")</f>
        <v/>
      </c>
      <c r="T123" s="177" t="str">
        <f>IFERROR(VLOOKUP(O123,Cadastros!A:I,9,0),"")</f>
        <v/>
      </c>
      <c r="U123" s="177" t="str">
        <f t="shared" si="7"/>
        <v/>
      </c>
      <c r="V123" s="177" t="str">
        <f t="shared" si="8"/>
        <v/>
      </c>
      <c r="W123" s="177" t="str">
        <f t="shared" si="9"/>
        <v/>
      </c>
      <c r="Y123" s="240" t="e">
        <f t="array" ref="Y123">INDEX(Tabela.abordagens[],SMALL(IF(Tabela.abordagens[Mês]=$L$2,ROW(Tabela.abordagens[id])-2),ROW(A76)),1)</f>
        <v>#NUM!</v>
      </c>
      <c r="Z123" s="240" t="e">
        <f t="array" ref="Z123">INDEX(Tabela.abordagens[],SMALL(IF(Tabela.abordagens[Mês]=$L$2,ROW(Tabela.abordagens[Idade])-2),ROW(A76)),6)</f>
        <v>#NUM!</v>
      </c>
      <c r="AA123" s="240" t="e">
        <f t="array" ref="AA123">INDEX(Tabela.abordagens[],SMALL(IF(Tabela.abordagens[Mês]=$L$2,ROW(Tabela.abordagens[Idade])-2),ROW(A76)),4)</f>
        <v>#NUM!</v>
      </c>
      <c r="AB123" s="240" t="e">
        <f t="array" ref="AB123">INDEX(Tabela.abordagens[],SMALL(IF(Tabela.abordagens[Mês]=$L$2,ROW(Tabela.abordagens[Idade])-2),ROW(A76)),5)</f>
        <v>#NUM!</v>
      </c>
      <c r="AC123" s="207"/>
      <c r="AD123" s="207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</row>
    <row r="124" spans="2:47" ht="15" x14ac:dyDescent="0.25">
      <c r="B124" s="223" t="e">
        <f t="array" ref="B124">INDEX(Tabela.frequencia[],SMALL(IF(Tabela.frequencia[Mês]=$L$2,ROW(Tabela.frequencia[id])-1),ROW(A77)),1)</f>
        <v>#NUM!</v>
      </c>
      <c r="C124" s="229" t="e">
        <f t="array" ref="C124">INDEX(Tabela.frequencia[],SMALL(IF(Tabela.frequencia[Mês]=$L$2,ROW(Tabela.frequencia[id])-1),ROW(A77)),4)</f>
        <v>#NUM!</v>
      </c>
      <c r="D124" s="228"/>
      <c r="E124" s="176" t="str">
        <f>IFERROR(VLOOKUP(D124,Tabela.cadastro[[ID]:[Nome]],2,0),"")</f>
        <v/>
      </c>
      <c r="F124" s="177" t="str">
        <f>IFERROR(VLOOKUP(D124,Tabela66[#All],2,0),"")</f>
        <v/>
      </c>
      <c r="G124" s="177" t="str">
        <f>IFERROR(VLOOKUP(D124,Tabela.cadastro[[ID]:[CP ou M]],5,0),"")</f>
        <v/>
      </c>
      <c r="H124" s="177" t="str">
        <f>IFERROR(VLOOKUP(D124,Cadastros!A:F,6,0),"")</f>
        <v/>
      </c>
      <c r="I124" s="177" t="str">
        <f>IFERROR(VLOOKUP(D124,Cadastros!A:I,9,0),"")</f>
        <v/>
      </c>
      <c r="J124" s="177" t="str">
        <f>IFERROR(VLOOKUP(D124,Cadastros!A:J,10,0),"")</f>
        <v/>
      </c>
      <c r="K124" s="177" t="str">
        <f>IF(COUNTIF(Tabela66[id],D124)=0,"",COUNTIF(Tabela66[id],D124))</f>
        <v/>
      </c>
      <c r="L124" s="198"/>
      <c r="M124" s="227" t="str">
        <f t="shared" si="10"/>
        <v/>
      </c>
      <c r="N124" s="207"/>
      <c r="P124" s="176" t="str">
        <f>IFERROR(VLOOKUP(O124,Cadastros!A:B,2),"")</f>
        <v/>
      </c>
      <c r="Q124" s="177" t="str">
        <f t="shared" si="6"/>
        <v/>
      </c>
      <c r="R124" s="177" t="str">
        <f>IFERROR(VLOOKUP(O124,Cadastros!A:E,5,0),"")</f>
        <v/>
      </c>
      <c r="S124" s="177" t="str">
        <f>IFERROR(VLOOKUP(O124,Cadastros!A:F,6,0),"")</f>
        <v/>
      </c>
      <c r="T124" s="177" t="str">
        <f>IFERROR(VLOOKUP(O124,Cadastros!A:I,9,0),"")</f>
        <v/>
      </c>
      <c r="U124" s="177" t="str">
        <f t="shared" si="7"/>
        <v/>
      </c>
      <c r="V124" s="177" t="str">
        <f t="shared" si="8"/>
        <v/>
      </c>
      <c r="W124" s="177" t="str">
        <f t="shared" si="9"/>
        <v/>
      </c>
      <c r="Y124" s="240" t="e">
        <f t="array" ref="Y124">INDEX(Tabela.abordagens[],SMALL(IF(Tabela.abordagens[Mês]=$L$2,ROW(Tabela.abordagens[id])-2),ROW(A77)),1)</f>
        <v>#NUM!</v>
      </c>
      <c r="Z124" s="240" t="e">
        <f t="array" ref="Z124">INDEX(Tabela.abordagens[],SMALL(IF(Tabela.abordagens[Mês]=$L$2,ROW(Tabela.abordagens[Idade])-2),ROW(A77)),6)</f>
        <v>#NUM!</v>
      </c>
      <c r="AA124" s="240" t="e">
        <f t="array" ref="AA124">INDEX(Tabela.abordagens[],SMALL(IF(Tabela.abordagens[Mês]=$L$2,ROW(Tabela.abordagens[Idade])-2),ROW(A77)),4)</f>
        <v>#NUM!</v>
      </c>
      <c r="AB124" s="240" t="e">
        <f t="array" ref="AB124">INDEX(Tabela.abordagens[],SMALL(IF(Tabela.abordagens[Mês]=$L$2,ROW(Tabela.abordagens[Idade])-2),ROW(A77)),5)</f>
        <v>#NUM!</v>
      </c>
      <c r="AC124" s="207"/>
      <c r="AD124" s="207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</row>
    <row r="125" spans="2:47" ht="15" x14ac:dyDescent="0.25">
      <c r="B125" s="223" t="e">
        <f t="array" ref="B125">INDEX(Tabela.frequencia[],SMALL(IF(Tabela.frequencia[Mês]=$L$2,ROW(Tabela.frequencia[id])-1),ROW(A78)),1)</f>
        <v>#NUM!</v>
      </c>
      <c r="C125" s="229" t="e">
        <f t="array" ref="C125">INDEX(Tabela.frequencia[],SMALL(IF(Tabela.frequencia[Mês]=$L$2,ROW(Tabela.frequencia[id])-1),ROW(A78)),4)</f>
        <v>#NUM!</v>
      </c>
      <c r="D125" s="228"/>
      <c r="E125" s="176" t="str">
        <f>IFERROR(VLOOKUP(D125,Tabela.cadastro[[ID]:[Nome]],2,0),"")</f>
        <v/>
      </c>
      <c r="F125" s="177" t="str">
        <f>IFERROR(VLOOKUP(D125,Tabela66[#All],2,0),"")</f>
        <v/>
      </c>
      <c r="G125" s="177" t="str">
        <f>IFERROR(VLOOKUP(D125,Tabela.cadastro[[ID]:[CP ou M]],5,0),"")</f>
        <v/>
      </c>
      <c r="H125" s="177" t="str">
        <f>IFERROR(VLOOKUP(D125,Cadastros!A:F,6,0),"")</f>
        <v/>
      </c>
      <c r="I125" s="177" t="str">
        <f>IFERROR(VLOOKUP(D125,Cadastros!A:I,9,0),"")</f>
        <v/>
      </c>
      <c r="J125" s="177" t="str">
        <f>IFERROR(VLOOKUP(D125,Cadastros!A:J,10,0),"")</f>
        <v/>
      </c>
      <c r="K125" s="177" t="str">
        <f>IF(COUNTIF(Tabela66[id],D125)=0,"",COUNTIF(Tabela66[id],D125))</f>
        <v/>
      </c>
      <c r="L125" s="198"/>
      <c r="M125" s="227" t="str">
        <f t="shared" si="10"/>
        <v/>
      </c>
      <c r="N125" s="207"/>
      <c r="P125" s="176" t="str">
        <f>IFERROR(VLOOKUP(O125,Cadastros!A:B,2),"")</f>
        <v/>
      </c>
      <c r="Q125" s="177" t="str">
        <f t="shared" si="6"/>
        <v/>
      </c>
      <c r="R125" s="177" t="str">
        <f>IFERROR(VLOOKUP(O125,Cadastros!A:E,5,0),"")</f>
        <v/>
      </c>
      <c r="S125" s="177" t="str">
        <f>IFERROR(VLOOKUP(O125,Cadastros!A:F,6,0),"")</f>
        <v/>
      </c>
      <c r="T125" s="177" t="str">
        <f>IFERROR(VLOOKUP(O125,Cadastros!A:I,9,0),"")</f>
        <v/>
      </c>
      <c r="U125" s="177" t="str">
        <f t="shared" si="7"/>
        <v/>
      </c>
      <c r="V125" s="177" t="str">
        <f t="shared" si="8"/>
        <v/>
      </c>
      <c r="W125" s="177" t="str">
        <f t="shared" si="9"/>
        <v/>
      </c>
      <c r="Y125" s="240" t="e">
        <f t="array" ref="Y125">INDEX(Tabela.abordagens[],SMALL(IF(Tabela.abordagens[Mês]=$L$2,ROW(Tabela.abordagens[id])-2),ROW(A78)),1)</f>
        <v>#NUM!</v>
      </c>
      <c r="Z125" s="240" t="e">
        <f t="array" ref="Z125">INDEX(Tabela.abordagens[],SMALL(IF(Tabela.abordagens[Mês]=$L$2,ROW(Tabela.abordagens[Idade])-2),ROW(A78)),6)</f>
        <v>#NUM!</v>
      </c>
      <c r="AA125" s="240" t="e">
        <f t="array" ref="AA125">INDEX(Tabela.abordagens[],SMALL(IF(Tabela.abordagens[Mês]=$L$2,ROW(Tabela.abordagens[Idade])-2),ROW(A78)),4)</f>
        <v>#NUM!</v>
      </c>
      <c r="AB125" s="240" t="e">
        <f t="array" ref="AB125">INDEX(Tabela.abordagens[],SMALL(IF(Tabela.abordagens[Mês]=$L$2,ROW(Tabela.abordagens[Idade])-2),ROW(A78)),5)</f>
        <v>#NUM!</v>
      </c>
      <c r="AC125" s="207"/>
      <c r="AD125" s="207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</row>
    <row r="126" spans="2:47" ht="15" x14ac:dyDescent="0.25">
      <c r="B126" s="223" t="e">
        <f t="array" ref="B126">INDEX(Tabela.frequencia[],SMALL(IF(Tabela.frequencia[Mês]=$L$2,ROW(Tabela.frequencia[id])-1),ROW(A79)),1)</f>
        <v>#NUM!</v>
      </c>
      <c r="C126" s="229" t="e">
        <f t="array" ref="C126">INDEX(Tabela.frequencia[],SMALL(IF(Tabela.frequencia[Mês]=$L$2,ROW(Tabela.frequencia[id])-1),ROW(A79)),4)</f>
        <v>#NUM!</v>
      </c>
      <c r="D126" s="228"/>
      <c r="E126" s="176" t="str">
        <f>IFERROR(VLOOKUP(D126,Tabela.cadastro[[ID]:[Nome]],2,0),"")</f>
        <v/>
      </c>
      <c r="F126" s="177" t="str">
        <f>IFERROR(VLOOKUP(D126,Tabela66[#All],2,0),"")</f>
        <v/>
      </c>
      <c r="G126" s="177" t="str">
        <f>IFERROR(VLOOKUP(D126,Tabela.cadastro[[ID]:[CP ou M]],5,0),"")</f>
        <v/>
      </c>
      <c r="H126" s="177" t="str">
        <f>IFERROR(VLOOKUP(D126,Cadastros!A:F,6,0),"")</f>
        <v/>
      </c>
      <c r="I126" s="177" t="str">
        <f>IFERROR(VLOOKUP(D126,Cadastros!A:I,9,0),"")</f>
        <v/>
      </c>
      <c r="J126" s="177" t="str">
        <f>IFERROR(VLOOKUP(D126,Cadastros!A:J,10,0),"")</f>
        <v/>
      </c>
      <c r="K126" s="177" t="str">
        <f>IF(COUNTIF(Tabela66[id],D126)=0,"",COUNTIF(Tabela66[id],D126))</f>
        <v/>
      </c>
      <c r="L126" s="198"/>
      <c r="M126" s="227" t="str">
        <f t="shared" si="10"/>
        <v/>
      </c>
      <c r="N126" s="207"/>
      <c r="P126" s="176" t="str">
        <f>IFERROR(VLOOKUP(O126,Cadastros!A:B,2),"")</f>
        <v/>
      </c>
      <c r="Q126" s="177" t="str">
        <f t="shared" si="6"/>
        <v/>
      </c>
      <c r="R126" s="177" t="str">
        <f>IFERROR(VLOOKUP(O126,Cadastros!A:E,5,0),"")</f>
        <v/>
      </c>
      <c r="S126" s="177" t="str">
        <f>IFERROR(VLOOKUP(O126,Cadastros!A:F,6,0),"")</f>
        <v/>
      </c>
      <c r="T126" s="177" t="str">
        <f>IFERROR(VLOOKUP(O126,Cadastros!A:I,9,0),"")</f>
        <v/>
      </c>
      <c r="U126" s="177" t="str">
        <f t="shared" si="7"/>
        <v/>
      </c>
      <c r="V126" s="177" t="str">
        <f t="shared" si="8"/>
        <v/>
      </c>
      <c r="W126" s="177" t="str">
        <f t="shared" si="9"/>
        <v/>
      </c>
      <c r="Y126" s="240" t="e">
        <f t="array" ref="Y126">INDEX(Tabela.abordagens[],SMALL(IF(Tabela.abordagens[Mês]=$L$2,ROW(Tabela.abordagens[id])-2),ROW(A79)),1)</f>
        <v>#NUM!</v>
      </c>
      <c r="Z126" s="240" t="e">
        <f t="array" ref="Z126">INDEX(Tabela.abordagens[],SMALL(IF(Tabela.abordagens[Mês]=$L$2,ROW(Tabela.abordagens[Idade])-2),ROW(A79)),6)</f>
        <v>#NUM!</v>
      </c>
      <c r="AA126" s="240" t="e">
        <f t="array" ref="AA126">INDEX(Tabela.abordagens[],SMALL(IF(Tabela.abordagens[Mês]=$L$2,ROW(Tabela.abordagens[Idade])-2),ROW(A79)),4)</f>
        <v>#NUM!</v>
      </c>
      <c r="AB126" s="240" t="e">
        <f t="array" ref="AB126">INDEX(Tabela.abordagens[],SMALL(IF(Tabela.abordagens[Mês]=$L$2,ROW(Tabela.abordagens[Idade])-2),ROW(A79)),5)</f>
        <v>#NUM!</v>
      </c>
      <c r="AC126" s="207"/>
      <c r="AD126" s="207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</row>
    <row r="127" spans="2:47" ht="15" x14ac:dyDescent="0.25">
      <c r="B127" s="223" t="e">
        <f t="array" ref="B127">INDEX(Tabela.frequencia[],SMALL(IF(Tabela.frequencia[Mês]=$L$2,ROW(Tabela.frequencia[id])-1),ROW(A80)),1)</f>
        <v>#NUM!</v>
      </c>
      <c r="C127" s="229" t="e">
        <f t="array" ref="C127">INDEX(Tabela.frequencia[],SMALL(IF(Tabela.frequencia[Mês]=$L$2,ROW(Tabela.frequencia[id])-1),ROW(A80)),4)</f>
        <v>#NUM!</v>
      </c>
      <c r="D127" s="228"/>
      <c r="E127" s="176" t="str">
        <f>IFERROR(VLOOKUP(D127,Tabela.cadastro[[ID]:[Nome]],2,0),"")</f>
        <v/>
      </c>
      <c r="F127" s="177" t="str">
        <f>IFERROR(VLOOKUP(D127,Tabela66[#All],2,0),"")</f>
        <v/>
      </c>
      <c r="G127" s="177" t="str">
        <f>IFERROR(VLOOKUP(D127,Tabela.cadastro[[ID]:[CP ou M]],5,0),"")</f>
        <v/>
      </c>
      <c r="H127" s="177" t="str">
        <f>IFERROR(VLOOKUP(D127,Cadastros!A:F,6,0),"")</f>
        <v/>
      </c>
      <c r="I127" s="177" t="str">
        <f>IFERROR(VLOOKUP(D127,Cadastros!A:I,9,0),"")</f>
        <v/>
      </c>
      <c r="J127" s="177" t="str">
        <f>IFERROR(VLOOKUP(D127,Cadastros!A:J,10,0),"")</f>
        <v/>
      </c>
      <c r="K127" s="177" t="str">
        <f>IF(COUNTIF(Tabela66[id],D127)=0,"",COUNTIF(Tabela66[id],D127))</f>
        <v/>
      </c>
      <c r="L127" s="198"/>
      <c r="M127" s="227" t="str">
        <f t="shared" si="10"/>
        <v/>
      </c>
      <c r="N127" s="207"/>
      <c r="P127" s="176" t="str">
        <f>IFERROR(VLOOKUP(O127,Cadastros!A:B,2),"")</f>
        <v/>
      </c>
      <c r="Q127" s="177" t="str">
        <f t="shared" si="6"/>
        <v/>
      </c>
      <c r="R127" s="177" t="str">
        <f>IFERROR(VLOOKUP(O127,Cadastros!A:E,5,0),"")</f>
        <v/>
      </c>
      <c r="S127" s="177" t="str">
        <f>IFERROR(VLOOKUP(O127,Cadastros!A:F,6,0),"")</f>
        <v/>
      </c>
      <c r="T127" s="177" t="str">
        <f>IFERROR(VLOOKUP(O127,Cadastros!A:I,9,0),"")</f>
        <v/>
      </c>
      <c r="U127" s="177" t="str">
        <f t="shared" si="7"/>
        <v/>
      </c>
      <c r="V127" s="177" t="str">
        <f t="shared" si="8"/>
        <v/>
      </c>
      <c r="W127" s="177" t="str">
        <f t="shared" si="9"/>
        <v/>
      </c>
      <c r="Y127" s="240" t="e">
        <f t="array" ref="Y127">INDEX(Tabela.abordagens[],SMALL(IF(Tabela.abordagens[Mês]=$L$2,ROW(Tabela.abordagens[id])-2),ROW(A80)),1)</f>
        <v>#NUM!</v>
      </c>
      <c r="Z127" s="240" t="e">
        <f t="array" ref="Z127">INDEX(Tabela.abordagens[],SMALL(IF(Tabela.abordagens[Mês]=$L$2,ROW(Tabela.abordagens[Idade])-2),ROW(A80)),6)</f>
        <v>#NUM!</v>
      </c>
      <c r="AA127" s="240" t="e">
        <f t="array" ref="AA127">INDEX(Tabela.abordagens[],SMALL(IF(Tabela.abordagens[Mês]=$L$2,ROW(Tabela.abordagens[Idade])-2),ROW(A80)),4)</f>
        <v>#NUM!</v>
      </c>
      <c r="AB127" s="240" t="e">
        <f t="array" ref="AB127">INDEX(Tabela.abordagens[],SMALL(IF(Tabela.abordagens[Mês]=$L$2,ROW(Tabela.abordagens[Idade])-2),ROW(A80)),5)</f>
        <v>#NUM!</v>
      </c>
      <c r="AC127" s="207"/>
      <c r="AD127" s="207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</row>
    <row r="128" spans="2:47" ht="15" x14ac:dyDescent="0.25">
      <c r="B128" s="223" t="e">
        <f t="array" ref="B128">INDEX(Tabela.frequencia[],SMALL(IF(Tabela.frequencia[Mês]=$L$2,ROW(Tabela.frequencia[id])-1),ROW(A81)),1)</f>
        <v>#NUM!</v>
      </c>
      <c r="C128" s="229" t="e">
        <f t="array" ref="C128">INDEX(Tabela.frequencia[],SMALL(IF(Tabela.frequencia[Mês]=$L$2,ROW(Tabela.frequencia[id])-1),ROW(A81)),4)</f>
        <v>#NUM!</v>
      </c>
      <c r="D128" s="228"/>
      <c r="E128" s="176" t="str">
        <f>IFERROR(VLOOKUP(D128,Tabela.cadastro[[ID]:[Nome]],2,0),"")</f>
        <v/>
      </c>
      <c r="F128" s="177" t="str">
        <f>IFERROR(VLOOKUP(D128,Tabela66[#All],2,0),"")</f>
        <v/>
      </c>
      <c r="G128" s="177" t="str">
        <f>IFERROR(VLOOKUP(D128,Tabela.cadastro[[ID]:[CP ou M]],5,0),"")</f>
        <v/>
      </c>
      <c r="H128" s="177" t="str">
        <f>IFERROR(VLOOKUP(D128,Cadastros!A:F,6,0),"")</f>
        <v/>
      </c>
      <c r="I128" s="177" t="str">
        <f>IFERROR(VLOOKUP(D128,Cadastros!A:I,9,0),"")</f>
        <v/>
      </c>
      <c r="J128" s="177" t="str">
        <f>IFERROR(VLOOKUP(D128,Cadastros!A:J,10,0),"")</f>
        <v/>
      </c>
      <c r="K128" s="177" t="str">
        <f>IF(COUNTIF(Tabela66[id],D128)=0,"",COUNTIF(Tabela66[id],D128))</f>
        <v/>
      </c>
      <c r="L128" s="198"/>
      <c r="M128" s="227" t="str">
        <f t="shared" si="10"/>
        <v/>
      </c>
      <c r="N128" s="207"/>
      <c r="P128" s="176" t="str">
        <f>IFERROR(VLOOKUP(O128,Cadastros!A:B,2),"")</f>
        <v/>
      </c>
      <c r="Q128" s="177" t="str">
        <f t="shared" si="6"/>
        <v/>
      </c>
      <c r="R128" s="177" t="str">
        <f>IFERROR(VLOOKUP(O128,Cadastros!A:E,5,0),"")</f>
        <v/>
      </c>
      <c r="S128" s="177" t="str">
        <f>IFERROR(VLOOKUP(O128,Cadastros!A:F,6,0),"")</f>
        <v/>
      </c>
      <c r="T128" s="177" t="str">
        <f>IFERROR(VLOOKUP(O128,Cadastros!A:I,9,0),"")</f>
        <v/>
      </c>
      <c r="U128" s="177" t="str">
        <f t="shared" si="7"/>
        <v/>
      </c>
      <c r="V128" s="177" t="str">
        <f t="shared" si="8"/>
        <v/>
      </c>
      <c r="W128" s="177" t="str">
        <f t="shared" si="9"/>
        <v/>
      </c>
      <c r="Y128" s="240" t="e">
        <f t="array" ref="Y128">INDEX(Tabela.abordagens[],SMALL(IF(Tabela.abordagens[Mês]=$L$2,ROW(Tabela.abordagens[id])-2),ROW(A81)),1)</f>
        <v>#NUM!</v>
      </c>
      <c r="Z128" s="240" t="e">
        <f t="array" ref="Z128">INDEX(Tabela.abordagens[],SMALL(IF(Tabela.abordagens[Mês]=$L$2,ROW(Tabela.abordagens[Idade])-2),ROW(A81)),6)</f>
        <v>#NUM!</v>
      </c>
      <c r="AA128" s="240" t="e">
        <f t="array" ref="AA128">INDEX(Tabela.abordagens[],SMALL(IF(Tabela.abordagens[Mês]=$L$2,ROW(Tabela.abordagens[Idade])-2),ROW(A81)),4)</f>
        <v>#NUM!</v>
      </c>
      <c r="AB128" s="240" t="e">
        <f t="array" ref="AB128">INDEX(Tabela.abordagens[],SMALL(IF(Tabela.abordagens[Mês]=$L$2,ROW(Tabela.abordagens[Idade])-2),ROW(A81)),5)</f>
        <v>#NUM!</v>
      </c>
      <c r="AC128" s="207"/>
      <c r="AD128" s="207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</row>
    <row r="129" spans="2:47" ht="15" x14ac:dyDescent="0.25">
      <c r="B129" s="223" t="e">
        <f t="array" ref="B129">INDEX(Tabela.frequencia[],SMALL(IF(Tabela.frequencia[Mês]=$L$2,ROW(Tabela.frequencia[id])-1),ROW(A82)),1)</f>
        <v>#NUM!</v>
      </c>
      <c r="C129" s="229" t="e">
        <f t="array" ref="C129">INDEX(Tabela.frequencia[],SMALL(IF(Tabela.frequencia[Mês]=$L$2,ROW(Tabela.frequencia[id])-1),ROW(A82)),4)</f>
        <v>#NUM!</v>
      </c>
      <c r="D129" s="228"/>
      <c r="E129" s="176" t="str">
        <f>IFERROR(VLOOKUP(D129,Tabela.cadastro[[ID]:[Nome]],2,0),"")</f>
        <v/>
      </c>
      <c r="F129" s="177" t="str">
        <f>IFERROR(VLOOKUP(D129,Tabela66[#All],2,0),"")</f>
        <v/>
      </c>
      <c r="G129" s="177" t="str">
        <f>IFERROR(VLOOKUP(D129,Tabela.cadastro[[ID]:[CP ou M]],5,0),"")</f>
        <v/>
      </c>
      <c r="H129" s="177" t="str">
        <f>IFERROR(VLOOKUP(D129,Cadastros!A:F,6,0),"")</f>
        <v/>
      </c>
      <c r="I129" s="177" t="str">
        <f>IFERROR(VLOOKUP(D129,Cadastros!A:I,9,0),"")</f>
        <v/>
      </c>
      <c r="J129" s="177" t="str">
        <f>IFERROR(VLOOKUP(D129,Cadastros!A:J,10,0),"")</f>
        <v/>
      </c>
      <c r="K129" s="177" t="str">
        <f>IF(COUNTIF(Tabela66[id],D129)=0,"",COUNTIF(Tabela66[id],D129))</f>
        <v/>
      </c>
      <c r="L129" s="198"/>
      <c r="M129" s="227" t="str">
        <f t="shared" si="10"/>
        <v/>
      </c>
      <c r="N129" s="207"/>
      <c r="P129" s="176" t="str">
        <f>IFERROR(VLOOKUP(O129,Cadastros!A:B,2),"")</f>
        <v/>
      </c>
      <c r="Q129" s="177" t="str">
        <f t="shared" si="6"/>
        <v/>
      </c>
      <c r="R129" s="177" t="str">
        <f>IFERROR(VLOOKUP(O129,Cadastros!A:E,5,0),"")</f>
        <v/>
      </c>
      <c r="S129" s="177" t="str">
        <f>IFERROR(VLOOKUP(O129,Cadastros!A:F,6,0),"")</f>
        <v/>
      </c>
      <c r="T129" s="177" t="str">
        <f>IFERROR(VLOOKUP(O129,Cadastros!A:I,9,0),"")</f>
        <v/>
      </c>
      <c r="U129" s="177" t="str">
        <f t="shared" si="7"/>
        <v/>
      </c>
      <c r="V129" s="177" t="str">
        <f t="shared" si="8"/>
        <v/>
      </c>
      <c r="W129" s="177" t="str">
        <f t="shared" si="9"/>
        <v/>
      </c>
      <c r="Y129" s="240" t="e">
        <f t="array" ref="Y129">INDEX(Tabela.abordagens[],SMALL(IF(Tabela.abordagens[Mês]=$L$2,ROW(Tabela.abordagens[id])-2),ROW(A82)),1)</f>
        <v>#NUM!</v>
      </c>
      <c r="Z129" s="240" t="e">
        <f t="array" ref="Z129">INDEX(Tabela.abordagens[],SMALL(IF(Tabela.abordagens[Mês]=$L$2,ROW(Tabela.abordagens[Idade])-2),ROW(A82)),6)</f>
        <v>#NUM!</v>
      </c>
      <c r="AA129" s="240" t="e">
        <f t="array" ref="AA129">INDEX(Tabela.abordagens[],SMALL(IF(Tabela.abordagens[Mês]=$L$2,ROW(Tabela.abordagens[Idade])-2),ROW(A82)),4)</f>
        <v>#NUM!</v>
      </c>
      <c r="AB129" s="240" t="e">
        <f t="array" ref="AB129">INDEX(Tabela.abordagens[],SMALL(IF(Tabela.abordagens[Mês]=$L$2,ROW(Tabela.abordagens[Idade])-2),ROW(A82)),5)</f>
        <v>#NUM!</v>
      </c>
      <c r="AC129" s="207"/>
      <c r="AD129" s="207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</row>
    <row r="130" spans="2:47" ht="15" x14ac:dyDescent="0.25">
      <c r="B130" s="223" t="e">
        <f t="array" ref="B130">INDEX(Tabela.frequencia[],SMALL(IF(Tabela.frequencia[Mês]=$L$2,ROW(Tabela.frequencia[id])-1),ROW(A83)),1)</f>
        <v>#NUM!</v>
      </c>
      <c r="C130" s="229" t="e">
        <f t="array" ref="C130">INDEX(Tabela.frequencia[],SMALL(IF(Tabela.frequencia[Mês]=$L$2,ROW(Tabela.frequencia[id])-1),ROW(A83)),4)</f>
        <v>#NUM!</v>
      </c>
      <c r="D130" s="228"/>
      <c r="E130" s="176" t="str">
        <f>IFERROR(VLOOKUP(D130,Tabela.cadastro[[ID]:[Nome]],2,0),"")</f>
        <v/>
      </c>
      <c r="F130" s="177" t="str">
        <f>IFERROR(VLOOKUP(D130,Tabela66[#All],2,0),"")</f>
        <v/>
      </c>
      <c r="G130" s="177" t="str">
        <f>IFERROR(VLOOKUP(D130,Tabela.cadastro[[ID]:[CP ou M]],5,0),"")</f>
        <v/>
      </c>
      <c r="H130" s="177" t="str">
        <f>IFERROR(VLOOKUP(D130,Cadastros!A:F,6,0),"")</f>
        <v/>
      </c>
      <c r="I130" s="177" t="str">
        <f>IFERROR(VLOOKUP(D130,Cadastros!A:I,9,0),"")</f>
        <v/>
      </c>
      <c r="J130" s="177" t="str">
        <f>IFERROR(VLOOKUP(D130,Cadastros!A:J,10,0),"")</f>
        <v/>
      </c>
      <c r="K130" s="177" t="str">
        <f>IF(COUNTIF(Tabela66[id],D130)=0,"",COUNTIF(Tabela66[id],D130))</f>
        <v/>
      </c>
      <c r="L130" s="198"/>
      <c r="M130" s="227" t="str">
        <f t="shared" si="10"/>
        <v/>
      </c>
      <c r="N130" s="207"/>
      <c r="P130" s="176" t="str">
        <f>IFERROR(VLOOKUP(O130,Cadastros!A:B,2),"")</f>
        <v/>
      </c>
      <c r="Q130" s="177" t="str">
        <f t="shared" si="6"/>
        <v/>
      </c>
      <c r="R130" s="177" t="str">
        <f>IFERROR(VLOOKUP(O130,Cadastros!A:E,5,0),"")</f>
        <v/>
      </c>
      <c r="S130" s="177" t="str">
        <f>IFERROR(VLOOKUP(O130,Cadastros!A:F,6,0),"")</f>
        <v/>
      </c>
      <c r="T130" s="177" t="str">
        <f>IFERROR(VLOOKUP(O130,Cadastros!A:I,9,0),"")</f>
        <v/>
      </c>
      <c r="U130" s="177" t="str">
        <f t="shared" si="7"/>
        <v/>
      </c>
      <c r="V130" s="177" t="str">
        <f t="shared" si="8"/>
        <v/>
      </c>
      <c r="W130" s="177" t="str">
        <f t="shared" si="9"/>
        <v/>
      </c>
      <c r="Y130" s="240" t="e">
        <f t="array" ref="Y130">INDEX(Tabela.abordagens[],SMALL(IF(Tabela.abordagens[Mês]=$L$2,ROW(Tabela.abordagens[id])-2),ROW(A83)),1)</f>
        <v>#NUM!</v>
      </c>
      <c r="Z130" s="240" t="e">
        <f t="array" ref="Z130">INDEX(Tabela.abordagens[],SMALL(IF(Tabela.abordagens[Mês]=$L$2,ROW(Tabela.abordagens[Idade])-2),ROW(A83)),6)</f>
        <v>#NUM!</v>
      </c>
      <c r="AA130" s="240" t="e">
        <f t="array" ref="AA130">INDEX(Tabela.abordagens[],SMALL(IF(Tabela.abordagens[Mês]=$L$2,ROW(Tabela.abordagens[Idade])-2),ROW(A83)),4)</f>
        <v>#NUM!</v>
      </c>
      <c r="AB130" s="240" t="e">
        <f t="array" ref="AB130">INDEX(Tabela.abordagens[],SMALL(IF(Tabela.abordagens[Mês]=$L$2,ROW(Tabela.abordagens[Idade])-2),ROW(A83)),5)</f>
        <v>#NUM!</v>
      </c>
      <c r="AC130" s="207"/>
      <c r="AD130" s="207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</row>
    <row r="131" spans="2:47" ht="15" x14ac:dyDescent="0.25">
      <c r="B131" s="223" t="e">
        <f t="array" ref="B131">INDEX(Tabela.frequencia[],SMALL(IF(Tabela.frequencia[Mês]=$L$2,ROW(Tabela.frequencia[id])-1),ROW(A84)),1)</f>
        <v>#NUM!</v>
      </c>
      <c r="C131" s="229" t="e">
        <f t="array" ref="C131">INDEX(Tabela.frequencia[],SMALL(IF(Tabela.frequencia[Mês]=$L$2,ROW(Tabela.frequencia[id])-1),ROW(A84)),4)</f>
        <v>#NUM!</v>
      </c>
      <c r="D131" s="228"/>
      <c r="E131" s="176" t="str">
        <f>IFERROR(VLOOKUP(D131,Tabela.cadastro[[ID]:[Nome]],2,0),"")</f>
        <v/>
      </c>
      <c r="F131" s="177" t="str">
        <f>IFERROR(VLOOKUP(D131,Tabela66[#All],2,0),"")</f>
        <v/>
      </c>
      <c r="G131" s="177" t="str">
        <f>IFERROR(VLOOKUP(D131,Tabela.cadastro[[ID]:[CP ou M]],5,0),"")</f>
        <v/>
      </c>
      <c r="H131" s="177" t="str">
        <f>IFERROR(VLOOKUP(D131,Cadastros!A:F,6,0),"")</f>
        <v/>
      </c>
      <c r="I131" s="177" t="str">
        <f>IFERROR(VLOOKUP(D131,Cadastros!A:I,9,0),"")</f>
        <v/>
      </c>
      <c r="J131" s="177" t="str">
        <f>IFERROR(VLOOKUP(D131,Cadastros!A:J,10,0),"")</f>
        <v/>
      </c>
      <c r="K131" s="177" t="str">
        <f>IF(COUNTIF(Tabela66[id],D131)=0,"",COUNTIF(Tabela66[id],D131))</f>
        <v/>
      </c>
      <c r="L131" s="198"/>
      <c r="M131" s="227" t="str">
        <f t="shared" si="10"/>
        <v/>
      </c>
      <c r="N131" s="207"/>
      <c r="P131" s="176" t="str">
        <f>IFERROR(VLOOKUP(O131,Cadastros!A:B,2),"")</f>
        <v/>
      </c>
      <c r="Q131" s="177" t="str">
        <f t="shared" si="6"/>
        <v/>
      </c>
      <c r="R131" s="177" t="str">
        <f>IFERROR(VLOOKUP(O131,Cadastros!A:E,5,0),"")</f>
        <v/>
      </c>
      <c r="S131" s="177" t="str">
        <f>IFERROR(VLOOKUP(O131,Cadastros!A:F,6,0),"")</f>
        <v/>
      </c>
      <c r="T131" s="177" t="str">
        <f>IFERROR(VLOOKUP(O131,Cadastros!A:I,9,0),"")</f>
        <v/>
      </c>
      <c r="U131" s="177" t="str">
        <f t="shared" si="7"/>
        <v/>
      </c>
      <c r="V131" s="177" t="str">
        <f t="shared" si="8"/>
        <v/>
      </c>
      <c r="W131" s="177" t="str">
        <f t="shared" si="9"/>
        <v/>
      </c>
      <c r="Y131" s="240" t="e">
        <f t="array" ref="Y131">INDEX(Tabela.abordagens[],SMALL(IF(Tabela.abordagens[Mês]=$L$2,ROW(Tabela.abordagens[id])-2),ROW(A84)),1)</f>
        <v>#NUM!</v>
      </c>
      <c r="Z131" s="240" t="e">
        <f t="array" ref="Z131">INDEX(Tabela.abordagens[],SMALL(IF(Tabela.abordagens[Mês]=$L$2,ROW(Tabela.abordagens[Idade])-2),ROW(A84)),6)</f>
        <v>#NUM!</v>
      </c>
      <c r="AA131" s="240" t="e">
        <f t="array" ref="AA131">INDEX(Tabela.abordagens[],SMALL(IF(Tabela.abordagens[Mês]=$L$2,ROW(Tabela.abordagens[Idade])-2),ROW(A84)),4)</f>
        <v>#NUM!</v>
      </c>
      <c r="AB131" s="240" t="e">
        <f t="array" ref="AB131">INDEX(Tabela.abordagens[],SMALL(IF(Tabela.abordagens[Mês]=$L$2,ROW(Tabela.abordagens[Idade])-2),ROW(A84)),5)</f>
        <v>#NUM!</v>
      </c>
      <c r="AC131" s="207"/>
      <c r="AD131" s="207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</row>
    <row r="132" spans="2:47" ht="15" x14ac:dyDescent="0.25">
      <c r="B132" s="223" t="e">
        <f t="array" ref="B132">INDEX(Tabela.frequencia[],SMALL(IF(Tabela.frequencia[Mês]=$L$2,ROW(Tabela.frequencia[id])-1),ROW(A85)),1)</f>
        <v>#NUM!</v>
      </c>
      <c r="C132" s="229" t="e">
        <f t="array" ref="C132">INDEX(Tabela.frequencia[],SMALL(IF(Tabela.frequencia[Mês]=$L$2,ROW(Tabela.frequencia[id])-1),ROW(A85)),4)</f>
        <v>#NUM!</v>
      </c>
      <c r="D132" s="228"/>
      <c r="E132" s="176" t="str">
        <f>IFERROR(VLOOKUP(D132,Tabela.cadastro[[ID]:[Nome]],2,0),"")</f>
        <v/>
      </c>
      <c r="F132" s="177" t="str">
        <f>IFERROR(VLOOKUP(D132,Tabela66[#All],2,0),"")</f>
        <v/>
      </c>
      <c r="G132" s="177" t="str">
        <f>IFERROR(VLOOKUP(D132,Tabela.cadastro[[ID]:[CP ou M]],5,0),"")</f>
        <v/>
      </c>
      <c r="H132" s="177" t="str">
        <f>IFERROR(VLOOKUP(D132,Cadastros!A:F,6,0),"")</f>
        <v/>
      </c>
      <c r="I132" s="177" t="str">
        <f>IFERROR(VLOOKUP(D132,Cadastros!A:I,9,0),"")</f>
        <v/>
      </c>
      <c r="J132" s="177" t="str">
        <f>IFERROR(VLOOKUP(D132,Cadastros!A:J,10,0),"")</f>
        <v/>
      </c>
      <c r="K132" s="177" t="str">
        <f>IF(COUNTIF(Tabela66[id],D132)=0,"",COUNTIF(Tabela66[id],D132))</f>
        <v/>
      </c>
      <c r="L132" s="198"/>
      <c r="M132" s="227" t="str">
        <f t="shared" si="10"/>
        <v/>
      </c>
      <c r="N132" s="207"/>
      <c r="P132" s="176" t="str">
        <f>IFERROR(VLOOKUP(O132,Cadastros!A:B,2),"")</f>
        <v/>
      </c>
      <c r="Q132" s="177" t="str">
        <f t="shared" si="6"/>
        <v/>
      </c>
      <c r="R132" s="177" t="str">
        <f>IFERROR(VLOOKUP(O132,Cadastros!A:E,5,0),"")</f>
        <v/>
      </c>
      <c r="S132" s="177" t="str">
        <f>IFERROR(VLOOKUP(O132,Cadastros!A:F,6,0),"")</f>
        <v/>
      </c>
      <c r="T132" s="177" t="str">
        <f>IFERROR(VLOOKUP(O132,Cadastros!A:I,9,0),"")</f>
        <v/>
      </c>
      <c r="U132" s="177" t="str">
        <f t="shared" si="7"/>
        <v/>
      </c>
      <c r="V132" s="177" t="str">
        <f t="shared" si="8"/>
        <v/>
      </c>
      <c r="W132" s="177" t="str">
        <f t="shared" si="9"/>
        <v/>
      </c>
      <c r="Y132" s="240" t="e">
        <f t="array" ref="Y132">INDEX(Tabela.abordagens[],SMALL(IF(Tabela.abordagens[Mês]=$L$2,ROW(Tabela.abordagens[id])-2),ROW(A85)),1)</f>
        <v>#NUM!</v>
      </c>
      <c r="Z132" s="240" t="e">
        <f t="array" ref="Z132">INDEX(Tabela.abordagens[],SMALL(IF(Tabela.abordagens[Mês]=$L$2,ROW(Tabela.abordagens[Idade])-2),ROW(A85)),6)</f>
        <v>#NUM!</v>
      </c>
      <c r="AA132" s="240" t="e">
        <f t="array" ref="AA132">INDEX(Tabela.abordagens[],SMALL(IF(Tabela.abordagens[Mês]=$L$2,ROW(Tabela.abordagens[Idade])-2),ROW(A85)),4)</f>
        <v>#NUM!</v>
      </c>
      <c r="AB132" s="240" t="e">
        <f t="array" ref="AB132">INDEX(Tabela.abordagens[],SMALL(IF(Tabela.abordagens[Mês]=$L$2,ROW(Tabela.abordagens[Idade])-2),ROW(A85)),5)</f>
        <v>#NUM!</v>
      </c>
      <c r="AC132" s="207"/>
      <c r="AD132" s="207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</row>
    <row r="133" spans="2:47" ht="15" x14ac:dyDescent="0.25">
      <c r="B133" s="223" t="e">
        <f t="array" ref="B133">INDEX(Tabela.frequencia[],SMALL(IF(Tabela.frequencia[Mês]=$L$2,ROW(Tabela.frequencia[id])-1),ROW(A86)),1)</f>
        <v>#NUM!</v>
      </c>
      <c r="C133" s="229" t="e">
        <f t="array" ref="C133">INDEX(Tabela.frequencia[],SMALL(IF(Tabela.frequencia[Mês]=$L$2,ROW(Tabela.frequencia[id])-1),ROW(A86)),4)</f>
        <v>#NUM!</v>
      </c>
      <c r="D133" s="228"/>
      <c r="E133" s="176" t="str">
        <f>IFERROR(VLOOKUP(D133,Tabela.cadastro[[ID]:[Nome]],2,0),"")</f>
        <v/>
      </c>
      <c r="F133" s="177" t="str">
        <f>IFERROR(VLOOKUP(D133,Tabela66[#All],2,0),"")</f>
        <v/>
      </c>
      <c r="G133" s="177" t="str">
        <f>IFERROR(VLOOKUP(D133,Tabela.cadastro[[ID]:[CP ou M]],5,0),"")</f>
        <v/>
      </c>
      <c r="H133" s="177" t="str">
        <f>IFERROR(VLOOKUP(D133,Cadastros!A:F,6,0),"")</f>
        <v/>
      </c>
      <c r="I133" s="177" t="str">
        <f>IFERROR(VLOOKUP(D133,Cadastros!A:I,9,0),"")</f>
        <v/>
      </c>
      <c r="J133" s="177" t="str">
        <f>IFERROR(VLOOKUP(D133,Cadastros!A:J,10,0),"")</f>
        <v/>
      </c>
      <c r="K133" s="177" t="str">
        <f>IF(COUNTIF(Tabela66[id],D133)=0,"",COUNTIF(Tabela66[id],D133))</f>
        <v/>
      </c>
      <c r="L133" s="198"/>
      <c r="M133" s="227" t="str">
        <f t="shared" si="10"/>
        <v/>
      </c>
      <c r="N133" s="207"/>
      <c r="P133" s="176" t="str">
        <f>IFERROR(VLOOKUP(O133,Cadastros!A:B,2),"")</f>
        <v/>
      </c>
      <c r="Q133" s="177" t="str">
        <f t="shared" si="6"/>
        <v/>
      </c>
      <c r="R133" s="177" t="str">
        <f>IFERROR(VLOOKUP(O133,Cadastros!A:E,5,0),"")</f>
        <v/>
      </c>
      <c r="S133" s="177" t="str">
        <f>IFERROR(VLOOKUP(O133,Cadastros!A:F,6,0),"")</f>
        <v/>
      </c>
      <c r="T133" s="177" t="str">
        <f>IFERROR(VLOOKUP(O133,Cadastros!A:I,9,0),"")</f>
        <v/>
      </c>
      <c r="U133" s="177" t="str">
        <f t="shared" si="7"/>
        <v/>
      </c>
      <c r="V133" s="177" t="str">
        <f t="shared" si="8"/>
        <v/>
      </c>
      <c r="W133" s="177" t="str">
        <f t="shared" si="9"/>
        <v/>
      </c>
      <c r="Y133" s="240" t="e">
        <f t="array" ref="Y133">INDEX(Tabela.abordagens[],SMALL(IF(Tabela.abordagens[Mês]=$L$2,ROW(Tabela.abordagens[id])-2),ROW(A86)),1)</f>
        <v>#NUM!</v>
      </c>
      <c r="Z133" s="240" t="e">
        <f t="array" ref="Z133">INDEX(Tabela.abordagens[],SMALL(IF(Tabela.abordagens[Mês]=$L$2,ROW(Tabela.abordagens[Idade])-2),ROW(A86)),6)</f>
        <v>#NUM!</v>
      </c>
      <c r="AA133" s="240" t="e">
        <f t="array" ref="AA133">INDEX(Tabela.abordagens[],SMALL(IF(Tabela.abordagens[Mês]=$L$2,ROW(Tabela.abordagens[Idade])-2),ROW(A86)),4)</f>
        <v>#NUM!</v>
      </c>
      <c r="AB133" s="240" t="e">
        <f t="array" ref="AB133">INDEX(Tabela.abordagens[],SMALL(IF(Tabela.abordagens[Mês]=$L$2,ROW(Tabela.abordagens[Idade])-2),ROW(A86)),5)</f>
        <v>#NUM!</v>
      </c>
      <c r="AC133" s="207"/>
      <c r="AD133" s="207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</row>
    <row r="134" spans="2:47" ht="15" x14ac:dyDescent="0.25">
      <c r="B134" s="223" t="e">
        <f t="array" ref="B134">INDEX(Tabela.frequencia[],SMALL(IF(Tabela.frequencia[Mês]=$L$2,ROW(Tabela.frequencia[id])-1),ROW(A87)),1)</f>
        <v>#NUM!</v>
      </c>
      <c r="C134" s="229" t="e">
        <f t="array" ref="C134">INDEX(Tabela.frequencia[],SMALL(IF(Tabela.frequencia[Mês]=$L$2,ROW(Tabela.frequencia[id])-1),ROW(A87)),4)</f>
        <v>#NUM!</v>
      </c>
      <c r="D134" s="228"/>
      <c r="E134" s="176" t="str">
        <f>IFERROR(VLOOKUP(D134,Tabela.cadastro[[ID]:[Nome]],2,0),"")</f>
        <v/>
      </c>
      <c r="F134" s="177" t="str">
        <f>IFERROR(VLOOKUP(D134,Tabela66[#All],2,0),"")</f>
        <v/>
      </c>
      <c r="G134" s="177" t="str">
        <f>IFERROR(VLOOKUP(D134,Tabela.cadastro[[ID]:[CP ou M]],5,0),"")</f>
        <v/>
      </c>
      <c r="H134" s="177" t="str">
        <f>IFERROR(VLOOKUP(D134,Cadastros!A:F,6,0),"")</f>
        <v/>
      </c>
      <c r="I134" s="177" t="str">
        <f>IFERROR(VLOOKUP(D134,Cadastros!A:I,9,0),"")</f>
        <v/>
      </c>
      <c r="J134" s="177" t="str">
        <f>IFERROR(VLOOKUP(D134,Cadastros!A:J,10,0),"")</f>
        <v/>
      </c>
      <c r="K134" s="177" t="str">
        <f>IF(COUNTIF(Tabela66[id],D134)=0,"",COUNTIF(Tabela66[id],D134))</f>
        <v/>
      </c>
      <c r="L134" s="198"/>
      <c r="M134" s="227" t="str">
        <f t="shared" si="10"/>
        <v/>
      </c>
      <c r="N134" s="207"/>
      <c r="P134" s="176" t="str">
        <f>IFERROR(VLOOKUP(O134,Cadastros!A:B,2),"")</f>
        <v/>
      </c>
      <c r="Q134" s="177" t="str">
        <f t="shared" si="6"/>
        <v/>
      </c>
      <c r="R134" s="177" t="str">
        <f>IFERROR(VLOOKUP(O134,Cadastros!A:E,5,0),"")</f>
        <v/>
      </c>
      <c r="S134" s="177" t="str">
        <f>IFERROR(VLOOKUP(O134,Cadastros!A:F,6,0),"")</f>
        <v/>
      </c>
      <c r="T134" s="177" t="str">
        <f>IFERROR(VLOOKUP(O134,Cadastros!A:I,9,0),"")</f>
        <v/>
      </c>
      <c r="U134" s="177" t="str">
        <f t="shared" si="7"/>
        <v/>
      </c>
      <c r="V134" s="177" t="str">
        <f t="shared" si="8"/>
        <v/>
      </c>
      <c r="W134" s="177" t="str">
        <f t="shared" si="9"/>
        <v/>
      </c>
      <c r="Y134" s="240" t="e">
        <f t="array" ref="Y134">INDEX(Tabela.abordagens[],SMALL(IF(Tabela.abordagens[Mês]=$L$2,ROW(Tabela.abordagens[id])-2),ROW(A87)),1)</f>
        <v>#NUM!</v>
      </c>
      <c r="Z134" s="240" t="e">
        <f t="array" ref="Z134">INDEX(Tabela.abordagens[],SMALL(IF(Tabela.abordagens[Mês]=$L$2,ROW(Tabela.abordagens[Idade])-2),ROW(A87)),6)</f>
        <v>#NUM!</v>
      </c>
      <c r="AA134" s="240" t="e">
        <f t="array" ref="AA134">INDEX(Tabela.abordagens[],SMALL(IF(Tabela.abordagens[Mês]=$L$2,ROW(Tabela.abordagens[Idade])-2),ROW(A87)),4)</f>
        <v>#NUM!</v>
      </c>
      <c r="AB134" s="240" t="e">
        <f t="array" ref="AB134">INDEX(Tabela.abordagens[],SMALL(IF(Tabela.abordagens[Mês]=$L$2,ROW(Tabela.abordagens[Idade])-2),ROW(A87)),5)</f>
        <v>#NUM!</v>
      </c>
      <c r="AC134" s="207"/>
      <c r="AD134" s="207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</row>
    <row r="135" spans="2:47" ht="15" x14ac:dyDescent="0.25">
      <c r="B135" s="223" t="e">
        <f t="array" ref="B135">INDEX(Tabela.frequencia[],SMALL(IF(Tabela.frequencia[Mês]=$L$2,ROW(Tabela.frequencia[id])-1),ROW(A88)),1)</f>
        <v>#NUM!</v>
      </c>
      <c r="C135" s="229" t="e">
        <f t="array" ref="C135">INDEX(Tabela.frequencia[],SMALL(IF(Tabela.frequencia[Mês]=$L$2,ROW(Tabela.frequencia[id])-1),ROW(A88)),4)</f>
        <v>#NUM!</v>
      </c>
      <c r="D135" s="228"/>
      <c r="E135" s="176" t="str">
        <f>IFERROR(VLOOKUP(D135,Tabela.cadastro[[ID]:[Nome]],2,0),"")</f>
        <v/>
      </c>
      <c r="F135" s="177" t="str">
        <f>IFERROR(VLOOKUP(D135,Tabela66[#All],2,0),"")</f>
        <v/>
      </c>
      <c r="G135" s="177" t="str">
        <f>IFERROR(VLOOKUP(D135,Tabela.cadastro[[ID]:[CP ou M]],5,0),"")</f>
        <v/>
      </c>
      <c r="H135" s="177" t="str">
        <f>IFERROR(VLOOKUP(D135,Cadastros!A:F,6,0),"")</f>
        <v/>
      </c>
      <c r="I135" s="177" t="str">
        <f>IFERROR(VLOOKUP(D135,Cadastros!A:I,9,0),"")</f>
        <v/>
      </c>
      <c r="J135" s="177" t="str">
        <f>IFERROR(VLOOKUP(D135,Cadastros!A:J,10,0),"")</f>
        <v/>
      </c>
      <c r="K135" s="177" t="str">
        <f>IF(COUNTIF(Tabela66[id],D135)=0,"",COUNTIF(Tabela66[id],D135))</f>
        <v/>
      </c>
      <c r="L135" s="198"/>
      <c r="M135" s="227" t="str">
        <f t="shared" si="10"/>
        <v/>
      </c>
      <c r="N135" s="207"/>
      <c r="P135" s="176" t="str">
        <f>IFERROR(VLOOKUP(O135,Cadastros!A:B,2),"")</f>
        <v/>
      </c>
      <c r="Q135" s="177" t="str">
        <f t="shared" si="6"/>
        <v/>
      </c>
      <c r="R135" s="177" t="str">
        <f>IFERROR(VLOOKUP(O135,Cadastros!A:E,5,0),"")</f>
        <v/>
      </c>
      <c r="S135" s="177" t="str">
        <f>IFERROR(VLOOKUP(O135,Cadastros!A:F,6,0),"")</f>
        <v/>
      </c>
      <c r="T135" s="177" t="str">
        <f>IFERROR(VLOOKUP(O135,Cadastros!A:I,9,0),"")</f>
        <v/>
      </c>
      <c r="U135" s="177" t="str">
        <f t="shared" si="7"/>
        <v/>
      </c>
      <c r="V135" s="177" t="str">
        <f t="shared" si="8"/>
        <v/>
      </c>
      <c r="W135" s="177" t="str">
        <f t="shared" si="9"/>
        <v/>
      </c>
      <c r="Y135" s="240" t="e">
        <f t="array" ref="Y135">INDEX(Tabela.abordagens[],SMALL(IF(Tabela.abordagens[Mês]=$L$2,ROW(Tabela.abordagens[id])-2),ROW(A88)),1)</f>
        <v>#NUM!</v>
      </c>
      <c r="Z135" s="240" t="e">
        <f t="array" ref="Z135">INDEX(Tabela.abordagens[],SMALL(IF(Tabela.abordagens[Mês]=$L$2,ROW(Tabela.abordagens[Idade])-2),ROW(A88)),6)</f>
        <v>#NUM!</v>
      </c>
      <c r="AA135" s="240" t="e">
        <f t="array" ref="AA135">INDEX(Tabela.abordagens[],SMALL(IF(Tabela.abordagens[Mês]=$L$2,ROW(Tabela.abordagens[Idade])-2),ROW(A88)),4)</f>
        <v>#NUM!</v>
      </c>
      <c r="AB135" s="240" t="e">
        <f t="array" ref="AB135">INDEX(Tabela.abordagens[],SMALL(IF(Tabela.abordagens[Mês]=$L$2,ROW(Tabela.abordagens[Idade])-2),ROW(A88)),5)</f>
        <v>#NUM!</v>
      </c>
      <c r="AC135" s="207"/>
      <c r="AD135" s="207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</row>
    <row r="136" spans="2:47" ht="15" x14ac:dyDescent="0.25">
      <c r="B136" s="223" t="e">
        <f t="array" ref="B136">INDEX(Tabela.frequencia[],SMALL(IF(Tabela.frequencia[Mês]=$L$2,ROW(Tabela.frequencia[id])-1),ROW(A89)),1)</f>
        <v>#NUM!</v>
      </c>
      <c r="C136" s="229" t="e">
        <f t="array" ref="C136">INDEX(Tabela.frequencia[],SMALL(IF(Tabela.frequencia[Mês]=$L$2,ROW(Tabela.frequencia[id])-1),ROW(A89)),4)</f>
        <v>#NUM!</v>
      </c>
      <c r="D136" s="228"/>
      <c r="E136" s="176" t="str">
        <f>IFERROR(VLOOKUP(D136,Tabela.cadastro[[ID]:[Nome]],2,0),"")</f>
        <v/>
      </c>
      <c r="F136" s="177" t="str">
        <f>IFERROR(VLOOKUP(D136,Tabela66[#All],2,0),"")</f>
        <v/>
      </c>
      <c r="G136" s="177" t="str">
        <f>IFERROR(VLOOKUP(D136,Tabela.cadastro[[ID]:[CP ou M]],5,0),"")</f>
        <v/>
      </c>
      <c r="H136" s="177" t="str">
        <f>IFERROR(VLOOKUP(D136,Cadastros!A:F,6,0),"")</f>
        <v/>
      </c>
      <c r="I136" s="177" t="str">
        <f>IFERROR(VLOOKUP(D136,Cadastros!A:I,9,0),"")</f>
        <v/>
      </c>
      <c r="J136" s="177" t="str">
        <f>IFERROR(VLOOKUP(D136,Cadastros!A:J,10,0),"")</f>
        <v/>
      </c>
      <c r="K136" s="177" t="str">
        <f>IF(COUNTIF(Tabela66[id],D136)=0,"",COUNTIF(Tabela66[id],D136))</f>
        <v/>
      </c>
      <c r="L136" s="198"/>
      <c r="M136" s="227" t="str">
        <f t="shared" si="10"/>
        <v/>
      </c>
      <c r="N136" s="207"/>
      <c r="P136" s="176" t="str">
        <f>IFERROR(VLOOKUP(O136,Cadastros!A:B,2),"")</f>
        <v/>
      </c>
      <c r="Q136" s="177" t="str">
        <f t="shared" si="6"/>
        <v/>
      </c>
      <c r="R136" s="177" t="str">
        <f>IFERROR(VLOOKUP(O136,Cadastros!A:E,5,0),"")</f>
        <v/>
      </c>
      <c r="S136" s="177" t="str">
        <f>IFERROR(VLOOKUP(O136,Cadastros!A:F,6,0),"")</f>
        <v/>
      </c>
      <c r="T136" s="177" t="str">
        <f>IFERROR(VLOOKUP(O136,Cadastros!A:I,9,0),"")</f>
        <v/>
      </c>
      <c r="U136" s="177" t="str">
        <f t="shared" si="7"/>
        <v/>
      </c>
      <c r="V136" s="177" t="str">
        <f t="shared" si="8"/>
        <v/>
      </c>
      <c r="W136" s="177" t="str">
        <f t="shared" si="9"/>
        <v/>
      </c>
      <c r="Y136" s="240" t="e">
        <f t="array" ref="Y136">INDEX(Tabela.abordagens[],SMALL(IF(Tabela.abordagens[Mês]=$L$2,ROW(Tabela.abordagens[id])-2),ROW(A89)),1)</f>
        <v>#NUM!</v>
      </c>
      <c r="Z136" s="240" t="e">
        <f t="array" ref="Z136">INDEX(Tabela.abordagens[],SMALL(IF(Tabela.abordagens[Mês]=$L$2,ROW(Tabela.abordagens[Idade])-2),ROW(A89)),6)</f>
        <v>#NUM!</v>
      </c>
      <c r="AA136" s="240" t="e">
        <f t="array" ref="AA136">INDEX(Tabela.abordagens[],SMALL(IF(Tabela.abordagens[Mês]=$L$2,ROW(Tabela.abordagens[Idade])-2),ROW(A89)),4)</f>
        <v>#NUM!</v>
      </c>
      <c r="AB136" s="240" t="e">
        <f t="array" ref="AB136">INDEX(Tabela.abordagens[],SMALL(IF(Tabela.abordagens[Mês]=$L$2,ROW(Tabela.abordagens[Idade])-2),ROW(A89)),5)</f>
        <v>#NUM!</v>
      </c>
      <c r="AC136" s="207"/>
      <c r="AD136" s="207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</row>
    <row r="137" spans="2:47" ht="15" x14ac:dyDescent="0.25">
      <c r="B137" s="223" t="e">
        <f t="array" ref="B137">INDEX(Tabela.frequencia[],SMALL(IF(Tabela.frequencia[Mês]=$L$2,ROW(Tabela.frequencia[id])-1),ROW(A90)),1)</f>
        <v>#NUM!</v>
      </c>
      <c r="C137" s="229" t="e">
        <f t="array" ref="C137">INDEX(Tabela.frequencia[],SMALL(IF(Tabela.frequencia[Mês]=$L$2,ROW(Tabela.frequencia[id])-1),ROW(A90)),4)</f>
        <v>#NUM!</v>
      </c>
      <c r="D137" s="228"/>
      <c r="E137" s="176" t="str">
        <f>IFERROR(VLOOKUP(D137,Tabela.cadastro[[ID]:[Nome]],2,0),"")</f>
        <v/>
      </c>
      <c r="F137" s="177" t="str">
        <f>IFERROR(VLOOKUP(D137,Tabela66[#All],2,0),"")</f>
        <v/>
      </c>
      <c r="G137" s="177" t="str">
        <f>IFERROR(VLOOKUP(D137,Tabela.cadastro[[ID]:[CP ou M]],5,0),"")</f>
        <v/>
      </c>
      <c r="H137" s="177" t="str">
        <f>IFERROR(VLOOKUP(D137,Cadastros!A:F,6,0),"")</f>
        <v/>
      </c>
      <c r="I137" s="177" t="str">
        <f>IFERROR(VLOOKUP(D137,Cadastros!A:I,9,0),"")</f>
        <v/>
      </c>
      <c r="J137" s="177" t="str">
        <f>IFERROR(VLOOKUP(D137,Cadastros!A:J,10,0),"")</f>
        <v/>
      </c>
      <c r="K137" s="177" t="str">
        <f>IF(COUNTIF(Tabela66[id],D137)=0,"",COUNTIF(Tabela66[id],D137))</f>
        <v/>
      </c>
      <c r="L137" s="198"/>
      <c r="M137" s="227" t="str">
        <f t="shared" si="10"/>
        <v/>
      </c>
      <c r="N137" s="207"/>
      <c r="P137" s="176" t="str">
        <f>IFERROR(VLOOKUP(O137,Cadastros!A:B,2),"")</f>
        <v/>
      </c>
      <c r="Q137" s="177" t="str">
        <f t="shared" si="6"/>
        <v/>
      </c>
      <c r="R137" s="177" t="str">
        <f>IFERROR(VLOOKUP(O137,Cadastros!A:E,5,0),"")</f>
        <v/>
      </c>
      <c r="S137" s="177" t="str">
        <f>IFERROR(VLOOKUP(O137,Cadastros!A:F,6,0),"")</f>
        <v/>
      </c>
      <c r="T137" s="177" t="str">
        <f>IFERROR(VLOOKUP(O137,Cadastros!A:I,9,0),"")</f>
        <v/>
      </c>
      <c r="U137" s="177" t="str">
        <f t="shared" si="7"/>
        <v/>
      </c>
      <c r="V137" s="177" t="str">
        <f t="shared" si="8"/>
        <v/>
      </c>
      <c r="W137" s="177" t="str">
        <f t="shared" si="9"/>
        <v/>
      </c>
      <c r="Y137" s="240" t="e">
        <f t="array" ref="Y137">INDEX(Tabela.abordagens[],SMALL(IF(Tabela.abordagens[Mês]=$L$2,ROW(Tabela.abordagens[id])-2),ROW(A90)),1)</f>
        <v>#NUM!</v>
      </c>
      <c r="Z137" s="240" t="e">
        <f t="array" ref="Z137">INDEX(Tabela.abordagens[],SMALL(IF(Tabela.abordagens[Mês]=$L$2,ROW(Tabela.abordagens[Idade])-2),ROW(A90)),6)</f>
        <v>#NUM!</v>
      </c>
      <c r="AA137" s="240" t="e">
        <f t="array" ref="AA137">INDEX(Tabela.abordagens[],SMALL(IF(Tabela.abordagens[Mês]=$L$2,ROW(Tabela.abordagens[Idade])-2),ROW(A90)),4)</f>
        <v>#NUM!</v>
      </c>
      <c r="AB137" s="240" t="e">
        <f t="array" ref="AB137">INDEX(Tabela.abordagens[],SMALL(IF(Tabela.abordagens[Mês]=$L$2,ROW(Tabela.abordagens[Idade])-2),ROW(A90)),5)</f>
        <v>#NUM!</v>
      </c>
      <c r="AC137" s="207"/>
      <c r="AD137" s="207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</row>
    <row r="138" spans="2:47" ht="15" x14ac:dyDescent="0.25">
      <c r="B138" s="223" t="e">
        <f t="array" ref="B138">INDEX(Tabela.frequencia[],SMALL(IF(Tabela.frequencia[Mês]=$L$2,ROW(Tabela.frequencia[id])-1),ROW(A91)),1)</f>
        <v>#NUM!</v>
      </c>
      <c r="C138" s="229" t="e">
        <f t="array" ref="C138">INDEX(Tabela.frequencia[],SMALL(IF(Tabela.frequencia[Mês]=$L$2,ROW(Tabela.frequencia[id])-1),ROW(A91)),4)</f>
        <v>#NUM!</v>
      </c>
      <c r="D138" s="228"/>
      <c r="E138" s="176" t="str">
        <f>IFERROR(VLOOKUP(D138,Tabela.cadastro[[ID]:[Nome]],2,0),"")</f>
        <v/>
      </c>
      <c r="F138" s="177" t="str">
        <f>IFERROR(VLOOKUP(D138,Tabela66[#All],2,0),"")</f>
        <v/>
      </c>
      <c r="G138" s="177" t="str">
        <f>IFERROR(VLOOKUP(D138,Tabela.cadastro[[ID]:[CP ou M]],5,0),"")</f>
        <v/>
      </c>
      <c r="H138" s="177" t="str">
        <f>IFERROR(VLOOKUP(D138,Cadastros!A:F,6,0),"")</f>
        <v/>
      </c>
      <c r="I138" s="177" t="str">
        <f>IFERROR(VLOOKUP(D138,Cadastros!A:I,9,0),"")</f>
        <v/>
      </c>
      <c r="J138" s="177" t="str">
        <f>IFERROR(VLOOKUP(D138,Cadastros!A:J,10,0),"")</f>
        <v/>
      </c>
      <c r="K138" s="177" t="str">
        <f>IF(COUNTIF(Tabela66[id],D138)=0,"",COUNTIF(Tabela66[id],D138))</f>
        <v/>
      </c>
      <c r="L138" s="198"/>
      <c r="M138" s="227" t="str">
        <f t="shared" si="10"/>
        <v/>
      </c>
      <c r="N138" s="207"/>
      <c r="P138" s="176" t="str">
        <f>IFERROR(VLOOKUP(O138,Cadastros!A:B,2),"")</f>
        <v/>
      </c>
      <c r="Q138" s="177" t="str">
        <f t="shared" si="6"/>
        <v/>
      </c>
      <c r="R138" s="177" t="str">
        <f>IFERROR(VLOOKUP(O138,Cadastros!A:E,5,0),"")</f>
        <v/>
      </c>
      <c r="S138" s="177" t="str">
        <f>IFERROR(VLOOKUP(O138,Cadastros!A:F,6,0),"")</f>
        <v/>
      </c>
      <c r="T138" s="177" t="str">
        <f>IFERROR(VLOOKUP(O138,Cadastros!A:I,9,0),"")</f>
        <v/>
      </c>
      <c r="U138" s="177" t="str">
        <f t="shared" si="7"/>
        <v/>
      </c>
      <c r="V138" s="177" t="str">
        <f t="shared" si="8"/>
        <v/>
      </c>
      <c r="W138" s="177" t="str">
        <f t="shared" si="9"/>
        <v/>
      </c>
      <c r="Y138" s="240" t="e">
        <f t="array" ref="Y138">INDEX(Tabela.abordagens[],SMALL(IF(Tabela.abordagens[Mês]=$L$2,ROW(Tabela.abordagens[id])-2),ROW(A91)),1)</f>
        <v>#NUM!</v>
      </c>
      <c r="Z138" s="240" t="e">
        <f t="array" ref="Z138">INDEX(Tabela.abordagens[],SMALL(IF(Tabela.abordagens[Mês]=$L$2,ROW(Tabela.abordagens[Idade])-2),ROW(A91)),6)</f>
        <v>#NUM!</v>
      </c>
      <c r="AA138" s="240" t="e">
        <f t="array" ref="AA138">INDEX(Tabela.abordagens[],SMALL(IF(Tabela.abordagens[Mês]=$L$2,ROW(Tabela.abordagens[Idade])-2),ROW(A91)),4)</f>
        <v>#NUM!</v>
      </c>
      <c r="AB138" s="240" t="e">
        <f t="array" ref="AB138">INDEX(Tabela.abordagens[],SMALL(IF(Tabela.abordagens[Mês]=$L$2,ROW(Tabela.abordagens[Idade])-2),ROW(A91)),5)</f>
        <v>#NUM!</v>
      </c>
      <c r="AC138" s="207"/>
      <c r="AD138" s="207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</row>
    <row r="139" spans="2:47" ht="15" x14ac:dyDescent="0.25">
      <c r="B139" s="223" t="e">
        <f t="array" ref="B139">INDEX(Tabela.frequencia[],SMALL(IF(Tabela.frequencia[Mês]=$L$2,ROW(Tabela.frequencia[id])-1),ROW(A92)),1)</f>
        <v>#NUM!</v>
      </c>
      <c r="C139" s="229" t="e">
        <f t="array" ref="C139">INDEX(Tabela.frequencia[],SMALL(IF(Tabela.frequencia[Mês]=$L$2,ROW(Tabela.frequencia[id])-1),ROW(A92)),4)</f>
        <v>#NUM!</v>
      </c>
      <c r="D139" s="228"/>
      <c r="E139" s="176" t="str">
        <f>IFERROR(VLOOKUP(D139,Tabela.cadastro[[ID]:[Nome]],2,0),"")</f>
        <v/>
      </c>
      <c r="F139" s="177" t="str">
        <f>IFERROR(VLOOKUP(D139,Tabela66[#All],2,0),"")</f>
        <v/>
      </c>
      <c r="G139" s="177" t="str">
        <f>IFERROR(VLOOKUP(D139,Tabela.cadastro[[ID]:[CP ou M]],5,0),"")</f>
        <v/>
      </c>
      <c r="H139" s="177" t="str">
        <f>IFERROR(VLOOKUP(D139,Cadastros!A:F,6,0),"")</f>
        <v/>
      </c>
      <c r="I139" s="177" t="str">
        <f>IFERROR(VLOOKUP(D139,Cadastros!A:I,9,0),"")</f>
        <v/>
      </c>
      <c r="J139" s="177" t="str">
        <f>IFERROR(VLOOKUP(D139,Cadastros!A:J,10,0),"")</f>
        <v/>
      </c>
      <c r="K139" s="177" t="str">
        <f>IF(COUNTIF(Tabela66[id],D139)=0,"",COUNTIF(Tabela66[id],D139))</f>
        <v/>
      </c>
      <c r="L139" s="198"/>
      <c r="M139" s="227" t="str">
        <f t="shared" si="10"/>
        <v/>
      </c>
      <c r="N139" s="207"/>
      <c r="P139" s="176" t="str">
        <f>IFERROR(VLOOKUP(O139,Cadastros!A:B,2),"")</f>
        <v/>
      </c>
      <c r="Q139" s="177" t="str">
        <f t="shared" si="6"/>
        <v/>
      </c>
      <c r="R139" s="177" t="str">
        <f>IFERROR(VLOOKUP(O139,Cadastros!A:E,5,0),"")</f>
        <v/>
      </c>
      <c r="S139" s="177" t="str">
        <f>IFERROR(VLOOKUP(O139,Cadastros!A:F,6,0),"")</f>
        <v/>
      </c>
      <c r="T139" s="177" t="str">
        <f>IFERROR(VLOOKUP(O139,Cadastros!A:I,9,0),"")</f>
        <v/>
      </c>
      <c r="U139" s="177" t="str">
        <f t="shared" si="7"/>
        <v/>
      </c>
      <c r="V139" s="177" t="str">
        <f t="shared" si="8"/>
        <v/>
      </c>
      <c r="W139" s="177" t="str">
        <f t="shared" si="9"/>
        <v/>
      </c>
      <c r="Y139" s="240" t="e">
        <f t="array" ref="Y139">INDEX(Tabela.abordagens[],SMALL(IF(Tabela.abordagens[Mês]=$L$2,ROW(Tabela.abordagens[id])-2),ROW(A92)),1)</f>
        <v>#NUM!</v>
      </c>
      <c r="Z139" s="240" t="e">
        <f t="array" ref="Z139">INDEX(Tabela.abordagens[],SMALL(IF(Tabela.abordagens[Mês]=$L$2,ROW(Tabela.abordagens[Idade])-2),ROW(A92)),6)</f>
        <v>#NUM!</v>
      </c>
      <c r="AA139" s="240" t="e">
        <f t="array" ref="AA139">INDEX(Tabela.abordagens[],SMALL(IF(Tabela.abordagens[Mês]=$L$2,ROW(Tabela.abordagens[Idade])-2),ROW(A92)),4)</f>
        <v>#NUM!</v>
      </c>
      <c r="AB139" s="240" t="e">
        <f t="array" ref="AB139">INDEX(Tabela.abordagens[],SMALL(IF(Tabela.abordagens[Mês]=$L$2,ROW(Tabela.abordagens[Idade])-2),ROW(A92)),5)</f>
        <v>#NUM!</v>
      </c>
      <c r="AC139" s="207"/>
      <c r="AD139" s="207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</row>
    <row r="140" spans="2:47" ht="15" x14ac:dyDescent="0.25">
      <c r="B140" s="223" t="e">
        <f t="array" ref="B140">INDEX(Tabela.frequencia[],SMALL(IF(Tabela.frequencia[Mês]=$L$2,ROW(Tabela.frequencia[id])-1),ROW(A93)),1)</f>
        <v>#NUM!</v>
      </c>
      <c r="C140" s="229" t="e">
        <f t="array" ref="C140">INDEX(Tabela.frequencia[],SMALL(IF(Tabela.frequencia[Mês]=$L$2,ROW(Tabela.frequencia[id])-1),ROW(A93)),4)</f>
        <v>#NUM!</v>
      </c>
      <c r="D140" s="228"/>
      <c r="E140" s="176" t="str">
        <f>IFERROR(VLOOKUP(D140,Tabela.cadastro[[ID]:[Nome]],2,0),"")</f>
        <v/>
      </c>
      <c r="F140" s="177" t="str">
        <f>IFERROR(VLOOKUP(D140,Tabela66[#All],2,0),"")</f>
        <v/>
      </c>
      <c r="G140" s="177" t="str">
        <f>IFERROR(VLOOKUP(D140,Tabela.cadastro[[ID]:[CP ou M]],5,0),"")</f>
        <v/>
      </c>
      <c r="H140" s="177" t="str">
        <f>IFERROR(VLOOKUP(D140,Cadastros!A:F,6,0),"")</f>
        <v/>
      </c>
      <c r="I140" s="177" t="str">
        <f>IFERROR(VLOOKUP(D140,Cadastros!A:I,9,0),"")</f>
        <v/>
      </c>
      <c r="J140" s="177" t="str">
        <f>IFERROR(VLOOKUP(D140,Cadastros!A:J,10,0),"")</f>
        <v/>
      </c>
      <c r="K140" s="177" t="str">
        <f>IF(COUNTIF(Tabela66[id],D140)=0,"",COUNTIF(Tabela66[id],D140))</f>
        <v/>
      </c>
      <c r="L140" s="198"/>
      <c r="M140" s="227" t="str">
        <f t="shared" si="10"/>
        <v/>
      </c>
      <c r="P140" s="176" t="str">
        <f>IFERROR(VLOOKUP(O140,Cadastros!A:B,2),"")</f>
        <v/>
      </c>
      <c r="Q140" s="177" t="str">
        <f t="shared" si="6"/>
        <v/>
      </c>
      <c r="R140" s="177" t="str">
        <f>IFERROR(VLOOKUP(O140,Cadastros!A:E,5,0),"")</f>
        <v/>
      </c>
      <c r="S140" s="177" t="str">
        <f>IFERROR(VLOOKUP(O140,Cadastros!A:F,6,0),"")</f>
        <v/>
      </c>
      <c r="T140" s="177" t="str">
        <f>IFERROR(VLOOKUP(O140,Cadastros!A:I,9,0),"")</f>
        <v/>
      </c>
      <c r="U140" s="177" t="str">
        <f t="shared" si="7"/>
        <v/>
      </c>
      <c r="V140" s="177" t="str">
        <f t="shared" si="8"/>
        <v/>
      </c>
      <c r="W140" s="177" t="str">
        <f t="shared" si="9"/>
        <v/>
      </c>
      <c r="Y140" s="240" t="e">
        <f t="array" ref="Y140">INDEX(Tabela.abordagens[],SMALL(IF(Tabela.abordagens[Mês]=$L$2,ROW(Tabela.abordagens[id])-2),ROW(A93)),1)</f>
        <v>#NUM!</v>
      </c>
      <c r="Z140" s="240" t="e">
        <f t="array" ref="Z140">INDEX(Tabela.abordagens[],SMALL(IF(Tabela.abordagens[Mês]=$L$2,ROW(Tabela.abordagens[Idade])-2),ROW(A93)),6)</f>
        <v>#NUM!</v>
      </c>
      <c r="AA140" s="240" t="e">
        <f t="array" ref="AA140">INDEX(Tabela.abordagens[],SMALL(IF(Tabela.abordagens[Mês]=$L$2,ROW(Tabela.abordagens[Idade])-2),ROW(A93)),4)</f>
        <v>#NUM!</v>
      </c>
      <c r="AB140" s="240" t="e">
        <f t="array" ref="AB140">INDEX(Tabela.abordagens[],SMALL(IF(Tabela.abordagens[Mês]=$L$2,ROW(Tabela.abordagens[Idade])-2),ROW(A93)),5)</f>
        <v>#NUM!</v>
      </c>
    </row>
    <row r="141" spans="2:47" ht="15" x14ac:dyDescent="0.25">
      <c r="B141" s="223" t="e">
        <f t="array" ref="B141">INDEX(Tabela.frequencia[],SMALL(IF(Tabela.frequencia[Mês]=$L$2,ROW(Tabela.frequencia[id])-1),ROW(A94)),1)</f>
        <v>#NUM!</v>
      </c>
      <c r="C141" s="229" t="e">
        <f t="array" ref="C141">INDEX(Tabela.frequencia[],SMALL(IF(Tabela.frequencia[Mês]=$L$2,ROW(Tabela.frequencia[id])-1),ROW(A94)),4)</f>
        <v>#NUM!</v>
      </c>
      <c r="D141" s="228"/>
      <c r="E141" s="176" t="str">
        <f>IFERROR(VLOOKUP(D141,Tabela.cadastro[[ID]:[Nome]],2,0),"")</f>
        <v/>
      </c>
      <c r="F141" s="177" t="str">
        <f>IFERROR(VLOOKUP(D141,Tabela66[#All],2,0),"")</f>
        <v/>
      </c>
      <c r="G141" s="177" t="str">
        <f>IFERROR(VLOOKUP(D141,Tabela.cadastro[[ID]:[CP ou M]],5,0),"")</f>
        <v/>
      </c>
      <c r="H141" s="177" t="str">
        <f>IFERROR(VLOOKUP(D141,Cadastros!A:F,6,0),"")</f>
        <v/>
      </c>
      <c r="I141" s="177" t="str">
        <f>IFERROR(VLOOKUP(D141,Cadastros!A:I,9,0),"")</f>
        <v/>
      </c>
      <c r="J141" s="177" t="str">
        <f>IFERROR(VLOOKUP(D141,Cadastros!A:J,10,0),"")</f>
        <v/>
      </c>
      <c r="K141" s="177" t="str">
        <f>IF(COUNTIF(Tabela66[id],D141)=0,"",COUNTIF(Tabela66[id],D141))</f>
        <v/>
      </c>
      <c r="L141" s="198"/>
      <c r="M141" s="227" t="str">
        <f t="shared" si="10"/>
        <v/>
      </c>
      <c r="P141" s="176" t="str">
        <f>IFERROR(VLOOKUP(O141,Cadastros!A:B,2),"")</f>
        <v/>
      </c>
      <c r="Q141" s="177" t="str">
        <f t="shared" si="6"/>
        <v/>
      </c>
      <c r="R141" s="177" t="str">
        <f>IFERROR(VLOOKUP(O141,Cadastros!A:E,5,0),"")</f>
        <v/>
      </c>
      <c r="S141" s="177" t="str">
        <f>IFERROR(VLOOKUP(O141,Cadastros!A:F,6,0),"")</f>
        <v/>
      </c>
      <c r="T141" s="177" t="str">
        <f>IFERROR(VLOOKUP(O141,Cadastros!A:I,9,0),"")</f>
        <v/>
      </c>
      <c r="U141" s="177" t="str">
        <f t="shared" si="7"/>
        <v/>
      </c>
      <c r="V141" s="177" t="str">
        <f t="shared" si="8"/>
        <v/>
      </c>
      <c r="W141" s="177" t="str">
        <f t="shared" si="9"/>
        <v/>
      </c>
      <c r="Y141" s="240" t="e">
        <f t="array" ref="Y141">INDEX(Tabela.abordagens[],SMALL(IF(Tabela.abordagens[Mês]=$L$2,ROW(Tabela.abordagens[id])-2),ROW(A94)),1)</f>
        <v>#NUM!</v>
      </c>
      <c r="Z141" s="240" t="e">
        <f t="array" ref="Z141">INDEX(Tabela.abordagens[],SMALL(IF(Tabela.abordagens[Mês]=$L$2,ROW(Tabela.abordagens[Idade])-2),ROW(A94)),6)</f>
        <v>#NUM!</v>
      </c>
      <c r="AA141" s="240" t="e">
        <f t="array" ref="AA141">INDEX(Tabela.abordagens[],SMALL(IF(Tabela.abordagens[Mês]=$L$2,ROW(Tabela.abordagens[Idade])-2),ROW(A94)),4)</f>
        <v>#NUM!</v>
      </c>
      <c r="AB141" s="240" t="e">
        <f t="array" ref="AB141">INDEX(Tabela.abordagens[],SMALL(IF(Tabela.abordagens[Mês]=$L$2,ROW(Tabela.abordagens[Idade])-2),ROW(A94)),5)</f>
        <v>#NUM!</v>
      </c>
    </row>
    <row r="142" spans="2:47" ht="15" x14ac:dyDescent="0.25">
      <c r="B142" s="223" t="e">
        <f t="array" ref="B142">INDEX(Tabela.frequencia[],SMALL(IF(Tabela.frequencia[Mês]=$L$2,ROW(Tabela.frequencia[id])-1),ROW(A95)),1)</f>
        <v>#NUM!</v>
      </c>
      <c r="C142" s="229" t="e">
        <f t="array" ref="C142">INDEX(Tabela.frequencia[],SMALL(IF(Tabela.frequencia[Mês]=$L$2,ROW(Tabela.frequencia[id])-1),ROW(A95)),4)</f>
        <v>#NUM!</v>
      </c>
      <c r="D142" s="228"/>
      <c r="E142" s="176" t="str">
        <f>IFERROR(VLOOKUP(D142,Tabela.cadastro[[ID]:[Nome]],2,0),"")</f>
        <v/>
      </c>
      <c r="F142" s="177" t="str">
        <f>IFERROR(VLOOKUP(D142,Tabela66[#All],2,0),"")</f>
        <v/>
      </c>
      <c r="G142" s="177" t="str">
        <f>IFERROR(VLOOKUP(D142,Tabela.cadastro[[ID]:[CP ou M]],5,0),"")</f>
        <v/>
      </c>
      <c r="H142" s="177" t="str">
        <f>IFERROR(VLOOKUP(D142,Cadastros!A:F,6,0),"")</f>
        <v/>
      </c>
      <c r="I142" s="177" t="str">
        <f>IFERROR(VLOOKUP(D142,Cadastros!A:I,9,0),"")</f>
        <v/>
      </c>
      <c r="J142" s="177" t="str">
        <f>IFERROR(VLOOKUP(D142,Cadastros!A:J,10,0),"")</f>
        <v/>
      </c>
      <c r="K142" s="177" t="str">
        <f>IF(COUNTIF(Tabela66[id],D142)=0,"",COUNTIF(Tabela66[id],D142))</f>
        <v/>
      </c>
      <c r="L142" s="198"/>
      <c r="M142" s="227" t="str">
        <f t="shared" si="10"/>
        <v/>
      </c>
      <c r="P142" s="176" t="str">
        <f>IFERROR(VLOOKUP(O142,Cadastros!A:B,2),"")</f>
        <v/>
      </c>
      <c r="Q142" s="177" t="str">
        <f t="shared" si="6"/>
        <v/>
      </c>
      <c r="R142" s="177" t="str">
        <f>IFERROR(VLOOKUP(O142,Cadastros!A:E,5,0),"")</f>
        <v/>
      </c>
      <c r="S142" s="177" t="str">
        <f>IFERROR(VLOOKUP(O142,Cadastros!A:F,6,0),"")</f>
        <v/>
      </c>
      <c r="T142" s="177" t="str">
        <f>IFERROR(VLOOKUP(O142,Cadastros!A:I,9,0),"")</f>
        <v/>
      </c>
      <c r="U142" s="177" t="str">
        <f t="shared" si="7"/>
        <v/>
      </c>
      <c r="V142" s="177" t="str">
        <f t="shared" si="8"/>
        <v/>
      </c>
      <c r="W142" s="177" t="str">
        <f t="shared" si="9"/>
        <v/>
      </c>
      <c r="Y142" s="240" t="e">
        <f t="array" ref="Y142">INDEX(Tabela.abordagens[],SMALL(IF(Tabela.abordagens[Mês]=$L$2,ROW(Tabela.abordagens[id])-2),ROW(A95)),1)</f>
        <v>#NUM!</v>
      </c>
      <c r="Z142" s="240" t="e">
        <f t="array" ref="Z142">INDEX(Tabela.abordagens[],SMALL(IF(Tabela.abordagens[Mês]=$L$2,ROW(Tabela.abordagens[Idade])-2),ROW(A95)),6)</f>
        <v>#NUM!</v>
      </c>
      <c r="AA142" s="240" t="e">
        <f t="array" ref="AA142">INDEX(Tabela.abordagens[],SMALL(IF(Tabela.abordagens[Mês]=$L$2,ROW(Tabela.abordagens[Idade])-2),ROW(A95)),4)</f>
        <v>#NUM!</v>
      </c>
      <c r="AB142" s="240" t="e">
        <f t="array" ref="AB142">INDEX(Tabela.abordagens[],SMALL(IF(Tabela.abordagens[Mês]=$L$2,ROW(Tabela.abordagens[Idade])-2),ROW(A95)),5)</f>
        <v>#NUM!</v>
      </c>
    </row>
    <row r="143" spans="2:47" ht="15" x14ac:dyDescent="0.25">
      <c r="B143" s="223" t="e">
        <f t="array" ref="B143">INDEX(Tabela.frequencia[],SMALL(IF(Tabela.frequencia[Mês]=$L$2,ROW(Tabela.frequencia[id])-1),ROW(A96)),1)</f>
        <v>#NUM!</v>
      </c>
      <c r="C143" s="229" t="e">
        <f t="array" ref="C143">INDEX(Tabela.frequencia[],SMALL(IF(Tabela.frequencia[Mês]=$L$2,ROW(Tabela.frequencia[id])-1),ROW(A96)),4)</f>
        <v>#NUM!</v>
      </c>
      <c r="D143" s="228"/>
      <c r="E143" s="176" t="str">
        <f>IFERROR(VLOOKUP(D143,Tabela.cadastro[[ID]:[Nome]],2,0),"")</f>
        <v/>
      </c>
      <c r="F143" s="177" t="str">
        <f>IFERROR(VLOOKUP(D143,Tabela66[#All],2,0),"")</f>
        <v/>
      </c>
      <c r="G143" s="177" t="str">
        <f>IFERROR(VLOOKUP(D143,Tabela.cadastro[[ID]:[CP ou M]],5,0),"")</f>
        <v/>
      </c>
      <c r="H143" s="177" t="str">
        <f>IFERROR(VLOOKUP(D143,Cadastros!A:F,6,0),"")</f>
        <v/>
      </c>
      <c r="I143" s="177" t="str">
        <f>IFERROR(VLOOKUP(D143,Cadastros!A:I,9,0),"")</f>
        <v/>
      </c>
      <c r="J143" s="177" t="str">
        <f>IFERROR(VLOOKUP(D143,Cadastros!A:J,10,0),"")</f>
        <v/>
      </c>
      <c r="K143" s="177" t="str">
        <f>IF(COUNTIF(Tabela66[id],D143)=0,"",COUNTIF(Tabela66[id],D143))</f>
        <v/>
      </c>
      <c r="L143" s="198"/>
      <c r="M143" s="227" t="str">
        <f t="shared" si="10"/>
        <v/>
      </c>
      <c r="P143" s="176" t="str">
        <f>IFERROR(VLOOKUP(O143,Cadastros!A:B,2),"")</f>
        <v/>
      </c>
      <c r="Q143" s="177" t="str">
        <f t="shared" si="6"/>
        <v/>
      </c>
      <c r="R143" s="177" t="str">
        <f>IFERROR(VLOOKUP(O143,Cadastros!A:E,5,0),"")</f>
        <v/>
      </c>
      <c r="S143" s="177" t="str">
        <f>IFERROR(VLOOKUP(O143,Cadastros!A:F,6,0),"")</f>
        <v/>
      </c>
      <c r="T143" s="177" t="str">
        <f>IFERROR(VLOOKUP(O143,Cadastros!A:I,9,0),"")</f>
        <v/>
      </c>
      <c r="U143" s="177" t="str">
        <f t="shared" si="7"/>
        <v/>
      </c>
      <c r="V143" s="177" t="str">
        <f t="shared" si="8"/>
        <v/>
      </c>
      <c r="W143" s="177" t="str">
        <f t="shared" si="9"/>
        <v/>
      </c>
      <c r="Y143" s="240" t="e">
        <f t="array" ref="Y143">INDEX(Tabela.abordagens[],SMALL(IF(Tabela.abordagens[Mês]=$L$2,ROW(Tabela.abordagens[id])-2),ROW(A96)),1)</f>
        <v>#NUM!</v>
      </c>
      <c r="Z143" s="240" t="e">
        <f t="array" ref="Z143">INDEX(Tabela.abordagens[],SMALL(IF(Tabela.abordagens[Mês]=$L$2,ROW(Tabela.abordagens[Idade])-2),ROW(A96)),6)</f>
        <v>#NUM!</v>
      </c>
      <c r="AA143" s="240" t="e">
        <f t="array" ref="AA143">INDEX(Tabela.abordagens[],SMALL(IF(Tabela.abordagens[Mês]=$L$2,ROW(Tabela.abordagens[Idade])-2),ROW(A96)),4)</f>
        <v>#NUM!</v>
      </c>
      <c r="AB143" s="240" t="e">
        <f t="array" ref="AB143">INDEX(Tabela.abordagens[],SMALL(IF(Tabela.abordagens[Mês]=$L$2,ROW(Tabela.abordagens[Idade])-2),ROW(A96)),5)</f>
        <v>#NUM!</v>
      </c>
    </row>
    <row r="144" spans="2:47" ht="15" x14ac:dyDescent="0.25">
      <c r="B144" s="223" t="e">
        <f t="array" ref="B144">INDEX(Tabela.frequencia[],SMALL(IF(Tabela.frequencia[Mês]=$L$2,ROW(Tabela.frequencia[id])-1),ROW(A97)),1)</f>
        <v>#NUM!</v>
      </c>
      <c r="C144" s="229" t="e">
        <f t="array" ref="C144">INDEX(Tabela.frequencia[],SMALL(IF(Tabela.frequencia[Mês]=$L$2,ROW(Tabela.frequencia[id])-1),ROW(A97)),4)</f>
        <v>#NUM!</v>
      </c>
      <c r="D144" s="228"/>
      <c r="E144" s="176" t="str">
        <f>IFERROR(VLOOKUP(D144,Tabela.cadastro[[ID]:[Nome]],2,0),"")</f>
        <v/>
      </c>
      <c r="F144" s="177" t="str">
        <f>IFERROR(VLOOKUP(D144,Tabela66[#All],2,0),"")</f>
        <v/>
      </c>
      <c r="G144" s="177" t="str">
        <f>IFERROR(VLOOKUP(D144,Tabela.cadastro[[ID]:[CP ou M]],5,0),"")</f>
        <v/>
      </c>
      <c r="H144" s="177" t="str">
        <f>IFERROR(VLOOKUP(D144,Cadastros!A:F,6,0),"")</f>
        <v/>
      </c>
      <c r="I144" s="177" t="str">
        <f>IFERROR(VLOOKUP(D144,Cadastros!A:I,9,0),"")</f>
        <v/>
      </c>
      <c r="J144" s="177" t="str">
        <f>IFERROR(VLOOKUP(D144,Cadastros!A:J,10,0),"")</f>
        <v/>
      </c>
      <c r="K144" s="177" t="str">
        <f>IF(COUNTIF(Tabela66[id],D144)=0,"",COUNTIF(Tabela66[id],D144))</f>
        <v/>
      </c>
      <c r="L144" s="198"/>
      <c r="M144" s="227" t="str">
        <f t="shared" si="10"/>
        <v/>
      </c>
      <c r="P144" s="176" t="str">
        <f>IFERROR(VLOOKUP(O144,Cadastros!A:B,2),"")</f>
        <v/>
      </c>
      <c r="Q144" s="177" t="str">
        <f t="shared" si="6"/>
        <v/>
      </c>
      <c r="R144" s="177" t="str">
        <f>IFERROR(VLOOKUP(O144,Cadastros!A:E,5,0),"")</f>
        <v/>
      </c>
      <c r="S144" s="177" t="str">
        <f>IFERROR(VLOOKUP(O144,Cadastros!A:F,6,0),"")</f>
        <v/>
      </c>
      <c r="T144" s="177" t="str">
        <f>IFERROR(VLOOKUP(O144,Cadastros!A:I,9,0),"")</f>
        <v/>
      </c>
      <c r="U144" s="177" t="str">
        <f t="shared" si="7"/>
        <v/>
      </c>
      <c r="V144" s="177" t="str">
        <f t="shared" si="8"/>
        <v/>
      </c>
      <c r="W144" s="177" t="str">
        <f t="shared" si="9"/>
        <v/>
      </c>
      <c r="Y144" s="240" t="e">
        <f t="array" ref="Y144">INDEX(Tabela.abordagens[],SMALL(IF(Tabela.abordagens[Mês]=$L$2,ROW(Tabela.abordagens[id])-2),ROW(A97)),1)</f>
        <v>#NUM!</v>
      </c>
      <c r="Z144" s="240" t="e">
        <f t="array" ref="Z144">INDEX(Tabela.abordagens[],SMALL(IF(Tabela.abordagens[Mês]=$L$2,ROW(Tabela.abordagens[Idade])-2),ROW(A97)),6)</f>
        <v>#NUM!</v>
      </c>
      <c r="AA144" s="240" t="e">
        <f t="array" ref="AA144">INDEX(Tabela.abordagens[],SMALL(IF(Tabela.abordagens[Mês]=$L$2,ROW(Tabela.abordagens[Idade])-2),ROW(A97)),4)</f>
        <v>#NUM!</v>
      </c>
      <c r="AB144" s="240" t="e">
        <f t="array" ref="AB144">INDEX(Tabela.abordagens[],SMALL(IF(Tabela.abordagens[Mês]=$L$2,ROW(Tabela.abordagens[Idade])-2),ROW(A97)),5)</f>
        <v>#NUM!</v>
      </c>
    </row>
    <row r="145" spans="2:28" ht="15" x14ac:dyDescent="0.25">
      <c r="B145" s="223" t="e">
        <f t="array" ref="B145">INDEX(Tabela.frequencia[],SMALL(IF(Tabela.frequencia[Mês]=$L$2,ROW(Tabela.frequencia[id])-1),ROW(A98)),1)</f>
        <v>#NUM!</v>
      </c>
      <c r="C145" s="229" t="e">
        <f t="array" ref="C145">INDEX(Tabela.frequencia[],SMALL(IF(Tabela.frequencia[Mês]=$L$2,ROW(Tabela.frequencia[id])-1),ROW(A98)),4)</f>
        <v>#NUM!</v>
      </c>
      <c r="D145" s="228"/>
      <c r="E145" s="176" t="str">
        <f>IFERROR(VLOOKUP(D145,Tabela.cadastro[[ID]:[Nome]],2,0),"")</f>
        <v/>
      </c>
      <c r="F145" s="177" t="str">
        <f>IFERROR(VLOOKUP(D145,Tabela66[#All],2,0),"")</f>
        <v/>
      </c>
      <c r="G145" s="177" t="str">
        <f>IFERROR(VLOOKUP(D145,Tabela.cadastro[[ID]:[CP ou M]],5,0),"")</f>
        <v/>
      </c>
      <c r="H145" s="177" t="str">
        <f>IFERROR(VLOOKUP(D145,Cadastros!A:F,6,0),"")</f>
        <v/>
      </c>
      <c r="I145" s="177" t="str">
        <f>IFERROR(VLOOKUP(D145,Cadastros!A:I,9,0),"")</f>
        <v/>
      </c>
      <c r="J145" s="177" t="str">
        <f>IFERROR(VLOOKUP(D145,Cadastros!A:J,10,0),"")</f>
        <v/>
      </c>
      <c r="K145" s="177" t="str">
        <f>IF(COUNTIF(Tabela66[id],D145)=0,"",COUNTIF(Tabela66[id],D145))</f>
        <v/>
      </c>
      <c r="L145" s="198"/>
      <c r="M145" s="227" t="str">
        <f t="shared" si="10"/>
        <v/>
      </c>
      <c r="P145" s="176" t="str">
        <f>IFERROR(VLOOKUP(O145,Cadastros!A:B,2),"")</f>
        <v/>
      </c>
      <c r="Q145" s="177" t="str">
        <f t="shared" si="6"/>
        <v/>
      </c>
      <c r="R145" s="177" t="str">
        <f>IFERROR(VLOOKUP(O145,Cadastros!A:E,5,0),"")</f>
        <v/>
      </c>
      <c r="S145" s="177" t="str">
        <f>IFERROR(VLOOKUP(O145,Cadastros!A:F,6,0),"")</f>
        <v/>
      </c>
      <c r="T145" s="177" t="str">
        <f>IFERROR(VLOOKUP(O145,Cadastros!A:I,9,0),"")</f>
        <v/>
      </c>
      <c r="U145" s="177" t="str">
        <f t="shared" si="7"/>
        <v/>
      </c>
      <c r="V145" s="177" t="str">
        <f t="shared" si="8"/>
        <v/>
      </c>
      <c r="W145" s="177" t="str">
        <f t="shared" si="9"/>
        <v/>
      </c>
      <c r="Y145" s="240" t="e">
        <f t="array" ref="Y145">INDEX(Tabela.abordagens[],SMALL(IF(Tabela.abordagens[Mês]=$L$2,ROW(Tabela.abordagens[id])-2),ROW(A98)),1)</f>
        <v>#NUM!</v>
      </c>
      <c r="Z145" s="240" t="e">
        <f t="array" ref="Z145">INDEX(Tabela.abordagens[],SMALL(IF(Tabela.abordagens[Mês]=$L$2,ROW(Tabela.abordagens[Idade])-2),ROW(A98)),6)</f>
        <v>#NUM!</v>
      </c>
      <c r="AA145" s="240" t="e">
        <f t="array" ref="AA145">INDEX(Tabela.abordagens[],SMALL(IF(Tabela.abordagens[Mês]=$L$2,ROW(Tabela.abordagens[Idade])-2),ROW(A98)),4)</f>
        <v>#NUM!</v>
      </c>
      <c r="AB145" s="240" t="e">
        <f t="array" ref="AB145">INDEX(Tabela.abordagens[],SMALL(IF(Tabela.abordagens[Mês]=$L$2,ROW(Tabela.abordagens[Idade])-2),ROW(A98)),5)</f>
        <v>#NUM!</v>
      </c>
    </row>
    <row r="146" spans="2:28" ht="15" x14ac:dyDescent="0.25">
      <c r="B146" s="223" t="e">
        <f t="array" ref="B146">INDEX(Tabela.frequencia[],SMALL(IF(Tabela.frequencia[Mês]=$L$2,ROW(Tabela.frequencia[id])-1),ROW(A99)),1)</f>
        <v>#NUM!</v>
      </c>
      <c r="C146" s="229" t="e">
        <f t="array" ref="C146">INDEX(Tabela.frequencia[],SMALL(IF(Tabela.frequencia[Mês]=$L$2,ROW(Tabela.frequencia[id])-1),ROW(A99)),4)</f>
        <v>#NUM!</v>
      </c>
      <c r="D146" s="228"/>
      <c r="E146" s="176" t="str">
        <f>IFERROR(VLOOKUP(D146,Tabela.cadastro[[ID]:[Nome]],2,0),"")</f>
        <v/>
      </c>
      <c r="F146" s="177" t="str">
        <f>IFERROR(VLOOKUP(D146,Tabela66[#All],2,0),"")</f>
        <v/>
      </c>
      <c r="G146" s="177" t="str">
        <f>IFERROR(VLOOKUP(D146,Tabela.cadastro[[ID]:[CP ou M]],5,0),"")</f>
        <v/>
      </c>
      <c r="H146" s="177" t="str">
        <f>IFERROR(VLOOKUP(D146,Cadastros!A:F,6,0),"")</f>
        <v/>
      </c>
      <c r="I146" s="177" t="str">
        <f>IFERROR(VLOOKUP(D146,Cadastros!A:I,9,0),"")</f>
        <v/>
      </c>
      <c r="J146" s="177" t="str">
        <f>IFERROR(VLOOKUP(D146,Cadastros!A:J,10,0),"")</f>
        <v/>
      </c>
      <c r="K146" s="177" t="str">
        <f>IF(COUNTIF(Tabela66[id],D146)=0,"",COUNTIF(Tabela66[id],D146))</f>
        <v/>
      </c>
      <c r="L146" s="198"/>
      <c r="M146" s="227" t="str">
        <f t="shared" si="10"/>
        <v/>
      </c>
      <c r="P146" s="176" t="str">
        <f>IFERROR(VLOOKUP(O146,Cadastros!A:B,2),"")</f>
        <v/>
      </c>
      <c r="Q146" s="177" t="str">
        <f t="shared" si="6"/>
        <v/>
      </c>
      <c r="R146" s="177" t="str">
        <f>IFERROR(VLOOKUP(O146,Cadastros!A:E,5,0),"")</f>
        <v/>
      </c>
      <c r="S146" s="177" t="str">
        <f>IFERROR(VLOOKUP(O146,Cadastros!A:F,6,0),"")</f>
        <v/>
      </c>
      <c r="T146" s="177" t="str">
        <f>IFERROR(VLOOKUP(O146,Cadastros!A:I,9,0),"")</f>
        <v/>
      </c>
      <c r="U146" s="177" t="str">
        <f t="shared" si="7"/>
        <v/>
      </c>
      <c r="V146" s="177" t="str">
        <f t="shared" si="8"/>
        <v/>
      </c>
      <c r="W146" s="177" t="str">
        <f t="shared" si="9"/>
        <v/>
      </c>
      <c r="Y146" s="240" t="e">
        <f t="array" ref="Y146">INDEX(Tabela.abordagens[],SMALL(IF(Tabela.abordagens[Mês]=$L$2,ROW(Tabela.abordagens[id])-2),ROW(A99)),1)</f>
        <v>#NUM!</v>
      </c>
      <c r="Z146" s="240" t="e">
        <f t="array" ref="Z146">INDEX(Tabela.abordagens[],SMALL(IF(Tabela.abordagens[Mês]=$L$2,ROW(Tabela.abordagens[Idade])-2),ROW(A99)),6)</f>
        <v>#NUM!</v>
      </c>
      <c r="AA146" s="240" t="e">
        <f t="array" ref="AA146">INDEX(Tabela.abordagens[],SMALL(IF(Tabela.abordagens[Mês]=$L$2,ROW(Tabela.abordagens[Idade])-2),ROW(A99)),4)</f>
        <v>#NUM!</v>
      </c>
      <c r="AB146" s="240" t="e">
        <f t="array" ref="AB146">INDEX(Tabela.abordagens[],SMALL(IF(Tabela.abordagens[Mês]=$L$2,ROW(Tabela.abordagens[Idade])-2),ROW(A99)),5)</f>
        <v>#NUM!</v>
      </c>
    </row>
    <row r="147" spans="2:28" ht="15" x14ac:dyDescent="0.25">
      <c r="B147" s="223" t="e">
        <f t="array" ref="B147">INDEX(Tabela.frequencia[],SMALL(IF(Tabela.frequencia[Mês]=$L$2,ROW(Tabela.frequencia[id])-1),ROW(A100)),1)</f>
        <v>#NUM!</v>
      </c>
      <c r="C147" s="229" t="e">
        <f t="array" ref="C147">INDEX(Tabela.frequencia[],SMALL(IF(Tabela.frequencia[Mês]=$L$2,ROW(Tabela.frequencia[id])-1),ROW(A100)),4)</f>
        <v>#NUM!</v>
      </c>
      <c r="D147" s="228"/>
      <c r="E147" s="176" t="str">
        <f>IFERROR(VLOOKUP(D147,Tabela.cadastro[[ID]:[Nome]],2,0),"")</f>
        <v/>
      </c>
      <c r="F147" s="177" t="str">
        <f>IFERROR(VLOOKUP(D147,Tabela66[#All],2,0),"")</f>
        <v/>
      </c>
      <c r="G147" s="177" t="str">
        <f>IFERROR(VLOOKUP(D147,Tabela.cadastro[[ID]:[CP ou M]],5,0),"")</f>
        <v/>
      </c>
      <c r="H147" s="177" t="str">
        <f>IFERROR(VLOOKUP(D147,Cadastros!A:F,6,0),"")</f>
        <v/>
      </c>
      <c r="I147" s="177" t="str">
        <f>IFERROR(VLOOKUP(D147,Cadastros!A:I,9,0),"")</f>
        <v/>
      </c>
      <c r="J147" s="177" t="str">
        <f>IFERROR(VLOOKUP(D147,Cadastros!A:J,10,0),"")</f>
        <v/>
      </c>
      <c r="K147" s="177" t="str">
        <f>IF(COUNTIF(Tabela66[id],D147)=0,"",COUNTIF(Tabela66[id],D147))</f>
        <v/>
      </c>
      <c r="L147" s="198"/>
      <c r="M147" s="227" t="str">
        <f t="shared" si="10"/>
        <v/>
      </c>
      <c r="P147" s="176" t="str">
        <f>IFERROR(VLOOKUP(O147,Cadastros!A:B,2),"")</f>
        <v/>
      </c>
      <c r="Q147" s="177" t="str">
        <f t="shared" si="6"/>
        <v/>
      </c>
      <c r="R147" s="177" t="str">
        <f>IFERROR(VLOOKUP(O147,Cadastros!A:E,5,0),"")</f>
        <v/>
      </c>
      <c r="S147" s="177" t="str">
        <f>IFERROR(VLOOKUP(O147,Cadastros!A:F,6,0),"")</f>
        <v/>
      </c>
      <c r="T147" s="177" t="str">
        <f>IFERROR(VLOOKUP(O147,Cadastros!A:I,9,0),"")</f>
        <v/>
      </c>
      <c r="U147" s="177" t="str">
        <f t="shared" si="7"/>
        <v/>
      </c>
      <c r="V147" s="177" t="str">
        <f t="shared" si="8"/>
        <v/>
      </c>
      <c r="W147" s="177" t="str">
        <f t="shared" si="9"/>
        <v/>
      </c>
      <c r="Y147" s="240" t="e">
        <f t="array" ref="Y147">INDEX(Tabela.abordagens[],SMALL(IF(Tabela.abordagens[Mês]=$L$2,ROW(Tabela.abordagens[id])-2),ROW(A100)),1)</f>
        <v>#NUM!</v>
      </c>
      <c r="Z147" s="240" t="e">
        <f t="array" ref="Z147">INDEX(Tabela.abordagens[],SMALL(IF(Tabela.abordagens[Mês]=$L$2,ROW(Tabela.abordagens[Idade])-2),ROW(A100)),6)</f>
        <v>#NUM!</v>
      </c>
      <c r="AA147" s="240" t="e">
        <f t="array" ref="AA147">INDEX(Tabela.abordagens[],SMALL(IF(Tabela.abordagens[Mês]=$L$2,ROW(Tabela.abordagens[Idade])-2),ROW(A100)),4)</f>
        <v>#NUM!</v>
      </c>
      <c r="AB147" s="240" t="e">
        <f t="array" ref="AB147">INDEX(Tabela.abordagens[],SMALL(IF(Tabela.abordagens[Mês]=$L$2,ROW(Tabela.abordagens[Idade])-2),ROW(A100)),5)</f>
        <v>#NUM!</v>
      </c>
    </row>
    <row r="148" spans="2:28" ht="15" x14ac:dyDescent="0.25">
      <c r="B148" s="223" t="e">
        <f t="array" ref="B148">INDEX(Tabela.frequencia[],SMALL(IF(Tabela.frequencia[Mês]=$L$2,ROW(Tabela.frequencia[id])-1),ROW(A101)),1)</f>
        <v>#NUM!</v>
      </c>
      <c r="C148" s="229" t="e">
        <f t="array" ref="C148">INDEX(Tabela.frequencia[],SMALL(IF(Tabela.frequencia[Mês]=$L$2,ROW(Tabela.frequencia[id])-1),ROW(A101)),4)</f>
        <v>#NUM!</v>
      </c>
      <c r="D148" s="228"/>
      <c r="E148" s="176" t="str">
        <f>IFERROR(VLOOKUP(D148,Tabela.cadastro[[ID]:[Nome]],2,0),"")</f>
        <v/>
      </c>
      <c r="F148" s="177" t="str">
        <f>IFERROR(VLOOKUP(D148,Tabela66[#All],2,0),"")</f>
        <v/>
      </c>
      <c r="G148" s="177" t="str">
        <f>IFERROR(VLOOKUP(D148,Tabela.cadastro[[ID]:[CP ou M]],5,0),"")</f>
        <v/>
      </c>
      <c r="H148" s="177" t="str">
        <f>IFERROR(VLOOKUP(D148,Cadastros!A:F,6,0),"")</f>
        <v/>
      </c>
      <c r="I148" s="177" t="str">
        <f>IFERROR(VLOOKUP(D148,Cadastros!A:I,9,0),"")</f>
        <v/>
      </c>
      <c r="J148" s="177" t="str">
        <f>IFERROR(VLOOKUP(D148,Cadastros!A:J,10,0),"")</f>
        <v/>
      </c>
      <c r="K148" s="177" t="str">
        <f>IF(COUNTIF(Tabela66[id],D148)=0,"",COUNTIF(Tabela66[id],D148))</f>
        <v/>
      </c>
      <c r="L148" s="198"/>
      <c r="M148" s="227" t="str">
        <f t="shared" si="10"/>
        <v/>
      </c>
      <c r="P148" s="176" t="str">
        <f>IFERROR(VLOOKUP(O148,Cadastros!A:B,2),"")</f>
        <v/>
      </c>
      <c r="Q148" s="177" t="str">
        <f t="shared" si="6"/>
        <v/>
      </c>
      <c r="R148" s="177" t="str">
        <f>IFERROR(VLOOKUP(O148,Cadastros!A:E,5,0),"")</f>
        <v/>
      </c>
      <c r="S148" s="177" t="str">
        <f>IFERROR(VLOOKUP(O148,Cadastros!A:F,6,0),"")</f>
        <v/>
      </c>
      <c r="T148" s="177" t="str">
        <f>IFERROR(VLOOKUP(O148,Cadastros!A:I,9,0),"")</f>
        <v/>
      </c>
      <c r="U148" s="177" t="str">
        <f t="shared" si="7"/>
        <v/>
      </c>
      <c r="V148" s="177" t="str">
        <f t="shared" si="8"/>
        <v/>
      </c>
      <c r="W148" s="177" t="str">
        <f t="shared" si="9"/>
        <v/>
      </c>
      <c r="Y148" s="240" t="e">
        <f t="array" ref="Y148">INDEX(Tabela.abordagens[],SMALL(IF(Tabela.abordagens[Mês]=$L$2,ROW(Tabela.abordagens[id])-2),ROW(A101)),1)</f>
        <v>#NUM!</v>
      </c>
      <c r="Z148" s="240" t="e">
        <f t="array" ref="Z148">INDEX(Tabela.abordagens[],SMALL(IF(Tabela.abordagens[Mês]=$L$2,ROW(Tabela.abordagens[Idade])-2),ROW(A101)),6)</f>
        <v>#NUM!</v>
      </c>
      <c r="AA148" s="240" t="e">
        <f t="array" ref="AA148">INDEX(Tabela.abordagens[],SMALL(IF(Tabela.abordagens[Mês]=$L$2,ROW(Tabela.abordagens[Idade])-2),ROW(A101)),4)</f>
        <v>#NUM!</v>
      </c>
      <c r="AB148" s="240" t="e">
        <f t="array" ref="AB148">INDEX(Tabela.abordagens[],SMALL(IF(Tabela.abordagens[Mês]=$L$2,ROW(Tabela.abordagens[Idade])-2),ROW(A101)),5)</f>
        <v>#NUM!</v>
      </c>
    </row>
    <row r="149" spans="2:28" ht="15" x14ac:dyDescent="0.25">
      <c r="B149" s="223" t="e">
        <f t="array" ref="B149">INDEX(Tabela.frequencia[],SMALL(IF(Tabela.frequencia[Mês]=$L$2,ROW(Tabela.frequencia[id])-1),ROW(A102)),1)</f>
        <v>#NUM!</v>
      </c>
      <c r="C149" s="229" t="e">
        <f t="array" ref="C149">INDEX(Tabela.frequencia[],SMALL(IF(Tabela.frequencia[Mês]=$L$2,ROW(Tabela.frequencia[id])-1),ROW(A102)),4)</f>
        <v>#NUM!</v>
      </c>
      <c r="D149" s="228"/>
      <c r="E149" s="176" t="str">
        <f>IFERROR(VLOOKUP(D149,Tabela.cadastro[[ID]:[Nome]],2,0),"")</f>
        <v/>
      </c>
      <c r="F149" s="177" t="str">
        <f>IFERROR(VLOOKUP(D149,Tabela66[#All],2,0),"")</f>
        <v/>
      </c>
      <c r="G149" s="177" t="str">
        <f>IFERROR(VLOOKUP(D149,Tabela.cadastro[[ID]:[CP ou M]],5,0),"")</f>
        <v/>
      </c>
      <c r="H149" s="177" t="str">
        <f>IFERROR(VLOOKUP(D149,Cadastros!A:F,6,0),"")</f>
        <v/>
      </c>
      <c r="I149" s="177" t="str">
        <f>IFERROR(VLOOKUP(D149,Cadastros!A:I,9,0),"")</f>
        <v/>
      </c>
      <c r="J149" s="177" t="str">
        <f>IFERROR(VLOOKUP(D149,Cadastros!A:J,10,0),"")</f>
        <v/>
      </c>
      <c r="K149" s="177" t="str">
        <f>IF(COUNTIF(Tabela66[id],D149)=0,"",COUNTIF(Tabela66[id],D149))</f>
        <v/>
      </c>
      <c r="L149" s="198"/>
      <c r="M149" s="227" t="str">
        <f t="shared" si="10"/>
        <v/>
      </c>
      <c r="P149" s="176" t="str">
        <f>IFERROR(VLOOKUP(O149,Cadastros!A:B,2),"")</f>
        <v/>
      </c>
      <c r="Q149" s="177" t="str">
        <f t="shared" si="6"/>
        <v/>
      </c>
      <c r="R149" s="177" t="str">
        <f>IFERROR(VLOOKUP(O149,Cadastros!A:E,5,0),"")</f>
        <v/>
      </c>
      <c r="S149" s="177" t="str">
        <f>IFERROR(VLOOKUP(O149,Cadastros!A:F,6,0),"")</f>
        <v/>
      </c>
      <c r="T149" s="177" t="str">
        <f>IFERROR(VLOOKUP(O149,Cadastros!A:I,9,0),"")</f>
        <v/>
      </c>
      <c r="U149" s="177" t="str">
        <f t="shared" si="7"/>
        <v/>
      </c>
      <c r="V149" s="177" t="str">
        <f t="shared" si="8"/>
        <v/>
      </c>
      <c r="W149" s="177" t="str">
        <f t="shared" si="9"/>
        <v/>
      </c>
      <c r="Y149" s="240" t="e">
        <f t="array" ref="Y149">INDEX(Tabela.abordagens[],SMALL(IF(Tabela.abordagens[Mês]=$L$2,ROW(Tabela.abordagens[id])-2),ROW(A102)),1)</f>
        <v>#NUM!</v>
      </c>
      <c r="Z149" s="240" t="e">
        <f t="array" ref="Z149">INDEX(Tabela.abordagens[],SMALL(IF(Tabela.abordagens[Mês]=$L$2,ROW(Tabela.abordagens[Idade])-2),ROW(A102)),6)</f>
        <v>#NUM!</v>
      </c>
      <c r="AA149" s="240" t="e">
        <f t="array" ref="AA149">INDEX(Tabela.abordagens[],SMALL(IF(Tabela.abordagens[Mês]=$L$2,ROW(Tabela.abordagens[Idade])-2),ROW(A102)),4)</f>
        <v>#NUM!</v>
      </c>
      <c r="AB149" s="240" t="e">
        <f t="array" ref="AB149">INDEX(Tabela.abordagens[],SMALL(IF(Tabela.abordagens[Mês]=$L$2,ROW(Tabela.abordagens[Idade])-2),ROW(A102)),5)</f>
        <v>#NUM!</v>
      </c>
    </row>
    <row r="150" spans="2:28" ht="15" x14ac:dyDescent="0.25">
      <c r="B150" s="223" t="e">
        <f t="array" ref="B150">INDEX(Tabela.frequencia[],SMALL(IF(Tabela.frequencia[Mês]=$L$2,ROW(Tabela.frequencia[id])-1),ROW(A103)),1)</f>
        <v>#NUM!</v>
      </c>
      <c r="C150" s="229" t="e">
        <f t="array" ref="C150">INDEX(Tabela.frequencia[],SMALL(IF(Tabela.frequencia[Mês]=$L$2,ROW(Tabela.frequencia[id])-1),ROW(A103)),4)</f>
        <v>#NUM!</v>
      </c>
      <c r="D150" s="228"/>
      <c r="E150" s="176" t="str">
        <f>IFERROR(VLOOKUP(D150,Tabela.cadastro[[ID]:[Nome]],2,0),"")</f>
        <v/>
      </c>
      <c r="F150" s="177" t="str">
        <f>IFERROR(VLOOKUP(D150,Tabela66[#All],2,0),"")</f>
        <v/>
      </c>
      <c r="G150" s="177" t="str">
        <f>IFERROR(VLOOKUP(D150,Tabela.cadastro[[ID]:[CP ou M]],5,0),"")</f>
        <v/>
      </c>
      <c r="H150" s="177" t="str">
        <f>IFERROR(VLOOKUP(D150,Cadastros!A:F,6,0),"")</f>
        <v/>
      </c>
      <c r="I150" s="177" t="str">
        <f>IFERROR(VLOOKUP(D150,Cadastros!A:I,9,0),"")</f>
        <v/>
      </c>
      <c r="J150" s="177" t="str">
        <f>IFERROR(VLOOKUP(D150,Cadastros!A:J,10,0),"")</f>
        <v/>
      </c>
      <c r="K150" s="177" t="str">
        <f>IF(COUNTIF(Tabela66[id],D150)=0,"",COUNTIF(Tabela66[id],D150))</f>
        <v/>
      </c>
      <c r="L150" s="198"/>
      <c r="M150" s="227" t="str">
        <f t="shared" si="10"/>
        <v/>
      </c>
      <c r="P150" s="176" t="str">
        <f>IFERROR(VLOOKUP(O150,Cadastros!A:B,2),"")</f>
        <v/>
      </c>
      <c r="Q150" s="177" t="str">
        <f t="shared" si="6"/>
        <v/>
      </c>
      <c r="R150" s="177" t="str">
        <f>IFERROR(VLOOKUP(O150,Cadastros!A:E,5,0),"")</f>
        <v/>
      </c>
      <c r="S150" s="177" t="str">
        <f>IFERROR(VLOOKUP(O150,Cadastros!A:F,6,0),"")</f>
        <v/>
      </c>
      <c r="T150" s="177" t="str">
        <f>IFERROR(VLOOKUP(O150,Cadastros!A:I,9,0),"")</f>
        <v/>
      </c>
      <c r="U150" s="177" t="str">
        <f t="shared" si="7"/>
        <v/>
      </c>
      <c r="V150" s="177" t="str">
        <f t="shared" si="8"/>
        <v/>
      </c>
      <c r="W150" s="177" t="str">
        <f t="shared" si="9"/>
        <v/>
      </c>
      <c r="Y150" s="240" t="e">
        <f t="array" ref="Y150">INDEX(Tabela.abordagens[],SMALL(IF(Tabela.abordagens[Mês]=$L$2,ROW(Tabela.abordagens[id])-2),ROW(A103)),1)</f>
        <v>#NUM!</v>
      </c>
      <c r="Z150" s="240" t="e">
        <f t="array" ref="Z150">INDEX(Tabela.abordagens[],SMALL(IF(Tabela.abordagens[Mês]=$L$2,ROW(Tabela.abordagens[Idade])-2),ROW(A103)),6)</f>
        <v>#NUM!</v>
      </c>
      <c r="AA150" s="240" t="e">
        <f t="array" ref="AA150">INDEX(Tabela.abordagens[],SMALL(IF(Tabela.abordagens[Mês]=$L$2,ROW(Tabela.abordagens[Idade])-2),ROW(A103)),4)</f>
        <v>#NUM!</v>
      </c>
      <c r="AB150" s="240" t="e">
        <f t="array" ref="AB150">INDEX(Tabela.abordagens[],SMALL(IF(Tabela.abordagens[Mês]=$L$2,ROW(Tabela.abordagens[Idade])-2),ROW(A103)),5)</f>
        <v>#NUM!</v>
      </c>
    </row>
    <row r="151" spans="2:28" ht="15" x14ac:dyDescent="0.25">
      <c r="B151" s="223" t="e">
        <f t="array" ref="B151">INDEX(Tabela.frequencia[],SMALL(IF(Tabela.frequencia[Mês]=$L$2,ROW(Tabela.frequencia[id])-1),ROW(A104)),1)</f>
        <v>#NUM!</v>
      </c>
      <c r="C151" s="229" t="e">
        <f t="array" ref="C151">INDEX(Tabela.frequencia[],SMALL(IF(Tabela.frequencia[Mês]=$L$2,ROW(Tabela.frequencia[id])-1),ROW(A104)),4)</f>
        <v>#NUM!</v>
      </c>
      <c r="D151" s="228"/>
      <c r="E151" s="176" t="str">
        <f>IFERROR(VLOOKUP(D151,Tabela.cadastro[[ID]:[Nome]],2,0),"")</f>
        <v/>
      </c>
      <c r="F151" s="177" t="str">
        <f>IFERROR(VLOOKUP(D151,Tabela66[#All],2,0),"")</f>
        <v/>
      </c>
      <c r="G151" s="177" t="str">
        <f>IFERROR(VLOOKUP(D151,Tabela.cadastro[[ID]:[CP ou M]],5,0),"")</f>
        <v/>
      </c>
      <c r="H151" s="177" t="str">
        <f>IFERROR(VLOOKUP(D151,Cadastros!A:F,6,0),"")</f>
        <v/>
      </c>
      <c r="I151" s="177" t="str">
        <f>IFERROR(VLOOKUP(D151,Cadastros!A:I,9,0),"")</f>
        <v/>
      </c>
      <c r="J151" s="177" t="str">
        <f>IFERROR(VLOOKUP(D151,Cadastros!A:J,10,0),"")</f>
        <v/>
      </c>
      <c r="K151" s="177" t="str">
        <f>IF(COUNTIF(Tabela66[id],D151)=0,"",COUNTIF(Tabela66[id],D151))</f>
        <v/>
      </c>
      <c r="L151" s="198"/>
      <c r="M151" s="227" t="str">
        <f t="shared" si="10"/>
        <v/>
      </c>
      <c r="P151" s="176" t="str">
        <f>IFERROR(VLOOKUP(O151,Cadastros!A:B,2),"")</f>
        <v/>
      </c>
      <c r="Q151" s="177" t="str">
        <f t="shared" si="6"/>
        <v/>
      </c>
      <c r="R151" s="177" t="str">
        <f>IFERROR(VLOOKUP(O151,Cadastros!A:E,5,0),"")</f>
        <v/>
      </c>
      <c r="S151" s="177" t="str">
        <f>IFERROR(VLOOKUP(O151,Cadastros!A:F,6,0),"")</f>
        <v/>
      </c>
      <c r="T151" s="177" t="str">
        <f>IFERROR(VLOOKUP(O151,Cadastros!A:I,9,0),"")</f>
        <v/>
      </c>
      <c r="U151" s="177" t="str">
        <f t="shared" si="7"/>
        <v/>
      </c>
      <c r="V151" s="177" t="str">
        <f t="shared" si="8"/>
        <v/>
      </c>
      <c r="W151" s="177" t="str">
        <f t="shared" si="9"/>
        <v/>
      </c>
      <c r="Y151" s="240" t="e">
        <f t="array" ref="Y151">INDEX(Tabela.abordagens[],SMALL(IF(Tabela.abordagens[Mês]=$L$2,ROW(Tabela.abordagens[id])-2),ROW(A104)),1)</f>
        <v>#NUM!</v>
      </c>
      <c r="Z151" s="240" t="e">
        <f t="array" ref="Z151">INDEX(Tabela.abordagens[],SMALL(IF(Tabela.abordagens[Mês]=$L$2,ROW(Tabela.abordagens[Idade])-2),ROW(A104)),6)</f>
        <v>#NUM!</v>
      </c>
      <c r="AA151" s="240" t="e">
        <f t="array" ref="AA151">INDEX(Tabela.abordagens[],SMALL(IF(Tabela.abordagens[Mês]=$L$2,ROW(Tabela.abordagens[Idade])-2),ROW(A104)),4)</f>
        <v>#NUM!</v>
      </c>
      <c r="AB151" s="240" t="e">
        <f t="array" ref="AB151">INDEX(Tabela.abordagens[],SMALL(IF(Tabela.abordagens[Mês]=$L$2,ROW(Tabela.abordagens[Idade])-2),ROW(A104)),5)</f>
        <v>#NUM!</v>
      </c>
    </row>
    <row r="152" spans="2:28" ht="15" x14ac:dyDescent="0.25">
      <c r="B152" s="223" t="e">
        <f t="array" ref="B152">INDEX(Tabela.frequencia[],SMALL(IF(Tabela.frequencia[Mês]=$L$2,ROW(Tabela.frequencia[id])-1),ROW(A105)),1)</f>
        <v>#NUM!</v>
      </c>
      <c r="C152" s="229" t="e">
        <f t="array" ref="C152">INDEX(Tabela.frequencia[],SMALL(IF(Tabela.frequencia[Mês]=$L$2,ROW(Tabela.frequencia[id])-1),ROW(A105)),4)</f>
        <v>#NUM!</v>
      </c>
      <c r="D152" s="228"/>
      <c r="E152" s="176" t="str">
        <f>IFERROR(VLOOKUP(D152,Tabela.cadastro[[ID]:[Nome]],2,0),"")</f>
        <v/>
      </c>
      <c r="F152" s="177" t="str">
        <f>IFERROR(VLOOKUP(D152,Tabela66[#All],2,0),"")</f>
        <v/>
      </c>
      <c r="G152" s="177" t="str">
        <f>IFERROR(VLOOKUP(D152,Tabela.cadastro[[ID]:[CP ou M]],5,0),"")</f>
        <v/>
      </c>
      <c r="H152" s="177" t="str">
        <f>IFERROR(VLOOKUP(D152,Cadastros!A:F,6,0),"")</f>
        <v/>
      </c>
      <c r="I152" s="177" t="str">
        <f>IFERROR(VLOOKUP(D152,Cadastros!A:I,9,0),"")</f>
        <v/>
      </c>
      <c r="J152" s="177" t="str">
        <f>IFERROR(VLOOKUP(D152,Cadastros!A:J,10,0),"")</f>
        <v/>
      </c>
      <c r="K152" s="177" t="str">
        <f>IF(COUNTIF(Tabela66[id],D152)=0,"",COUNTIF(Tabela66[id],D152))</f>
        <v/>
      </c>
      <c r="L152" s="198"/>
      <c r="M152" s="227" t="str">
        <f t="shared" si="10"/>
        <v/>
      </c>
      <c r="P152" s="176" t="str">
        <f>IFERROR(VLOOKUP(O152,Cadastros!A:B,2),"")</f>
        <v/>
      </c>
      <c r="Q152" s="177" t="str">
        <f t="shared" si="6"/>
        <v/>
      </c>
      <c r="R152" s="177" t="str">
        <f>IFERROR(VLOOKUP(O152,Cadastros!A:E,5,0),"")</f>
        <v/>
      </c>
      <c r="S152" s="177" t="str">
        <f>IFERROR(VLOOKUP(O152,Cadastros!A:F,6,0),"")</f>
        <v/>
      </c>
      <c r="T152" s="177" t="str">
        <f>IFERROR(VLOOKUP(O152,Cadastros!A:I,9,0),"")</f>
        <v/>
      </c>
      <c r="U152" s="177" t="str">
        <f t="shared" si="7"/>
        <v/>
      </c>
      <c r="V152" s="177" t="str">
        <f t="shared" si="8"/>
        <v/>
      </c>
      <c r="W152" s="177" t="str">
        <f t="shared" si="9"/>
        <v/>
      </c>
      <c r="Y152" s="240" t="e">
        <f t="array" ref="Y152">INDEX(Tabela.abordagens[],SMALL(IF(Tabela.abordagens[Mês]=$L$2,ROW(Tabela.abordagens[id])-2),ROW(A105)),1)</f>
        <v>#NUM!</v>
      </c>
      <c r="Z152" s="240" t="e">
        <f t="array" ref="Z152">INDEX(Tabela.abordagens[],SMALL(IF(Tabela.abordagens[Mês]=$L$2,ROW(Tabela.abordagens[Idade])-2),ROW(A105)),6)</f>
        <v>#NUM!</v>
      </c>
      <c r="AA152" s="240" t="e">
        <f t="array" ref="AA152">INDEX(Tabela.abordagens[],SMALL(IF(Tabela.abordagens[Mês]=$L$2,ROW(Tabela.abordagens[Idade])-2),ROW(A105)),4)</f>
        <v>#NUM!</v>
      </c>
      <c r="AB152" s="240" t="e">
        <f t="array" ref="AB152">INDEX(Tabela.abordagens[],SMALL(IF(Tabela.abordagens[Mês]=$L$2,ROW(Tabela.abordagens[Idade])-2),ROW(A105)),5)</f>
        <v>#NUM!</v>
      </c>
    </row>
    <row r="153" spans="2:28" ht="15" x14ac:dyDescent="0.25">
      <c r="B153" s="223" t="e">
        <f t="array" ref="B153">INDEX(Tabela.frequencia[],SMALL(IF(Tabela.frequencia[Mês]=$L$2,ROW(Tabela.frequencia[id])-1),ROW(A106)),1)</f>
        <v>#NUM!</v>
      </c>
      <c r="C153" s="229" t="e">
        <f t="array" ref="C153">INDEX(Tabela.frequencia[],SMALL(IF(Tabela.frequencia[Mês]=$L$2,ROW(Tabela.frequencia[id])-1),ROW(A106)),4)</f>
        <v>#NUM!</v>
      </c>
      <c r="E153" s="176" t="str">
        <f>IFERROR(VLOOKUP(D153,Tabela.cadastro[[ID]:[Nome]],2,0),"")</f>
        <v/>
      </c>
      <c r="F153" s="177" t="str">
        <f>IFERROR(VLOOKUP(D153,Tabela66[#All],2,0),"")</f>
        <v/>
      </c>
      <c r="G153" s="177" t="str">
        <f>IFERROR(VLOOKUP(D153,Tabela.cadastro[[ID]:[CP ou M]],5,0),"")</f>
        <v/>
      </c>
      <c r="H153" s="177" t="str">
        <f>IFERROR(VLOOKUP(D153,Cadastros!A:F,6,0),"")</f>
        <v/>
      </c>
      <c r="I153" s="177" t="str">
        <f>IFERROR(VLOOKUP(D153,Cadastros!A:I,9,0),"")</f>
        <v/>
      </c>
      <c r="J153" s="177" t="str">
        <f>IFERROR(VLOOKUP(D153,Cadastros!A:J,10,0),"")</f>
        <v/>
      </c>
      <c r="K153" s="177" t="str">
        <f>IF(COUNTIF(Tabela66[id],D153)=0,"",COUNTIF(Tabela66[id],D153))</f>
        <v/>
      </c>
      <c r="L153" s="198"/>
      <c r="M153" s="227" t="str">
        <f t="shared" si="10"/>
        <v/>
      </c>
      <c r="P153" s="176" t="str">
        <f>IFERROR(VLOOKUP(O153,Cadastros!A:B,2),"")</f>
        <v/>
      </c>
      <c r="Q153" s="177" t="str">
        <f t="shared" si="6"/>
        <v/>
      </c>
      <c r="R153" s="177" t="str">
        <f>IFERROR(VLOOKUP(O153,Cadastros!A:E,5,0),"")</f>
        <v/>
      </c>
      <c r="S153" s="177" t="str">
        <f>IFERROR(VLOOKUP(O153,Cadastros!A:F,6,0),"")</f>
        <v/>
      </c>
      <c r="T153" s="177" t="str">
        <f>IFERROR(VLOOKUP(O153,Cadastros!A:I,9,0),"")</f>
        <v/>
      </c>
      <c r="U153" s="177" t="str">
        <f t="shared" si="7"/>
        <v/>
      </c>
      <c r="V153" s="177" t="str">
        <f t="shared" si="8"/>
        <v/>
      </c>
      <c r="W153" s="177" t="str">
        <f t="shared" si="9"/>
        <v/>
      </c>
      <c r="Y153" s="240" t="e">
        <f t="array" ref="Y153">INDEX(Tabela.abordagens[],SMALL(IF(Tabela.abordagens[Mês]=$L$2,ROW(Tabela.abordagens[id])-2),ROW(A106)),1)</f>
        <v>#NUM!</v>
      </c>
      <c r="Z153" s="240" t="e">
        <f t="array" ref="Z153">INDEX(Tabela.abordagens[],SMALL(IF(Tabela.abordagens[Mês]=$L$2,ROW(Tabela.abordagens[Idade])-2),ROW(A106)),6)</f>
        <v>#NUM!</v>
      </c>
      <c r="AA153" s="240" t="e">
        <f t="array" ref="AA153">INDEX(Tabela.abordagens[],SMALL(IF(Tabela.abordagens[Mês]=$L$2,ROW(Tabela.abordagens[Idade])-2),ROW(A106)),4)</f>
        <v>#NUM!</v>
      </c>
      <c r="AB153" s="240" t="e">
        <f t="array" ref="AB153">INDEX(Tabela.abordagens[],SMALL(IF(Tabela.abordagens[Mês]=$L$2,ROW(Tabela.abordagens[Idade])-2),ROW(A106)),5)</f>
        <v>#NUM!</v>
      </c>
    </row>
    <row r="154" spans="2:28" ht="15" x14ac:dyDescent="0.25">
      <c r="B154" s="223" t="e">
        <f t="array" ref="B154">INDEX(Tabela.frequencia[],SMALL(IF(Tabela.frequencia[Mês]=$L$2,ROW(Tabela.frequencia[id])-1),ROW(A107)),1)</f>
        <v>#NUM!</v>
      </c>
      <c r="C154" s="229" t="e">
        <f t="array" ref="C154">INDEX(Tabela.frequencia[],SMALL(IF(Tabela.frequencia[Mês]=$L$2,ROW(Tabela.frequencia[id])-1),ROW(A107)),4)</f>
        <v>#NUM!</v>
      </c>
      <c r="E154" s="176" t="str">
        <f>IFERROR(VLOOKUP(D154,Tabela.cadastro[[ID]:[Nome]],2,0),"")</f>
        <v/>
      </c>
      <c r="F154" s="177" t="str">
        <f>IFERROR(VLOOKUP(D154,Tabela66[#All],2,0),"")</f>
        <v/>
      </c>
      <c r="G154" s="177" t="str">
        <f>IFERROR(VLOOKUP(D154,Tabela.cadastro[[ID]:[CP ou M]],5,0),"")</f>
        <v/>
      </c>
      <c r="H154" s="177" t="str">
        <f>IFERROR(VLOOKUP(D154,Cadastros!A:F,6,0),"")</f>
        <v/>
      </c>
      <c r="I154" s="177" t="str">
        <f>IFERROR(VLOOKUP(D154,Cadastros!A:I,9,0),"")</f>
        <v/>
      </c>
      <c r="J154" s="177" t="str">
        <f>IFERROR(VLOOKUP(D154,Cadastros!A:J,10,0),"")</f>
        <v/>
      </c>
      <c r="K154" s="177" t="str">
        <f>IF(COUNTIF(Tabela66[id],D154)=0,"",COUNTIF(Tabela66[id],D154))</f>
        <v/>
      </c>
      <c r="L154" s="198"/>
      <c r="M154" s="227" t="str">
        <f t="shared" si="10"/>
        <v/>
      </c>
      <c r="P154" s="176" t="str">
        <f>IFERROR(VLOOKUP(O154,Cadastros!A:B,2),"")</f>
        <v/>
      </c>
      <c r="Q154" s="177" t="str">
        <f t="shared" si="6"/>
        <v/>
      </c>
      <c r="R154" s="177" t="str">
        <f>IFERROR(VLOOKUP(O154,Cadastros!A:E,5,0),"")</f>
        <v/>
      </c>
      <c r="S154" s="177" t="str">
        <f>IFERROR(VLOOKUP(O154,Cadastros!A:F,6,0),"")</f>
        <v/>
      </c>
      <c r="T154" s="177" t="str">
        <f>IFERROR(VLOOKUP(O154,Cadastros!A:I,9,0),"")</f>
        <v/>
      </c>
      <c r="U154" s="177" t="str">
        <f t="shared" si="7"/>
        <v/>
      </c>
      <c r="V154" s="177" t="str">
        <f t="shared" si="8"/>
        <v/>
      </c>
      <c r="W154" s="177" t="str">
        <f t="shared" si="9"/>
        <v/>
      </c>
      <c r="Y154" s="240" t="e">
        <f t="array" ref="Y154">INDEX(Tabela.abordagens[],SMALL(IF(Tabela.abordagens[Mês]=$L$2,ROW(Tabela.abordagens[id])-2),ROW(A107)),1)</f>
        <v>#NUM!</v>
      </c>
      <c r="Z154" s="240" t="e">
        <f t="array" ref="Z154">INDEX(Tabela.abordagens[],SMALL(IF(Tabela.abordagens[Mês]=$L$2,ROW(Tabela.abordagens[Idade])-2),ROW(A107)),6)</f>
        <v>#NUM!</v>
      </c>
      <c r="AA154" s="240" t="e">
        <f t="array" ref="AA154">INDEX(Tabela.abordagens[],SMALL(IF(Tabela.abordagens[Mês]=$L$2,ROW(Tabela.abordagens[Idade])-2),ROW(A107)),4)</f>
        <v>#NUM!</v>
      </c>
      <c r="AB154" s="240" t="e">
        <f t="array" ref="AB154">INDEX(Tabela.abordagens[],SMALL(IF(Tabela.abordagens[Mês]=$L$2,ROW(Tabela.abordagens[Idade])-2),ROW(A107)),5)</f>
        <v>#NUM!</v>
      </c>
    </row>
    <row r="155" spans="2:28" ht="15" x14ac:dyDescent="0.25">
      <c r="B155" s="223" t="e">
        <f t="array" ref="B155">INDEX(Tabela.frequencia[],SMALL(IF(Tabela.frequencia[Mês]=$L$2,ROW(Tabela.frequencia[id])-1),ROW(A108)),1)</f>
        <v>#NUM!</v>
      </c>
      <c r="C155" s="229" t="e">
        <f t="array" ref="C155">INDEX(Tabela.frequencia[],SMALL(IF(Tabela.frequencia[Mês]=$L$2,ROW(Tabela.frequencia[id])-1),ROW(A108)),4)</f>
        <v>#NUM!</v>
      </c>
      <c r="E155" s="176" t="str">
        <f>IFERROR(VLOOKUP(D155,Tabela.cadastro[[ID]:[Nome]],2,0),"")</f>
        <v/>
      </c>
      <c r="F155" s="177" t="str">
        <f>IFERROR(VLOOKUP(D155,Tabela66[#All],2,0),"")</f>
        <v/>
      </c>
      <c r="G155" s="177" t="str">
        <f>IFERROR(VLOOKUP(D155,Tabela.cadastro[[ID]:[CP ou M]],5,0),"")</f>
        <v/>
      </c>
      <c r="H155" s="177" t="str">
        <f>IFERROR(VLOOKUP(D155,Cadastros!A:F,6,0),"")</f>
        <v/>
      </c>
      <c r="I155" s="177" t="str">
        <f>IFERROR(VLOOKUP(D155,Cadastros!A:I,9,0),"")</f>
        <v/>
      </c>
      <c r="J155" s="177" t="str">
        <f>IFERROR(VLOOKUP(D155,Cadastros!A:J,10,0),"")</f>
        <v/>
      </c>
      <c r="K155" s="177" t="str">
        <f>IF(COUNTIF(Tabela66[id],D155)=0,"",COUNTIF(Tabela66[id],D155))</f>
        <v/>
      </c>
      <c r="L155" s="198"/>
      <c r="M155" s="227" t="str">
        <f t="shared" si="10"/>
        <v/>
      </c>
      <c r="P155" s="176" t="str">
        <f>IFERROR(VLOOKUP(O155,Cadastros!A:B,2),"")</f>
        <v/>
      </c>
      <c r="Q155" s="177" t="str">
        <f t="shared" si="6"/>
        <v/>
      </c>
      <c r="R155" s="177" t="str">
        <f>IFERROR(VLOOKUP(O155,Cadastros!A:E,5,0),"")</f>
        <v/>
      </c>
      <c r="S155" s="177" t="str">
        <f>IFERROR(VLOOKUP(O155,Cadastros!A:F,6,0),"")</f>
        <v/>
      </c>
      <c r="T155" s="177" t="str">
        <f>IFERROR(VLOOKUP(O155,Cadastros!A:I,9,0),"")</f>
        <v/>
      </c>
      <c r="U155" s="177" t="str">
        <f t="shared" si="7"/>
        <v/>
      </c>
      <c r="V155" s="177" t="str">
        <f t="shared" si="8"/>
        <v/>
      </c>
      <c r="W155" s="177" t="str">
        <f t="shared" si="9"/>
        <v/>
      </c>
      <c r="Y155" s="240" t="e">
        <f t="array" ref="Y155">INDEX(Tabela.abordagens[],SMALL(IF(Tabela.abordagens[Mês]=$L$2,ROW(Tabela.abordagens[id])-2),ROW(A108)),1)</f>
        <v>#NUM!</v>
      </c>
      <c r="Z155" s="240" t="e">
        <f t="array" ref="Z155">INDEX(Tabela.abordagens[],SMALL(IF(Tabela.abordagens[Mês]=$L$2,ROW(Tabela.abordagens[Idade])-2),ROW(A108)),6)</f>
        <v>#NUM!</v>
      </c>
      <c r="AA155" s="240" t="e">
        <f t="array" ref="AA155">INDEX(Tabela.abordagens[],SMALL(IF(Tabela.abordagens[Mês]=$L$2,ROW(Tabela.abordagens[Idade])-2),ROW(A108)),4)</f>
        <v>#NUM!</v>
      </c>
      <c r="AB155" s="240" t="e">
        <f t="array" ref="AB155">INDEX(Tabela.abordagens[],SMALL(IF(Tabela.abordagens[Mês]=$L$2,ROW(Tabela.abordagens[Idade])-2),ROW(A108)),5)</f>
        <v>#NUM!</v>
      </c>
    </row>
    <row r="156" spans="2:28" ht="15" x14ac:dyDescent="0.25">
      <c r="B156" s="223" t="e">
        <f t="array" ref="B156">INDEX(Tabela.frequencia[],SMALL(IF(Tabela.frequencia[Mês]=$L$2,ROW(Tabela.frequencia[id])-1),ROW(A109)),1)</f>
        <v>#NUM!</v>
      </c>
      <c r="C156" s="229" t="e">
        <f t="array" ref="C156">INDEX(Tabela.frequencia[],SMALL(IF(Tabela.frequencia[Mês]=$L$2,ROW(Tabela.frequencia[id])-1),ROW(A109)),4)</f>
        <v>#NUM!</v>
      </c>
      <c r="E156" s="176" t="str">
        <f>IFERROR(VLOOKUP(D156,Tabela.cadastro[[ID]:[Nome]],2,0),"")</f>
        <v/>
      </c>
      <c r="F156" s="177" t="str">
        <f>IFERROR(VLOOKUP(D156,Tabela66[#All],2,0),"")</f>
        <v/>
      </c>
      <c r="G156" s="177" t="str">
        <f>IFERROR(VLOOKUP(D156,Tabela.cadastro[[ID]:[CP ou M]],5,0),"")</f>
        <v/>
      </c>
      <c r="H156" s="177" t="str">
        <f>IFERROR(VLOOKUP(D156,Cadastros!A:F,6,0),"")</f>
        <v/>
      </c>
      <c r="I156" s="177" t="str">
        <f>IFERROR(VLOOKUP(D156,Cadastros!A:I,9,0),"")</f>
        <v/>
      </c>
      <c r="J156" s="177" t="str">
        <f>IFERROR(VLOOKUP(D156,Cadastros!A:J,10,0),"")</f>
        <v/>
      </c>
      <c r="K156" s="177" t="str">
        <f>IF(COUNTIF(Tabela66[id],D156)=0,"",COUNTIF(Tabela66[id],D156))</f>
        <v/>
      </c>
      <c r="L156" s="198"/>
      <c r="M156" s="227" t="str">
        <f t="shared" si="10"/>
        <v/>
      </c>
      <c r="P156" s="176" t="str">
        <f>IFERROR(VLOOKUP(O156,Cadastros!A:B,2),"")</f>
        <v/>
      </c>
      <c r="Q156" s="177" t="str">
        <f t="shared" si="6"/>
        <v/>
      </c>
      <c r="R156" s="177" t="str">
        <f>IFERROR(VLOOKUP(O156,Cadastros!A:E,5,0),"")</f>
        <v/>
      </c>
      <c r="S156" s="177" t="str">
        <f>IFERROR(VLOOKUP(O156,Cadastros!A:F,6,0),"")</f>
        <v/>
      </c>
      <c r="T156" s="177" t="str">
        <f>IFERROR(VLOOKUP(O156,Cadastros!A:I,9,0),"")</f>
        <v/>
      </c>
      <c r="U156" s="177" t="str">
        <f t="shared" si="7"/>
        <v/>
      </c>
      <c r="V156" s="177" t="str">
        <f t="shared" si="8"/>
        <v/>
      </c>
      <c r="W156" s="177" t="str">
        <f t="shared" si="9"/>
        <v/>
      </c>
      <c r="Y156" s="240" t="e">
        <f t="array" ref="Y156">INDEX(Tabela.abordagens[],SMALL(IF(Tabela.abordagens[Mês]=$L$2,ROW(Tabela.abordagens[id])-2),ROW(A109)),1)</f>
        <v>#NUM!</v>
      </c>
      <c r="Z156" s="240" t="e">
        <f t="array" ref="Z156">INDEX(Tabela.abordagens[],SMALL(IF(Tabela.abordagens[Mês]=$L$2,ROW(Tabela.abordagens[Idade])-2),ROW(A109)),6)</f>
        <v>#NUM!</v>
      </c>
      <c r="AA156" s="240" t="e">
        <f t="array" ref="AA156">INDEX(Tabela.abordagens[],SMALL(IF(Tabela.abordagens[Mês]=$L$2,ROW(Tabela.abordagens[Idade])-2),ROW(A109)),4)</f>
        <v>#NUM!</v>
      </c>
      <c r="AB156" s="240" t="e">
        <f t="array" ref="AB156">INDEX(Tabela.abordagens[],SMALL(IF(Tabela.abordagens[Mês]=$L$2,ROW(Tabela.abordagens[Idade])-2),ROW(A109)),5)</f>
        <v>#NUM!</v>
      </c>
    </row>
    <row r="157" spans="2:28" ht="15" x14ac:dyDescent="0.25">
      <c r="B157" s="223" t="e">
        <f t="array" ref="B157">INDEX(Tabela.frequencia[],SMALL(IF(Tabela.frequencia[Mês]=$L$2,ROW(Tabela.frequencia[id])-1),ROW(A110)),1)</f>
        <v>#NUM!</v>
      </c>
      <c r="C157" s="229" t="e">
        <f t="array" ref="C157">INDEX(Tabela.frequencia[],SMALL(IF(Tabela.frequencia[Mês]=$L$2,ROW(Tabela.frequencia[id])-1),ROW(A110)),4)</f>
        <v>#NUM!</v>
      </c>
      <c r="E157" s="176" t="str">
        <f>IFERROR(VLOOKUP(D157,Tabela.cadastro[[ID]:[Nome]],2,0),"")</f>
        <v/>
      </c>
      <c r="F157" s="177" t="str">
        <f>IFERROR(VLOOKUP(D157,Tabela66[#All],2,0),"")</f>
        <v/>
      </c>
      <c r="G157" s="177" t="str">
        <f>IFERROR(VLOOKUP(D157,Tabela.cadastro[[ID]:[CP ou M]],5,0),"")</f>
        <v/>
      </c>
      <c r="H157" s="177" t="str">
        <f>IFERROR(VLOOKUP(D157,Cadastros!A:F,6,0),"")</f>
        <v/>
      </c>
      <c r="I157" s="177" t="str">
        <f>IFERROR(VLOOKUP(D157,Cadastros!A:I,9,0),"")</f>
        <v/>
      </c>
      <c r="J157" s="177" t="str">
        <f>IFERROR(VLOOKUP(D157,Cadastros!A:J,10,0),"")</f>
        <v/>
      </c>
      <c r="K157" s="177" t="str">
        <f>IF(COUNTIF(Tabela66[id],D157)=0,"",COUNTIF(Tabela66[id],D157))</f>
        <v/>
      </c>
      <c r="L157" s="198"/>
      <c r="M157" s="227" t="str">
        <f t="shared" si="10"/>
        <v/>
      </c>
      <c r="P157" s="176" t="str">
        <f>IFERROR(VLOOKUP(O157,Cadastros!A:B,2),"")</f>
        <v/>
      </c>
      <c r="Q157" s="177" t="str">
        <f t="shared" si="6"/>
        <v/>
      </c>
      <c r="R157" s="177" t="str">
        <f>IFERROR(VLOOKUP(O157,Cadastros!A:E,5,0),"")</f>
        <v/>
      </c>
      <c r="S157" s="177" t="str">
        <f>IFERROR(VLOOKUP(O157,Cadastros!A:F,6,0),"")</f>
        <v/>
      </c>
      <c r="T157" s="177" t="str">
        <f>IFERROR(VLOOKUP(O157,Cadastros!A:I,9,0),"")</f>
        <v/>
      </c>
      <c r="U157" s="177" t="str">
        <f t="shared" si="7"/>
        <v/>
      </c>
      <c r="V157" s="177" t="str">
        <f t="shared" si="8"/>
        <v/>
      </c>
      <c r="W157" s="177" t="str">
        <f t="shared" si="9"/>
        <v/>
      </c>
      <c r="Y157" s="240" t="e">
        <f t="array" ref="Y157">INDEX(Tabela.abordagens[],SMALL(IF(Tabela.abordagens[Mês]=$L$2,ROW(Tabela.abordagens[id])-2),ROW(A110)),1)</f>
        <v>#NUM!</v>
      </c>
      <c r="Z157" s="240" t="e">
        <f t="array" ref="Z157">INDEX(Tabela.abordagens[],SMALL(IF(Tabela.abordagens[Mês]=$L$2,ROW(Tabela.abordagens[Idade])-2),ROW(A110)),6)</f>
        <v>#NUM!</v>
      </c>
      <c r="AA157" s="240" t="e">
        <f t="array" ref="AA157">INDEX(Tabela.abordagens[],SMALL(IF(Tabela.abordagens[Mês]=$L$2,ROW(Tabela.abordagens[Idade])-2),ROW(A110)),4)</f>
        <v>#NUM!</v>
      </c>
      <c r="AB157" s="240" t="e">
        <f t="array" ref="AB157">INDEX(Tabela.abordagens[],SMALL(IF(Tabela.abordagens[Mês]=$L$2,ROW(Tabela.abordagens[Idade])-2),ROW(A110)),5)</f>
        <v>#NUM!</v>
      </c>
    </row>
    <row r="158" spans="2:28" ht="15" x14ac:dyDescent="0.25">
      <c r="B158" s="223" t="e">
        <f t="array" ref="B158">INDEX(Tabela.frequencia[],SMALL(IF(Tabela.frequencia[Mês]=$L$2,ROW(Tabela.frequencia[id])-1),ROW(A111)),1)</f>
        <v>#NUM!</v>
      </c>
      <c r="C158" s="229" t="e">
        <f t="array" ref="C158">INDEX(Tabela.frequencia[],SMALL(IF(Tabela.frequencia[Mês]=$L$2,ROW(Tabela.frequencia[id])-1),ROW(A111)),4)</f>
        <v>#NUM!</v>
      </c>
      <c r="E158" s="176" t="str">
        <f>IFERROR(VLOOKUP(D158,Tabela.cadastro[[ID]:[Nome]],2,0),"")</f>
        <v/>
      </c>
      <c r="F158" s="177" t="str">
        <f>IFERROR(VLOOKUP(D158,Tabela66[#All],2,0),"")</f>
        <v/>
      </c>
      <c r="G158" s="177" t="str">
        <f>IFERROR(VLOOKUP(D158,Tabela.cadastro[[ID]:[CP ou M]],5,0),"")</f>
        <v/>
      </c>
      <c r="H158" s="177" t="str">
        <f>IFERROR(VLOOKUP(D158,Cadastros!A:F,6,0),"")</f>
        <v/>
      </c>
      <c r="I158" s="177" t="str">
        <f>IFERROR(VLOOKUP(D158,Cadastros!A:I,9,0),"")</f>
        <v/>
      </c>
      <c r="J158" s="177" t="str">
        <f>IFERROR(VLOOKUP(D158,Cadastros!A:J,10,0),"")</f>
        <v/>
      </c>
      <c r="K158" s="177" t="str">
        <f>IF(COUNTIF(Tabela66[id],D158)=0,"",COUNTIF(Tabela66[id],D158))</f>
        <v/>
      </c>
      <c r="L158" s="198"/>
      <c r="M158" s="227" t="str">
        <f t="shared" si="10"/>
        <v/>
      </c>
      <c r="P158" s="176" t="str">
        <f>IFERROR(VLOOKUP(O158,Cadastros!A:B,2),"")</f>
        <v/>
      </c>
      <c r="Q158" s="177" t="str">
        <f t="shared" si="6"/>
        <v/>
      </c>
      <c r="R158" s="177" t="str">
        <f>IFERROR(VLOOKUP(O158,Cadastros!A:E,5,0),"")</f>
        <v/>
      </c>
      <c r="S158" s="177" t="str">
        <f>IFERROR(VLOOKUP(O158,Cadastros!A:F,6,0),"")</f>
        <v/>
      </c>
      <c r="T158" s="177" t="str">
        <f>IFERROR(VLOOKUP(O158,Cadastros!A:I,9,0),"")</f>
        <v/>
      </c>
      <c r="U158" s="177" t="str">
        <f t="shared" si="7"/>
        <v/>
      </c>
      <c r="V158" s="177" t="str">
        <f t="shared" si="8"/>
        <v/>
      </c>
      <c r="W158" s="177" t="str">
        <f t="shared" si="9"/>
        <v/>
      </c>
      <c r="Y158" s="240" t="e">
        <f t="array" ref="Y158">INDEX(Tabela.abordagens[],SMALL(IF(Tabela.abordagens[Mês]=$L$2,ROW(Tabela.abordagens[id])-2),ROW(A111)),1)</f>
        <v>#NUM!</v>
      </c>
      <c r="Z158" s="240" t="e">
        <f t="array" ref="Z158">INDEX(Tabela.abordagens[],SMALL(IF(Tabela.abordagens[Mês]=$L$2,ROW(Tabela.abordagens[Idade])-2),ROW(A111)),6)</f>
        <v>#NUM!</v>
      </c>
      <c r="AA158" s="240" t="e">
        <f t="array" ref="AA158">INDEX(Tabela.abordagens[],SMALL(IF(Tabela.abordagens[Mês]=$L$2,ROW(Tabela.abordagens[Idade])-2),ROW(A111)),4)</f>
        <v>#NUM!</v>
      </c>
      <c r="AB158" s="240" t="e">
        <f t="array" ref="AB158">INDEX(Tabela.abordagens[],SMALL(IF(Tabela.abordagens[Mês]=$L$2,ROW(Tabela.abordagens[Idade])-2),ROW(A111)),5)</f>
        <v>#NUM!</v>
      </c>
    </row>
    <row r="159" spans="2:28" ht="15" x14ac:dyDescent="0.25">
      <c r="B159" s="223" t="e">
        <f t="array" ref="B159">INDEX(Tabela.frequencia[],SMALL(IF(Tabela.frequencia[Mês]=$L$2,ROW(Tabela.frequencia[id])-1),ROW(A112)),1)</f>
        <v>#NUM!</v>
      </c>
      <c r="C159" s="229" t="e">
        <f t="array" ref="C159">INDEX(Tabela.frequencia[],SMALL(IF(Tabela.frequencia[Mês]=$L$2,ROW(Tabela.frequencia[id])-1),ROW(A112)),4)</f>
        <v>#NUM!</v>
      </c>
      <c r="E159" s="176" t="str">
        <f>IFERROR(VLOOKUP(D159,Tabela.cadastro[[ID]:[Nome]],2,0),"")</f>
        <v/>
      </c>
      <c r="F159" s="177" t="str">
        <f>IFERROR(VLOOKUP(D159,Tabela66[#All],2,0),"")</f>
        <v/>
      </c>
      <c r="G159" s="177" t="str">
        <f>IFERROR(VLOOKUP(D159,Tabela.cadastro[[ID]:[CP ou M]],5,0),"")</f>
        <v/>
      </c>
      <c r="H159" s="177" t="str">
        <f>IFERROR(VLOOKUP(D159,Cadastros!A:F,6,0),"")</f>
        <v/>
      </c>
      <c r="I159" s="177" t="str">
        <f>IFERROR(VLOOKUP(D159,Cadastros!A:I,9,0),"")</f>
        <v/>
      </c>
      <c r="J159" s="177" t="str">
        <f>IFERROR(VLOOKUP(D159,Cadastros!A:J,10,0),"")</f>
        <v/>
      </c>
      <c r="K159" s="177" t="str">
        <f>IF(COUNTIF(Tabela66[id],D159)=0,"",COUNTIF(Tabela66[id],D159))</f>
        <v/>
      </c>
      <c r="L159" s="198"/>
      <c r="M159" s="227" t="str">
        <f t="shared" si="10"/>
        <v/>
      </c>
      <c r="P159" s="176" t="str">
        <f>IFERROR(VLOOKUP(O159,Cadastros!A:B,2),"")</f>
        <v/>
      </c>
      <c r="Q159" s="177" t="str">
        <f t="shared" si="6"/>
        <v/>
      </c>
      <c r="R159" s="177" t="str">
        <f>IFERROR(VLOOKUP(O159,Cadastros!A:E,5,0),"")</f>
        <v/>
      </c>
      <c r="S159" s="177" t="str">
        <f>IFERROR(VLOOKUP(O159,Cadastros!A:F,6,0),"")</f>
        <v/>
      </c>
      <c r="T159" s="177" t="str">
        <f>IFERROR(VLOOKUP(O159,Cadastros!A:I,9,0),"")</f>
        <v/>
      </c>
      <c r="U159" s="177" t="str">
        <f t="shared" si="7"/>
        <v/>
      </c>
      <c r="V159" s="177" t="str">
        <f t="shared" si="8"/>
        <v/>
      </c>
      <c r="W159" s="177" t="str">
        <f t="shared" si="9"/>
        <v/>
      </c>
      <c r="Y159" s="240" t="e">
        <f t="array" ref="Y159">INDEX(Tabela.abordagens[],SMALL(IF(Tabela.abordagens[Mês]=$L$2,ROW(Tabela.abordagens[id])-2),ROW(A112)),1)</f>
        <v>#NUM!</v>
      </c>
      <c r="Z159" s="240" t="e">
        <f t="array" ref="Z159">INDEX(Tabela.abordagens[],SMALL(IF(Tabela.abordagens[Mês]=$L$2,ROW(Tabela.abordagens[Idade])-2),ROW(A112)),6)</f>
        <v>#NUM!</v>
      </c>
      <c r="AA159" s="240" t="e">
        <f t="array" ref="AA159">INDEX(Tabela.abordagens[],SMALL(IF(Tabela.abordagens[Mês]=$L$2,ROW(Tabela.abordagens[Idade])-2),ROW(A112)),4)</f>
        <v>#NUM!</v>
      </c>
      <c r="AB159" s="240" t="e">
        <f t="array" ref="AB159">INDEX(Tabela.abordagens[],SMALL(IF(Tabela.abordagens[Mês]=$L$2,ROW(Tabela.abordagens[Idade])-2),ROW(A112)),5)</f>
        <v>#NUM!</v>
      </c>
    </row>
    <row r="160" spans="2:28" ht="15" x14ac:dyDescent="0.25">
      <c r="B160" s="223" t="e">
        <f t="array" ref="B160">INDEX(Tabela.frequencia[],SMALL(IF(Tabela.frequencia[Mês]=$L$2,ROW(Tabela.frequencia[id])-1),ROW(A113)),1)</f>
        <v>#NUM!</v>
      </c>
      <c r="C160" s="229" t="e">
        <f t="array" ref="C160">INDEX(Tabela.frequencia[],SMALL(IF(Tabela.frequencia[Mês]=$L$2,ROW(Tabela.frequencia[id])-1),ROW(A113)),4)</f>
        <v>#NUM!</v>
      </c>
      <c r="E160" s="176" t="str">
        <f>IFERROR(VLOOKUP(D160,Tabela.cadastro[[ID]:[Nome]],2,0),"")</f>
        <v/>
      </c>
      <c r="F160" s="177" t="str">
        <f>IFERROR(VLOOKUP(D160,Tabela66[#All],2,0),"")</f>
        <v/>
      </c>
      <c r="G160" s="177" t="str">
        <f>IFERROR(VLOOKUP(D160,Tabela.cadastro[[ID]:[CP ou M]],5,0),"")</f>
        <v/>
      </c>
      <c r="H160" s="177" t="str">
        <f>IFERROR(VLOOKUP(D160,Cadastros!A:F,6,0),"")</f>
        <v/>
      </c>
      <c r="I160" s="177" t="str">
        <f>IFERROR(VLOOKUP(D160,Cadastros!A:I,9,0),"")</f>
        <v/>
      </c>
      <c r="J160" s="177" t="str">
        <f>IFERROR(VLOOKUP(D160,Cadastros!A:J,10,0),"")</f>
        <v/>
      </c>
      <c r="K160" s="177" t="str">
        <f>IF(COUNTIF(Tabela66[id],D160)=0,"",COUNTIF(Tabela66[id],D160))</f>
        <v/>
      </c>
      <c r="L160" s="198"/>
      <c r="M160" s="227" t="str">
        <f t="shared" si="10"/>
        <v/>
      </c>
      <c r="P160" s="176" t="str">
        <f>IFERROR(VLOOKUP(O160,Cadastros!A:B,2),"")</f>
        <v/>
      </c>
      <c r="Q160" s="177" t="str">
        <f t="shared" si="6"/>
        <v/>
      </c>
      <c r="R160" s="177" t="str">
        <f>IFERROR(VLOOKUP(O160,Cadastros!A:E,5,0),"")</f>
        <v/>
      </c>
      <c r="S160" s="177" t="str">
        <f>IFERROR(VLOOKUP(O160,Cadastros!A:F,6,0),"")</f>
        <v/>
      </c>
      <c r="T160" s="177" t="str">
        <f>IFERROR(VLOOKUP(O160,Cadastros!A:I,9,0),"")</f>
        <v/>
      </c>
      <c r="U160" s="177" t="str">
        <f t="shared" si="7"/>
        <v/>
      </c>
      <c r="V160" s="177" t="str">
        <f t="shared" si="8"/>
        <v/>
      </c>
      <c r="W160" s="177" t="str">
        <f t="shared" si="9"/>
        <v/>
      </c>
      <c r="Y160" s="240" t="e">
        <f t="array" ref="Y160">INDEX(Tabela.abordagens[],SMALL(IF(Tabela.abordagens[Mês]=$L$2,ROW(Tabela.abordagens[id])-2),ROW(A113)),1)</f>
        <v>#NUM!</v>
      </c>
      <c r="Z160" s="240" t="e">
        <f t="array" ref="Z160">INDEX(Tabela.abordagens[],SMALL(IF(Tabela.abordagens[Mês]=$L$2,ROW(Tabela.abordagens[Idade])-2),ROW(A113)),6)</f>
        <v>#NUM!</v>
      </c>
      <c r="AA160" s="240" t="e">
        <f t="array" ref="AA160">INDEX(Tabela.abordagens[],SMALL(IF(Tabela.abordagens[Mês]=$L$2,ROW(Tabela.abordagens[Idade])-2),ROW(A113)),4)</f>
        <v>#NUM!</v>
      </c>
      <c r="AB160" s="240" t="e">
        <f t="array" ref="AB160">INDEX(Tabela.abordagens[],SMALL(IF(Tabela.abordagens[Mês]=$L$2,ROW(Tabela.abordagens[Idade])-2),ROW(A113)),5)</f>
        <v>#NUM!</v>
      </c>
    </row>
    <row r="161" spans="2:28" ht="15" x14ac:dyDescent="0.25">
      <c r="B161" s="223" t="e">
        <f t="array" ref="B161">INDEX(Tabela.frequencia[],SMALL(IF(Tabela.frequencia[Mês]=$L$2,ROW(Tabela.frequencia[id])-1),ROW(A114)),1)</f>
        <v>#NUM!</v>
      </c>
      <c r="C161" s="229" t="e">
        <f t="array" ref="C161">INDEX(Tabela.frequencia[],SMALL(IF(Tabela.frequencia[Mês]=$L$2,ROW(Tabela.frequencia[id])-1),ROW(A114)),4)</f>
        <v>#NUM!</v>
      </c>
      <c r="E161" s="176" t="str">
        <f>IFERROR(VLOOKUP(D161,Tabela.cadastro[[ID]:[Nome]],2,0),"")</f>
        <v/>
      </c>
      <c r="F161" s="177" t="str">
        <f>IFERROR(VLOOKUP(D161,Tabela66[#All],2,0),"")</f>
        <v/>
      </c>
      <c r="G161" s="177" t="str">
        <f>IFERROR(VLOOKUP(D161,Tabela.cadastro[[ID]:[CP ou M]],5,0),"")</f>
        <v/>
      </c>
      <c r="H161" s="177" t="str">
        <f>IFERROR(VLOOKUP(D161,Cadastros!A:F,6,0),"")</f>
        <v/>
      </c>
      <c r="I161" s="177" t="str">
        <f>IFERROR(VLOOKUP(D161,Cadastros!A:I,9,0),"")</f>
        <v/>
      </c>
      <c r="J161" s="177" t="str">
        <f>IFERROR(VLOOKUP(D161,Cadastros!A:J,10,0),"")</f>
        <v/>
      </c>
      <c r="K161" s="177" t="str">
        <f>IF(COUNTIF(Tabela66[id],D161)=0,"",COUNTIF(Tabela66[id],D161))</f>
        <v/>
      </c>
      <c r="L161" s="198"/>
      <c r="M161" s="227" t="str">
        <f t="shared" si="10"/>
        <v/>
      </c>
      <c r="P161" s="176" t="str">
        <f>IFERROR(VLOOKUP(O161,Cadastros!A:B,2),"")</f>
        <v/>
      </c>
      <c r="Q161" s="177" t="str">
        <f t="shared" si="6"/>
        <v/>
      </c>
      <c r="R161" s="177" t="str">
        <f>IFERROR(VLOOKUP(O161,Cadastros!A:E,5,0),"")</f>
        <v/>
      </c>
      <c r="S161" s="177" t="str">
        <f>IFERROR(VLOOKUP(O161,Cadastros!A:F,6,0),"")</f>
        <v/>
      </c>
      <c r="T161" s="177" t="str">
        <f>IFERROR(VLOOKUP(O161,Cadastros!A:I,9,0),"")</f>
        <v/>
      </c>
      <c r="U161" s="177" t="str">
        <f t="shared" si="7"/>
        <v/>
      </c>
      <c r="V161" s="177" t="str">
        <f t="shared" si="8"/>
        <v/>
      </c>
      <c r="W161" s="177" t="str">
        <f t="shared" si="9"/>
        <v/>
      </c>
      <c r="Y161" s="240" t="e">
        <f t="array" ref="Y161">INDEX(Tabela.abordagens[],SMALL(IF(Tabela.abordagens[Mês]=$L$2,ROW(Tabela.abordagens[id])-2),ROW(A114)),1)</f>
        <v>#NUM!</v>
      </c>
      <c r="Z161" s="240" t="e">
        <f t="array" ref="Z161">INDEX(Tabela.abordagens[],SMALL(IF(Tabela.abordagens[Mês]=$L$2,ROW(Tabela.abordagens[Idade])-2),ROW(A114)),6)</f>
        <v>#NUM!</v>
      </c>
      <c r="AA161" s="240" t="e">
        <f t="array" ref="AA161">INDEX(Tabela.abordagens[],SMALL(IF(Tabela.abordagens[Mês]=$L$2,ROW(Tabela.abordagens[Idade])-2),ROW(A114)),4)</f>
        <v>#NUM!</v>
      </c>
      <c r="AB161" s="240" t="e">
        <f t="array" ref="AB161">INDEX(Tabela.abordagens[],SMALL(IF(Tabela.abordagens[Mês]=$L$2,ROW(Tabela.abordagens[Idade])-2),ROW(A114)),5)</f>
        <v>#NUM!</v>
      </c>
    </row>
    <row r="162" spans="2:28" ht="15" x14ac:dyDescent="0.25">
      <c r="B162" s="223" t="e">
        <f t="array" ref="B162">INDEX(Tabela.frequencia[],SMALL(IF(Tabela.frequencia[Mês]=$L$2,ROW(Tabela.frequencia[id])-1),ROW(A115)),1)</f>
        <v>#NUM!</v>
      </c>
      <c r="C162" s="229" t="e">
        <f t="array" ref="C162">INDEX(Tabela.frequencia[],SMALL(IF(Tabela.frequencia[Mês]=$L$2,ROW(Tabela.frequencia[id])-1),ROW(A115)),4)</f>
        <v>#NUM!</v>
      </c>
      <c r="E162" s="176" t="str">
        <f>IFERROR(VLOOKUP(D162,Tabela.cadastro[[ID]:[Nome]],2,0),"")</f>
        <v/>
      </c>
      <c r="F162" s="177" t="str">
        <f>IFERROR(VLOOKUP(D162,Tabela66[#All],2,0),"")</f>
        <v/>
      </c>
      <c r="G162" s="177" t="str">
        <f>IFERROR(VLOOKUP(D162,Tabela.cadastro[[ID]:[CP ou M]],5,0),"")</f>
        <v/>
      </c>
      <c r="H162" s="177" t="str">
        <f>IFERROR(VLOOKUP(D162,Cadastros!A:F,6,0),"")</f>
        <v/>
      </c>
      <c r="I162" s="177" t="str">
        <f>IFERROR(VLOOKUP(D162,Cadastros!A:I,9,0),"")</f>
        <v/>
      </c>
      <c r="J162" s="177" t="str">
        <f>IFERROR(VLOOKUP(D162,Cadastros!A:J,10,0),"")</f>
        <v/>
      </c>
      <c r="K162" s="177" t="str">
        <f>IF(COUNTIF(Tabela66[id],D162)=0,"",COUNTIF(Tabela66[id],D162))</f>
        <v/>
      </c>
      <c r="L162" s="198"/>
      <c r="M162" s="227" t="str">
        <f t="shared" si="10"/>
        <v/>
      </c>
      <c r="P162" s="176" t="str">
        <f>IFERROR(VLOOKUP(O162,Cadastros!A:B,2),"")</f>
        <v/>
      </c>
      <c r="Q162" s="177" t="str">
        <f t="shared" ref="Q162:Q225" si="11">IFERROR(VLOOKUP(O162,$Y$33:$Z$866,2,0),"")</f>
        <v/>
      </c>
      <c r="R162" s="177" t="str">
        <f>IFERROR(VLOOKUP(O162,Cadastros!A:E,5,0),"")</f>
        <v/>
      </c>
      <c r="S162" s="177" t="str">
        <f>IFERROR(VLOOKUP(O162,Cadastros!A:F,6,0),"")</f>
        <v/>
      </c>
      <c r="T162" s="177" t="str">
        <f>IFERROR(VLOOKUP(O162,Cadastros!A:I,9,0),"")</f>
        <v/>
      </c>
      <c r="U162" s="177" t="str">
        <f t="shared" ref="U162:U225" si="12">IFERROR(VLOOKUP(O162,Y$33:AB$866,3,0),"")</f>
        <v/>
      </c>
      <c r="V162" s="177" t="str">
        <f t="shared" ref="V162:V225" si="13">IFERROR(VLOOKUP(O162,Y$33:AB$866,4,0),"")</f>
        <v/>
      </c>
      <c r="W162" s="177" t="str">
        <f t="shared" ref="W162:W225" si="14">IF(COUNTIF(Y$33:Y$866,O162)=0,"",COUNTIF(Y$33:Y$866,O162))</f>
        <v/>
      </c>
      <c r="Y162" s="240" t="e">
        <f t="array" ref="Y162">INDEX(Tabela.abordagens[],SMALL(IF(Tabela.abordagens[Mês]=$L$2,ROW(Tabela.abordagens[id])-2),ROW(A115)),1)</f>
        <v>#NUM!</v>
      </c>
      <c r="Z162" s="240" t="e">
        <f t="array" ref="Z162">INDEX(Tabela.abordagens[],SMALL(IF(Tabela.abordagens[Mês]=$L$2,ROW(Tabela.abordagens[Idade])-2),ROW(A115)),6)</f>
        <v>#NUM!</v>
      </c>
      <c r="AA162" s="240" t="e">
        <f t="array" ref="AA162">INDEX(Tabela.abordagens[],SMALL(IF(Tabela.abordagens[Mês]=$L$2,ROW(Tabela.abordagens[Idade])-2),ROW(A115)),4)</f>
        <v>#NUM!</v>
      </c>
      <c r="AB162" s="240" t="e">
        <f t="array" ref="AB162">INDEX(Tabela.abordagens[],SMALL(IF(Tabela.abordagens[Mês]=$L$2,ROW(Tabela.abordagens[Idade])-2),ROW(A115)),5)</f>
        <v>#NUM!</v>
      </c>
    </row>
    <row r="163" spans="2:28" ht="15" x14ac:dyDescent="0.25">
      <c r="B163" s="223" t="e">
        <f t="array" ref="B163">INDEX(Tabela.frequencia[],SMALL(IF(Tabela.frequencia[Mês]=$L$2,ROW(Tabela.frequencia[id])-1),ROW(A116)),1)</f>
        <v>#NUM!</v>
      </c>
      <c r="C163" s="229" t="e">
        <f t="array" ref="C163">INDEX(Tabela.frequencia[],SMALL(IF(Tabela.frequencia[Mês]=$L$2,ROW(Tabela.frequencia[id])-1),ROW(A116)),4)</f>
        <v>#NUM!</v>
      </c>
      <c r="E163" s="176" t="str">
        <f>IFERROR(VLOOKUP(D163,Tabela.cadastro[[ID]:[Nome]],2,0),"")</f>
        <v/>
      </c>
      <c r="F163" s="177" t="str">
        <f>IFERROR(VLOOKUP(D163,Tabela66[#All],2,0),"")</f>
        <v/>
      </c>
      <c r="G163" s="177" t="str">
        <f>IFERROR(VLOOKUP(D163,Tabela.cadastro[[ID]:[CP ou M]],5,0),"")</f>
        <v/>
      </c>
      <c r="H163" s="177" t="str">
        <f>IFERROR(VLOOKUP(D163,Cadastros!A:F,6,0),"")</f>
        <v/>
      </c>
      <c r="I163" s="177" t="str">
        <f>IFERROR(VLOOKUP(D163,Cadastros!A:I,9,0),"")</f>
        <v/>
      </c>
      <c r="J163" s="177" t="str">
        <f>IFERROR(VLOOKUP(D163,Cadastros!A:J,10,0),"")</f>
        <v/>
      </c>
      <c r="K163" s="177" t="str">
        <f>IF(COUNTIF(Tabela66[id],D163)=0,"",COUNTIF(Tabela66[id],D163))</f>
        <v/>
      </c>
      <c r="L163" s="198"/>
      <c r="M163" s="227" t="str">
        <f t="shared" si="10"/>
        <v/>
      </c>
      <c r="P163" s="176" t="str">
        <f>IFERROR(VLOOKUP(O163,Cadastros!A:B,2),"")</f>
        <v/>
      </c>
      <c r="Q163" s="177" t="str">
        <f t="shared" si="11"/>
        <v/>
      </c>
      <c r="R163" s="177" t="str">
        <f>IFERROR(VLOOKUP(O163,Cadastros!A:E,5,0),"")</f>
        <v/>
      </c>
      <c r="S163" s="177" t="str">
        <f>IFERROR(VLOOKUP(O163,Cadastros!A:F,6,0),"")</f>
        <v/>
      </c>
      <c r="T163" s="177" t="str">
        <f>IFERROR(VLOOKUP(O163,Cadastros!A:I,9,0),"")</f>
        <v/>
      </c>
      <c r="U163" s="177" t="str">
        <f t="shared" si="12"/>
        <v/>
      </c>
      <c r="V163" s="177" t="str">
        <f t="shared" si="13"/>
        <v/>
      </c>
      <c r="W163" s="177" t="str">
        <f t="shared" si="14"/>
        <v/>
      </c>
      <c r="Y163" s="240" t="e">
        <f t="array" ref="Y163">INDEX(Tabela.abordagens[],SMALL(IF(Tabela.abordagens[Mês]=$L$2,ROW(Tabela.abordagens[id])-2),ROW(A116)),1)</f>
        <v>#NUM!</v>
      </c>
      <c r="Z163" s="240" t="e">
        <f t="array" ref="Z163">INDEX(Tabela.abordagens[],SMALL(IF(Tabela.abordagens[Mês]=$L$2,ROW(Tabela.abordagens[Idade])-2),ROW(A116)),6)</f>
        <v>#NUM!</v>
      </c>
      <c r="AA163" s="240" t="e">
        <f t="array" ref="AA163">INDEX(Tabela.abordagens[],SMALL(IF(Tabela.abordagens[Mês]=$L$2,ROW(Tabela.abordagens[Idade])-2),ROW(A116)),4)</f>
        <v>#NUM!</v>
      </c>
      <c r="AB163" s="240" t="e">
        <f t="array" ref="AB163">INDEX(Tabela.abordagens[],SMALL(IF(Tabela.abordagens[Mês]=$L$2,ROW(Tabela.abordagens[Idade])-2),ROW(A116)),5)</f>
        <v>#NUM!</v>
      </c>
    </row>
    <row r="164" spans="2:28" ht="15" x14ac:dyDescent="0.25">
      <c r="B164" s="223" t="e">
        <f t="array" ref="B164">INDEX(Tabela.frequencia[],SMALL(IF(Tabela.frequencia[Mês]=$L$2,ROW(Tabela.frequencia[id])-1),ROW(A117)),1)</f>
        <v>#NUM!</v>
      </c>
      <c r="C164" s="229" t="e">
        <f t="array" ref="C164">INDEX(Tabela.frequencia[],SMALL(IF(Tabela.frequencia[Mês]=$L$2,ROW(Tabela.frequencia[id])-1),ROW(A117)),4)</f>
        <v>#NUM!</v>
      </c>
      <c r="E164" s="176" t="str">
        <f>IFERROR(VLOOKUP(D164,Tabela.cadastro[[ID]:[Nome]],2,0),"")</f>
        <v/>
      </c>
      <c r="F164" s="177" t="str">
        <f>IFERROR(VLOOKUP(D164,Tabela66[#All],2,0),"")</f>
        <v/>
      </c>
      <c r="G164" s="177" t="str">
        <f>IFERROR(VLOOKUP(D164,Tabela.cadastro[[ID]:[CP ou M]],5,0),"")</f>
        <v/>
      </c>
      <c r="H164" s="177" t="str">
        <f>IFERROR(VLOOKUP(D164,Cadastros!A:F,6,0),"")</f>
        <v/>
      </c>
      <c r="I164" s="177" t="str">
        <f>IFERROR(VLOOKUP(D164,Cadastros!A:I,9,0),"")</f>
        <v/>
      </c>
      <c r="J164" s="177" t="str">
        <f>IFERROR(VLOOKUP(D164,Cadastros!A:J,10,0),"")</f>
        <v/>
      </c>
      <c r="K164" s="177" t="str">
        <f>IF(COUNTIF(Tabela66[id],D164)=0,"",COUNTIF(Tabela66[id],D164))</f>
        <v/>
      </c>
      <c r="L164" s="198"/>
      <c r="M164" s="227" t="str">
        <f t="shared" si="10"/>
        <v/>
      </c>
      <c r="P164" s="176" t="str">
        <f>IFERROR(VLOOKUP(O164,Cadastros!A:B,2),"")</f>
        <v/>
      </c>
      <c r="Q164" s="177" t="str">
        <f t="shared" si="11"/>
        <v/>
      </c>
      <c r="R164" s="177" t="str">
        <f>IFERROR(VLOOKUP(O164,Cadastros!A:E,5,0),"")</f>
        <v/>
      </c>
      <c r="S164" s="177" t="str">
        <f>IFERROR(VLOOKUP(O164,Cadastros!A:F,6,0),"")</f>
        <v/>
      </c>
      <c r="T164" s="177" t="str">
        <f>IFERROR(VLOOKUP(O164,Cadastros!A:I,9,0),"")</f>
        <v/>
      </c>
      <c r="U164" s="177" t="str">
        <f t="shared" si="12"/>
        <v/>
      </c>
      <c r="V164" s="177" t="str">
        <f t="shared" si="13"/>
        <v/>
      </c>
      <c r="W164" s="177" t="str">
        <f t="shared" si="14"/>
        <v/>
      </c>
      <c r="Y164" s="240" t="e">
        <f t="array" ref="Y164">INDEX(Tabela.abordagens[],SMALL(IF(Tabela.abordagens[Mês]=$L$2,ROW(Tabela.abordagens[id])-2),ROW(A117)),1)</f>
        <v>#NUM!</v>
      </c>
      <c r="Z164" s="240" t="e">
        <f t="array" ref="Z164">INDEX(Tabela.abordagens[],SMALL(IF(Tabela.abordagens[Mês]=$L$2,ROW(Tabela.abordagens[Idade])-2),ROW(A117)),6)</f>
        <v>#NUM!</v>
      </c>
      <c r="AA164" s="240" t="e">
        <f t="array" ref="AA164">INDEX(Tabela.abordagens[],SMALL(IF(Tabela.abordagens[Mês]=$L$2,ROW(Tabela.abordagens[Idade])-2),ROW(A117)),4)</f>
        <v>#NUM!</v>
      </c>
      <c r="AB164" s="240" t="e">
        <f t="array" ref="AB164">INDEX(Tabela.abordagens[],SMALL(IF(Tabela.abordagens[Mês]=$L$2,ROW(Tabela.abordagens[Idade])-2),ROW(A117)),5)</f>
        <v>#NUM!</v>
      </c>
    </row>
    <row r="165" spans="2:28" ht="15" x14ac:dyDescent="0.25">
      <c r="B165" s="223" t="e">
        <f t="array" ref="B165">INDEX(Tabela.frequencia[],SMALL(IF(Tabela.frequencia[Mês]=$L$2,ROW(Tabela.frequencia[id])-1),ROW(A118)),1)</f>
        <v>#NUM!</v>
      </c>
      <c r="C165" s="229" t="e">
        <f t="array" ref="C165">INDEX(Tabela.frequencia[],SMALL(IF(Tabela.frequencia[Mês]=$L$2,ROW(Tabela.frequencia[id])-1),ROW(A118)),4)</f>
        <v>#NUM!</v>
      </c>
      <c r="E165" s="176" t="str">
        <f>IFERROR(VLOOKUP(D165,Tabela.cadastro[[ID]:[Nome]],2,0),"")</f>
        <v/>
      </c>
      <c r="F165" s="177" t="str">
        <f>IFERROR(VLOOKUP(D165,Tabela66[#All],2,0),"")</f>
        <v/>
      </c>
      <c r="G165" s="177" t="str">
        <f>IFERROR(VLOOKUP(D165,Tabela.cadastro[[ID]:[CP ou M]],5,0),"")</f>
        <v/>
      </c>
      <c r="H165" s="177" t="str">
        <f>IFERROR(VLOOKUP(D165,Cadastros!A:F,6,0),"")</f>
        <v/>
      </c>
      <c r="I165" s="177" t="str">
        <f>IFERROR(VLOOKUP(D165,Cadastros!A:I,9,0),"")</f>
        <v/>
      </c>
      <c r="J165" s="177" t="str">
        <f>IFERROR(VLOOKUP(D165,Cadastros!A:J,10,0),"")</f>
        <v/>
      </c>
      <c r="K165" s="177" t="str">
        <f>IF(COUNTIF(Tabela66[id],D165)=0,"",COUNTIF(Tabela66[id],D165))</f>
        <v/>
      </c>
      <c r="L165" s="198"/>
      <c r="M165" s="227" t="str">
        <f t="shared" si="10"/>
        <v/>
      </c>
      <c r="P165" s="176" t="str">
        <f>IFERROR(VLOOKUP(O165,Cadastros!A:B,2),"")</f>
        <v/>
      </c>
      <c r="Q165" s="177" t="str">
        <f t="shared" si="11"/>
        <v/>
      </c>
      <c r="R165" s="177" t="str">
        <f>IFERROR(VLOOKUP(O165,Cadastros!A:E,5,0),"")</f>
        <v/>
      </c>
      <c r="S165" s="177" t="str">
        <f>IFERROR(VLOOKUP(O165,Cadastros!A:F,6,0),"")</f>
        <v/>
      </c>
      <c r="T165" s="177" t="str">
        <f>IFERROR(VLOOKUP(O165,Cadastros!A:I,9,0),"")</f>
        <v/>
      </c>
      <c r="U165" s="177" t="str">
        <f t="shared" si="12"/>
        <v/>
      </c>
      <c r="V165" s="177" t="str">
        <f t="shared" si="13"/>
        <v/>
      </c>
      <c r="W165" s="177" t="str">
        <f t="shared" si="14"/>
        <v/>
      </c>
      <c r="Y165" s="240" t="e">
        <f t="array" ref="Y165">INDEX(Tabela.abordagens[],SMALL(IF(Tabela.abordagens[Mês]=$L$2,ROW(Tabela.abordagens[id])-2),ROW(A118)),1)</f>
        <v>#NUM!</v>
      </c>
      <c r="Z165" s="240" t="e">
        <f t="array" ref="Z165">INDEX(Tabela.abordagens[],SMALL(IF(Tabela.abordagens[Mês]=$L$2,ROW(Tabela.abordagens[Idade])-2),ROW(A118)),6)</f>
        <v>#NUM!</v>
      </c>
      <c r="AA165" s="240" t="e">
        <f t="array" ref="AA165">INDEX(Tabela.abordagens[],SMALL(IF(Tabela.abordagens[Mês]=$L$2,ROW(Tabela.abordagens[Idade])-2),ROW(A118)),4)</f>
        <v>#NUM!</v>
      </c>
      <c r="AB165" s="240" t="e">
        <f t="array" ref="AB165">INDEX(Tabela.abordagens[],SMALL(IF(Tabela.abordagens[Mês]=$L$2,ROW(Tabela.abordagens[Idade])-2),ROW(A118)),5)</f>
        <v>#NUM!</v>
      </c>
    </row>
    <row r="166" spans="2:28" ht="15" x14ac:dyDescent="0.25">
      <c r="B166" s="223" t="e">
        <f t="array" ref="B166">INDEX(Tabela.frequencia[],SMALL(IF(Tabela.frequencia[Mês]=$L$2,ROW(Tabela.frequencia[id])-1),ROW(A119)),1)</f>
        <v>#NUM!</v>
      </c>
      <c r="C166" s="229" t="e">
        <f t="array" ref="C166">INDEX(Tabela.frequencia[],SMALL(IF(Tabela.frequencia[Mês]=$L$2,ROW(Tabela.frequencia[id])-1),ROW(A119)),4)</f>
        <v>#NUM!</v>
      </c>
      <c r="E166" s="176" t="str">
        <f>IFERROR(VLOOKUP(D166,Tabela.cadastro[[ID]:[Nome]],2,0),"")</f>
        <v/>
      </c>
      <c r="F166" s="177" t="str">
        <f>IFERROR(VLOOKUP(D166,Tabela66[#All],2,0),"")</f>
        <v/>
      </c>
      <c r="G166" s="177" t="str">
        <f>IFERROR(VLOOKUP(D166,Tabela.cadastro[[ID]:[CP ou M]],5,0),"")</f>
        <v/>
      </c>
      <c r="H166" s="177" t="str">
        <f>IFERROR(VLOOKUP(D166,Cadastros!A:F,6,0),"")</f>
        <v/>
      </c>
      <c r="I166" s="177" t="str">
        <f>IFERROR(VLOOKUP(D166,Cadastros!A:I,9,0),"")</f>
        <v/>
      </c>
      <c r="J166" s="177" t="str">
        <f>IFERROR(VLOOKUP(D166,Cadastros!A:J,10,0),"")</f>
        <v/>
      </c>
      <c r="K166" s="177" t="str">
        <f>IF(COUNTIF(Tabela66[id],D166)=0,"",COUNTIF(Tabela66[id],D166))</f>
        <v/>
      </c>
      <c r="L166" s="198"/>
      <c r="M166" s="227" t="str">
        <f t="shared" si="10"/>
        <v/>
      </c>
      <c r="P166" s="176" t="str">
        <f>IFERROR(VLOOKUP(O166,Cadastros!A:B,2),"")</f>
        <v/>
      </c>
      <c r="Q166" s="177" t="str">
        <f t="shared" si="11"/>
        <v/>
      </c>
      <c r="R166" s="177" t="str">
        <f>IFERROR(VLOOKUP(O166,Cadastros!A:E,5,0),"")</f>
        <v/>
      </c>
      <c r="S166" s="177" t="str">
        <f>IFERROR(VLOOKUP(O166,Cadastros!A:F,6,0),"")</f>
        <v/>
      </c>
      <c r="T166" s="177" t="str">
        <f>IFERROR(VLOOKUP(O166,Cadastros!A:I,9,0),"")</f>
        <v/>
      </c>
      <c r="U166" s="177" t="str">
        <f t="shared" si="12"/>
        <v/>
      </c>
      <c r="V166" s="177" t="str">
        <f t="shared" si="13"/>
        <v/>
      </c>
      <c r="W166" s="177" t="str">
        <f t="shared" si="14"/>
        <v/>
      </c>
      <c r="Y166" s="240" t="e">
        <f t="array" ref="Y166">INDEX(Tabela.abordagens[],SMALL(IF(Tabela.abordagens[Mês]=$L$2,ROW(Tabela.abordagens[id])-2),ROW(A119)),1)</f>
        <v>#NUM!</v>
      </c>
      <c r="Z166" s="240" t="e">
        <f t="array" ref="Z166">INDEX(Tabela.abordagens[],SMALL(IF(Tabela.abordagens[Mês]=$L$2,ROW(Tabela.abordagens[Idade])-2),ROW(A119)),6)</f>
        <v>#NUM!</v>
      </c>
      <c r="AA166" s="240" t="e">
        <f t="array" ref="AA166">INDEX(Tabela.abordagens[],SMALL(IF(Tabela.abordagens[Mês]=$L$2,ROW(Tabela.abordagens[Idade])-2),ROW(A119)),4)</f>
        <v>#NUM!</v>
      </c>
      <c r="AB166" s="240" t="e">
        <f t="array" ref="AB166">INDEX(Tabela.abordagens[],SMALL(IF(Tabela.abordagens[Mês]=$L$2,ROW(Tabela.abordagens[Idade])-2),ROW(A119)),5)</f>
        <v>#NUM!</v>
      </c>
    </row>
    <row r="167" spans="2:28" ht="15" x14ac:dyDescent="0.25">
      <c r="B167" s="223" t="e">
        <f t="array" ref="B167">INDEX(Tabela.frequencia[],SMALL(IF(Tabela.frequencia[Mês]=$L$2,ROW(Tabela.frequencia[id])-1),ROW(A120)),1)</f>
        <v>#NUM!</v>
      </c>
      <c r="C167" s="229" t="e">
        <f t="array" ref="C167">INDEX(Tabela.frequencia[],SMALL(IF(Tabela.frequencia[Mês]=$L$2,ROW(Tabela.frequencia[id])-1),ROW(A120)),4)</f>
        <v>#NUM!</v>
      </c>
      <c r="E167" s="176" t="str">
        <f>IFERROR(VLOOKUP(D167,Tabela.cadastro[[ID]:[Nome]],2,0),"")</f>
        <v/>
      </c>
      <c r="F167" s="177" t="str">
        <f>IFERROR(VLOOKUP(D167,Tabela66[#All],2,0),"")</f>
        <v/>
      </c>
      <c r="G167" s="177" t="str">
        <f>IFERROR(VLOOKUP(D167,Tabela.cadastro[[ID]:[CP ou M]],5,0),"")</f>
        <v/>
      </c>
      <c r="H167" s="177" t="str">
        <f>IFERROR(VLOOKUP(D167,Cadastros!A:F,6,0),"")</f>
        <v/>
      </c>
      <c r="I167" s="177" t="str">
        <f>IFERROR(VLOOKUP(D167,Cadastros!A:I,9,0),"")</f>
        <v/>
      </c>
      <c r="J167" s="177" t="str">
        <f>IFERROR(VLOOKUP(D167,Cadastros!A:J,10,0),"")</f>
        <v/>
      </c>
      <c r="K167" s="177" t="str">
        <f>IF(COUNTIF(Tabela66[id],D167)=0,"",COUNTIF(Tabela66[id],D167))</f>
        <v/>
      </c>
      <c r="L167" s="198"/>
      <c r="M167" s="227" t="str">
        <f t="shared" si="10"/>
        <v/>
      </c>
      <c r="P167" s="176" t="str">
        <f>IFERROR(VLOOKUP(O167,Cadastros!A:B,2),"")</f>
        <v/>
      </c>
      <c r="Q167" s="177" t="str">
        <f t="shared" si="11"/>
        <v/>
      </c>
      <c r="R167" s="177" t="str">
        <f>IFERROR(VLOOKUP(O167,Cadastros!A:E,5,0),"")</f>
        <v/>
      </c>
      <c r="S167" s="177" t="str">
        <f>IFERROR(VLOOKUP(O167,Cadastros!A:F,6,0),"")</f>
        <v/>
      </c>
      <c r="T167" s="177" t="str">
        <f>IFERROR(VLOOKUP(O167,Cadastros!A:I,9,0),"")</f>
        <v/>
      </c>
      <c r="U167" s="177" t="str">
        <f t="shared" si="12"/>
        <v/>
      </c>
      <c r="V167" s="177" t="str">
        <f t="shared" si="13"/>
        <v/>
      </c>
      <c r="W167" s="177" t="str">
        <f t="shared" si="14"/>
        <v/>
      </c>
      <c r="Y167" s="240" t="e">
        <f t="array" ref="Y167">INDEX(Tabela.abordagens[],SMALL(IF(Tabela.abordagens[Mês]=$L$2,ROW(Tabela.abordagens[id])-2),ROW(A120)),1)</f>
        <v>#NUM!</v>
      </c>
      <c r="Z167" s="240" t="e">
        <f t="array" ref="Z167">INDEX(Tabela.abordagens[],SMALL(IF(Tabela.abordagens[Mês]=$L$2,ROW(Tabela.abordagens[Idade])-2),ROW(A120)),6)</f>
        <v>#NUM!</v>
      </c>
      <c r="AA167" s="240" t="e">
        <f t="array" ref="AA167">INDEX(Tabela.abordagens[],SMALL(IF(Tabela.abordagens[Mês]=$L$2,ROW(Tabela.abordagens[Idade])-2),ROW(A120)),4)</f>
        <v>#NUM!</v>
      </c>
      <c r="AB167" s="240" t="e">
        <f t="array" ref="AB167">INDEX(Tabela.abordagens[],SMALL(IF(Tabela.abordagens[Mês]=$L$2,ROW(Tabela.abordagens[Idade])-2),ROW(A120)),5)</f>
        <v>#NUM!</v>
      </c>
    </row>
    <row r="168" spans="2:28" ht="15" x14ac:dyDescent="0.25">
      <c r="B168" s="223" t="e">
        <f t="array" ref="B168">INDEX(Tabela.frequencia[],SMALL(IF(Tabela.frequencia[Mês]=$L$2,ROW(Tabela.frequencia[id])-1),ROW(A121)),1)</f>
        <v>#NUM!</v>
      </c>
      <c r="C168" s="229" t="e">
        <f t="array" ref="C168">INDEX(Tabela.frequencia[],SMALL(IF(Tabela.frequencia[Mês]=$L$2,ROW(Tabela.frequencia[id])-1),ROW(A121)),4)</f>
        <v>#NUM!</v>
      </c>
      <c r="E168" s="176" t="str">
        <f>IFERROR(VLOOKUP(D168,Tabela.cadastro[[ID]:[Nome]],2,0),"")</f>
        <v/>
      </c>
      <c r="F168" s="177" t="str">
        <f>IFERROR(VLOOKUP(D168,Tabela66[#All],2,0),"")</f>
        <v/>
      </c>
      <c r="G168" s="177" t="str">
        <f>IFERROR(VLOOKUP(D168,Tabela.cadastro[[ID]:[CP ou M]],5,0),"")</f>
        <v/>
      </c>
      <c r="H168" s="177" t="str">
        <f>IFERROR(VLOOKUP(D168,Cadastros!A:F,6,0),"")</f>
        <v/>
      </c>
      <c r="I168" s="177" t="str">
        <f>IFERROR(VLOOKUP(D168,Cadastros!A:I,9,0),"")</f>
        <v/>
      </c>
      <c r="J168" s="177" t="str">
        <f>IFERROR(VLOOKUP(D168,Cadastros!A:J,10,0),"")</f>
        <v/>
      </c>
      <c r="K168" s="177" t="str">
        <f>IF(COUNTIF(Tabela66[id],D168)=0,"",COUNTIF(Tabela66[id],D168))</f>
        <v/>
      </c>
      <c r="L168" s="198"/>
      <c r="M168" s="227" t="str">
        <f t="shared" si="10"/>
        <v/>
      </c>
      <c r="P168" s="176" t="str">
        <f>IFERROR(VLOOKUP(O168,Cadastros!A:B,2),"")</f>
        <v/>
      </c>
      <c r="Q168" s="177" t="str">
        <f t="shared" si="11"/>
        <v/>
      </c>
      <c r="R168" s="177" t="str">
        <f>IFERROR(VLOOKUP(O168,Cadastros!A:E,5,0),"")</f>
        <v/>
      </c>
      <c r="S168" s="177" t="str">
        <f>IFERROR(VLOOKUP(O168,Cadastros!A:F,6,0),"")</f>
        <v/>
      </c>
      <c r="T168" s="177" t="str">
        <f>IFERROR(VLOOKUP(O168,Cadastros!A:I,9,0),"")</f>
        <v/>
      </c>
      <c r="U168" s="177" t="str">
        <f t="shared" si="12"/>
        <v/>
      </c>
      <c r="V168" s="177" t="str">
        <f t="shared" si="13"/>
        <v/>
      </c>
      <c r="W168" s="177" t="str">
        <f t="shared" si="14"/>
        <v/>
      </c>
      <c r="Y168" s="240" t="e">
        <f t="array" ref="Y168">INDEX(Tabela.abordagens[],SMALL(IF(Tabela.abordagens[Mês]=$L$2,ROW(Tabela.abordagens[id])-2),ROW(A121)),1)</f>
        <v>#NUM!</v>
      </c>
      <c r="Z168" s="240" t="e">
        <f t="array" ref="Z168">INDEX(Tabela.abordagens[],SMALL(IF(Tabela.abordagens[Mês]=$L$2,ROW(Tabela.abordagens[Idade])-2),ROW(A121)),6)</f>
        <v>#NUM!</v>
      </c>
      <c r="AA168" s="240" t="e">
        <f t="array" ref="AA168">INDEX(Tabela.abordagens[],SMALL(IF(Tabela.abordagens[Mês]=$L$2,ROW(Tabela.abordagens[Idade])-2),ROW(A121)),4)</f>
        <v>#NUM!</v>
      </c>
      <c r="AB168" s="240" t="e">
        <f t="array" ref="AB168">INDEX(Tabela.abordagens[],SMALL(IF(Tabela.abordagens[Mês]=$L$2,ROW(Tabela.abordagens[Idade])-2),ROW(A121)),5)</f>
        <v>#NUM!</v>
      </c>
    </row>
    <row r="169" spans="2:28" ht="15" x14ac:dyDescent="0.25">
      <c r="B169" s="223" t="e">
        <f t="array" ref="B169">INDEX(Tabela.frequencia[],SMALL(IF(Tabela.frequencia[Mês]=$L$2,ROW(Tabela.frequencia[id])-1),ROW(A122)),1)</f>
        <v>#NUM!</v>
      </c>
      <c r="C169" s="229" t="e">
        <f t="array" ref="C169">INDEX(Tabela.frequencia[],SMALL(IF(Tabela.frequencia[Mês]=$L$2,ROW(Tabela.frequencia[id])-1),ROW(A122)),4)</f>
        <v>#NUM!</v>
      </c>
      <c r="E169" s="176" t="str">
        <f>IFERROR(VLOOKUP(D169,Tabela.cadastro[[ID]:[Nome]],2,0),"")</f>
        <v/>
      </c>
      <c r="F169" s="177" t="str">
        <f>IFERROR(VLOOKUP(D169,Tabela66[#All],2,0),"")</f>
        <v/>
      </c>
      <c r="G169" s="177" t="str">
        <f>IFERROR(VLOOKUP(D169,Tabela.cadastro[[ID]:[CP ou M]],5,0),"")</f>
        <v/>
      </c>
      <c r="H169" s="177" t="str">
        <f>IFERROR(VLOOKUP(D169,Cadastros!A:F,6,0),"")</f>
        <v/>
      </c>
      <c r="I169" s="177" t="str">
        <f>IFERROR(VLOOKUP(D169,Cadastros!A:I,9,0),"")</f>
        <v/>
      </c>
      <c r="J169" s="177" t="str">
        <f>IFERROR(VLOOKUP(D169,Cadastros!A:J,10,0),"")</f>
        <v/>
      </c>
      <c r="K169" s="177" t="str">
        <f>IF(COUNTIF(Tabela66[id],D169)=0,"",COUNTIF(Tabela66[id],D169))</f>
        <v/>
      </c>
      <c r="L169" s="198"/>
      <c r="M169" s="227" t="str">
        <f t="shared" si="10"/>
        <v/>
      </c>
      <c r="P169" s="176" t="str">
        <f>IFERROR(VLOOKUP(O169,Cadastros!A:B,2),"")</f>
        <v/>
      </c>
      <c r="Q169" s="177" t="str">
        <f t="shared" si="11"/>
        <v/>
      </c>
      <c r="R169" s="177" t="str">
        <f>IFERROR(VLOOKUP(O169,Cadastros!A:E,5,0),"")</f>
        <v/>
      </c>
      <c r="S169" s="177" t="str">
        <f>IFERROR(VLOOKUP(O169,Cadastros!A:F,6,0),"")</f>
        <v/>
      </c>
      <c r="T169" s="177" t="str">
        <f>IFERROR(VLOOKUP(O169,Cadastros!A:I,9,0),"")</f>
        <v/>
      </c>
      <c r="U169" s="177" t="str">
        <f t="shared" si="12"/>
        <v/>
      </c>
      <c r="V169" s="177" t="str">
        <f t="shared" si="13"/>
        <v/>
      </c>
      <c r="W169" s="177" t="str">
        <f t="shared" si="14"/>
        <v/>
      </c>
      <c r="Y169" s="240" t="e">
        <f t="array" ref="Y169">INDEX(Tabela.abordagens[],SMALL(IF(Tabela.abordagens[Mês]=$L$2,ROW(Tabela.abordagens[id])-2),ROW(A122)),1)</f>
        <v>#NUM!</v>
      </c>
      <c r="Z169" s="240" t="e">
        <f t="array" ref="Z169">INDEX(Tabela.abordagens[],SMALL(IF(Tabela.abordagens[Mês]=$L$2,ROW(Tabela.abordagens[Idade])-2),ROW(A122)),6)</f>
        <v>#NUM!</v>
      </c>
      <c r="AA169" s="240" t="e">
        <f t="array" ref="AA169">INDEX(Tabela.abordagens[],SMALL(IF(Tabela.abordagens[Mês]=$L$2,ROW(Tabela.abordagens[Idade])-2),ROW(A122)),4)</f>
        <v>#NUM!</v>
      </c>
      <c r="AB169" s="240" t="e">
        <f t="array" ref="AB169">INDEX(Tabela.abordagens[],SMALL(IF(Tabela.abordagens[Mês]=$L$2,ROW(Tabela.abordagens[Idade])-2),ROW(A122)),5)</f>
        <v>#NUM!</v>
      </c>
    </row>
    <row r="170" spans="2:28" ht="15" x14ac:dyDescent="0.25">
      <c r="B170" s="223" t="e">
        <f t="array" ref="B170">INDEX(Tabela.frequencia[],SMALL(IF(Tabela.frequencia[Mês]=$L$2,ROW(Tabela.frequencia[id])-1),ROW(A123)),1)</f>
        <v>#NUM!</v>
      </c>
      <c r="C170" s="229" t="e">
        <f t="array" ref="C170">INDEX(Tabela.frequencia[],SMALL(IF(Tabela.frequencia[Mês]=$L$2,ROW(Tabela.frequencia[id])-1),ROW(A123)),4)</f>
        <v>#NUM!</v>
      </c>
      <c r="E170" s="176" t="str">
        <f>IFERROR(VLOOKUP(D170,Tabela.cadastro[[ID]:[Nome]],2,0),"")</f>
        <v/>
      </c>
      <c r="F170" s="177" t="str">
        <f>IFERROR(VLOOKUP(D170,Tabela66[#All],2,0),"")</f>
        <v/>
      </c>
      <c r="G170" s="177" t="str">
        <f>IFERROR(VLOOKUP(D170,Tabela.cadastro[[ID]:[CP ou M]],5,0),"")</f>
        <v/>
      </c>
      <c r="H170" s="177" t="str">
        <f>IFERROR(VLOOKUP(D170,Cadastros!A:F,6,0),"")</f>
        <v/>
      </c>
      <c r="I170" s="177" t="str">
        <f>IFERROR(VLOOKUP(D170,Cadastros!A:I,9,0),"")</f>
        <v/>
      </c>
      <c r="J170" s="177" t="str">
        <f>IFERROR(VLOOKUP(D170,Cadastros!A:J,10,0),"")</f>
        <v/>
      </c>
      <c r="K170" s="177" t="str">
        <f>IF(COUNTIF(Tabela66[id],D170)=0,"",COUNTIF(Tabela66[id],D170))</f>
        <v/>
      </c>
      <c r="L170" s="198"/>
      <c r="M170" s="227" t="str">
        <f t="shared" ref="M170:M233" si="15">IF(AND(K170:K1001&gt;=5,L170:L1001="Não"),"*","")</f>
        <v/>
      </c>
      <c r="P170" s="176" t="str">
        <f>IFERROR(VLOOKUP(O170,Cadastros!A:B,2),"")</f>
        <v/>
      </c>
      <c r="Q170" s="177" t="str">
        <f t="shared" si="11"/>
        <v/>
      </c>
      <c r="R170" s="177" t="str">
        <f>IFERROR(VLOOKUP(O170,Cadastros!A:E,5,0),"")</f>
        <v/>
      </c>
      <c r="S170" s="177" t="str">
        <f>IFERROR(VLOOKUP(O170,Cadastros!A:F,6,0),"")</f>
        <v/>
      </c>
      <c r="T170" s="177" t="str">
        <f>IFERROR(VLOOKUP(O170,Cadastros!A:I,9,0),"")</f>
        <v/>
      </c>
      <c r="U170" s="177" t="str">
        <f t="shared" si="12"/>
        <v/>
      </c>
      <c r="V170" s="177" t="str">
        <f t="shared" si="13"/>
        <v/>
      </c>
      <c r="W170" s="177" t="str">
        <f t="shared" si="14"/>
        <v/>
      </c>
      <c r="Y170" s="240" t="e">
        <f t="array" ref="Y170">INDEX(Tabela.abordagens[],SMALL(IF(Tabela.abordagens[Mês]=$L$2,ROW(Tabela.abordagens[id])-2),ROW(A123)),1)</f>
        <v>#NUM!</v>
      </c>
      <c r="Z170" s="240" t="e">
        <f t="array" ref="Z170">INDEX(Tabela.abordagens[],SMALL(IF(Tabela.abordagens[Mês]=$L$2,ROW(Tabela.abordagens[Idade])-2),ROW(A123)),6)</f>
        <v>#NUM!</v>
      </c>
      <c r="AA170" s="240" t="e">
        <f t="array" ref="AA170">INDEX(Tabela.abordagens[],SMALL(IF(Tabela.abordagens[Mês]=$L$2,ROW(Tabela.abordagens[Idade])-2),ROW(A123)),4)</f>
        <v>#NUM!</v>
      </c>
      <c r="AB170" s="240" t="e">
        <f t="array" ref="AB170">INDEX(Tabela.abordagens[],SMALL(IF(Tabela.abordagens[Mês]=$L$2,ROW(Tabela.abordagens[Idade])-2),ROW(A123)),5)</f>
        <v>#NUM!</v>
      </c>
    </row>
    <row r="171" spans="2:28" ht="15" x14ac:dyDescent="0.25">
      <c r="B171" s="223" t="e">
        <f t="array" ref="B171">INDEX(Tabela.frequencia[],SMALL(IF(Tabela.frequencia[Mês]=$L$2,ROW(Tabela.frequencia[id])-1),ROW(A124)),1)</f>
        <v>#NUM!</v>
      </c>
      <c r="C171" s="229" t="e">
        <f t="array" ref="C171">INDEX(Tabela.frequencia[],SMALL(IF(Tabela.frequencia[Mês]=$L$2,ROW(Tabela.frequencia[id])-1),ROW(A124)),4)</f>
        <v>#NUM!</v>
      </c>
      <c r="E171" s="176" t="str">
        <f>IFERROR(VLOOKUP(D171,Tabela.cadastro[[ID]:[Nome]],2,0),"")</f>
        <v/>
      </c>
      <c r="F171" s="177" t="str">
        <f>IFERROR(VLOOKUP(D171,Tabela66[#All],2,0),"")</f>
        <v/>
      </c>
      <c r="G171" s="177" t="str">
        <f>IFERROR(VLOOKUP(D171,Tabela.cadastro[[ID]:[CP ou M]],5,0),"")</f>
        <v/>
      </c>
      <c r="H171" s="177" t="str">
        <f>IFERROR(VLOOKUP(D171,Cadastros!A:F,6,0),"")</f>
        <v/>
      </c>
      <c r="I171" s="177" t="str">
        <f>IFERROR(VLOOKUP(D171,Cadastros!A:I,9,0),"")</f>
        <v/>
      </c>
      <c r="J171" s="177" t="str">
        <f>IFERROR(VLOOKUP(D171,Cadastros!A:J,10,0),"")</f>
        <v/>
      </c>
      <c r="K171" s="177" t="str">
        <f>IF(COUNTIF(Tabela66[id],D171)=0,"",COUNTIF(Tabela66[id],D171))</f>
        <v/>
      </c>
      <c r="L171" s="198"/>
      <c r="M171" s="227" t="str">
        <f t="shared" si="15"/>
        <v/>
      </c>
      <c r="P171" s="176" t="str">
        <f>IFERROR(VLOOKUP(O171,Cadastros!A:B,2),"")</f>
        <v/>
      </c>
      <c r="Q171" s="177" t="str">
        <f t="shared" si="11"/>
        <v/>
      </c>
      <c r="R171" s="177" t="str">
        <f>IFERROR(VLOOKUP(O171,Cadastros!A:E,5,0),"")</f>
        <v/>
      </c>
      <c r="S171" s="177" t="str">
        <f>IFERROR(VLOOKUP(O171,Cadastros!A:F,6,0),"")</f>
        <v/>
      </c>
      <c r="T171" s="177" t="str">
        <f>IFERROR(VLOOKUP(O171,Cadastros!A:I,9,0),"")</f>
        <v/>
      </c>
      <c r="U171" s="177" t="str">
        <f t="shared" si="12"/>
        <v/>
      </c>
      <c r="V171" s="177" t="str">
        <f t="shared" si="13"/>
        <v/>
      </c>
      <c r="W171" s="177" t="str">
        <f t="shared" si="14"/>
        <v/>
      </c>
      <c r="Y171" s="240" t="e">
        <f t="array" ref="Y171">INDEX(Tabela.abordagens[],SMALL(IF(Tabela.abordagens[Mês]=$L$2,ROW(Tabela.abordagens[id])-2),ROW(A124)),1)</f>
        <v>#NUM!</v>
      </c>
      <c r="Z171" s="240" t="e">
        <f t="array" ref="Z171">INDEX(Tabela.abordagens[],SMALL(IF(Tabela.abordagens[Mês]=$L$2,ROW(Tabela.abordagens[Idade])-2),ROW(A124)),6)</f>
        <v>#NUM!</v>
      </c>
      <c r="AA171" s="240" t="e">
        <f t="array" ref="AA171">INDEX(Tabela.abordagens[],SMALL(IF(Tabela.abordagens[Mês]=$L$2,ROW(Tabela.abordagens[Idade])-2),ROW(A124)),4)</f>
        <v>#NUM!</v>
      </c>
      <c r="AB171" s="240" t="e">
        <f t="array" ref="AB171">INDEX(Tabela.abordagens[],SMALL(IF(Tabela.abordagens[Mês]=$L$2,ROW(Tabela.abordagens[Idade])-2),ROW(A124)),5)</f>
        <v>#NUM!</v>
      </c>
    </row>
    <row r="172" spans="2:28" ht="15" x14ac:dyDescent="0.25">
      <c r="B172" s="223" t="e">
        <f t="array" ref="B172">INDEX(Tabela.frequencia[],SMALL(IF(Tabela.frequencia[Mês]=$L$2,ROW(Tabela.frequencia[id])-1),ROW(A125)),1)</f>
        <v>#NUM!</v>
      </c>
      <c r="C172" s="229" t="e">
        <f t="array" ref="C172">INDEX(Tabela.frequencia[],SMALL(IF(Tabela.frequencia[Mês]=$L$2,ROW(Tabela.frequencia[id])-1),ROW(A125)),4)</f>
        <v>#NUM!</v>
      </c>
      <c r="E172" s="176" t="str">
        <f>IFERROR(VLOOKUP(D172,Tabela.cadastro[[ID]:[Nome]],2,0),"")</f>
        <v/>
      </c>
      <c r="F172" s="177" t="str">
        <f>IFERROR(VLOOKUP(D172,Tabela66[#All],2,0),"")</f>
        <v/>
      </c>
      <c r="G172" s="177" t="str">
        <f>IFERROR(VLOOKUP(D172,Tabela.cadastro[[ID]:[CP ou M]],5,0),"")</f>
        <v/>
      </c>
      <c r="H172" s="177" t="str">
        <f>IFERROR(VLOOKUP(D172,Cadastros!A:F,6,0),"")</f>
        <v/>
      </c>
      <c r="I172" s="177" t="str">
        <f>IFERROR(VLOOKUP(D172,Cadastros!A:I,9,0),"")</f>
        <v/>
      </c>
      <c r="J172" s="177" t="str">
        <f>IFERROR(VLOOKUP(D172,Cadastros!A:J,10,0),"")</f>
        <v/>
      </c>
      <c r="K172" s="177" t="str">
        <f>IF(COUNTIF(Tabela66[id],D172)=0,"",COUNTIF(Tabela66[id],D172))</f>
        <v/>
      </c>
      <c r="L172" s="198"/>
      <c r="M172" s="227" t="str">
        <f t="shared" si="15"/>
        <v/>
      </c>
      <c r="P172" s="176" t="str">
        <f>IFERROR(VLOOKUP(O172,Cadastros!A:B,2),"")</f>
        <v/>
      </c>
      <c r="Q172" s="177" t="str">
        <f t="shared" si="11"/>
        <v/>
      </c>
      <c r="R172" s="177" t="str">
        <f>IFERROR(VLOOKUP(O172,Cadastros!A:E,5,0),"")</f>
        <v/>
      </c>
      <c r="S172" s="177" t="str">
        <f>IFERROR(VLOOKUP(O172,Cadastros!A:F,6,0),"")</f>
        <v/>
      </c>
      <c r="T172" s="177" t="str">
        <f>IFERROR(VLOOKUP(O172,Cadastros!A:I,9,0),"")</f>
        <v/>
      </c>
      <c r="U172" s="177" t="str">
        <f t="shared" si="12"/>
        <v/>
      </c>
      <c r="V172" s="177" t="str">
        <f t="shared" si="13"/>
        <v/>
      </c>
      <c r="W172" s="177" t="str">
        <f t="shared" si="14"/>
        <v/>
      </c>
      <c r="Y172" s="240" t="e">
        <f t="array" ref="Y172">INDEX(Tabela.abordagens[],SMALL(IF(Tabela.abordagens[Mês]=$L$2,ROW(Tabela.abordagens[id])-2),ROW(A125)),1)</f>
        <v>#NUM!</v>
      </c>
      <c r="Z172" s="240" t="e">
        <f t="array" ref="Z172">INDEX(Tabela.abordagens[],SMALL(IF(Tabela.abordagens[Mês]=$L$2,ROW(Tabela.abordagens[Idade])-2),ROW(A125)),6)</f>
        <v>#NUM!</v>
      </c>
      <c r="AA172" s="240" t="e">
        <f t="array" ref="AA172">INDEX(Tabela.abordagens[],SMALL(IF(Tabela.abordagens[Mês]=$L$2,ROW(Tabela.abordagens[Idade])-2),ROW(A125)),4)</f>
        <v>#NUM!</v>
      </c>
      <c r="AB172" s="240" t="e">
        <f t="array" ref="AB172">INDEX(Tabela.abordagens[],SMALL(IF(Tabela.abordagens[Mês]=$L$2,ROW(Tabela.abordagens[Idade])-2),ROW(A125)),5)</f>
        <v>#NUM!</v>
      </c>
    </row>
    <row r="173" spans="2:28" ht="15" x14ac:dyDescent="0.25">
      <c r="B173" s="223" t="e">
        <f t="array" ref="B173">INDEX(Tabela.frequencia[],SMALL(IF(Tabela.frequencia[Mês]=$L$2,ROW(Tabela.frequencia[id])-1),ROW(A126)),1)</f>
        <v>#NUM!</v>
      </c>
      <c r="C173" s="229" t="e">
        <f t="array" ref="C173">INDEX(Tabela.frequencia[],SMALL(IF(Tabela.frequencia[Mês]=$L$2,ROW(Tabela.frequencia[id])-1),ROW(A126)),4)</f>
        <v>#NUM!</v>
      </c>
      <c r="E173" s="176" t="str">
        <f>IFERROR(VLOOKUP(D173,Tabela.cadastro[[ID]:[Nome]],2,0),"")</f>
        <v/>
      </c>
      <c r="F173" s="177" t="str">
        <f>IFERROR(VLOOKUP(D173,Tabela66[#All],2,0),"")</f>
        <v/>
      </c>
      <c r="G173" s="177" t="str">
        <f>IFERROR(VLOOKUP(D173,Tabela.cadastro[[ID]:[CP ou M]],5,0),"")</f>
        <v/>
      </c>
      <c r="H173" s="177" t="str">
        <f>IFERROR(VLOOKUP(D173,Cadastros!A:F,6,0),"")</f>
        <v/>
      </c>
      <c r="I173" s="177" t="str">
        <f>IFERROR(VLOOKUP(D173,Cadastros!A:I,9,0),"")</f>
        <v/>
      </c>
      <c r="J173" s="177" t="str">
        <f>IFERROR(VLOOKUP(D173,Cadastros!A:J,10,0),"")</f>
        <v/>
      </c>
      <c r="K173" s="177" t="str">
        <f>IF(COUNTIF(Tabela66[id],D173)=0,"",COUNTIF(Tabela66[id],D173))</f>
        <v/>
      </c>
      <c r="L173" s="198"/>
      <c r="M173" s="227" t="str">
        <f t="shared" si="15"/>
        <v/>
      </c>
      <c r="P173" s="176" t="str">
        <f>IFERROR(VLOOKUP(O173,Cadastros!A:B,2),"")</f>
        <v/>
      </c>
      <c r="Q173" s="177" t="str">
        <f t="shared" si="11"/>
        <v/>
      </c>
      <c r="R173" s="177" t="str">
        <f>IFERROR(VLOOKUP(O173,Cadastros!A:E,5,0),"")</f>
        <v/>
      </c>
      <c r="S173" s="177" t="str">
        <f>IFERROR(VLOOKUP(O173,Cadastros!A:F,6,0),"")</f>
        <v/>
      </c>
      <c r="T173" s="177" t="str">
        <f>IFERROR(VLOOKUP(O173,Cadastros!A:I,9,0),"")</f>
        <v/>
      </c>
      <c r="U173" s="177" t="str">
        <f t="shared" si="12"/>
        <v/>
      </c>
      <c r="V173" s="177" t="str">
        <f t="shared" si="13"/>
        <v/>
      </c>
      <c r="W173" s="177" t="str">
        <f t="shared" si="14"/>
        <v/>
      </c>
      <c r="Y173" s="240" t="e">
        <f t="array" ref="Y173">INDEX(Tabela.abordagens[],SMALL(IF(Tabela.abordagens[Mês]=$L$2,ROW(Tabela.abordagens[id])-2),ROW(A126)),1)</f>
        <v>#NUM!</v>
      </c>
      <c r="Z173" s="240" t="e">
        <f t="array" ref="Z173">INDEX(Tabela.abordagens[],SMALL(IF(Tabela.abordagens[Mês]=$L$2,ROW(Tabela.abordagens[Idade])-2),ROW(A126)),6)</f>
        <v>#NUM!</v>
      </c>
      <c r="AA173" s="240" t="e">
        <f t="array" ref="AA173">INDEX(Tabela.abordagens[],SMALL(IF(Tabela.abordagens[Mês]=$L$2,ROW(Tabela.abordagens[Idade])-2),ROW(A126)),4)</f>
        <v>#NUM!</v>
      </c>
      <c r="AB173" s="240" t="e">
        <f t="array" ref="AB173">INDEX(Tabela.abordagens[],SMALL(IF(Tabela.abordagens[Mês]=$L$2,ROW(Tabela.abordagens[Idade])-2),ROW(A126)),5)</f>
        <v>#NUM!</v>
      </c>
    </row>
    <row r="174" spans="2:28" ht="15" x14ac:dyDescent="0.25">
      <c r="B174" s="223" t="e">
        <f t="array" ref="B174">INDEX(Tabela.frequencia[],SMALL(IF(Tabela.frequencia[Mês]=$L$2,ROW(Tabela.frequencia[id])-1),ROW(A127)),1)</f>
        <v>#NUM!</v>
      </c>
      <c r="C174" s="229" t="e">
        <f t="array" ref="C174">INDEX(Tabela.frequencia[],SMALL(IF(Tabela.frequencia[Mês]=$L$2,ROW(Tabela.frequencia[id])-1),ROW(A127)),4)</f>
        <v>#NUM!</v>
      </c>
      <c r="E174" s="176" t="str">
        <f>IFERROR(VLOOKUP(D174,Tabela.cadastro[[ID]:[Nome]],2,0),"")</f>
        <v/>
      </c>
      <c r="F174" s="177" t="str">
        <f>IFERROR(VLOOKUP(D174,Tabela66[#All],2,0),"")</f>
        <v/>
      </c>
      <c r="G174" s="177" t="str">
        <f>IFERROR(VLOOKUP(D174,Tabela.cadastro[[ID]:[CP ou M]],5,0),"")</f>
        <v/>
      </c>
      <c r="H174" s="177" t="str">
        <f>IFERROR(VLOOKUP(D174,Cadastros!A:F,6,0),"")</f>
        <v/>
      </c>
      <c r="I174" s="177" t="str">
        <f>IFERROR(VLOOKUP(D174,Cadastros!A:I,9,0),"")</f>
        <v/>
      </c>
      <c r="J174" s="177" t="str">
        <f>IFERROR(VLOOKUP(D174,Cadastros!A:J,10,0),"")</f>
        <v/>
      </c>
      <c r="K174" s="177" t="str">
        <f>IF(COUNTIF(Tabela66[id],D174)=0,"",COUNTIF(Tabela66[id],D174))</f>
        <v/>
      </c>
      <c r="L174" s="198"/>
      <c r="M174" s="227" t="str">
        <f t="shared" si="15"/>
        <v/>
      </c>
      <c r="P174" s="176" t="str">
        <f>IFERROR(VLOOKUP(O174,Cadastros!A:B,2),"")</f>
        <v/>
      </c>
      <c r="Q174" s="177" t="str">
        <f t="shared" si="11"/>
        <v/>
      </c>
      <c r="R174" s="177" t="str">
        <f>IFERROR(VLOOKUP(O174,Cadastros!A:E,5,0),"")</f>
        <v/>
      </c>
      <c r="S174" s="177" t="str">
        <f>IFERROR(VLOOKUP(O174,Cadastros!A:F,6,0),"")</f>
        <v/>
      </c>
      <c r="T174" s="177" t="str">
        <f>IFERROR(VLOOKUP(O174,Cadastros!A:I,9,0),"")</f>
        <v/>
      </c>
      <c r="U174" s="177" t="str">
        <f t="shared" si="12"/>
        <v/>
      </c>
      <c r="V174" s="177" t="str">
        <f t="shared" si="13"/>
        <v/>
      </c>
      <c r="W174" s="177" t="str">
        <f t="shared" si="14"/>
        <v/>
      </c>
      <c r="Y174" s="240" t="e">
        <f t="array" ref="Y174">INDEX(Tabela.abordagens[],SMALL(IF(Tabela.abordagens[Mês]=$L$2,ROW(Tabela.abordagens[id])-2),ROW(A127)),1)</f>
        <v>#NUM!</v>
      </c>
      <c r="Z174" s="240" t="e">
        <f t="array" ref="Z174">INDEX(Tabela.abordagens[],SMALL(IF(Tabela.abordagens[Mês]=$L$2,ROW(Tabela.abordagens[Idade])-2),ROW(A127)),6)</f>
        <v>#NUM!</v>
      </c>
      <c r="AA174" s="240" t="e">
        <f t="array" ref="AA174">INDEX(Tabela.abordagens[],SMALL(IF(Tabela.abordagens[Mês]=$L$2,ROW(Tabela.abordagens[Idade])-2),ROW(A127)),4)</f>
        <v>#NUM!</v>
      </c>
      <c r="AB174" s="240" t="e">
        <f t="array" ref="AB174">INDEX(Tabela.abordagens[],SMALL(IF(Tabela.abordagens[Mês]=$L$2,ROW(Tabela.abordagens[Idade])-2),ROW(A127)),5)</f>
        <v>#NUM!</v>
      </c>
    </row>
    <row r="175" spans="2:28" ht="15" x14ac:dyDescent="0.25">
      <c r="B175" s="223" t="e">
        <f t="array" ref="B175">INDEX(Tabela.frequencia[],SMALL(IF(Tabela.frequencia[Mês]=$L$2,ROW(Tabela.frequencia[id])-1),ROW(A128)),1)</f>
        <v>#NUM!</v>
      </c>
      <c r="C175" s="229" t="e">
        <f t="array" ref="C175">INDEX(Tabela.frequencia[],SMALL(IF(Tabela.frequencia[Mês]=$L$2,ROW(Tabela.frequencia[id])-1),ROW(A128)),4)</f>
        <v>#NUM!</v>
      </c>
      <c r="E175" s="176" t="str">
        <f>IFERROR(VLOOKUP(D175,Tabela.cadastro[[ID]:[Nome]],2,0),"")</f>
        <v/>
      </c>
      <c r="F175" s="177" t="str">
        <f>IFERROR(VLOOKUP(D175,Tabela66[#All],2,0),"")</f>
        <v/>
      </c>
      <c r="G175" s="177" t="str">
        <f>IFERROR(VLOOKUP(D175,Tabela.cadastro[[ID]:[CP ou M]],5,0),"")</f>
        <v/>
      </c>
      <c r="H175" s="177" t="str">
        <f>IFERROR(VLOOKUP(D175,Cadastros!A:F,6,0),"")</f>
        <v/>
      </c>
      <c r="I175" s="177" t="str">
        <f>IFERROR(VLOOKUP(D175,Cadastros!A:I,9,0),"")</f>
        <v/>
      </c>
      <c r="J175" s="177" t="str">
        <f>IFERROR(VLOOKUP(D175,Cadastros!A:J,10,0),"")</f>
        <v/>
      </c>
      <c r="K175" s="177" t="str">
        <f>IF(COUNTIF(Tabela66[id],D175)=0,"",COUNTIF(Tabela66[id],D175))</f>
        <v/>
      </c>
      <c r="L175" s="198"/>
      <c r="M175" s="227" t="str">
        <f t="shared" si="15"/>
        <v/>
      </c>
      <c r="P175" s="176" t="str">
        <f>IFERROR(VLOOKUP(O175,Cadastros!A:B,2),"")</f>
        <v/>
      </c>
      <c r="Q175" s="177" t="str">
        <f t="shared" si="11"/>
        <v/>
      </c>
      <c r="R175" s="177" t="str">
        <f>IFERROR(VLOOKUP(O175,Cadastros!A:E,5,0),"")</f>
        <v/>
      </c>
      <c r="S175" s="177" t="str">
        <f>IFERROR(VLOOKUP(O175,Cadastros!A:F,6,0),"")</f>
        <v/>
      </c>
      <c r="T175" s="177" t="str">
        <f>IFERROR(VLOOKUP(O175,Cadastros!A:I,9,0),"")</f>
        <v/>
      </c>
      <c r="U175" s="177" t="str">
        <f t="shared" si="12"/>
        <v/>
      </c>
      <c r="V175" s="177" t="str">
        <f t="shared" si="13"/>
        <v/>
      </c>
      <c r="W175" s="177" t="str">
        <f t="shared" si="14"/>
        <v/>
      </c>
      <c r="Y175" s="240" t="e">
        <f t="array" ref="Y175">INDEX(Tabela.abordagens[],SMALL(IF(Tabela.abordagens[Mês]=$L$2,ROW(Tabela.abordagens[id])-2),ROW(A128)),1)</f>
        <v>#NUM!</v>
      </c>
      <c r="Z175" s="240" t="e">
        <f t="array" ref="Z175">INDEX(Tabela.abordagens[],SMALL(IF(Tabela.abordagens[Mês]=$L$2,ROW(Tabela.abordagens[Idade])-2),ROW(A128)),6)</f>
        <v>#NUM!</v>
      </c>
      <c r="AA175" s="240" t="e">
        <f t="array" ref="AA175">INDEX(Tabela.abordagens[],SMALL(IF(Tabela.abordagens[Mês]=$L$2,ROW(Tabela.abordagens[Idade])-2),ROW(A128)),4)</f>
        <v>#NUM!</v>
      </c>
      <c r="AB175" s="240" t="e">
        <f t="array" ref="AB175">INDEX(Tabela.abordagens[],SMALL(IF(Tabela.abordagens[Mês]=$L$2,ROW(Tabela.abordagens[Idade])-2),ROW(A128)),5)</f>
        <v>#NUM!</v>
      </c>
    </row>
    <row r="176" spans="2:28" ht="15" x14ac:dyDescent="0.25">
      <c r="B176" s="223" t="e">
        <f t="array" ref="B176">INDEX(Tabela.frequencia[],SMALL(IF(Tabela.frequencia[Mês]=$L$2,ROW(Tabela.frequencia[id])-1),ROW(A129)),1)</f>
        <v>#NUM!</v>
      </c>
      <c r="C176" s="229" t="e">
        <f t="array" ref="C176">INDEX(Tabela.frequencia[],SMALL(IF(Tabela.frequencia[Mês]=$L$2,ROW(Tabela.frequencia[id])-1),ROW(A129)),4)</f>
        <v>#NUM!</v>
      </c>
      <c r="E176" s="176" t="str">
        <f>IFERROR(VLOOKUP(D176,Tabela.cadastro[[ID]:[Nome]],2,0),"")</f>
        <v/>
      </c>
      <c r="F176" s="177" t="str">
        <f>IFERROR(VLOOKUP(D176,Tabela66[#All],2,0),"")</f>
        <v/>
      </c>
      <c r="G176" s="177" t="str">
        <f>IFERROR(VLOOKUP(D176,Tabela.cadastro[[ID]:[CP ou M]],5,0),"")</f>
        <v/>
      </c>
      <c r="H176" s="177" t="str">
        <f>IFERROR(VLOOKUP(D176,Cadastros!A:F,6,0),"")</f>
        <v/>
      </c>
      <c r="I176" s="177" t="str">
        <f>IFERROR(VLOOKUP(D176,Cadastros!A:I,9,0),"")</f>
        <v/>
      </c>
      <c r="J176" s="177" t="str">
        <f>IFERROR(VLOOKUP(D176,Cadastros!A:J,10,0),"")</f>
        <v/>
      </c>
      <c r="K176" s="177" t="str">
        <f>IF(COUNTIF(Tabela66[id],D176)=0,"",COUNTIF(Tabela66[id],D176))</f>
        <v/>
      </c>
      <c r="L176" s="198"/>
      <c r="M176" s="227" t="str">
        <f t="shared" si="15"/>
        <v/>
      </c>
      <c r="P176" s="176" t="str">
        <f>IFERROR(VLOOKUP(O176,Cadastros!A:B,2),"")</f>
        <v/>
      </c>
      <c r="Q176" s="177" t="str">
        <f t="shared" si="11"/>
        <v/>
      </c>
      <c r="R176" s="177" t="str">
        <f>IFERROR(VLOOKUP(O176,Cadastros!A:E,5,0),"")</f>
        <v/>
      </c>
      <c r="S176" s="177" t="str">
        <f>IFERROR(VLOOKUP(O176,Cadastros!A:F,6,0),"")</f>
        <v/>
      </c>
      <c r="T176" s="177" t="str">
        <f>IFERROR(VLOOKUP(O176,Cadastros!A:I,9,0),"")</f>
        <v/>
      </c>
      <c r="U176" s="177" t="str">
        <f t="shared" si="12"/>
        <v/>
      </c>
      <c r="V176" s="177" t="str">
        <f t="shared" si="13"/>
        <v/>
      </c>
      <c r="W176" s="177" t="str">
        <f t="shared" si="14"/>
        <v/>
      </c>
      <c r="Y176" s="240" t="e">
        <f t="array" ref="Y176">INDEX(Tabela.abordagens[],SMALL(IF(Tabela.abordagens[Mês]=$L$2,ROW(Tabela.abordagens[id])-2),ROW(A129)),1)</f>
        <v>#NUM!</v>
      </c>
      <c r="Z176" s="240" t="e">
        <f t="array" ref="Z176">INDEX(Tabela.abordagens[],SMALL(IF(Tabela.abordagens[Mês]=$L$2,ROW(Tabela.abordagens[Idade])-2),ROW(A129)),6)</f>
        <v>#NUM!</v>
      </c>
      <c r="AA176" s="240" t="e">
        <f t="array" ref="AA176">INDEX(Tabela.abordagens[],SMALL(IF(Tabela.abordagens[Mês]=$L$2,ROW(Tabela.abordagens[Idade])-2),ROW(A129)),4)</f>
        <v>#NUM!</v>
      </c>
      <c r="AB176" s="240" t="e">
        <f t="array" ref="AB176">INDEX(Tabela.abordagens[],SMALL(IF(Tabela.abordagens[Mês]=$L$2,ROW(Tabela.abordagens[Idade])-2),ROW(A129)),5)</f>
        <v>#NUM!</v>
      </c>
    </row>
    <row r="177" spans="2:28" ht="15" x14ac:dyDescent="0.25">
      <c r="B177" s="223" t="e">
        <f t="array" ref="B177">INDEX(Tabela.frequencia[],SMALL(IF(Tabela.frequencia[Mês]=$L$2,ROW(Tabela.frequencia[id])-1),ROW(A130)),1)</f>
        <v>#NUM!</v>
      </c>
      <c r="C177" s="229" t="e">
        <f t="array" ref="C177">INDEX(Tabela.frequencia[],SMALL(IF(Tabela.frequencia[Mês]=$L$2,ROW(Tabela.frequencia[id])-1),ROW(A130)),4)</f>
        <v>#NUM!</v>
      </c>
      <c r="E177" s="176" t="str">
        <f>IFERROR(VLOOKUP(D177,Tabela.cadastro[[ID]:[Nome]],2,0),"")</f>
        <v/>
      </c>
      <c r="F177" s="177" t="str">
        <f>IFERROR(VLOOKUP(D177,Tabela66[#All],2,0),"")</f>
        <v/>
      </c>
      <c r="G177" s="177" t="str">
        <f>IFERROR(VLOOKUP(D177,Tabela.cadastro[[ID]:[CP ou M]],5,0),"")</f>
        <v/>
      </c>
      <c r="H177" s="177" t="str">
        <f>IFERROR(VLOOKUP(D177,Cadastros!A:F,6,0),"")</f>
        <v/>
      </c>
      <c r="I177" s="177" t="str">
        <f>IFERROR(VLOOKUP(D177,Cadastros!A:I,9,0),"")</f>
        <v/>
      </c>
      <c r="J177" s="177" t="str">
        <f>IFERROR(VLOOKUP(D177,Cadastros!A:J,10,0),"")</f>
        <v/>
      </c>
      <c r="K177" s="177" t="str">
        <f>IF(COUNTIF(Tabela66[id],D177)=0,"",COUNTIF(Tabela66[id],D177))</f>
        <v/>
      </c>
      <c r="L177" s="198"/>
      <c r="M177" s="227" t="str">
        <f t="shared" si="15"/>
        <v/>
      </c>
      <c r="P177" s="176" t="str">
        <f>IFERROR(VLOOKUP(O177,Cadastros!A:B,2),"")</f>
        <v/>
      </c>
      <c r="Q177" s="177" t="str">
        <f t="shared" si="11"/>
        <v/>
      </c>
      <c r="R177" s="177" t="str">
        <f>IFERROR(VLOOKUP(O177,Cadastros!A:E,5,0),"")</f>
        <v/>
      </c>
      <c r="S177" s="177" t="str">
        <f>IFERROR(VLOOKUP(O177,Cadastros!A:F,6,0),"")</f>
        <v/>
      </c>
      <c r="T177" s="177" t="str">
        <f>IFERROR(VLOOKUP(O177,Cadastros!A:I,9,0),"")</f>
        <v/>
      </c>
      <c r="U177" s="177" t="str">
        <f t="shared" si="12"/>
        <v/>
      </c>
      <c r="V177" s="177" t="str">
        <f t="shared" si="13"/>
        <v/>
      </c>
      <c r="W177" s="177" t="str">
        <f t="shared" si="14"/>
        <v/>
      </c>
      <c r="Y177" s="240" t="e">
        <f t="array" ref="Y177">INDEX(Tabela.abordagens[],SMALL(IF(Tabela.abordagens[Mês]=$L$2,ROW(Tabela.abordagens[id])-2),ROW(A130)),1)</f>
        <v>#NUM!</v>
      </c>
      <c r="Z177" s="240" t="e">
        <f t="array" ref="Z177">INDEX(Tabela.abordagens[],SMALL(IF(Tabela.abordagens[Mês]=$L$2,ROW(Tabela.abordagens[Idade])-2),ROW(A130)),6)</f>
        <v>#NUM!</v>
      </c>
      <c r="AA177" s="240" t="e">
        <f t="array" ref="AA177">INDEX(Tabela.abordagens[],SMALL(IF(Tabela.abordagens[Mês]=$L$2,ROW(Tabela.abordagens[Idade])-2),ROW(A130)),4)</f>
        <v>#NUM!</v>
      </c>
      <c r="AB177" s="240" t="e">
        <f t="array" ref="AB177">INDEX(Tabela.abordagens[],SMALL(IF(Tabela.abordagens[Mês]=$L$2,ROW(Tabela.abordagens[Idade])-2),ROW(A130)),5)</f>
        <v>#NUM!</v>
      </c>
    </row>
    <row r="178" spans="2:28" ht="15" x14ac:dyDescent="0.25">
      <c r="B178" s="223" t="e">
        <f t="array" ref="B178">INDEX(Tabela.frequencia[],SMALL(IF(Tabela.frequencia[Mês]=$L$2,ROW(Tabela.frequencia[id])-1),ROW(A131)),1)</f>
        <v>#NUM!</v>
      </c>
      <c r="C178" s="229" t="e">
        <f t="array" ref="C178">INDEX(Tabela.frequencia[],SMALL(IF(Tabela.frequencia[Mês]=$L$2,ROW(Tabela.frequencia[id])-1),ROW(A131)),4)</f>
        <v>#NUM!</v>
      </c>
      <c r="E178" s="176" t="str">
        <f>IFERROR(VLOOKUP(D178,Tabela.cadastro[[ID]:[Nome]],2,0),"")</f>
        <v/>
      </c>
      <c r="F178" s="177" t="str">
        <f>IFERROR(VLOOKUP(D178,Tabela66[#All],2,0),"")</f>
        <v/>
      </c>
      <c r="G178" s="177" t="str">
        <f>IFERROR(VLOOKUP(D178,Tabela.cadastro[[ID]:[CP ou M]],5,0),"")</f>
        <v/>
      </c>
      <c r="H178" s="177" t="str">
        <f>IFERROR(VLOOKUP(D178,Cadastros!A:F,6,0),"")</f>
        <v/>
      </c>
      <c r="I178" s="177" t="str">
        <f>IFERROR(VLOOKUP(D178,Cadastros!A:I,9,0),"")</f>
        <v/>
      </c>
      <c r="J178" s="177" t="str">
        <f>IFERROR(VLOOKUP(D178,Cadastros!A:J,10,0),"")</f>
        <v/>
      </c>
      <c r="K178" s="177" t="str">
        <f>IF(COUNTIF(Tabela66[id],D178)=0,"",COUNTIF(Tabela66[id],D178))</f>
        <v/>
      </c>
      <c r="L178" s="198"/>
      <c r="M178" s="227" t="str">
        <f t="shared" si="15"/>
        <v/>
      </c>
      <c r="P178" s="176" t="str">
        <f>IFERROR(VLOOKUP(O178,Cadastros!A:B,2),"")</f>
        <v/>
      </c>
      <c r="Q178" s="177" t="str">
        <f t="shared" si="11"/>
        <v/>
      </c>
      <c r="R178" s="177" t="str">
        <f>IFERROR(VLOOKUP(O178,Cadastros!A:E,5,0),"")</f>
        <v/>
      </c>
      <c r="S178" s="177" t="str">
        <f>IFERROR(VLOOKUP(O178,Cadastros!A:F,6,0),"")</f>
        <v/>
      </c>
      <c r="T178" s="177" t="str">
        <f>IFERROR(VLOOKUP(O178,Cadastros!A:I,9,0),"")</f>
        <v/>
      </c>
      <c r="U178" s="177" t="str">
        <f t="shared" si="12"/>
        <v/>
      </c>
      <c r="V178" s="177" t="str">
        <f t="shared" si="13"/>
        <v/>
      </c>
      <c r="W178" s="177" t="str">
        <f t="shared" si="14"/>
        <v/>
      </c>
      <c r="Y178" s="240" t="e">
        <f t="array" ref="Y178">INDEX(Tabela.abordagens[],SMALL(IF(Tabela.abordagens[Mês]=$L$2,ROW(Tabela.abordagens[id])-2),ROW(A131)),1)</f>
        <v>#NUM!</v>
      </c>
      <c r="Z178" s="240" t="e">
        <f t="array" ref="Z178">INDEX(Tabela.abordagens[],SMALL(IF(Tabela.abordagens[Mês]=$L$2,ROW(Tabela.abordagens[Idade])-2),ROW(A131)),6)</f>
        <v>#NUM!</v>
      </c>
      <c r="AA178" s="240" t="e">
        <f t="array" ref="AA178">INDEX(Tabela.abordagens[],SMALL(IF(Tabela.abordagens[Mês]=$L$2,ROW(Tabela.abordagens[Idade])-2),ROW(A131)),4)</f>
        <v>#NUM!</v>
      </c>
      <c r="AB178" s="240" t="e">
        <f t="array" ref="AB178">INDEX(Tabela.abordagens[],SMALL(IF(Tabela.abordagens[Mês]=$L$2,ROW(Tabela.abordagens[Idade])-2),ROW(A131)),5)</f>
        <v>#NUM!</v>
      </c>
    </row>
    <row r="179" spans="2:28" ht="15" x14ac:dyDescent="0.25">
      <c r="B179" s="223" t="e">
        <f t="array" ref="B179">INDEX(Tabela.frequencia[],SMALL(IF(Tabela.frequencia[Mês]=$L$2,ROW(Tabela.frequencia[id])-1),ROW(A132)),1)</f>
        <v>#NUM!</v>
      </c>
      <c r="C179" s="229" t="e">
        <f t="array" ref="C179">INDEX(Tabela.frequencia[],SMALL(IF(Tabela.frequencia[Mês]=$L$2,ROW(Tabela.frequencia[id])-1),ROW(A132)),4)</f>
        <v>#NUM!</v>
      </c>
      <c r="E179" s="176" t="str">
        <f>IFERROR(VLOOKUP(D179,Tabela.cadastro[[ID]:[Nome]],2,0),"")</f>
        <v/>
      </c>
      <c r="F179" s="177" t="str">
        <f>IFERROR(VLOOKUP(D179,Tabela66[#All],2,0),"")</f>
        <v/>
      </c>
      <c r="G179" s="177" t="str">
        <f>IFERROR(VLOOKUP(D179,Tabela.cadastro[[ID]:[CP ou M]],5,0),"")</f>
        <v/>
      </c>
      <c r="H179" s="177" t="str">
        <f>IFERROR(VLOOKUP(D179,Cadastros!A:F,6,0),"")</f>
        <v/>
      </c>
      <c r="I179" s="177" t="str">
        <f>IFERROR(VLOOKUP(D179,Cadastros!A:I,9,0),"")</f>
        <v/>
      </c>
      <c r="J179" s="177" t="str">
        <f>IFERROR(VLOOKUP(D179,Cadastros!A:J,10,0),"")</f>
        <v/>
      </c>
      <c r="K179" s="177" t="str">
        <f>IF(COUNTIF(Tabela66[id],D179)=0,"",COUNTIF(Tabela66[id],D179))</f>
        <v/>
      </c>
      <c r="L179" s="198"/>
      <c r="M179" s="227" t="str">
        <f t="shared" si="15"/>
        <v/>
      </c>
      <c r="P179" s="176" t="str">
        <f>IFERROR(VLOOKUP(O179,Cadastros!A:B,2),"")</f>
        <v/>
      </c>
      <c r="Q179" s="177" t="str">
        <f t="shared" si="11"/>
        <v/>
      </c>
      <c r="R179" s="177" t="str">
        <f>IFERROR(VLOOKUP(O179,Cadastros!A:E,5,0),"")</f>
        <v/>
      </c>
      <c r="S179" s="177" t="str">
        <f>IFERROR(VLOOKUP(O179,Cadastros!A:F,6,0),"")</f>
        <v/>
      </c>
      <c r="T179" s="177" t="str">
        <f>IFERROR(VLOOKUP(O179,Cadastros!A:I,9,0),"")</f>
        <v/>
      </c>
      <c r="U179" s="177" t="str">
        <f t="shared" si="12"/>
        <v/>
      </c>
      <c r="V179" s="177" t="str">
        <f t="shared" si="13"/>
        <v/>
      </c>
      <c r="W179" s="177" t="str">
        <f t="shared" si="14"/>
        <v/>
      </c>
      <c r="Y179" s="240" t="e">
        <f t="array" ref="Y179">INDEX(Tabela.abordagens[],SMALL(IF(Tabela.abordagens[Mês]=$L$2,ROW(Tabela.abordagens[id])-2),ROW(A132)),1)</f>
        <v>#NUM!</v>
      </c>
      <c r="Z179" s="240" t="e">
        <f t="array" ref="Z179">INDEX(Tabela.abordagens[],SMALL(IF(Tabela.abordagens[Mês]=$L$2,ROW(Tabela.abordagens[Idade])-2),ROW(A132)),6)</f>
        <v>#NUM!</v>
      </c>
      <c r="AA179" s="240" t="e">
        <f t="array" ref="AA179">INDEX(Tabela.abordagens[],SMALL(IF(Tabela.abordagens[Mês]=$L$2,ROW(Tabela.abordagens[Idade])-2),ROW(A132)),4)</f>
        <v>#NUM!</v>
      </c>
      <c r="AB179" s="240" t="e">
        <f t="array" ref="AB179">INDEX(Tabela.abordagens[],SMALL(IF(Tabela.abordagens[Mês]=$L$2,ROW(Tabela.abordagens[Idade])-2),ROW(A132)),5)</f>
        <v>#NUM!</v>
      </c>
    </row>
    <row r="180" spans="2:28" ht="15" x14ac:dyDescent="0.25">
      <c r="B180" s="223" t="e">
        <f t="array" ref="B180">INDEX(Tabela.frequencia[],SMALL(IF(Tabela.frequencia[Mês]=$L$2,ROW(Tabela.frequencia[id])-1),ROW(A133)),1)</f>
        <v>#NUM!</v>
      </c>
      <c r="C180" s="229" t="e">
        <f t="array" ref="C180">INDEX(Tabela.frequencia[],SMALL(IF(Tabela.frequencia[Mês]=$L$2,ROW(Tabela.frequencia[id])-1),ROW(A133)),4)</f>
        <v>#NUM!</v>
      </c>
      <c r="E180" s="176" t="str">
        <f>IFERROR(VLOOKUP(D180,Tabela.cadastro[[ID]:[Nome]],2,0),"")</f>
        <v/>
      </c>
      <c r="F180" s="177" t="str">
        <f>IFERROR(VLOOKUP(D180,Tabela66[#All],2,0),"")</f>
        <v/>
      </c>
      <c r="G180" s="177" t="str">
        <f>IFERROR(VLOOKUP(D180,Tabela.cadastro[[ID]:[CP ou M]],5,0),"")</f>
        <v/>
      </c>
      <c r="H180" s="177" t="str">
        <f>IFERROR(VLOOKUP(D180,Cadastros!A:F,6,0),"")</f>
        <v/>
      </c>
      <c r="I180" s="177" t="str">
        <f>IFERROR(VLOOKUP(D180,Cadastros!A:I,9,0),"")</f>
        <v/>
      </c>
      <c r="J180" s="177" t="str">
        <f>IFERROR(VLOOKUP(D180,Cadastros!A:J,10,0),"")</f>
        <v/>
      </c>
      <c r="K180" s="177" t="str">
        <f>IF(COUNTIF(Tabela66[id],D180)=0,"",COUNTIF(Tabela66[id],D180))</f>
        <v/>
      </c>
      <c r="L180" s="198"/>
      <c r="M180" s="227" t="str">
        <f t="shared" si="15"/>
        <v/>
      </c>
      <c r="P180" s="176" t="str">
        <f>IFERROR(VLOOKUP(O180,Cadastros!A:B,2),"")</f>
        <v/>
      </c>
      <c r="Q180" s="177" t="str">
        <f t="shared" si="11"/>
        <v/>
      </c>
      <c r="R180" s="177" t="str">
        <f>IFERROR(VLOOKUP(O180,Cadastros!A:E,5,0),"")</f>
        <v/>
      </c>
      <c r="S180" s="177" t="str">
        <f>IFERROR(VLOOKUP(O180,Cadastros!A:F,6,0),"")</f>
        <v/>
      </c>
      <c r="T180" s="177" t="str">
        <f>IFERROR(VLOOKUP(O180,Cadastros!A:I,9,0),"")</f>
        <v/>
      </c>
      <c r="U180" s="177" t="str">
        <f t="shared" si="12"/>
        <v/>
      </c>
      <c r="V180" s="177" t="str">
        <f t="shared" si="13"/>
        <v/>
      </c>
      <c r="W180" s="177" t="str">
        <f t="shared" si="14"/>
        <v/>
      </c>
      <c r="Y180" s="240" t="e">
        <f t="array" ref="Y180">INDEX(Tabela.abordagens[],SMALL(IF(Tabela.abordagens[Mês]=$L$2,ROW(Tabela.abordagens[id])-2),ROW(A133)),1)</f>
        <v>#NUM!</v>
      </c>
      <c r="Z180" s="240" t="e">
        <f t="array" ref="Z180">INDEX(Tabela.abordagens[],SMALL(IF(Tabela.abordagens[Mês]=$L$2,ROW(Tabela.abordagens[Idade])-2),ROW(A133)),6)</f>
        <v>#NUM!</v>
      </c>
      <c r="AA180" s="240" t="e">
        <f t="array" ref="AA180">INDEX(Tabela.abordagens[],SMALL(IF(Tabela.abordagens[Mês]=$L$2,ROW(Tabela.abordagens[Idade])-2),ROW(A133)),4)</f>
        <v>#NUM!</v>
      </c>
      <c r="AB180" s="240" t="e">
        <f t="array" ref="AB180">INDEX(Tabela.abordagens[],SMALL(IF(Tabela.abordagens[Mês]=$L$2,ROW(Tabela.abordagens[Idade])-2),ROW(A133)),5)</f>
        <v>#NUM!</v>
      </c>
    </row>
    <row r="181" spans="2:28" ht="15" x14ac:dyDescent="0.25">
      <c r="B181" s="223" t="e">
        <f t="array" ref="B181">INDEX(Tabela.frequencia[],SMALL(IF(Tabela.frequencia[Mês]=$L$2,ROW(Tabela.frequencia[id])-1),ROW(A134)),1)</f>
        <v>#NUM!</v>
      </c>
      <c r="C181" s="229" t="e">
        <f t="array" ref="C181">INDEX(Tabela.frequencia[],SMALL(IF(Tabela.frequencia[Mês]=$L$2,ROW(Tabela.frequencia[id])-1),ROW(A134)),4)</f>
        <v>#NUM!</v>
      </c>
      <c r="E181" s="176" t="str">
        <f>IFERROR(VLOOKUP(D181,Tabela.cadastro[[ID]:[Nome]],2,0),"")</f>
        <v/>
      </c>
      <c r="F181" s="177" t="str">
        <f>IFERROR(VLOOKUP(D181,Tabela66[#All],2,0),"")</f>
        <v/>
      </c>
      <c r="G181" s="177" t="str">
        <f>IFERROR(VLOOKUP(D181,Tabela.cadastro[[ID]:[CP ou M]],5,0),"")</f>
        <v/>
      </c>
      <c r="H181" s="177" t="str">
        <f>IFERROR(VLOOKUP(D181,Cadastros!A:F,6,0),"")</f>
        <v/>
      </c>
      <c r="I181" s="177" t="str">
        <f>IFERROR(VLOOKUP(D181,Cadastros!A:I,9,0),"")</f>
        <v/>
      </c>
      <c r="J181" s="177" t="str">
        <f>IFERROR(VLOOKUP(D181,Cadastros!A:J,10,0),"")</f>
        <v/>
      </c>
      <c r="K181" s="177" t="str">
        <f>IF(COUNTIF(Tabela66[id],D181)=0,"",COUNTIF(Tabela66[id],D181))</f>
        <v/>
      </c>
      <c r="L181" s="198"/>
      <c r="M181" s="227" t="str">
        <f t="shared" si="15"/>
        <v/>
      </c>
      <c r="P181" s="176" t="str">
        <f>IFERROR(VLOOKUP(O181,Cadastros!A:B,2),"")</f>
        <v/>
      </c>
      <c r="Q181" s="177" t="str">
        <f t="shared" si="11"/>
        <v/>
      </c>
      <c r="R181" s="177" t="str">
        <f>IFERROR(VLOOKUP(O181,Cadastros!A:E,5,0),"")</f>
        <v/>
      </c>
      <c r="S181" s="177" t="str">
        <f>IFERROR(VLOOKUP(O181,Cadastros!A:F,6,0),"")</f>
        <v/>
      </c>
      <c r="T181" s="177" t="str">
        <f>IFERROR(VLOOKUP(O181,Cadastros!A:I,9,0),"")</f>
        <v/>
      </c>
      <c r="U181" s="177" t="str">
        <f t="shared" si="12"/>
        <v/>
      </c>
      <c r="V181" s="177" t="str">
        <f t="shared" si="13"/>
        <v/>
      </c>
      <c r="W181" s="177" t="str">
        <f t="shared" si="14"/>
        <v/>
      </c>
      <c r="Y181" s="240" t="e">
        <f t="array" ref="Y181">INDEX(Tabela.abordagens[],SMALL(IF(Tabela.abordagens[Mês]=$L$2,ROW(Tabela.abordagens[id])-2),ROW(A134)),1)</f>
        <v>#NUM!</v>
      </c>
      <c r="Z181" s="240" t="e">
        <f t="array" ref="Z181">INDEX(Tabela.abordagens[],SMALL(IF(Tabela.abordagens[Mês]=$L$2,ROW(Tabela.abordagens[Idade])-2),ROW(A134)),6)</f>
        <v>#NUM!</v>
      </c>
      <c r="AA181" s="240" t="e">
        <f t="array" ref="AA181">INDEX(Tabela.abordagens[],SMALL(IF(Tabela.abordagens[Mês]=$L$2,ROW(Tabela.abordagens[Idade])-2),ROW(A134)),4)</f>
        <v>#NUM!</v>
      </c>
      <c r="AB181" s="240" t="e">
        <f t="array" ref="AB181">INDEX(Tabela.abordagens[],SMALL(IF(Tabela.abordagens[Mês]=$L$2,ROW(Tabela.abordagens[Idade])-2),ROW(A134)),5)</f>
        <v>#NUM!</v>
      </c>
    </row>
    <row r="182" spans="2:28" ht="15" x14ac:dyDescent="0.25">
      <c r="B182" s="223" t="e">
        <f t="array" ref="B182">INDEX(Tabela.frequencia[],SMALL(IF(Tabela.frequencia[Mês]=$L$2,ROW(Tabela.frequencia[id])-1),ROW(A135)),1)</f>
        <v>#NUM!</v>
      </c>
      <c r="C182" s="229" t="e">
        <f t="array" ref="C182">INDEX(Tabela.frequencia[],SMALL(IF(Tabela.frequencia[Mês]=$L$2,ROW(Tabela.frequencia[id])-1),ROW(A135)),4)</f>
        <v>#NUM!</v>
      </c>
      <c r="E182" s="176" t="str">
        <f>IFERROR(VLOOKUP(D182,Tabela.cadastro[[ID]:[Nome]],2,0),"")</f>
        <v/>
      </c>
      <c r="F182" s="177" t="str">
        <f>IFERROR(VLOOKUP(D182,Tabela66[#All],2,0),"")</f>
        <v/>
      </c>
      <c r="G182" s="177" t="str">
        <f>IFERROR(VLOOKUP(D182,Tabela.cadastro[[ID]:[CP ou M]],5,0),"")</f>
        <v/>
      </c>
      <c r="H182" s="177" t="str">
        <f>IFERROR(VLOOKUP(D182,Cadastros!A:F,6,0),"")</f>
        <v/>
      </c>
      <c r="I182" s="177" t="str">
        <f>IFERROR(VLOOKUP(D182,Cadastros!A:I,9,0),"")</f>
        <v/>
      </c>
      <c r="J182" s="177" t="str">
        <f>IFERROR(VLOOKUP(D182,Cadastros!A:J,10,0),"")</f>
        <v/>
      </c>
      <c r="K182" s="177" t="str">
        <f>IF(COUNTIF(Tabela66[id],D182)=0,"",COUNTIF(Tabela66[id],D182))</f>
        <v/>
      </c>
      <c r="L182" s="198"/>
      <c r="M182" s="227" t="str">
        <f t="shared" si="15"/>
        <v/>
      </c>
      <c r="P182" s="176" t="str">
        <f>IFERROR(VLOOKUP(O182,Cadastros!A:B,2),"")</f>
        <v/>
      </c>
      <c r="Q182" s="177" t="str">
        <f t="shared" si="11"/>
        <v/>
      </c>
      <c r="R182" s="177" t="str">
        <f>IFERROR(VLOOKUP(O182,Cadastros!A:E,5,0),"")</f>
        <v/>
      </c>
      <c r="S182" s="177" t="str">
        <f>IFERROR(VLOOKUP(O182,Cadastros!A:F,6,0),"")</f>
        <v/>
      </c>
      <c r="T182" s="177" t="str">
        <f>IFERROR(VLOOKUP(O182,Cadastros!A:I,9,0),"")</f>
        <v/>
      </c>
      <c r="U182" s="177" t="str">
        <f t="shared" si="12"/>
        <v/>
      </c>
      <c r="V182" s="177" t="str">
        <f t="shared" si="13"/>
        <v/>
      </c>
      <c r="W182" s="177" t="str">
        <f t="shared" si="14"/>
        <v/>
      </c>
      <c r="Y182" s="240" t="e">
        <f t="array" ref="Y182">INDEX(Tabela.abordagens[],SMALL(IF(Tabela.abordagens[Mês]=$L$2,ROW(Tabela.abordagens[id])-2),ROW(A135)),1)</f>
        <v>#NUM!</v>
      </c>
      <c r="Z182" s="240" t="e">
        <f t="array" ref="Z182">INDEX(Tabela.abordagens[],SMALL(IF(Tabela.abordagens[Mês]=$L$2,ROW(Tabela.abordagens[Idade])-2),ROW(A135)),6)</f>
        <v>#NUM!</v>
      </c>
      <c r="AA182" s="240" t="e">
        <f t="array" ref="AA182">INDEX(Tabela.abordagens[],SMALL(IF(Tabela.abordagens[Mês]=$L$2,ROW(Tabela.abordagens[Idade])-2),ROW(A135)),4)</f>
        <v>#NUM!</v>
      </c>
      <c r="AB182" s="240" t="e">
        <f t="array" ref="AB182">INDEX(Tabela.abordagens[],SMALL(IF(Tabela.abordagens[Mês]=$L$2,ROW(Tabela.abordagens[Idade])-2),ROW(A135)),5)</f>
        <v>#NUM!</v>
      </c>
    </row>
    <row r="183" spans="2:28" ht="15" x14ac:dyDescent="0.25">
      <c r="B183" s="223" t="e">
        <f t="array" ref="B183">INDEX(Tabela.frequencia[],SMALL(IF(Tabela.frequencia[Mês]=$L$2,ROW(Tabela.frequencia[id])-1),ROW(A136)),1)</f>
        <v>#NUM!</v>
      </c>
      <c r="C183" s="229" t="e">
        <f t="array" ref="C183">INDEX(Tabela.frequencia[],SMALL(IF(Tabela.frequencia[Mês]=$L$2,ROW(Tabela.frequencia[id])-1),ROW(A136)),4)</f>
        <v>#NUM!</v>
      </c>
      <c r="E183" s="176" t="str">
        <f>IFERROR(VLOOKUP(D183,Tabela.cadastro[[ID]:[Nome]],2,0),"")</f>
        <v/>
      </c>
      <c r="F183" s="177" t="str">
        <f>IFERROR(VLOOKUP(D183,Tabela66[#All],2,0),"")</f>
        <v/>
      </c>
      <c r="G183" s="177" t="str">
        <f>IFERROR(VLOOKUP(D183,Tabela.cadastro[[ID]:[CP ou M]],5,0),"")</f>
        <v/>
      </c>
      <c r="H183" s="177" t="str">
        <f>IFERROR(VLOOKUP(D183,Cadastros!A:F,6,0),"")</f>
        <v/>
      </c>
      <c r="I183" s="177" t="str">
        <f>IFERROR(VLOOKUP(D183,Cadastros!A:I,9,0),"")</f>
        <v/>
      </c>
      <c r="J183" s="177" t="str">
        <f>IFERROR(VLOOKUP(D183,Cadastros!A:J,10,0),"")</f>
        <v/>
      </c>
      <c r="K183" s="177" t="str">
        <f>IF(COUNTIF(Tabela66[id],D183)=0,"",COUNTIF(Tabela66[id],D183))</f>
        <v/>
      </c>
      <c r="L183" s="198"/>
      <c r="M183" s="227" t="str">
        <f t="shared" si="15"/>
        <v/>
      </c>
      <c r="P183" s="176" t="str">
        <f>IFERROR(VLOOKUP(O183,Cadastros!A:B,2),"")</f>
        <v/>
      </c>
      <c r="Q183" s="177" t="str">
        <f t="shared" si="11"/>
        <v/>
      </c>
      <c r="R183" s="177" t="str">
        <f>IFERROR(VLOOKUP(O183,Cadastros!A:E,5,0),"")</f>
        <v/>
      </c>
      <c r="S183" s="177" t="str">
        <f>IFERROR(VLOOKUP(O183,Cadastros!A:F,6,0),"")</f>
        <v/>
      </c>
      <c r="T183" s="177" t="str">
        <f>IFERROR(VLOOKUP(O183,Cadastros!A:I,9,0),"")</f>
        <v/>
      </c>
      <c r="U183" s="177" t="str">
        <f t="shared" si="12"/>
        <v/>
      </c>
      <c r="V183" s="177" t="str">
        <f t="shared" si="13"/>
        <v/>
      </c>
      <c r="W183" s="177" t="str">
        <f t="shared" si="14"/>
        <v/>
      </c>
      <c r="Y183" s="240" t="e">
        <f t="array" ref="Y183">INDEX(Tabela.abordagens[],SMALL(IF(Tabela.abordagens[Mês]=$L$2,ROW(Tabela.abordagens[id])-2),ROW(A136)),1)</f>
        <v>#NUM!</v>
      </c>
      <c r="Z183" s="240" t="e">
        <f t="array" ref="Z183">INDEX(Tabela.abordagens[],SMALL(IF(Tabela.abordagens[Mês]=$L$2,ROW(Tabela.abordagens[Idade])-2),ROW(A136)),6)</f>
        <v>#NUM!</v>
      </c>
      <c r="AA183" s="240" t="e">
        <f t="array" ref="AA183">INDEX(Tabela.abordagens[],SMALL(IF(Tabela.abordagens[Mês]=$L$2,ROW(Tabela.abordagens[Idade])-2),ROW(A136)),4)</f>
        <v>#NUM!</v>
      </c>
      <c r="AB183" s="240" t="e">
        <f t="array" ref="AB183">INDEX(Tabela.abordagens[],SMALL(IF(Tabela.abordagens[Mês]=$L$2,ROW(Tabela.abordagens[Idade])-2),ROW(A136)),5)</f>
        <v>#NUM!</v>
      </c>
    </row>
    <row r="184" spans="2:28" ht="15" x14ac:dyDescent="0.25">
      <c r="B184" s="223" t="e">
        <f t="array" ref="B184">INDEX(Tabela.frequencia[],SMALL(IF(Tabela.frequencia[Mês]=$L$2,ROW(Tabela.frequencia[id])-1),ROW(A137)),1)</f>
        <v>#NUM!</v>
      </c>
      <c r="C184" s="229" t="e">
        <f t="array" ref="C184">INDEX(Tabela.frequencia[],SMALL(IF(Tabela.frequencia[Mês]=$L$2,ROW(Tabela.frequencia[id])-1),ROW(A137)),4)</f>
        <v>#NUM!</v>
      </c>
      <c r="E184" s="176" t="str">
        <f>IFERROR(VLOOKUP(D184,Tabela.cadastro[[ID]:[Nome]],2,0),"")</f>
        <v/>
      </c>
      <c r="F184" s="177" t="str">
        <f>IFERROR(VLOOKUP(D184,Tabela66[#All],2,0),"")</f>
        <v/>
      </c>
      <c r="G184" s="177" t="str">
        <f>IFERROR(VLOOKUP(D184,Tabela.cadastro[[ID]:[CP ou M]],5,0),"")</f>
        <v/>
      </c>
      <c r="H184" s="177" t="str">
        <f>IFERROR(VLOOKUP(D184,Cadastros!A:F,6,0),"")</f>
        <v/>
      </c>
      <c r="I184" s="177" t="str">
        <f>IFERROR(VLOOKUP(D184,Cadastros!A:I,9,0),"")</f>
        <v/>
      </c>
      <c r="J184" s="177" t="str">
        <f>IFERROR(VLOOKUP(D184,Cadastros!A:J,10,0),"")</f>
        <v/>
      </c>
      <c r="K184" s="177" t="str">
        <f>IF(COUNTIF(Tabela66[id],D184)=0,"",COUNTIF(Tabela66[id],D184))</f>
        <v/>
      </c>
      <c r="L184" s="198"/>
      <c r="M184" s="227" t="str">
        <f t="shared" si="15"/>
        <v/>
      </c>
      <c r="P184" s="176" t="str">
        <f>IFERROR(VLOOKUP(O184,Cadastros!A:B,2),"")</f>
        <v/>
      </c>
      <c r="Q184" s="177" t="str">
        <f t="shared" si="11"/>
        <v/>
      </c>
      <c r="R184" s="177" t="str">
        <f>IFERROR(VLOOKUP(O184,Cadastros!A:E,5,0),"")</f>
        <v/>
      </c>
      <c r="S184" s="177" t="str">
        <f>IFERROR(VLOOKUP(O184,Cadastros!A:F,6,0),"")</f>
        <v/>
      </c>
      <c r="T184" s="177" t="str">
        <f>IFERROR(VLOOKUP(O184,Cadastros!A:I,9,0),"")</f>
        <v/>
      </c>
      <c r="U184" s="177" t="str">
        <f t="shared" si="12"/>
        <v/>
      </c>
      <c r="V184" s="177" t="str">
        <f t="shared" si="13"/>
        <v/>
      </c>
      <c r="W184" s="177" t="str">
        <f t="shared" si="14"/>
        <v/>
      </c>
      <c r="Y184" s="240" t="e">
        <f t="array" ref="Y184">INDEX(Tabela.abordagens[],SMALL(IF(Tabela.abordagens[Mês]=$L$2,ROW(Tabela.abordagens[id])-2),ROW(A137)),1)</f>
        <v>#NUM!</v>
      </c>
      <c r="Z184" s="240" t="e">
        <f t="array" ref="Z184">INDEX(Tabela.abordagens[],SMALL(IF(Tabela.abordagens[Mês]=$L$2,ROW(Tabela.abordagens[Idade])-2),ROW(A137)),6)</f>
        <v>#NUM!</v>
      </c>
      <c r="AA184" s="240" t="e">
        <f t="array" ref="AA184">INDEX(Tabela.abordagens[],SMALL(IF(Tabela.abordagens[Mês]=$L$2,ROW(Tabela.abordagens[Idade])-2),ROW(A137)),4)</f>
        <v>#NUM!</v>
      </c>
      <c r="AB184" s="240" t="e">
        <f t="array" ref="AB184">INDEX(Tabela.abordagens[],SMALL(IF(Tabela.abordagens[Mês]=$L$2,ROW(Tabela.abordagens[Idade])-2),ROW(A137)),5)</f>
        <v>#NUM!</v>
      </c>
    </row>
    <row r="185" spans="2:28" ht="15" x14ac:dyDescent="0.25">
      <c r="B185" s="223" t="e">
        <f t="array" ref="B185">INDEX(Tabela.frequencia[],SMALL(IF(Tabela.frequencia[Mês]=$L$2,ROW(Tabela.frequencia[id])-1),ROW(A138)),1)</f>
        <v>#NUM!</v>
      </c>
      <c r="C185" s="229" t="e">
        <f t="array" ref="C185">INDEX(Tabela.frequencia[],SMALL(IF(Tabela.frequencia[Mês]=$L$2,ROW(Tabela.frequencia[id])-1),ROW(A138)),4)</f>
        <v>#NUM!</v>
      </c>
      <c r="E185" s="176" t="str">
        <f>IFERROR(VLOOKUP(D185,Tabela.cadastro[[ID]:[Nome]],2,0),"")</f>
        <v/>
      </c>
      <c r="F185" s="177" t="str">
        <f>IFERROR(VLOOKUP(D185,Tabela66[#All],2,0),"")</f>
        <v/>
      </c>
      <c r="G185" s="177" t="str">
        <f>IFERROR(VLOOKUP(D185,Tabela.cadastro[[ID]:[CP ou M]],5,0),"")</f>
        <v/>
      </c>
      <c r="H185" s="177" t="str">
        <f>IFERROR(VLOOKUP(D185,Cadastros!A:F,6,0),"")</f>
        <v/>
      </c>
      <c r="I185" s="177" t="str">
        <f>IFERROR(VLOOKUP(D185,Cadastros!A:I,9,0),"")</f>
        <v/>
      </c>
      <c r="J185" s="177" t="str">
        <f>IFERROR(VLOOKUP(D185,Cadastros!A:J,10,0),"")</f>
        <v/>
      </c>
      <c r="K185" s="177" t="str">
        <f>IF(COUNTIF(Tabela66[id],D185)=0,"",COUNTIF(Tabela66[id],D185))</f>
        <v/>
      </c>
      <c r="L185" s="198"/>
      <c r="M185" s="227" t="str">
        <f t="shared" si="15"/>
        <v/>
      </c>
      <c r="P185" s="176" t="str">
        <f>IFERROR(VLOOKUP(O185,Cadastros!A:B,2),"")</f>
        <v/>
      </c>
      <c r="Q185" s="177" t="str">
        <f t="shared" si="11"/>
        <v/>
      </c>
      <c r="R185" s="177" t="str">
        <f>IFERROR(VLOOKUP(O185,Cadastros!A:E,5,0),"")</f>
        <v/>
      </c>
      <c r="S185" s="177" t="str">
        <f>IFERROR(VLOOKUP(O185,Cadastros!A:F,6,0),"")</f>
        <v/>
      </c>
      <c r="T185" s="177" t="str">
        <f>IFERROR(VLOOKUP(O185,Cadastros!A:I,9,0),"")</f>
        <v/>
      </c>
      <c r="U185" s="177" t="str">
        <f t="shared" si="12"/>
        <v/>
      </c>
      <c r="V185" s="177" t="str">
        <f t="shared" si="13"/>
        <v/>
      </c>
      <c r="W185" s="177" t="str">
        <f t="shared" si="14"/>
        <v/>
      </c>
      <c r="Y185" s="240" t="e">
        <f t="array" ref="Y185">INDEX(Tabela.abordagens[],SMALL(IF(Tabela.abordagens[Mês]=$L$2,ROW(Tabela.abordagens[id])-2),ROW(A138)),1)</f>
        <v>#NUM!</v>
      </c>
      <c r="Z185" s="240" t="e">
        <f t="array" ref="Z185">INDEX(Tabela.abordagens[],SMALL(IF(Tabela.abordagens[Mês]=$L$2,ROW(Tabela.abordagens[Idade])-2),ROW(A138)),6)</f>
        <v>#NUM!</v>
      </c>
      <c r="AA185" s="240" t="e">
        <f t="array" ref="AA185">INDEX(Tabela.abordagens[],SMALL(IF(Tabela.abordagens[Mês]=$L$2,ROW(Tabela.abordagens[Idade])-2),ROW(A138)),4)</f>
        <v>#NUM!</v>
      </c>
      <c r="AB185" s="240" t="e">
        <f t="array" ref="AB185">INDEX(Tabela.abordagens[],SMALL(IF(Tabela.abordagens[Mês]=$L$2,ROW(Tabela.abordagens[Idade])-2),ROW(A138)),5)</f>
        <v>#NUM!</v>
      </c>
    </row>
    <row r="186" spans="2:28" ht="15" x14ac:dyDescent="0.25">
      <c r="B186" s="223" t="e">
        <f t="array" ref="B186">INDEX(Tabela.frequencia[],SMALL(IF(Tabela.frequencia[Mês]=$L$2,ROW(Tabela.frequencia[id])-1),ROW(A139)),1)</f>
        <v>#NUM!</v>
      </c>
      <c r="C186" s="229" t="e">
        <f t="array" ref="C186">INDEX(Tabela.frequencia[],SMALL(IF(Tabela.frequencia[Mês]=$L$2,ROW(Tabela.frequencia[id])-1),ROW(A139)),4)</f>
        <v>#NUM!</v>
      </c>
      <c r="E186" s="176" t="str">
        <f>IFERROR(VLOOKUP(D186,Tabela.cadastro[[ID]:[Nome]],2,0),"")</f>
        <v/>
      </c>
      <c r="F186" s="177" t="str">
        <f>IFERROR(VLOOKUP(D186,Tabela66[#All],2,0),"")</f>
        <v/>
      </c>
      <c r="G186" s="177" t="str">
        <f>IFERROR(VLOOKUP(D186,Tabela.cadastro[[ID]:[CP ou M]],5,0),"")</f>
        <v/>
      </c>
      <c r="H186" s="177" t="str">
        <f>IFERROR(VLOOKUP(D186,Cadastros!A:F,6,0),"")</f>
        <v/>
      </c>
      <c r="I186" s="177" t="str">
        <f>IFERROR(VLOOKUP(D186,Cadastros!A:I,9,0),"")</f>
        <v/>
      </c>
      <c r="J186" s="177" t="str">
        <f>IFERROR(VLOOKUP(D186,Cadastros!A:J,10,0),"")</f>
        <v/>
      </c>
      <c r="K186" s="177" t="str">
        <f>IF(COUNTIF(Tabela66[id],D186)=0,"",COUNTIF(Tabela66[id],D186))</f>
        <v/>
      </c>
      <c r="L186" s="198"/>
      <c r="M186" s="227" t="str">
        <f t="shared" si="15"/>
        <v/>
      </c>
      <c r="P186" s="176" t="str">
        <f>IFERROR(VLOOKUP(O186,Cadastros!A:B,2),"")</f>
        <v/>
      </c>
      <c r="Q186" s="177" t="str">
        <f t="shared" si="11"/>
        <v/>
      </c>
      <c r="R186" s="177" t="str">
        <f>IFERROR(VLOOKUP(O186,Cadastros!A:E,5,0),"")</f>
        <v/>
      </c>
      <c r="S186" s="177" t="str">
        <f>IFERROR(VLOOKUP(O186,Cadastros!A:F,6,0),"")</f>
        <v/>
      </c>
      <c r="T186" s="177" t="str">
        <f>IFERROR(VLOOKUP(O186,Cadastros!A:I,9,0),"")</f>
        <v/>
      </c>
      <c r="U186" s="177" t="str">
        <f t="shared" si="12"/>
        <v/>
      </c>
      <c r="V186" s="177" t="str">
        <f t="shared" si="13"/>
        <v/>
      </c>
      <c r="W186" s="177" t="str">
        <f t="shared" si="14"/>
        <v/>
      </c>
      <c r="Y186" s="240" t="e">
        <f t="array" ref="Y186">INDEX(Tabela.abordagens[],SMALL(IF(Tabela.abordagens[Mês]=$L$2,ROW(Tabela.abordagens[id])-2),ROW(A139)),1)</f>
        <v>#NUM!</v>
      </c>
      <c r="Z186" s="240" t="e">
        <f t="array" ref="Z186">INDEX(Tabela.abordagens[],SMALL(IF(Tabela.abordagens[Mês]=$L$2,ROW(Tabela.abordagens[Idade])-2),ROW(A139)),6)</f>
        <v>#NUM!</v>
      </c>
      <c r="AA186" s="240" t="e">
        <f t="array" ref="AA186">INDEX(Tabela.abordagens[],SMALL(IF(Tabela.abordagens[Mês]=$L$2,ROW(Tabela.abordagens[Idade])-2),ROW(A139)),4)</f>
        <v>#NUM!</v>
      </c>
      <c r="AB186" s="240" t="e">
        <f t="array" ref="AB186">INDEX(Tabela.abordagens[],SMALL(IF(Tabela.abordagens[Mês]=$L$2,ROW(Tabela.abordagens[Idade])-2),ROW(A139)),5)</f>
        <v>#NUM!</v>
      </c>
    </row>
    <row r="187" spans="2:28" ht="15" x14ac:dyDescent="0.25">
      <c r="B187" s="223" t="e">
        <f t="array" ref="B187">INDEX(Tabela.frequencia[],SMALL(IF(Tabela.frequencia[Mês]=$L$2,ROW(Tabela.frequencia[id])-1),ROW(A140)),1)</f>
        <v>#NUM!</v>
      </c>
      <c r="C187" s="229" t="e">
        <f t="array" ref="C187">INDEX(Tabela.frequencia[],SMALL(IF(Tabela.frequencia[Mês]=$L$2,ROW(Tabela.frequencia[id])-1),ROW(A140)),4)</f>
        <v>#NUM!</v>
      </c>
      <c r="E187" s="176" t="str">
        <f>IFERROR(VLOOKUP(D187,Tabela.cadastro[[ID]:[Nome]],2,0),"")</f>
        <v/>
      </c>
      <c r="F187" s="177" t="str">
        <f>IFERROR(VLOOKUP(D187,Tabela66[#All],2,0),"")</f>
        <v/>
      </c>
      <c r="G187" s="177" t="str">
        <f>IFERROR(VLOOKUP(D187,Tabela.cadastro[[ID]:[CP ou M]],5,0),"")</f>
        <v/>
      </c>
      <c r="H187" s="177" t="str">
        <f>IFERROR(VLOOKUP(D187,Cadastros!A:F,6,0),"")</f>
        <v/>
      </c>
      <c r="I187" s="177" t="str">
        <f>IFERROR(VLOOKUP(D187,Cadastros!A:I,9,0),"")</f>
        <v/>
      </c>
      <c r="J187" s="177" t="str">
        <f>IFERROR(VLOOKUP(D187,Cadastros!A:J,10,0),"")</f>
        <v/>
      </c>
      <c r="K187" s="177" t="str">
        <f>IF(COUNTIF(Tabela66[id],D187)=0,"",COUNTIF(Tabela66[id],D187))</f>
        <v/>
      </c>
      <c r="L187" s="198"/>
      <c r="M187" s="227" t="str">
        <f t="shared" si="15"/>
        <v/>
      </c>
      <c r="P187" s="176" t="str">
        <f>IFERROR(VLOOKUP(O187,Cadastros!A:B,2),"")</f>
        <v/>
      </c>
      <c r="Q187" s="177" t="str">
        <f t="shared" si="11"/>
        <v/>
      </c>
      <c r="R187" s="177" t="str">
        <f>IFERROR(VLOOKUP(O187,Cadastros!A:E,5,0),"")</f>
        <v/>
      </c>
      <c r="S187" s="177" t="str">
        <f>IFERROR(VLOOKUP(O187,Cadastros!A:F,6,0),"")</f>
        <v/>
      </c>
      <c r="T187" s="177" t="str">
        <f>IFERROR(VLOOKUP(O187,Cadastros!A:I,9,0),"")</f>
        <v/>
      </c>
      <c r="U187" s="177" t="str">
        <f t="shared" si="12"/>
        <v/>
      </c>
      <c r="V187" s="177" t="str">
        <f t="shared" si="13"/>
        <v/>
      </c>
      <c r="W187" s="177" t="str">
        <f t="shared" si="14"/>
        <v/>
      </c>
      <c r="Y187" s="240" t="e">
        <f t="array" ref="Y187">INDEX(Tabela.abordagens[],SMALL(IF(Tabela.abordagens[Mês]=$L$2,ROW(Tabela.abordagens[id])-2),ROW(A140)),1)</f>
        <v>#NUM!</v>
      </c>
      <c r="Z187" s="240" t="e">
        <f t="array" ref="Z187">INDEX(Tabela.abordagens[],SMALL(IF(Tabela.abordagens[Mês]=$L$2,ROW(Tabela.abordagens[Idade])-2),ROW(A140)),6)</f>
        <v>#NUM!</v>
      </c>
      <c r="AA187" s="240" t="e">
        <f t="array" ref="AA187">INDEX(Tabela.abordagens[],SMALL(IF(Tabela.abordagens[Mês]=$L$2,ROW(Tabela.abordagens[Idade])-2),ROW(A140)),4)</f>
        <v>#NUM!</v>
      </c>
      <c r="AB187" s="240" t="e">
        <f t="array" ref="AB187">INDEX(Tabela.abordagens[],SMALL(IF(Tabela.abordagens[Mês]=$L$2,ROW(Tabela.abordagens[Idade])-2),ROW(A140)),5)</f>
        <v>#NUM!</v>
      </c>
    </row>
    <row r="188" spans="2:28" ht="15" x14ac:dyDescent="0.25">
      <c r="B188" s="223" t="e">
        <f t="array" ref="B188">INDEX(Tabela.frequencia[],SMALL(IF(Tabela.frequencia[Mês]=$L$2,ROW(Tabela.frequencia[id])-1),ROW(A141)),1)</f>
        <v>#NUM!</v>
      </c>
      <c r="C188" s="229" t="e">
        <f t="array" ref="C188">INDEX(Tabela.frequencia[],SMALL(IF(Tabela.frequencia[Mês]=$L$2,ROW(Tabela.frequencia[id])-1),ROW(A141)),4)</f>
        <v>#NUM!</v>
      </c>
      <c r="E188" s="176" t="str">
        <f>IFERROR(VLOOKUP(D188,Tabela.cadastro[[ID]:[Nome]],2,0),"")</f>
        <v/>
      </c>
      <c r="F188" s="177" t="str">
        <f>IFERROR(VLOOKUP(D188,Tabela66[#All],2,0),"")</f>
        <v/>
      </c>
      <c r="G188" s="177" t="str">
        <f>IFERROR(VLOOKUP(D188,Tabela.cadastro[[ID]:[CP ou M]],5,0),"")</f>
        <v/>
      </c>
      <c r="H188" s="177" t="str">
        <f>IFERROR(VLOOKUP(D188,Cadastros!A:F,6,0),"")</f>
        <v/>
      </c>
      <c r="I188" s="177" t="str">
        <f>IFERROR(VLOOKUP(D188,Cadastros!A:I,9,0),"")</f>
        <v/>
      </c>
      <c r="J188" s="177" t="str">
        <f>IFERROR(VLOOKUP(D188,Cadastros!A:J,10,0),"")</f>
        <v/>
      </c>
      <c r="K188" s="177" t="str">
        <f>IF(COUNTIF(Tabela66[id],D188)=0,"",COUNTIF(Tabela66[id],D188))</f>
        <v/>
      </c>
      <c r="L188" s="198"/>
      <c r="M188" s="227" t="str">
        <f t="shared" si="15"/>
        <v/>
      </c>
      <c r="P188" s="176" t="str">
        <f>IFERROR(VLOOKUP(O188,Cadastros!A:B,2),"")</f>
        <v/>
      </c>
      <c r="Q188" s="177" t="str">
        <f t="shared" si="11"/>
        <v/>
      </c>
      <c r="R188" s="177" t="str">
        <f>IFERROR(VLOOKUP(O188,Cadastros!A:E,5,0),"")</f>
        <v/>
      </c>
      <c r="S188" s="177" t="str">
        <f>IFERROR(VLOOKUP(O188,Cadastros!A:F,6,0),"")</f>
        <v/>
      </c>
      <c r="T188" s="177" t="str">
        <f>IFERROR(VLOOKUP(O188,Cadastros!A:I,9,0),"")</f>
        <v/>
      </c>
      <c r="U188" s="177" t="str">
        <f t="shared" si="12"/>
        <v/>
      </c>
      <c r="V188" s="177" t="str">
        <f t="shared" si="13"/>
        <v/>
      </c>
      <c r="W188" s="177" t="str">
        <f t="shared" si="14"/>
        <v/>
      </c>
      <c r="Y188" s="240" t="e">
        <f t="array" ref="Y188">INDEX(Tabela.abordagens[],SMALL(IF(Tabela.abordagens[Mês]=$L$2,ROW(Tabela.abordagens[id])-2),ROW(A141)),1)</f>
        <v>#NUM!</v>
      </c>
      <c r="Z188" s="240" t="e">
        <f t="array" ref="Z188">INDEX(Tabela.abordagens[],SMALL(IF(Tabela.abordagens[Mês]=$L$2,ROW(Tabela.abordagens[Idade])-2),ROW(A141)),6)</f>
        <v>#NUM!</v>
      </c>
      <c r="AA188" s="240" t="e">
        <f t="array" ref="AA188">INDEX(Tabela.abordagens[],SMALL(IF(Tabela.abordagens[Mês]=$L$2,ROW(Tabela.abordagens[Idade])-2),ROW(A141)),4)</f>
        <v>#NUM!</v>
      </c>
      <c r="AB188" s="240" t="e">
        <f t="array" ref="AB188">INDEX(Tabela.abordagens[],SMALL(IF(Tabela.abordagens[Mês]=$L$2,ROW(Tabela.abordagens[Idade])-2),ROW(A141)),5)</f>
        <v>#NUM!</v>
      </c>
    </row>
    <row r="189" spans="2:28" ht="15" x14ac:dyDescent="0.25">
      <c r="B189" s="223" t="e">
        <f t="array" ref="B189">INDEX(Tabela.frequencia[],SMALL(IF(Tabela.frequencia[Mês]=$L$2,ROW(Tabela.frequencia[id])-1),ROW(A142)),1)</f>
        <v>#NUM!</v>
      </c>
      <c r="C189" s="229" t="e">
        <f t="array" ref="C189">INDEX(Tabela.frequencia[],SMALL(IF(Tabela.frequencia[Mês]=$L$2,ROW(Tabela.frequencia[id])-1),ROW(A142)),4)</f>
        <v>#NUM!</v>
      </c>
      <c r="E189" s="176" t="str">
        <f>IFERROR(VLOOKUP(D189,Tabela.cadastro[[ID]:[Nome]],2,0),"")</f>
        <v/>
      </c>
      <c r="F189" s="177" t="str">
        <f>IFERROR(VLOOKUP(D189,Tabela66[#All],2,0),"")</f>
        <v/>
      </c>
      <c r="G189" s="177" t="str">
        <f>IFERROR(VLOOKUP(D189,Tabela.cadastro[[ID]:[CP ou M]],5,0),"")</f>
        <v/>
      </c>
      <c r="H189" s="177" t="str">
        <f>IFERROR(VLOOKUP(D189,Cadastros!A:F,6,0),"")</f>
        <v/>
      </c>
      <c r="I189" s="177" t="str">
        <f>IFERROR(VLOOKUP(D189,Cadastros!A:I,9,0),"")</f>
        <v/>
      </c>
      <c r="J189" s="177" t="str">
        <f>IFERROR(VLOOKUP(D189,Cadastros!A:J,10,0),"")</f>
        <v/>
      </c>
      <c r="K189" s="177" t="str">
        <f>IF(COUNTIF(Tabela66[id],D189)=0,"",COUNTIF(Tabela66[id],D189))</f>
        <v/>
      </c>
      <c r="L189" s="198"/>
      <c r="M189" s="227" t="str">
        <f t="shared" si="15"/>
        <v/>
      </c>
      <c r="P189" s="176" t="str">
        <f>IFERROR(VLOOKUP(O189,Cadastros!A:B,2),"")</f>
        <v/>
      </c>
      <c r="Q189" s="177" t="str">
        <f t="shared" si="11"/>
        <v/>
      </c>
      <c r="R189" s="177" t="str">
        <f>IFERROR(VLOOKUP(O189,Cadastros!A:E,5,0),"")</f>
        <v/>
      </c>
      <c r="S189" s="177" t="str">
        <f>IFERROR(VLOOKUP(O189,Cadastros!A:F,6,0),"")</f>
        <v/>
      </c>
      <c r="T189" s="177" t="str">
        <f>IFERROR(VLOOKUP(O189,Cadastros!A:I,9,0),"")</f>
        <v/>
      </c>
      <c r="U189" s="177" t="str">
        <f t="shared" si="12"/>
        <v/>
      </c>
      <c r="V189" s="177" t="str">
        <f t="shared" si="13"/>
        <v/>
      </c>
      <c r="W189" s="177" t="str">
        <f t="shared" si="14"/>
        <v/>
      </c>
      <c r="Y189" s="240" t="e">
        <f t="array" ref="Y189">INDEX(Tabela.abordagens[],SMALL(IF(Tabela.abordagens[Mês]=$L$2,ROW(Tabela.abordagens[id])-2),ROW(A142)),1)</f>
        <v>#NUM!</v>
      </c>
      <c r="Z189" s="240" t="e">
        <f t="array" ref="Z189">INDEX(Tabela.abordagens[],SMALL(IF(Tabela.abordagens[Mês]=$L$2,ROW(Tabela.abordagens[Idade])-2),ROW(A142)),6)</f>
        <v>#NUM!</v>
      </c>
      <c r="AA189" s="240" t="e">
        <f t="array" ref="AA189">INDEX(Tabela.abordagens[],SMALL(IF(Tabela.abordagens[Mês]=$L$2,ROW(Tabela.abordagens[Idade])-2),ROW(A142)),4)</f>
        <v>#NUM!</v>
      </c>
      <c r="AB189" s="240" t="e">
        <f t="array" ref="AB189">INDEX(Tabela.abordagens[],SMALL(IF(Tabela.abordagens[Mês]=$L$2,ROW(Tabela.abordagens[Idade])-2),ROW(A142)),5)</f>
        <v>#NUM!</v>
      </c>
    </row>
    <row r="190" spans="2:28" ht="15" x14ac:dyDescent="0.25">
      <c r="B190" s="223" t="e">
        <f t="array" ref="B190">INDEX(Tabela.frequencia[],SMALL(IF(Tabela.frequencia[Mês]=$L$2,ROW(Tabela.frequencia[id])-1),ROW(A143)),1)</f>
        <v>#NUM!</v>
      </c>
      <c r="C190" s="229" t="e">
        <f t="array" ref="C190">INDEX(Tabela.frequencia[],SMALL(IF(Tabela.frequencia[Mês]=$L$2,ROW(Tabela.frequencia[id])-1),ROW(A143)),4)</f>
        <v>#NUM!</v>
      </c>
      <c r="E190" s="176" t="str">
        <f>IFERROR(VLOOKUP(D190,Tabela.cadastro[[ID]:[Nome]],2,0),"")</f>
        <v/>
      </c>
      <c r="F190" s="177" t="str">
        <f>IFERROR(VLOOKUP(D190,Tabela66[#All],2,0),"")</f>
        <v/>
      </c>
      <c r="G190" s="177" t="str">
        <f>IFERROR(VLOOKUP(D190,Tabela.cadastro[[ID]:[CP ou M]],5,0),"")</f>
        <v/>
      </c>
      <c r="H190" s="177" t="str">
        <f>IFERROR(VLOOKUP(D190,Cadastros!A:F,6,0),"")</f>
        <v/>
      </c>
      <c r="I190" s="177" t="str">
        <f>IFERROR(VLOOKUP(D190,Cadastros!A:I,9,0),"")</f>
        <v/>
      </c>
      <c r="J190" s="177" t="str">
        <f>IFERROR(VLOOKUP(D190,Cadastros!A:J,10,0),"")</f>
        <v/>
      </c>
      <c r="K190" s="177" t="str">
        <f>IF(COUNTIF(Tabela66[id],D190)=0,"",COUNTIF(Tabela66[id],D190))</f>
        <v/>
      </c>
      <c r="L190" s="198"/>
      <c r="M190" s="227" t="str">
        <f t="shared" si="15"/>
        <v/>
      </c>
      <c r="P190" s="176" t="str">
        <f>IFERROR(VLOOKUP(O190,Cadastros!A:B,2),"")</f>
        <v/>
      </c>
      <c r="Q190" s="177" t="str">
        <f t="shared" si="11"/>
        <v/>
      </c>
      <c r="R190" s="177" t="str">
        <f>IFERROR(VLOOKUP(O190,Cadastros!A:E,5,0),"")</f>
        <v/>
      </c>
      <c r="S190" s="177" t="str">
        <f>IFERROR(VLOOKUP(O190,Cadastros!A:F,6,0),"")</f>
        <v/>
      </c>
      <c r="T190" s="177" t="str">
        <f>IFERROR(VLOOKUP(O190,Cadastros!A:I,9,0),"")</f>
        <v/>
      </c>
      <c r="U190" s="177" t="str">
        <f t="shared" si="12"/>
        <v/>
      </c>
      <c r="V190" s="177" t="str">
        <f t="shared" si="13"/>
        <v/>
      </c>
      <c r="W190" s="177" t="str">
        <f t="shared" si="14"/>
        <v/>
      </c>
      <c r="Y190" s="240" t="e">
        <f t="array" ref="Y190">INDEX(Tabela.abordagens[],SMALL(IF(Tabela.abordagens[Mês]=$L$2,ROW(Tabela.abordagens[id])-2),ROW(A143)),1)</f>
        <v>#NUM!</v>
      </c>
      <c r="Z190" s="240" t="e">
        <f t="array" ref="Z190">INDEX(Tabela.abordagens[],SMALL(IF(Tabela.abordagens[Mês]=$L$2,ROW(Tabela.abordagens[Idade])-2),ROW(A143)),6)</f>
        <v>#NUM!</v>
      </c>
      <c r="AA190" s="240" t="e">
        <f t="array" ref="AA190">INDEX(Tabela.abordagens[],SMALL(IF(Tabela.abordagens[Mês]=$L$2,ROW(Tabela.abordagens[Idade])-2),ROW(A143)),4)</f>
        <v>#NUM!</v>
      </c>
      <c r="AB190" s="240" t="e">
        <f t="array" ref="AB190">INDEX(Tabela.abordagens[],SMALL(IF(Tabela.abordagens[Mês]=$L$2,ROW(Tabela.abordagens[Idade])-2),ROW(A143)),5)</f>
        <v>#NUM!</v>
      </c>
    </row>
    <row r="191" spans="2:28" ht="15" x14ac:dyDescent="0.25">
      <c r="B191" s="223" t="e">
        <f t="array" ref="B191">INDEX(Tabela.frequencia[],SMALL(IF(Tabela.frequencia[Mês]=$L$2,ROW(Tabela.frequencia[id])-1),ROW(A144)),1)</f>
        <v>#NUM!</v>
      </c>
      <c r="C191" s="229" t="e">
        <f t="array" ref="C191">INDEX(Tabela.frequencia[],SMALL(IF(Tabela.frequencia[Mês]=$L$2,ROW(Tabela.frequencia[id])-1),ROW(A144)),4)</f>
        <v>#NUM!</v>
      </c>
      <c r="E191" s="176" t="str">
        <f>IFERROR(VLOOKUP(D191,Tabela.cadastro[[ID]:[Nome]],2,0),"")</f>
        <v/>
      </c>
      <c r="F191" s="177" t="str">
        <f>IFERROR(VLOOKUP(D191,Tabela66[#All],2,0),"")</f>
        <v/>
      </c>
      <c r="G191" s="177" t="str">
        <f>IFERROR(VLOOKUP(D191,Tabela.cadastro[[ID]:[CP ou M]],5,0),"")</f>
        <v/>
      </c>
      <c r="H191" s="177" t="str">
        <f>IFERROR(VLOOKUP(D191,Cadastros!A:F,6,0),"")</f>
        <v/>
      </c>
      <c r="I191" s="177" t="str">
        <f>IFERROR(VLOOKUP(D191,Cadastros!A:I,9,0),"")</f>
        <v/>
      </c>
      <c r="J191" s="177" t="str">
        <f>IFERROR(VLOOKUP(D191,Cadastros!A:J,10,0),"")</f>
        <v/>
      </c>
      <c r="K191" s="177" t="str">
        <f>IF(COUNTIF(Tabela66[id],D191)=0,"",COUNTIF(Tabela66[id],D191))</f>
        <v/>
      </c>
      <c r="L191" s="198"/>
      <c r="M191" s="227" t="str">
        <f t="shared" si="15"/>
        <v/>
      </c>
      <c r="P191" s="176" t="str">
        <f>IFERROR(VLOOKUP(O191,Cadastros!A:B,2),"")</f>
        <v/>
      </c>
      <c r="Q191" s="177" t="str">
        <f t="shared" si="11"/>
        <v/>
      </c>
      <c r="R191" s="177" t="str">
        <f>IFERROR(VLOOKUP(O191,Cadastros!A:E,5,0),"")</f>
        <v/>
      </c>
      <c r="S191" s="177" t="str">
        <f>IFERROR(VLOOKUP(O191,Cadastros!A:F,6,0),"")</f>
        <v/>
      </c>
      <c r="T191" s="177" t="str">
        <f>IFERROR(VLOOKUP(O191,Cadastros!A:I,9,0),"")</f>
        <v/>
      </c>
      <c r="U191" s="177" t="str">
        <f t="shared" si="12"/>
        <v/>
      </c>
      <c r="V191" s="177" t="str">
        <f t="shared" si="13"/>
        <v/>
      </c>
      <c r="W191" s="177" t="str">
        <f t="shared" si="14"/>
        <v/>
      </c>
      <c r="Y191" s="240" t="e">
        <f t="array" ref="Y191">INDEX(Tabela.abordagens[],SMALL(IF(Tabela.abordagens[Mês]=$L$2,ROW(Tabela.abordagens[id])-2),ROW(A144)),1)</f>
        <v>#NUM!</v>
      </c>
      <c r="Z191" s="240" t="e">
        <f t="array" ref="Z191">INDEX(Tabela.abordagens[],SMALL(IF(Tabela.abordagens[Mês]=$L$2,ROW(Tabela.abordagens[Idade])-2),ROW(A144)),6)</f>
        <v>#NUM!</v>
      </c>
      <c r="AA191" s="240" t="e">
        <f t="array" ref="AA191">INDEX(Tabela.abordagens[],SMALL(IF(Tabela.abordagens[Mês]=$L$2,ROW(Tabela.abordagens[Idade])-2),ROW(A144)),4)</f>
        <v>#NUM!</v>
      </c>
      <c r="AB191" s="240" t="e">
        <f t="array" ref="AB191">INDEX(Tabela.abordagens[],SMALL(IF(Tabela.abordagens[Mês]=$L$2,ROW(Tabela.abordagens[Idade])-2),ROW(A144)),5)</f>
        <v>#NUM!</v>
      </c>
    </row>
    <row r="192" spans="2:28" ht="15" x14ac:dyDescent="0.25">
      <c r="B192" s="223" t="e">
        <f t="array" ref="B192">INDEX(Tabela.frequencia[],SMALL(IF(Tabela.frequencia[Mês]=$L$2,ROW(Tabela.frequencia[id])-1),ROW(A145)),1)</f>
        <v>#NUM!</v>
      </c>
      <c r="C192" s="229" t="e">
        <f t="array" ref="C192">INDEX(Tabela.frequencia[],SMALL(IF(Tabela.frequencia[Mês]=$L$2,ROW(Tabela.frequencia[id])-1),ROW(A145)),4)</f>
        <v>#NUM!</v>
      </c>
      <c r="E192" s="176" t="str">
        <f>IFERROR(VLOOKUP(D192,Tabela.cadastro[[ID]:[Nome]],2,0),"")</f>
        <v/>
      </c>
      <c r="F192" s="177" t="str">
        <f>IFERROR(VLOOKUP(D192,Tabela66[#All],2,0),"")</f>
        <v/>
      </c>
      <c r="G192" s="177" t="str">
        <f>IFERROR(VLOOKUP(D192,Tabela.cadastro[[ID]:[CP ou M]],5,0),"")</f>
        <v/>
      </c>
      <c r="H192" s="177" t="str">
        <f>IFERROR(VLOOKUP(D192,Cadastros!A:F,6,0),"")</f>
        <v/>
      </c>
      <c r="I192" s="177" t="str">
        <f>IFERROR(VLOOKUP(D192,Cadastros!A:I,9,0),"")</f>
        <v/>
      </c>
      <c r="J192" s="177" t="str">
        <f>IFERROR(VLOOKUP(D192,Cadastros!A:J,10,0),"")</f>
        <v/>
      </c>
      <c r="K192" s="177" t="str">
        <f>IF(COUNTIF(Tabela66[id],D192)=0,"",COUNTIF(Tabela66[id],D192))</f>
        <v/>
      </c>
      <c r="L192" s="198"/>
      <c r="M192" s="227" t="str">
        <f t="shared" si="15"/>
        <v/>
      </c>
      <c r="P192" s="176" t="str">
        <f>IFERROR(VLOOKUP(O192,Cadastros!A:B,2),"")</f>
        <v/>
      </c>
      <c r="Q192" s="177" t="str">
        <f t="shared" si="11"/>
        <v/>
      </c>
      <c r="R192" s="177" t="str">
        <f>IFERROR(VLOOKUP(O192,Cadastros!A:E,5,0),"")</f>
        <v/>
      </c>
      <c r="S192" s="177" t="str">
        <f>IFERROR(VLOOKUP(O192,Cadastros!A:F,6,0),"")</f>
        <v/>
      </c>
      <c r="T192" s="177" t="str">
        <f>IFERROR(VLOOKUP(O192,Cadastros!A:I,9,0),"")</f>
        <v/>
      </c>
      <c r="U192" s="177" t="str">
        <f t="shared" si="12"/>
        <v/>
      </c>
      <c r="V192" s="177" t="str">
        <f t="shared" si="13"/>
        <v/>
      </c>
      <c r="W192" s="177" t="str">
        <f t="shared" si="14"/>
        <v/>
      </c>
      <c r="Y192" s="240" t="e">
        <f t="array" ref="Y192">INDEX(Tabela.abordagens[],SMALL(IF(Tabela.abordagens[Mês]=$L$2,ROW(Tabela.abordagens[id])-2),ROW(A145)),1)</f>
        <v>#NUM!</v>
      </c>
      <c r="Z192" s="240" t="e">
        <f t="array" ref="Z192">INDEX(Tabela.abordagens[],SMALL(IF(Tabela.abordagens[Mês]=$L$2,ROW(Tabela.abordagens[Idade])-2),ROW(A145)),6)</f>
        <v>#NUM!</v>
      </c>
      <c r="AA192" s="240" t="e">
        <f t="array" ref="AA192">INDEX(Tabela.abordagens[],SMALL(IF(Tabela.abordagens[Mês]=$L$2,ROW(Tabela.abordagens[Idade])-2),ROW(A145)),4)</f>
        <v>#NUM!</v>
      </c>
      <c r="AB192" s="240" t="e">
        <f t="array" ref="AB192">INDEX(Tabela.abordagens[],SMALL(IF(Tabela.abordagens[Mês]=$L$2,ROW(Tabela.abordagens[Idade])-2),ROW(A145)),5)</f>
        <v>#NUM!</v>
      </c>
    </row>
    <row r="193" spans="2:28" ht="15" x14ac:dyDescent="0.25">
      <c r="B193" s="223" t="e">
        <f t="array" ref="B193">INDEX(Tabela.frequencia[],SMALL(IF(Tabela.frequencia[Mês]=$L$2,ROW(Tabela.frequencia[id])-1),ROW(A146)),1)</f>
        <v>#NUM!</v>
      </c>
      <c r="C193" s="229" t="e">
        <f t="array" ref="C193">INDEX(Tabela.frequencia[],SMALL(IF(Tabela.frequencia[Mês]=$L$2,ROW(Tabela.frequencia[id])-1),ROW(A146)),4)</f>
        <v>#NUM!</v>
      </c>
      <c r="E193" s="176" t="str">
        <f>IFERROR(VLOOKUP(D193,Tabela.cadastro[[ID]:[Nome]],2,0),"")</f>
        <v/>
      </c>
      <c r="F193" s="177" t="str">
        <f>IFERROR(VLOOKUP(D193,Tabela66[#All],2,0),"")</f>
        <v/>
      </c>
      <c r="G193" s="177" t="str">
        <f>IFERROR(VLOOKUP(D193,Tabela.cadastro[[ID]:[CP ou M]],5,0),"")</f>
        <v/>
      </c>
      <c r="H193" s="177" t="str">
        <f>IFERROR(VLOOKUP(D193,Cadastros!A:F,6,0),"")</f>
        <v/>
      </c>
      <c r="I193" s="177" t="str">
        <f>IFERROR(VLOOKUP(D193,Cadastros!A:I,9,0),"")</f>
        <v/>
      </c>
      <c r="J193" s="177" t="str">
        <f>IFERROR(VLOOKUP(D193,Cadastros!A:J,10,0),"")</f>
        <v/>
      </c>
      <c r="K193" s="177" t="str">
        <f>IF(COUNTIF(Tabela66[id],D193)=0,"",COUNTIF(Tabela66[id],D193))</f>
        <v/>
      </c>
      <c r="L193" s="198"/>
      <c r="M193" s="227" t="str">
        <f t="shared" si="15"/>
        <v/>
      </c>
      <c r="P193" s="176" t="str">
        <f>IFERROR(VLOOKUP(O193,Cadastros!A:B,2),"")</f>
        <v/>
      </c>
      <c r="Q193" s="177" t="str">
        <f t="shared" si="11"/>
        <v/>
      </c>
      <c r="R193" s="177" t="str">
        <f>IFERROR(VLOOKUP(O193,Cadastros!A:E,5,0),"")</f>
        <v/>
      </c>
      <c r="S193" s="177" t="str">
        <f>IFERROR(VLOOKUP(O193,Cadastros!A:F,6,0),"")</f>
        <v/>
      </c>
      <c r="T193" s="177" t="str">
        <f>IFERROR(VLOOKUP(O193,Cadastros!A:I,9,0),"")</f>
        <v/>
      </c>
      <c r="U193" s="177" t="str">
        <f t="shared" si="12"/>
        <v/>
      </c>
      <c r="V193" s="177" t="str">
        <f t="shared" si="13"/>
        <v/>
      </c>
      <c r="W193" s="177" t="str">
        <f t="shared" si="14"/>
        <v/>
      </c>
      <c r="Y193" s="240" t="e">
        <f t="array" ref="Y193">INDEX(Tabela.abordagens[],SMALL(IF(Tabela.abordagens[Mês]=$L$2,ROW(Tabela.abordagens[id])-2),ROW(A146)),1)</f>
        <v>#NUM!</v>
      </c>
      <c r="Z193" s="240" t="e">
        <f t="array" ref="Z193">INDEX(Tabela.abordagens[],SMALL(IF(Tabela.abordagens[Mês]=$L$2,ROW(Tabela.abordagens[Idade])-2),ROW(A146)),6)</f>
        <v>#NUM!</v>
      </c>
      <c r="AA193" s="240" t="e">
        <f t="array" ref="AA193">INDEX(Tabela.abordagens[],SMALL(IF(Tabela.abordagens[Mês]=$L$2,ROW(Tabela.abordagens[Idade])-2),ROW(A146)),4)</f>
        <v>#NUM!</v>
      </c>
      <c r="AB193" s="240" t="e">
        <f t="array" ref="AB193">INDEX(Tabela.abordagens[],SMALL(IF(Tabela.abordagens[Mês]=$L$2,ROW(Tabela.abordagens[Idade])-2),ROW(A146)),5)</f>
        <v>#NUM!</v>
      </c>
    </row>
    <row r="194" spans="2:28" ht="15" x14ac:dyDescent="0.25">
      <c r="B194" s="223" t="e">
        <f t="array" ref="B194">INDEX(Tabela.frequencia[],SMALL(IF(Tabela.frequencia[Mês]=$L$2,ROW(Tabela.frequencia[id])-1),ROW(A147)),1)</f>
        <v>#NUM!</v>
      </c>
      <c r="C194" s="229" t="e">
        <f t="array" ref="C194">INDEX(Tabela.frequencia[],SMALL(IF(Tabela.frequencia[Mês]=$L$2,ROW(Tabela.frequencia[id])-1),ROW(A147)),4)</f>
        <v>#NUM!</v>
      </c>
      <c r="E194" s="176" t="str">
        <f>IFERROR(VLOOKUP(D194,Tabela.cadastro[[ID]:[Nome]],2,0),"")</f>
        <v/>
      </c>
      <c r="F194" s="177" t="str">
        <f>IFERROR(VLOOKUP(D194,Tabela66[#All],2,0),"")</f>
        <v/>
      </c>
      <c r="G194" s="177" t="str">
        <f>IFERROR(VLOOKUP(D194,Tabela.cadastro[[ID]:[CP ou M]],5,0),"")</f>
        <v/>
      </c>
      <c r="H194" s="177" t="str">
        <f>IFERROR(VLOOKUP(D194,Cadastros!A:F,6,0),"")</f>
        <v/>
      </c>
      <c r="I194" s="177" t="str">
        <f>IFERROR(VLOOKUP(D194,Cadastros!A:I,9,0),"")</f>
        <v/>
      </c>
      <c r="J194" s="177" t="str">
        <f>IFERROR(VLOOKUP(D194,Cadastros!A:J,10,0),"")</f>
        <v/>
      </c>
      <c r="K194" s="177" t="str">
        <f>IF(COUNTIF(Tabela66[id],D194)=0,"",COUNTIF(Tabela66[id],D194))</f>
        <v/>
      </c>
      <c r="L194" s="198"/>
      <c r="M194" s="227" t="str">
        <f t="shared" si="15"/>
        <v/>
      </c>
      <c r="P194" s="176" t="str">
        <f>IFERROR(VLOOKUP(O194,Cadastros!A:B,2),"")</f>
        <v/>
      </c>
      <c r="Q194" s="177" t="str">
        <f t="shared" si="11"/>
        <v/>
      </c>
      <c r="R194" s="177" t="str">
        <f>IFERROR(VLOOKUP(O194,Cadastros!A:E,5,0),"")</f>
        <v/>
      </c>
      <c r="S194" s="177" t="str">
        <f>IFERROR(VLOOKUP(O194,Cadastros!A:F,6,0),"")</f>
        <v/>
      </c>
      <c r="T194" s="177" t="str">
        <f>IFERROR(VLOOKUP(O194,Cadastros!A:I,9,0),"")</f>
        <v/>
      </c>
      <c r="U194" s="177" t="str">
        <f t="shared" si="12"/>
        <v/>
      </c>
      <c r="V194" s="177" t="str">
        <f t="shared" si="13"/>
        <v/>
      </c>
      <c r="W194" s="177" t="str">
        <f t="shared" si="14"/>
        <v/>
      </c>
      <c r="Y194" s="240" t="e">
        <f t="array" ref="Y194">INDEX(Tabela.abordagens[],SMALL(IF(Tabela.abordagens[Mês]=$L$2,ROW(Tabela.abordagens[id])-2),ROW(A147)),1)</f>
        <v>#NUM!</v>
      </c>
      <c r="Z194" s="240" t="e">
        <f t="array" ref="Z194">INDEX(Tabela.abordagens[],SMALL(IF(Tabela.abordagens[Mês]=$L$2,ROW(Tabela.abordagens[Idade])-2),ROW(A147)),6)</f>
        <v>#NUM!</v>
      </c>
      <c r="AA194" s="240" t="e">
        <f t="array" ref="AA194">INDEX(Tabela.abordagens[],SMALL(IF(Tabela.abordagens[Mês]=$L$2,ROW(Tabela.abordagens[Idade])-2),ROW(A147)),4)</f>
        <v>#NUM!</v>
      </c>
      <c r="AB194" s="240" t="e">
        <f t="array" ref="AB194">INDEX(Tabela.abordagens[],SMALL(IF(Tabela.abordagens[Mês]=$L$2,ROW(Tabela.abordagens[Idade])-2),ROW(A147)),5)</f>
        <v>#NUM!</v>
      </c>
    </row>
    <row r="195" spans="2:28" ht="15" x14ac:dyDescent="0.25">
      <c r="B195" s="223" t="e">
        <f t="array" ref="B195">INDEX(Tabela.frequencia[],SMALL(IF(Tabela.frequencia[Mês]=$L$2,ROW(Tabela.frequencia[id])-1),ROW(A148)),1)</f>
        <v>#NUM!</v>
      </c>
      <c r="C195" s="229" t="e">
        <f t="array" ref="C195">INDEX(Tabela.frequencia[],SMALL(IF(Tabela.frequencia[Mês]=$L$2,ROW(Tabela.frequencia[id])-1),ROW(A148)),4)</f>
        <v>#NUM!</v>
      </c>
      <c r="E195" s="176" t="str">
        <f>IFERROR(VLOOKUP(D195,Tabela.cadastro[[ID]:[Nome]],2,0),"")</f>
        <v/>
      </c>
      <c r="F195" s="177" t="str">
        <f>IFERROR(VLOOKUP(D195,Tabela66[#All],2,0),"")</f>
        <v/>
      </c>
      <c r="G195" s="177" t="str">
        <f>IFERROR(VLOOKUP(D195,Tabela.cadastro[[ID]:[CP ou M]],5,0),"")</f>
        <v/>
      </c>
      <c r="H195" s="177" t="str">
        <f>IFERROR(VLOOKUP(D195,Cadastros!A:F,6,0),"")</f>
        <v/>
      </c>
      <c r="I195" s="177" t="str">
        <f>IFERROR(VLOOKUP(D195,Cadastros!A:I,9,0),"")</f>
        <v/>
      </c>
      <c r="J195" s="177" t="str">
        <f>IFERROR(VLOOKUP(D195,Cadastros!A:J,10,0),"")</f>
        <v/>
      </c>
      <c r="K195" s="177" t="str">
        <f>IF(COUNTIF(Tabela66[id],D195)=0,"",COUNTIF(Tabela66[id],D195))</f>
        <v/>
      </c>
      <c r="L195" s="198"/>
      <c r="M195" s="227" t="str">
        <f t="shared" si="15"/>
        <v/>
      </c>
      <c r="P195" s="176" t="str">
        <f>IFERROR(VLOOKUP(O195,Cadastros!A:B,2),"")</f>
        <v/>
      </c>
      <c r="Q195" s="177" t="str">
        <f t="shared" si="11"/>
        <v/>
      </c>
      <c r="R195" s="177" t="str">
        <f>IFERROR(VLOOKUP(O195,Cadastros!A:E,5,0),"")</f>
        <v/>
      </c>
      <c r="S195" s="177" t="str">
        <f>IFERROR(VLOOKUP(O195,Cadastros!A:F,6,0),"")</f>
        <v/>
      </c>
      <c r="T195" s="177" t="str">
        <f>IFERROR(VLOOKUP(O195,Cadastros!A:I,9,0),"")</f>
        <v/>
      </c>
      <c r="U195" s="177" t="str">
        <f t="shared" si="12"/>
        <v/>
      </c>
      <c r="V195" s="177" t="str">
        <f t="shared" si="13"/>
        <v/>
      </c>
      <c r="W195" s="177" t="str">
        <f t="shared" si="14"/>
        <v/>
      </c>
      <c r="Y195" s="240" t="e">
        <f t="array" ref="Y195">INDEX(Tabela.abordagens[],SMALL(IF(Tabela.abordagens[Mês]=$L$2,ROW(Tabela.abordagens[id])-2),ROW(A148)),1)</f>
        <v>#NUM!</v>
      </c>
      <c r="Z195" s="240" t="e">
        <f t="array" ref="Z195">INDEX(Tabela.abordagens[],SMALL(IF(Tabela.abordagens[Mês]=$L$2,ROW(Tabela.abordagens[Idade])-2),ROW(A148)),6)</f>
        <v>#NUM!</v>
      </c>
      <c r="AA195" s="240" t="e">
        <f t="array" ref="AA195">INDEX(Tabela.abordagens[],SMALL(IF(Tabela.abordagens[Mês]=$L$2,ROW(Tabela.abordagens[Idade])-2),ROW(A148)),4)</f>
        <v>#NUM!</v>
      </c>
      <c r="AB195" s="240" t="e">
        <f t="array" ref="AB195">INDEX(Tabela.abordagens[],SMALL(IF(Tabela.abordagens[Mês]=$L$2,ROW(Tabela.abordagens[Idade])-2),ROW(A148)),5)</f>
        <v>#NUM!</v>
      </c>
    </row>
    <row r="196" spans="2:28" ht="15" x14ac:dyDescent="0.25">
      <c r="B196" s="223" t="e">
        <f t="array" ref="B196">INDEX(Tabela.frequencia[],SMALL(IF(Tabela.frequencia[Mês]=$L$2,ROW(Tabela.frequencia[id])-1),ROW(A149)),1)</f>
        <v>#NUM!</v>
      </c>
      <c r="C196" s="229" t="e">
        <f t="array" ref="C196">INDEX(Tabela.frequencia[],SMALL(IF(Tabela.frequencia[Mês]=$L$2,ROW(Tabela.frequencia[id])-1),ROW(A149)),4)</f>
        <v>#NUM!</v>
      </c>
      <c r="E196" s="176" t="str">
        <f>IFERROR(VLOOKUP(D196,Tabela.cadastro[[ID]:[Nome]],2,0),"")</f>
        <v/>
      </c>
      <c r="F196" s="177" t="str">
        <f>IFERROR(VLOOKUP(D196,Tabela66[#All],2,0),"")</f>
        <v/>
      </c>
      <c r="G196" s="177" t="str">
        <f>IFERROR(VLOOKUP(D196,Tabela.cadastro[[ID]:[CP ou M]],5,0),"")</f>
        <v/>
      </c>
      <c r="H196" s="177" t="str">
        <f>IFERROR(VLOOKUP(D196,Cadastros!A:F,6,0),"")</f>
        <v/>
      </c>
      <c r="I196" s="177" t="str">
        <f>IFERROR(VLOOKUP(D196,Cadastros!A:I,9,0),"")</f>
        <v/>
      </c>
      <c r="J196" s="177" t="str">
        <f>IFERROR(VLOOKUP(D196,Cadastros!A:J,10,0),"")</f>
        <v/>
      </c>
      <c r="K196" s="177" t="str">
        <f>IF(COUNTIF(Tabela66[id],D196)=0,"",COUNTIF(Tabela66[id],D196))</f>
        <v/>
      </c>
      <c r="L196" s="198"/>
      <c r="M196" s="227" t="str">
        <f t="shared" si="15"/>
        <v/>
      </c>
      <c r="P196" s="176" t="str">
        <f>IFERROR(VLOOKUP(O196,Cadastros!A:B,2),"")</f>
        <v/>
      </c>
      <c r="Q196" s="177" t="str">
        <f t="shared" si="11"/>
        <v/>
      </c>
      <c r="R196" s="177" t="str">
        <f>IFERROR(VLOOKUP(O196,Cadastros!A:E,5,0),"")</f>
        <v/>
      </c>
      <c r="S196" s="177" t="str">
        <f>IFERROR(VLOOKUP(O196,Cadastros!A:F,6,0),"")</f>
        <v/>
      </c>
      <c r="T196" s="177" t="str">
        <f>IFERROR(VLOOKUP(O196,Cadastros!A:I,9,0),"")</f>
        <v/>
      </c>
      <c r="U196" s="177" t="str">
        <f t="shared" si="12"/>
        <v/>
      </c>
      <c r="V196" s="177" t="str">
        <f t="shared" si="13"/>
        <v/>
      </c>
      <c r="W196" s="177" t="str">
        <f t="shared" si="14"/>
        <v/>
      </c>
      <c r="Y196" s="240" t="e">
        <f t="array" ref="Y196">INDEX(Tabela.abordagens[],SMALL(IF(Tabela.abordagens[Mês]=$L$2,ROW(Tabela.abordagens[id])-2),ROW(A149)),1)</f>
        <v>#NUM!</v>
      </c>
      <c r="Z196" s="240" t="e">
        <f t="array" ref="Z196">INDEX(Tabela.abordagens[],SMALL(IF(Tabela.abordagens[Mês]=$L$2,ROW(Tabela.abordagens[Idade])-2),ROW(A149)),6)</f>
        <v>#NUM!</v>
      </c>
      <c r="AA196" s="240" t="e">
        <f t="array" ref="AA196">INDEX(Tabela.abordagens[],SMALL(IF(Tabela.abordagens[Mês]=$L$2,ROW(Tabela.abordagens[Idade])-2),ROW(A149)),4)</f>
        <v>#NUM!</v>
      </c>
      <c r="AB196" s="240" t="e">
        <f t="array" ref="AB196">INDEX(Tabela.abordagens[],SMALL(IF(Tabela.abordagens[Mês]=$L$2,ROW(Tabela.abordagens[Idade])-2),ROW(A149)),5)</f>
        <v>#NUM!</v>
      </c>
    </row>
    <row r="197" spans="2:28" ht="15" x14ac:dyDescent="0.25">
      <c r="B197" s="223" t="e">
        <f t="array" ref="B197">INDEX(Tabela.frequencia[],SMALL(IF(Tabela.frequencia[Mês]=$L$2,ROW(Tabela.frequencia[id])-1),ROW(A150)),1)</f>
        <v>#NUM!</v>
      </c>
      <c r="C197" s="229" t="e">
        <f t="array" ref="C197">INDEX(Tabela.frequencia[],SMALL(IF(Tabela.frequencia[Mês]=$L$2,ROW(Tabela.frequencia[id])-1),ROW(A150)),4)</f>
        <v>#NUM!</v>
      </c>
      <c r="E197" s="176" t="str">
        <f>IFERROR(VLOOKUP(D197,Tabela.cadastro[[ID]:[Nome]],2,0),"")</f>
        <v/>
      </c>
      <c r="F197" s="177" t="str">
        <f>IFERROR(VLOOKUP(D197,Tabela66[#All],2,0),"")</f>
        <v/>
      </c>
      <c r="G197" s="177" t="str">
        <f>IFERROR(VLOOKUP(D197,Tabela.cadastro[[ID]:[CP ou M]],5,0),"")</f>
        <v/>
      </c>
      <c r="H197" s="177" t="str">
        <f>IFERROR(VLOOKUP(D197,Cadastros!A:F,6,0),"")</f>
        <v/>
      </c>
      <c r="I197" s="177" t="str">
        <f>IFERROR(VLOOKUP(D197,Cadastros!A:I,9,0),"")</f>
        <v/>
      </c>
      <c r="J197" s="177" t="str">
        <f>IFERROR(VLOOKUP(D197,Cadastros!A:J,10,0),"")</f>
        <v/>
      </c>
      <c r="K197" s="177" t="str">
        <f>IF(COUNTIF(Tabela66[id],D197)=0,"",COUNTIF(Tabela66[id],D197))</f>
        <v/>
      </c>
      <c r="L197" s="198"/>
      <c r="M197" s="227" t="str">
        <f t="shared" si="15"/>
        <v/>
      </c>
      <c r="P197" s="176" t="str">
        <f>IFERROR(VLOOKUP(O197,Cadastros!A:B,2),"")</f>
        <v/>
      </c>
      <c r="Q197" s="177" t="str">
        <f t="shared" si="11"/>
        <v/>
      </c>
      <c r="R197" s="177" t="str">
        <f>IFERROR(VLOOKUP(O197,Cadastros!A:E,5,0),"")</f>
        <v/>
      </c>
      <c r="S197" s="177" t="str">
        <f>IFERROR(VLOOKUP(O197,Cadastros!A:F,6,0),"")</f>
        <v/>
      </c>
      <c r="T197" s="177" t="str">
        <f>IFERROR(VLOOKUP(O197,Cadastros!A:I,9,0),"")</f>
        <v/>
      </c>
      <c r="U197" s="177" t="str">
        <f t="shared" si="12"/>
        <v/>
      </c>
      <c r="V197" s="177" t="str">
        <f t="shared" si="13"/>
        <v/>
      </c>
      <c r="W197" s="177" t="str">
        <f t="shared" si="14"/>
        <v/>
      </c>
      <c r="Y197" s="240" t="e">
        <f t="array" ref="Y197">INDEX(Tabela.abordagens[],SMALL(IF(Tabela.abordagens[Mês]=$L$2,ROW(Tabela.abordagens[id])-2),ROW(A150)),1)</f>
        <v>#NUM!</v>
      </c>
      <c r="Z197" s="240" t="e">
        <f t="array" ref="Z197">INDEX(Tabela.abordagens[],SMALL(IF(Tabela.abordagens[Mês]=$L$2,ROW(Tabela.abordagens[Idade])-2),ROW(A150)),6)</f>
        <v>#NUM!</v>
      </c>
      <c r="AA197" s="240" t="e">
        <f t="array" ref="AA197">INDEX(Tabela.abordagens[],SMALL(IF(Tabela.abordagens[Mês]=$L$2,ROW(Tabela.abordagens[Idade])-2),ROW(A150)),4)</f>
        <v>#NUM!</v>
      </c>
      <c r="AB197" s="240" t="e">
        <f t="array" ref="AB197">INDEX(Tabela.abordagens[],SMALL(IF(Tabela.abordagens[Mês]=$L$2,ROW(Tabela.abordagens[Idade])-2),ROW(A150)),5)</f>
        <v>#NUM!</v>
      </c>
    </row>
    <row r="198" spans="2:28" ht="15" x14ac:dyDescent="0.25">
      <c r="B198" s="223" t="e">
        <f t="array" ref="B198">INDEX(Tabela.frequencia[],SMALL(IF(Tabela.frequencia[Mês]=$L$2,ROW(Tabela.frequencia[id])-1),ROW(A151)),1)</f>
        <v>#NUM!</v>
      </c>
      <c r="C198" s="229" t="e">
        <f t="array" ref="C198">INDEX(Tabela.frequencia[],SMALL(IF(Tabela.frequencia[Mês]=$L$2,ROW(Tabela.frequencia[id])-1),ROW(A151)),4)</f>
        <v>#NUM!</v>
      </c>
      <c r="E198" s="176" t="str">
        <f>IFERROR(VLOOKUP(D198,Tabela.cadastro[[ID]:[Nome]],2,0),"")</f>
        <v/>
      </c>
      <c r="F198" s="177" t="str">
        <f>IFERROR(VLOOKUP(D198,Tabela66[#All],2,0),"")</f>
        <v/>
      </c>
      <c r="G198" s="177" t="str">
        <f>IFERROR(VLOOKUP(D198,Tabela.cadastro[[ID]:[CP ou M]],5,0),"")</f>
        <v/>
      </c>
      <c r="H198" s="177" t="str">
        <f>IFERROR(VLOOKUP(D198,Cadastros!A:F,6,0),"")</f>
        <v/>
      </c>
      <c r="I198" s="177" t="str">
        <f>IFERROR(VLOOKUP(D198,Cadastros!A:I,9,0),"")</f>
        <v/>
      </c>
      <c r="J198" s="177" t="str">
        <f>IFERROR(VLOOKUP(D198,Cadastros!A:J,10,0),"")</f>
        <v/>
      </c>
      <c r="K198" s="177" t="str">
        <f>IF(COUNTIF(Tabela66[id],D198)=0,"",COUNTIF(Tabela66[id],D198))</f>
        <v/>
      </c>
      <c r="L198" s="198"/>
      <c r="M198" s="227" t="str">
        <f t="shared" si="15"/>
        <v/>
      </c>
      <c r="P198" s="176" t="str">
        <f>IFERROR(VLOOKUP(O198,Cadastros!A:B,2),"")</f>
        <v/>
      </c>
      <c r="Q198" s="177" t="str">
        <f t="shared" si="11"/>
        <v/>
      </c>
      <c r="R198" s="177" t="str">
        <f>IFERROR(VLOOKUP(O198,Cadastros!A:E,5,0),"")</f>
        <v/>
      </c>
      <c r="S198" s="177" t="str">
        <f>IFERROR(VLOOKUP(O198,Cadastros!A:F,6,0),"")</f>
        <v/>
      </c>
      <c r="T198" s="177" t="str">
        <f>IFERROR(VLOOKUP(O198,Cadastros!A:I,9,0),"")</f>
        <v/>
      </c>
      <c r="U198" s="177" t="str">
        <f t="shared" si="12"/>
        <v/>
      </c>
      <c r="V198" s="177" t="str">
        <f t="shared" si="13"/>
        <v/>
      </c>
      <c r="W198" s="177" t="str">
        <f t="shared" si="14"/>
        <v/>
      </c>
      <c r="Y198" s="240" t="e">
        <f t="array" ref="Y198">INDEX(Tabela.abordagens[],SMALL(IF(Tabela.abordagens[Mês]=$L$2,ROW(Tabela.abordagens[id])-2),ROW(A151)),1)</f>
        <v>#NUM!</v>
      </c>
      <c r="Z198" s="240" t="e">
        <f t="array" ref="Z198">INDEX(Tabela.abordagens[],SMALL(IF(Tabela.abordagens[Mês]=$L$2,ROW(Tabela.abordagens[Idade])-2),ROW(A151)),6)</f>
        <v>#NUM!</v>
      </c>
      <c r="AA198" s="240" t="e">
        <f t="array" ref="AA198">INDEX(Tabela.abordagens[],SMALL(IF(Tabela.abordagens[Mês]=$L$2,ROW(Tabela.abordagens[Idade])-2),ROW(A151)),4)</f>
        <v>#NUM!</v>
      </c>
      <c r="AB198" s="240" t="e">
        <f t="array" ref="AB198">INDEX(Tabela.abordagens[],SMALL(IF(Tabela.abordagens[Mês]=$L$2,ROW(Tabela.abordagens[Idade])-2),ROW(A151)),5)</f>
        <v>#NUM!</v>
      </c>
    </row>
    <row r="199" spans="2:28" ht="15" x14ac:dyDescent="0.25">
      <c r="B199" s="223" t="e">
        <f t="array" ref="B199">INDEX(Tabela.frequencia[],SMALL(IF(Tabela.frequencia[Mês]=$L$2,ROW(Tabela.frequencia[id])-1),ROW(A152)),1)</f>
        <v>#NUM!</v>
      </c>
      <c r="C199" s="229" t="e">
        <f t="array" ref="C199">INDEX(Tabela.frequencia[],SMALL(IF(Tabela.frequencia[Mês]=$L$2,ROW(Tabela.frequencia[id])-1),ROW(A152)),4)</f>
        <v>#NUM!</v>
      </c>
      <c r="E199" s="176" t="str">
        <f>IFERROR(VLOOKUP(D199,Tabela.cadastro[[ID]:[Nome]],2,0),"")</f>
        <v/>
      </c>
      <c r="F199" s="177" t="str">
        <f>IFERROR(VLOOKUP(D199,Tabela66[#All],2,0),"")</f>
        <v/>
      </c>
      <c r="G199" s="177" t="str">
        <f>IFERROR(VLOOKUP(D199,Tabela.cadastro[[ID]:[CP ou M]],5,0),"")</f>
        <v/>
      </c>
      <c r="H199" s="177" t="str">
        <f>IFERROR(VLOOKUP(D199,Cadastros!A:F,6,0),"")</f>
        <v/>
      </c>
      <c r="I199" s="177" t="str">
        <f>IFERROR(VLOOKUP(D199,Cadastros!A:I,9,0),"")</f>
        <v/>
      </c>
      <c r="J199" s="177" t="str">
        <f>IFERROR(VLOOKUP(D199,Cadastros!A:J,10,0),"")</f>
        <v/>
      </c>
      <c r="K199" s="177" t="str">
        <f>IF(COUNTIF(Tabela66[id],D199)=0,"",COUNTIF(Tabela66[id],D199))</f>
        <v/>
      </c>
      <c r="L199" s="198"/>
      <c r="M199" s="227" t="str">
        <f t="shared" si="15"/>
        <v/>
      </c>
      <c r="P199" s="176" t="str">
        <f>IFERROR(VLOOKUP(O199,Cadastros!A:B,2),"")</f>
        <v/>
      </c>
      <c r="Q199" s="177" t="str">
        <f t="shared" si="11"/>
        <v/>
      </c>
      <c r="R199" s="177" t="str">
        <f>IFERROR(VLOOKUP(O199,Cadastros!A:E,5,0),"")</f>
        <v/>
      </c>
      <c r="S199" s="177" t="str">
        <f>IFERROR(VLOOKUP(O199,Cadastros!A:F,6,0),"")</f>
        <v/>
      </c>
      <c r="T199" s="177" t="str">
        <f>IFERROR(VLOOKUP(O199,Cadastros!A:I,9,0),"")</f>
        <v/>
      </c>
      <c r="U199" s="177" t="str">
        <f t="shared" si="12"/>
        <v/>
      </c>
      <c r="V199" s="177" t="str">
        <f t="shared" si="13"/>
        <v/>
      </c>
      <c r="W199" s="177" t="str">
        <f t="shared" si="14"/>
        <v/>
      </c>
      <c r="Y199" s="240" t="e">
        <f t="array" ref="Y199">INDEX(Tabela.abordagens[],SMALL(IF(Tabela.abordagens[Mês]=$L$2,ROW(Tabela.abordagens[id])-2),ROW(A152)),1)</f>
        <v>#NUM!</v>
      </c>
      <c r="Z199" s="240" t="e">
        <f t="array" ref="Z199">INDEX(Tabela.abordagens[],SMALL(IF(Tabela.abordagens[Mês]=$L$2,ROW(Tabela.abordagens[Idade])-2),ROW(A152)),6)</f>
        <v>#NUM!</v>
      </c>
      <c r="AA199" s="240" t="e">
        <f t="array" ref="AA199">INDEX(Tabela.abordagens[],SMALL(IF(Tabela.abordagens[Mês]=$L$2,ROW(Tabela.abordagens[Idade])-2),ROW(A152)),4)</f>
        <v>#NUM!</v>
      </c>
      <c r="AB199" s="240" t="e">
        <f t="array" ref="AB199">INDEX(Tabela.abordagens[],SMALL(IF(Tabela.abordagens[Mês]=$L$2,ROW(Tabela.abordagens[Idade])-2),ROW(A152)),5)</f>
        <v>#NUM!</v>
      </c>
    </row>
    <row r="200" spans="2:28" ht="15" x14ac:dyDescent="0.25">
      <c r="B200" s="223" t="e">
        <f t="array" ref="B200">INDEX(Tabela.frequencia[],SMALL(IF(Tabela.frequencia[Mês]=$L$2,ROW(Tabela.frequencia[id])-1),ROW(A153)),1)</f>
        <v>#NUM!</v>
      </c>
      <c r="C200" s="229" t="e">
        <f t="array" ref="C200">INDEX(Tabela.frequencia[],SMALL(IF(Tabela.frequencia[Mês]=$L$2,ROW(Tabela.frequencia[id])-1),ROW(A153)),4)</f>
        <v>#NUM!</v>
      </c>
      <c r="E200" s="176" t="str">
        <f>IFERROR(VLOOKUP(D200,Tabela.cadastro[[ID]:[Nome]],2,0),"")</f>
        <v/>
      </c>
      <c r="F200" s="177" t="str">
        <f>IFERROR(VLOOKUP(D200,Tabela66[#All],2,0),"")</f>
        <v/>
      </c>
      <c r="G200" s="177" t="str">
        <f>IFERROR(VLOOKUP(D200,Tabela.cadastro[[ID]:[CP ou M]],5,0),"")</f>
        <v/>
      </c>
      <c r="H200" s="177" t="str">
        <f>IFERROR(VLOOKUP(D200,Cadastros!A:F,6,0),"")</f>
        <v/>
      </c>
      <c r="I200" s="177" t="str">
        <f>IFERROR(VLOOKUP(D200,Cadastros!A:I,9,0),"")</f>
        <v/>
      </c>
      <c r="J200" s="177" t="str">
        <f>IFERROR(VLOOKUP(D200,Cadastros!A:J,10,0),"")</f>
        <v/>
      </c>
      <c r="K200" s="177" t="str">
        <f>IF(COUNTIF(Tabela66[id],D200)=0,"",COUNTIF(Tabela66[id],D200))</f>
        <v/>
      </c>
      <c r="L200" s="198"/>
      <c r="M200" s="227" t="str">
        <f t="shared" si="15"/>
        <v/>
      </c>
      <c r="P200" s="176" t="str">
        <f>IFERROR(VLOOKUP(O200,Cadastros!A:B,2),"")</f>
        <v/>
      </c>
      <c r="Q200" s="177" t="str">
        <f t="shared" si="11"/>
        <v/>
      </c>
      <c r="R200" s="177" t="str">
        <f>IFERROR(VLOOKUP(O200,Cadastros!A:E,5,0),"")</f>
        <v/>
      </c>
      <c r="S200" s="177" t="str">
        <f>IFERROR(VLOOKUP(O200,Cadastros!A:F,6,0),"")</f>
        <v/>
      </c>
      <c r="T200" s="177" t="str">
        <f>IFERROR(VLOOKUP(O200,Cadastros!A:I,9,0),"")</f>
        <v/>
      </c>
      <c r="U200" s="177" t="str">
        <f t="shared" si="12"/>
        <v/>
      </c>
      <c r="V200" s="177" t="str">
        <f t="shared" si="13"/>
        <v/>
      </c>
      <c r="W200" s="177" t="str">
        <f t="shared" si="14"/>
        <v/>
      </c>
      <c r="Y200" s="240" t="e">
        <f t="array" ref="Y200">INDEX(Tabela.abordagens[],SMALL(IF(Tabela.abordagens[Mês]=$L$2,ROW(Tabela.abordagens[id])-2),ROW(A153)),1)</f>
        <v>#NUM!</v>
      </c>
      <c r="Z200" s="240" t="e">
        <f t="array" ref="Z200">INDEX(Tabela.abordagens[],SMALL(IF(Tabela.abordagens[Mês]=$L$2,ROW(Tabela.abordagens[Idade])-2),ROW(A153)),6)</f>
        <v>#NUM!</v>
      </c>
      <c r="AA200" s="240" t="e">
        <f t="array" ref="AA200">INDEX(Tabela.abordagens[],SMALL(IF(Tabela.abordagens[Mês]=$L$2,ROW(Tabela.abordagens[Idade])-2),ROW(A153)),4)</f>
        <v>#NUM!</v>
      </c>
      <c r="AB200" s="240" t="e">
        <f t="array" ref="AB200">INDEX(Tabela.abordagens[],SMALL(IF(Tabela.abordagens[Mês]=$L$2,ROW(Tabela.abordagens[Idade])-2),ROW(A153)),5)</f>
        <v>#NUM!</v>
      </c>
    </row>
    <row r="201" spans="2:28" ht="15" x14ac:dyDescent="0.25">
      <c r="B201" s="223" t="e">
        <f t="array" ref="B201">INDEX(Tabela.frequencia[],SMALL(IF(Tabela.frequencia[Mês]=$L$2,ROW(Tabela.frequencia[id])-1),ROW(A154)),1)</f>
        <v>#NUM!</v>
      </c>
      <c r="C201" s="229" t="e">
        <f t="array" ref="C201">INDEX(Tabela.frequencia[],SMALL(IF(Tabela.frequencia[Mês]=$L$2,ROW(Tabela.frequencia[id])-1),ROW(A154)),4)</f>
        <v>#NUM!</v>
      </c>
      <c r="E201" s="176" t="str">
        <f>IFERROR(VLOOKUP(D201,Tabela.cadastro[[ID]:[Nome]],2,0),"")</f>
        <v/>
      </c>
      <c r="F201" s="177" t="str">
        <f>IFERROR(VLOOKUP(D201,Tabela66[#All],2,0),"")</f>
        <v/>
      </c>
      <c r="G201" s="177" t="str">
        <f>IFERROR(VLOOKUP(D201,Tabela.cadastro[[ID]:[CP ou M]],5,0),"")</f>
        <v/>
      </c>
      <c r="H201" s="177" t="str">
        <f>IFERROR(VLOOKUP(D201,Cadastros!A:F,6,0),"")</f>
        <v/>
      </c>
      <c r="I201" s="177" t="str">
        <f>IFERROR(VLOOKUP(D201,Cadastros!A:I,9,0),"")</f>
        <v/>
      </c>
      <c r="J201" s="177" t="str">
        <f>IFERROR(VLOOKUP(D201,Cadastros!A:J,10,0),"")</f>
        <v/>
      </c>
      <c r="K201" s="177" t="str">
        <f>IF(COUNTIF(Tabela66[id],D201)=0,"",COUNTIF(Tabela66[id],D201))</f>
        <v/>
      </c>
      <c r="L201" s="198"/>
      <c r="M201" s="227" t="str">
        <f t="shared" si="15"/>
        <v/>
      </c>
      <c r="P201" s="176" t="str">
        <f>IFERROR(VLOOKUP(O201,Cadastros!A:B,2),"")</f>
        <v/>
      </c>
      <c r="Q201" s="177" t="str">
        <f t="shared" si="11"/>
        <v/>
      </c>
      <c r="R201" s="177" t="str">
        <f>IFERROR(VLOOKUP(O201,Cadastros!A:E,5,0),"")</f>
        <v/>
      </c>
      <c r="S201" s="177" t="str">
        <f>IFERROR(VLOOKUP(O201,Cadastros!A:F,6,0),"")</f>
        <v/>
      </c>
      <c r="T201" s="177" t="str">
        <f>IFERROR(VLOOKUP(O201,Cadastros!A:I,9,0),"")</f>
        <v/>
      </c>
      <c r="U201" s="177" t="str">
        <f t="shared" si="12"/>
        <v/>
      </c>
      <c r="V201" s="177" t="str">
        <f t="shared" si="13"/>
        <v/>
      </c>
      <c r="W201" s="177" t="str">
        <f t="shared" si="14"/>
        <v/>
      </c>
      <c r="Y201" s="240" t="e">
        <f t="array" ref="Y201">INDEX(Tabela.abordagens[],SMALL(IF(Tabela.abordagens[Mês]=$L$2,ROW(Tabela.abordagens[id])-2),ROW(A154)),1)</f>
        <v>#NUM!</v>
      </c>
      <c r="Z201" s="240" t="e">
        <f t="array" ref="Z201">INDEX(Tabela.abordagens[],SMALL(IF(Tabela.abordagens[Mês]=$L$2,ROW(Tabela.abordagens[Idade])-2),ROW(A154)),6)</f>
        <v>#NUM!</v>
      </c>
      <c r="AA201" s="240" t="e">
        <f t="array" ref="AA201">INDEX(Tabela.abordagens[],SMALL(IF(Tabela.abordagens[Mês]=$L$2,ROW(Tabela.abordagens[Idade])-2),ROW(A154)),4)</f>
        <v>#NUM!</v>
      </c>
      <c r="AB201" s="240" t="e">
        <f t="array" ref="AB201">INDEX(Tabela.abordagens[],SMALL(IF(Tabela.abordagens[Mês]=$L$2,ROW(Tabela.abordagens[Idade])-2),ROW(A154)),5)</f>
        <v>#NUM!</v>
      </c>
    </row>
    <row r="202" spans="2:28" ht="15" x14ac:dyDescent="0.25">
      <c r="B202" s="223" t="e">
        <f t="array" ref="B202">INDEX(Tabela.frequencia[],SMALL(IF(Tabela.frequencia[Mês]=$L$2,ROW(Tabela.frequencia[id])-1),ROW(A155)),1)</f>
        <v>#NUM!</v>
      </c>
      <c r="C202" s="229" t="e">
        <f t="array" ref="C202">INDEX(Tabela.frequencia[],SMALL(IF(Tabela.frequencia[Mês]=$L$2,ROW(Tabela.frequencia[id])-1),ROW(A155)),4)</f>
        <v>#NUM!</v>
      </c>
      <c r="E202" s="176" t="str">
        <f>IFERROR(VLOOKUP(D202,Tabela.cadastro[[ID]:[Nome]],2,0),"")</f>
        <v/>
      </c>
      <c r="F202" s="177" t="str">
        <f>IFERROR(VLOOKUP(D202,Tabela66[#All],2,0),"")</f>
        <v/>
      </c>
      <c r="G202" s="177" t="str">
        <f>IFERROR(VLOOKUP(D202,Tabela.cadastro[[ID]:[CP ou M]],5,0),"")</f>
        <v/>
      </c>
      <c r="H202" s="177" t="str">
        <f>IFERROR(VLOOKUP(D202,Cadastros!A:F,6,0),"")</f>
        <v/>
      </c>
      <c r="I202" s="177" t="str">
        <f>IFERROR(VLOOKUP(D202,Cadastros!A:I,9,0),"")</f>
        <v/>
      </c>
      <c r="J202" s="177" t="str">
        <f>IFERROR(VLOOKUP(D202,Cadastros!A:J,10,0),"")</f>
        <v/>
      </c>
      <c r="K202" s="177" t="str">
        <f>IF(COUNTIF(Tabela66[id],D202)=0,"",COUNTIF(Tabela66[id],D202))</f>
        <v/>
      </c>
      <c r="L202" s="198"/>
      <c r="M202" s="227" t="str">
        <f t="shared" si="15"/>
        <v/>
      </c>
      <c r="P202" s="176" t="str">
        <f>IFERROR(VLOOKUP(O202,Cadastros!A:B,2),"")</f>
        <v/>
      </c>
      <c r="Q202" s="177" t="str">
        <f t="shared" si="11"/>
        <v/>
      </c>
      <c r="R202" s="177" t="str">
        <f>IFERROR(VLOOKUP(O202,Cadastros!A:E,5,0),"")</f>
        <v/>
      </c>
      <c r="S202" s="177" t="str">
        <f>IFERROR(VLOOKUP(O202,Cadastros!A:F,6,0),"")</f>
        <v/>
      </c>
      <c r="T202" s="177" t="str">
        <f>IFERROR(VLOOKUP(O202,Cadastros!A:I,9,0),"")</f>
        <v/>
      </c>
      <c r="U202" s="177" t="str">
        <f t="shared" si="12"/>
        <v/>
      </c>
      <c r="V202" s="177" t="str">
        <f t="shared" si="13"/>
        <v/>
      </c>
      <c r="W202" s="177" t="str">
        <f t="shared" si="14"/>
        <v/>
      </c>
      <c r="Y202" s="240" t="e">
        <f t="array" ref="Y202">INDEX(Tabela.abordagens[],SMALL(IF(Tabela.abordagens[Mês]=$L$2,ROW(Tabela.abordagens[id])-2),ROW(A155)),1)</f>
        <v>#NUM!</v>
      </c>
      <c r="Z202" s="240" t="e">
        <f t="array" ref="Z202">INDEX(Tabela.abordagens[],SMALL(IF(Tabela.abordagens[Mês]=$L$2,ROW(Tabela.abordagens[Idade])-2),ROW(A155)),6)</f>
        <v>#NUM!</v>
      </c>
      <c r="AA202" s="240" t="e">
        <f t="array" ref="AA202">INDEX(Tabela.abordagens[],SMALL(IF(Tabela.abordagens[Mês]=$L$2,ROW(Tabela.abordagens[Idade])-2),ROW(A155)),4)</f>
        <v>#NUM!</v>
      </c>
      <c r="AB202" s="240" t="e">
        <f t="array" ref="AB202">INDEX(Tabela.abordagens[],SMALL(IF(Tabela.abordagens[Mês]=$L$2,ROW(Tabela.abordagens[Idade])-2),ROW(A155)),5)</f>
        <v>#NUM!</v>
      </c>
    </row>
    <row r="203" spans="2:28" ht="15" x14ac:dyDescent="0.25">
      <c r="B203" s="223" t="e">
        <f t="array" ref="B203">INDEX(Tabela.frequencia[],SMALL(IF(Tabela.frequencia[Mês]=$L$2,ROW(Tabela.frequencia[id])-1),ROW(A156)),1)</f>
        <v>#NUM!</v>
      </c>
      <c r="C203" s="229" t="e">
        <f t="array" ref="C203">INDEX(Tabela.frequencia[],SMALL(IF(Tabela.frequencia[Mês]=$L$2,ROW(Tabela.frequencia[id])-1),ROW(A156)),4)</f>
        <v>#NUM!</v>
      </c>
      <c r="E203" s="176" t="str">
        <f>IFERROR(VLOOKUP(D203,Tabela.cadastro[[ID]:[Nome]],2,0),"")</f>
        <v/>
      </c>
      <c r="F203" s="177" t="str">
        <f>IFERROR(VLOOKUP(D203,Tabela66[#All],2,0),"")</f>
        <v/>
      </c>
      <c r="G203" s="177" t="str">
        <f>IFERROR(VLOOKUP(D203,Tabela.cadastro[[ID]:[CP ou M]],5,0),"")</f>
        <v/>
      </c>
      <c r="H203" s="177" t="str">
        <f>IFERROR(VLOOKUP(D203,Cadastros!A:F,6,0),"")</f>
        <v/>
      </c>
      <c r="I203" s="177" t="str">
        <f>IFERROR(VLOOKUP(D203,Cadastros!A:I,9,0),"")</f>
        <v/>
      </c>
      <c r="J203" s="177" t="str">
        <f>IFERROR(VLOOKUP(D203,Cadastros!A:J,10,0),"")</f>
        <v/>
      </c>
      <c r="K203" s="177" t="str">
        <f>IF(COUNTIF(Tabela66[id],D203)=0,"",COUNTIF(Tabela66[id],D203))</f>
        <v/>
      </c>
      <c r="L203" s="198"/>
      <c r="M203" s="227" t="str">
        <f t="shared" si="15"/>
        <v/>
      </c>
      <c r="P203" s="176" t="str">
        <f>IFERROR(VLOOKUP(O203,Cadastros!A:B,2),"")</f>
        <v/>
      </c>
      <c r="Q203" s="177" t="str">
        <f t="shared" si="11"/>
        <v/>
      </c>
      <c r="R203" s="177" t="str">
        <f>IFERROR(VLOOKUP(O203,Cadastros!A:E,5,0),"")</f>
        <v/>
      </c>
      <c r="S203" s="177" t="str">
        <f>IFERROR(VLOOKUP(O203,Cadastros!A:F,6,0),"")</f>
        <v/>
      </c>
      <c r="T203" s="177" t="str">
        <f>IFERROR(VLOOKUP(O203,Cadastros!A:I,9,0),"")</f>
        <v/>
      </c>
      <c r="U203" s="177" t="str">
        <f t="shared" si="12"/>
        <v/>
      </c>
      <c r="V203" s="177" t="str">
        <f t="shared" si="13"/>
        <v/>
      </c>
      <c r="W203" s="177" t="str">
        <f t="shared" si="14"/>
        <v/>
      </c>
      <c r="Y203" s="240" t="e">
        <f t="array" ref="Y203">INDEX(Tabela.abordagens[],SMALL(IF(Tabela.abordagens[Mês]=$L$2,ROW(Tabela.abordagens[id])-2),ROW(A156)),1)</f>
        <v>#NUM!</v>
      </c>
      <c r="Z203" s="240" t="e">
        <f t="array" ref="Z203">INDEX(Tabela.abordagens[],SMALL(IF(Tabela.abordagens[Mês]=$L$2,ROW(Tabela.abordagens[Idade])-2),ROW(A156)),6)</f>
        <v>#NUM!</v>
      </c>
      <c r="AA203" s="240" t="e">
        <f t="array" ref="AA203">INDEX(Tabela.abordagens[],SMALL(IF(Tabela.abordagens[Mês]=$L$2,ROW(Tabela.abordagens[Idade])-2),ROW(A156)),4)</f>
        <v>#NUM!</v>
      </c>
      <c r="AB203" s="240" t="e">
        <f t="array" ref="AB203">INDEX(Tabela.abordagens[],SMALL(IF(Tabela.abordagens[Mês]=$L$2,ROW(Tabela.abordagens[Idade])-2),ROW(A156)),5)</f>
        <v>#NUM!</v>
      </c>
    </row>
    <row r="204" spans="2:28" ht="15" x14ac:dyDescent="0.25">
      <c r="B204" s="223" t="e">
        <f t="array" ref="B204">INDEX(Tabela.frequencia[],SMALL(IF(Tabela.frequencia[Mês]=$L$2,ROW(Tabela.frequencia[id])-1),ROW(A157)),1)</f>
        <v>#NUM!</v>
      </c>
      <c r="C204" s="229" t="e">
        <f t="array" ref="C204">INDEX(Tabela.frequencia[],SMALL(IF(Tabela.frequencia[Mês]=$L$2,ROW(Tabela.frequencia[id])-1),ROW(A157)),4)</f>
        <v>#NUM!</v>
      </c>
      <c r="E204" s="176" t="str">
        <f>IFERROR(VLOOKUP(D204,Tabela.cadastro[[ID]:[Nome]],2,0),"")</f>
        <v/>
      </c>
      <c r="F204" s="177" t="str">
        <f>IFERROR(VLOOKUP(D204,Tabela66[#All],2,0),"")</f>
        <v/>
      </c>
      <c r="G204" s="177" t="str">
        <f>IFERROR(VLOOKUP(D204,Tabela.cadastro[[ID]:[CP ou M]],5,0),"")</f>
        <v/>
      </c>
      <c r="H204" s="177" t="str">
        <f>IFERROR(VLOOKUP(D204,Cadastros!A:F,6,0),"")</f>
        <v/>
      </c>
      <c r="I204" s="177" t="str">
        <f>IFERROR(VLOOKUP(D204,Cadastros!A:I,9,0),"")</f>
        <v/>
      </c>
      <c r="J204" s="177" t="str">
        <f>IFERROR(VLOOKUP(D204,Cadastros!A:J,10,0),"")</f>
        <v/>
      </c>
      <c r="K204" s="177" t="str">
        <f>IF(COUNTIF(Tabela66[id],D204)=0,"",COUNTIF(Tabela66[id],D204))</f>
        <v/>
      </c>
      <c r="L204" s="198"/>
      <c r="M204" s="227" t="str">
        <f t="shared" si="15"/>
        <v/>
      </c>
      <c r="P204" s="176" t="str">
        <f>IFERROR(VLOOKUP(O204,Cadastros!A:B,2),"")</f>
        <v/>
      </c>
      <c r="Q204" s="177" t="str">
        <f t="shared" si="11"/>
        <v/>
      </c>
      <c r="R204" s="177" t="str">
        <f>IFERROR(VLOOKUP(O204,Cadastros!A:E,5,0),"")</f>
        <v/>
      </c>
      <c r="S204" s="177" t="str">
        <f>IFERROR(VLOOKUP(O204,Cadastros!A:F,6,0),"")</f>
        <v/>
      </c>
      <c r="T204" s="177" t="str">
        <f>IFERROR(VLOOKUP(O204,Cadastros!A:I,9,0),"")</f>
        <v/>
      </c>
      <c r="U204" s="177" t="str">
        <f t="shared" si="12"/>
        <v/>
      </c>
      <c r="V204" s="177" t="str">
        <f t="shared" si="13"/>
        <v/>
      </c>
      <c r="W204" s="177" t="str">
        <f t="shared" si="14"/>
        <v/>
      </c>
      <c r="Y204" s="240" t="e">
        <f t="array" ref="Y204">INDEX(Tabela.abordagens[],SMALL(IF(Tabela.abordagens[Mês]=$L$2,ROW(Tabela.abordagens[id])-2),ROW(A157)),1)</f>
        <v>#NUM!</v>
      </c>
      <c r="Z204" s="240" t="e">
        <f t="array" ref="Z204">INDEX(Tabela.abordagens[],SMALL(IF(Tabela.abordagens[Mês]=$L$2,ROW(Tabela.abordagens[Idade])-2),ROW(A157)),6)</f>
        <v>#NUM!</v>
      </c>
      <c r="AA204" s="240" t="e">
        <f t="array" ref="AA204">INDEX(Tabela.abordagens[],SMALL(IF(Tabela.abordagens[Mês]=$L$2,ROW(Tabela.abordagens[Idade])-2),ROW(A157)),4)</f>
        <v>#NUM!</v>
      </c>
      <c r="AB204" s="240" t="e">
        <f t="array" ref="AB204">INDEX(Tabela.abordagens[],SMALL(IF(Tabela.abordagens[Mês]=$L$2,ROW(Tabela.abordagens[Idade])-2),ROW(A157)),5)</f>
        <v>#NUM!</v>
      </c>
    </row>
    <row r="205" spans="2:28" ht="15" x14ac:dyDescent="0.25">
      <c r="B205" s="223" t="e">
        <f t="array" ref="B205">INDEX(Tabela.frequencia[],SMALL(IF(Tabela.frequencia[Mês]=$L$2,ROW(Tabela.frequencia[id])-1),ROW(A158)),1)</f>
        <v>#NUM!</v>
      </c>
      <c r="C205" s="229" t="e">
        <f t="array" ref="C205">INDEX(Tabela.frequencia[],SMALL(IF(Tabela.frequencia[Mês]=$L$2,ROW(Tabela.frequencia[id])-1),ROW(A158)),4)</f>
        <v>#NUM!</v>
      </c>
      <c r="E205" s="176" t="str">
        <f>IFERROR(VLOOKUP(D205,Tabela.cadastro[[ID]:[Nome]],2,0),"")</f>
        <v/>
      </c>
      <c r="F205" s="177" t="str">
        <f>IFERROR(VLOOKUP(D205,Tabela66[#All],2,0),"")</f>
        <v/>
      </c>
      <c r="G205" s="177" t="str">
        <f>IFERROR(VLOOKUP(D205,Tabela.cadastro[[ID]:[CP ou M]],5,0),"")</f>
        <v/>
      </c>
      <c r="H205" s="177" t="str">
        <f>IFERROR(VLOOKUP(D205,Cadastros!A:F,6,0),"")</f>
        <v/>
      </c>
      <c r="I205" s="177" t="str">
        <f>IFERROR(VLOOKUP(D205,Cadastros!A:I,9,0),"")</f>
        <v/>
      </c>
      <c r="J205" s="177" t="str">
        <f>IFERROR(VLOOKUP(D205,Cadastros!A:J,10,0),"")</f>
        <v/>
      </c>
      <c r="K205" s="177" t="str">
        <f>IF(COUNTIF(Tabela66[id],D205)=0,"",COUNTIF(Tabela66[id],D205))</f>
        <v/>
      </c>
      <c r="L205" s="198"/>
      <c r="M205" s="227" t="str">
        <f t="shared" si="15"/>
        <v/>
      </c>
      <c r="P205" s="176" t="str">
        <f>IFERROR(VLOOKUP(O205,Cadastros!A:B,2),"")</f>
        <v/>
      </c>
      <c r="Q205" s="177" t="str">
        <f t="shared" si="11"/>
        <v/>
      </c>
      <c r="R205" s="177" t="str">
        <f>IFERROR(VLOOKUP(O205,Cadastros!A:E,5,0),"")</f>
        <v/>
      </c>
      <c r="S205" s="177" t="str">
        <f>IFERROR(VLOOKUP(O205,Cadastros!A:F,6,0),"")</f>
        <v/>
      </c>
      <c r="T205" s="177" t="str">
        <f>IFERROR(VLOOKUP(O205,Cadastros!A:I,9,0),"")</f>
        <v/>
      </c>
      <c r="U205" s="177" t="str">
        <f t="shared" si="12"/>
        <v/>
      </c>
      <c r="V205" s="177" t="str">
        <f t="shared" si="13"/>
        <v/>
      </c>
      <c r="W205" s="177" t="str">
        <f t="shared" si="14"/>
        <v/>
      </c>
      <c r="Y205" s="240" t="e">
        <f t="array" ref="Y205">INDEX(Tabela.abordagens[],SMALL(IF(Tabela.abordagens[Mês]=$L$2,ROW(Tabela.abordagens[id])-2),ROW(A158)),1)</f>
        <v>#NUM!</v>
      </c>
      <c r="Z205" s="240" t="e">
        <f t="array" ref="Z205">INDEX(Tabela.abordagens[],SMALL(IF(Tabela.abordagens[Mês]=$L$2,ROW(Tabela.abordagens[Idade])-2),ROW(A158)),6)</f>
        <v>#NUM!</v>
      </c>
      <c r="AA205" s="240" t="e">
        <f t="array" ref="AA205">INDEX(Tabela.abordagens[],SMALL(IF(Tabela.abordagens[Mês]=$L$2,ROW(Tabela.abordagens[Idade])-2),ROW(A158)),4)</f>
        <v>#NUM!</v>
      </c>
      <c r="AB205" s="240" t="e">
        <f t="array" ref="AB205">INDEX(Tabela.abordagens[],SMALL(IF(Tabela.abordagens[Mês]=$L$2,ROW(Tabela.abordagens[Idade])-2),ROW(A158)),5)</f>
        <v>#NUM!</v>
      </c>
    </row>
    <row r="206" spans="2:28" ht="15" x14ac:dyDescent="0.25">
      <c r="B206" s="223" t="e">
        <f t="array" ref="B206">INDEX(Tabela.frequencia[],SMALL(IF(Tabela.frequencia[Mês]=$L$2,ROW(Tabela.frequencia[id])-1),ROW(A159)),1)</f>
        <v>#NUM!</v>
      </c>
      <c r="C206" s="229" t="e">
        <f t="array" ref="C206">INDEX(Tabela.frequencia[],SMALL(IF(Tabela.frequencia[Mês]=$L$2,ROW(Tabela.frequencia[id])-1),ROW(A159)),4)</f>
        <v>#NUM!</v>
      </c>
      <c r="E206" s="176" t="str">
        <f>IFERROR(VLOOKUP(D206,Tabela.cadastro[[ID]:[Nome]],2,0),"")</f>
        <v/>
      </c>
      <c r="F206" s="177" t="str">
        <f>IFERROR(VLOOKUP(D206,Tabela66[#All],2,0),"")</f>
        <v/>
      </c>
      <c r="G206" s="177" t="str">
        <f>IFERROR(VLOOKUP(D206,Tabela.cadastro[[ID]:[CP ou M]],5,0),"")</f>
        <v/>
      </c>
      <c r="H206" s="177" t="str">
        <f>IFERROR(VLOOKUP(D206,Cadastros!A:F,6,0),"")</f>
        <v/>
      </c>
      <c r="I206" s="177" t="str">
        <f>IFERROR(VLOOKUP(D206,Cadastros!A:I,9,0),"")</f>
        <v/>
      </c>
      <c r="J206" s="177" t="str">
        <f>IFERROR(VLOOKUP(D206,Cadastros!A:J,10,0),"")</f>
        <v/>
      </c>
      <c r="K206" s="177" t="str">
        <f>IF(COUNTIF(Tabela66[id],D206)=0,"",COUNTIF(Tabela66[id],D206))</f>
        <v/>
      </c>
      <c r="L206" s="198"/>
      <c r="M206" s="227" t="str">
        <f t="shared" si="15"/>
        <v/>
      </c>
      <c r="P206" s="176" t="str">
        <f>IFERROR(VLOOKUP(O206,Cadastros!A:B,2),"")</f>
        <v/>
      </c>
      <c r="Q206" s="177" t="str">
        <f t="shared" si="11"/>
        <v/>
      </c>
      <c r="R206" s="177" t="str">
        <f>IFERROR(VLOOKUP(O206,Cadastros!A:E,5,0),"")</f>
        <v/>
      </c>
      <c r="S206" s="177" t="str">
        <f>IFERROR(VLOOKUP(O206,Cadastros!A:F,6,0),"")</f>
        <v/>
      </c>
      <c r="T206" s="177" t="str">
        <f>IFERROR(VLOOKUP(O206,Cadastros!A:I,9,0),"")</f>
        <v/>
      </c>
      <c r="U206" s="177" t="str">
        <f t="shared" si="12"/>
        <v/>
      </c>
      <c r="V206" s="177" t="str">
        <f t="shared" si="13"/>
        <v/>
      </c>
      <c r="W206" s="177" t="str">
        <f t="shared" si="14"/>
        <v/>
      </c>
      <c r="Y206" s="240" t="e">
        <f t="array" ref="Y206">INDEX(Tabela.abordagens[],SMALL(IF(Tabela.abordagens[Mês]=$L$2,ROW(Tabela.abordagens[id])-2),ROW(A159)),1)</f>
        <v>#NUM!</v>
      </c>
      <c r="Z206" s="240" t="e">
        <f t="array" ref="Z206">INDEX(Tabela.abordagens[],SMALL(IF(Tabela.abordagens[Mês]=$L$2,ROW(Tabela.abordagens[Idade])-2),ROW(A159)),6)</f>
        <v>#NUM!</v>
      </c>
      <c r="AA206" s="240" t="e">
        <f t="array" ref="AA206">INDEX(Tabela.abordagens[],SMALL(IF(Tabela.abordagens[Mês]=$L$2,ROW(Tabela.abordagens[Idade])-2),ROW(A159)),4)</f>
        <v>#NUM!</v>
      </c>
      <c r="AB206" s="240" t="e">
        <f t="array" ref="AB206">INDEX(Tabela.abordagens[],SMALL(IF(Tabela.abordagens[Mês]=$L$2,ROW(Tabela.abordagens[Idade])-2),ROW(A159)),5)</f>
        <v>#NUM!</v>
      </c>
    </row>
    <row r="207" spans="2:28" ht="15" x14ac:dyDescent="0.25">
      <c r="B207" s="223" t="e">
        <f t="array" ref="B207">INDEX(Tabela.frequencia[],SMALL(IF(Tabela.frequencia[Mês]=$L$2,ROW(Tabela.frequencia[id])-1),ROW(A160)),1)</f>
        <v>#NUM!</v>
      </c>
      <c r="C207" s="229" t="e">
        <f t="array" ref="C207">INDEX(Tabela.frequencia[],SMALL(IF(Tabela.frequencia[Mês]=$L$2,ROW(Tabela.frequencia[id])-1),ROW(A160)),4)</f>
        <v>#NUM!</v>
      </c>
      <c r="E207" s="176" t="str">
        <f>IFERROR(VLOOKUP(D207,Tabela.cadastro[[ID]:[Nome]],2,0),"")</f>
        <v/>
      </c>
      <c r="F207" s="177" t="str">
        <f>IFERROR(VLOOKUP(D207,Tabela66[#All],2,0),"")</f>
        <v/>
      </c>
      <c r="G207" s="177" t="str">
        <f>IFERROR(VLOOKUP(D207,Tabela.cadastro[[ID]:[CP ou M]],5,0),"")</f>
        <v/>
      </c>
      <c r="H207" s="177" t="str">
        <f>IFERROR(VLOOKUP(D207,Cadastros!A:F,6,0),"")</f>
        <v/>
      </c>
      <c r="I207" s="177" t="str">
        <f>IFERROR(VLOOKUP(D207,Cadastros!A:I,9,0),"")</f>
        <v/>
      </c>
      <c r="J207" s="177" t="str">
        <f>IFERROR(VLOOKUP(D207,Cadastros!A:J,10,0),"")</f>
        <v/>
      </c>
      <c r="K207" s="177" t="str">
        <f>IF(COUNTIF(Tabela66[id],D207)=0,"",COUNTIF(Tabela66[id],D207))</f>
        <v/>
      </c>
      <c r="L207" s="198"/>
      <c r="M207" s="227" t="str">
        <f t="shared" si="15"/>
        <v/>
      </c>
      <c r="P207" s="176" t="str">
        <f>IFERROR(VLOOKUP(O207,Cadastros!A:B,2),"")</f>
        <v/>
      </c>
      <c r="Q207" s="177" t="str">
        <f t="shared" si="11"/>
        <v/>
      </c>
      <c r="R207" s="177" t="str">
        <f>IFERROR(VLOOKUP(O207,Cadastros!A:E,5,0),"")</f>
        <v/>
      </c>
      <c r="S207" s="177" t="str">
        <f>IFERROR(VLOOKUP(O207,Cadastros!A:F,6,0),"")</f>
        <v/>
      </c>
      <c r="T207" s="177" t="str">
        <f>IFERROR(VLOOKUP(O207,Cadastros!A:I,9,0),"")</f>
        <v/>
      </c>
      <c r="U207" s="177" t="str">
        <f t="shared" si="12"/>
        <v/>
      </c>
      <c r="V207" s="177" t="str">
        <f t="shared" si="13"/>
        <v/>
      </c>
      <c r="W207" s="177" t="str">
        <f t="shared" si="14"/>
        <v/>
      </c>
      <c r="Y207" s="240" t="e">
        <f t="array" ref="Y207">INDEX(Tabela.abordagens[],SMALL(IF(Tabela.abordagens[Mês]=$L$2,ROW(Tabela.abordagens[id])-2),ROW(A160)),1)</f>
        <v>#NUM!</v>
      </c>
      <c r="Z207" s="240" t="e">
        <f t="array" ref="Z207">INDEX(Tabela.abordagens[],SMALL(IF(Tabela.abordagens[Mês]=$L$2,ROW(Tabela.abordagens[Idade])-2),ROW(A160)),6)</f>
        <v>#NUM!</v>
      </c>
      <c r="AA207" s="240" t="e">
        <f t="array" ref="AA207">INDEX(Tabela.abordagens[],SMALL(IF(Tabela.abordagens[Mês]=$L$2,ROW(Tabela.abordagens[Idade])-2),ROW(A160)),4)</f>
        <v>#NUM!</v>
      </c>
      <c r="AB207" s="240" t="e">
        <f t="array" ref="AB207">INDEX(Tabela.abordagens[],SMALL(IF(Tabela.abordagens[Mês]=$L$2,ROW(Tabela.abordagens[Idade])-2),ROW(A160)),5)</f>
        <v>#NUM!</v>
      </c>
    </row>
    <row r="208" spans="2:28" ht="15" x14ac:dyDescent="0.25">
      <c r="B208" s="223" t="e">
        <f t="array" ref="B208">INDEX(Tabela.frequencia[],SMALL(IF(Tabela.frequencia[Mês]=$L$2,ROW(Tabela.frequencia[id])-1),ROW(A161)),1)</f>
        <v>#NUM!</v>
      </c>
      <c r="C208" s="229" t="e">
        <f t="array" ref="C208">INDEX(Tabela.frequencia[],SMALL(IF(Tabela.frequencia[Mês]=$L$2,ROW(Tabela.frequencia[id])-1),ROW(A161)),4)</f>
        <v>#NUM!</v>
      </c>
      <c r="E208" s="176" t="str">
        <f>IFERROR(VLOOKUP(D208,Tabela.cadastro[[ID]:[Nome]],2,0),"")</f>
        <v/>
      </c>
      <c r="F208" s="177" t="str">
        <f>IFERROR(VLOOKUP(D208,Tabela66[#All],2,0),"")</f>
        <v/>
      </c>
      <c r="G208" s="177" t="str">
        <f>IFERROR(VLOOKUP(D208,Tabela.cadastro[[ID]:[CP ou M]],5,0),"")</f>
        <v/>
      </c>
      <c r="H208" s="177" t="str">
        <f>IFERROR(VLOOKUP(D208,Cadastros!A:F,6,0),"")</f>
        <v/>
      </c>
      <c r="I208" s="177" t="str">
        <f>IFERROR(VLOOKUP(D208,Cadastros!A:I,9,0),"")</f>
        <v/>
      </c>
      <c r="J208" s="177" t="str">
        <f>IFERROR(VLOOKUP(D208,Cadastros!A:J,10,0),"")</f>
        <v/>
      </c>
      <c r="K208" s="177" t="str">
        <f>IF(COUNTIF(Tabela66[id],D208)=0,"",COUNTIF(Tabela66[id],D208))</f>
        <v/>
      </c>
      <c r="L208" s="198"/>
      <c r="M208" s="227" t="str">
        <f t="shared" si="15"/>
        <v/>
      </c>
      <c r="P208" s="176" t="str">
        <f>IFERROR(VLOOKUP(O208,Cadastros!A:B,2),"")</f>
        <v/>
      </c>
      <c r="Q208" s="177" t="str">
        <f t="shared" si="11"/>
        <v/>
      </c>
      <c r="R208" s="177" t="str">
        <f>IFERROR(VLOOKUP(O208,Cadastros!A:E,5,0),"")</f>
        <v/>
      </c>
      <c r="S208" s="177" t="str">
        <f>IFERROR(VLOOKUP(O208,Cadastros!A:F,6,0),"")</f>
        <v/>
      </c>
      <c r="T208" s="177" t="str">
        <f>IFERROR(VLOOKUP(O208,Cadastros!A:I,9,0),"")</f>
        <v/>
      </c>
      <c r="U208" s="177" t="str">
        <f t="shared" si="12"/>
        <v/>
      </c>
      <c r="V208" s="177" t="str">
        <f t="shared" si="13"/>
        <v/>
      </c>
      <c r="W208" s="177" t="str">
        <f t="shared" si="14"/>
        <v/>
      </c>
      <c r="Y208" s="240" t="e">
        <f t="array" ref="Y208">INDEX(Tabela.abordagens[],SMALL(IF(Tabela.abordagens[Mês]=$L$2,ROW(Tabela.abordagens[id])-2),ROW(A161)),1)</f>
        <v>#NUM!</v>
      </c>
      <c r="Z208" s="240" t="e">
        <f t="array" ref="Z208">INDEX(Tabela.abordagens[],SMALL(IF(Tabela.abordagens[Mês]=$L$2,ROW(Tabela.abordagens[Idade])-2),ROW(A161)),6)</f>
        <v>#NUM!</v>
      </c>
      <c r="AA208" s="240" t="e">
        <f t="array" ref="AA208">INDEX(Tabela.abordagens[],SMALL(IF(Tabela.abordagens[Mês]=$L$2,ROW(Tabela.abordagens[Idade])-2),ROW(A161)),4)</f>
        <v>#NUM!</v>
      </c>
      <c r="AB208" s="240" t="e">
        <f t="array" ref="AB208">INDEX(Tabela.abordagens[],SMALL(IF(Tabela.abordagens[Mês]=$L$2,ROW(Tabela.abordagens[Idade])-2),ROW(A161)),5)</f>
        <v>#NUM!</v>
      </c>
    </row>
    <row r="209" spans="2:28" ht="15" x14ac:dyDescent="0.25">
      <c r="B209" s="223" t="e">
        <f t="array" ref="B209">INDEX(Tabela.frequencia[],SMALL(IF(Tabela.frequencia[Mês]=$L$2,ROW(Tabela.frequencia[id])-1),ROW(A162)),1)</f>
        <v>#NUM!</v>
      </c>
      <c r="C209" s="229" t="e">
        <f t="array" ref="C209">INDEX(Tabela.frequencia[],SMALL(IF(Tabela.frequencia[Mês]=$L$2,ROW(Tabela.frequencia[id])-1),ROW(A162)),4)</f>
        <v>#NUM!</v>
      </c>
      <c r="E209" s="176" t="str">
        <f>IFERROR(VLOOKUP(D209,Tabela.cadastro[[ID]:[Nome]],2,0),"")</f>
        <v/>
      </c>
      <c r="F209" s="177" t="str">
        <f>IFERROR(VLOOKUP(D209,Tabela66[#All],2,0),"")</f>
        <v/>
      </c>
      <c r="G209" s="177" t="str">
        <f>IFERROR(VLOOKUP(D209,Tabela.cadastro[[ID]:[CP ou M]],5,0),"")</f>
        <v/>
      </c>
      <c r="H209" s="177" t="str">
        <f>IFERROR(VLOOKUP(D209,Cadastros!A:F,6,0),"")</f>
        <v/>
      </c>
      <c r="I209" s="177" t="str">
        <f>IFERROR(VLOOKUP(D209,Cadastros!A:I,9,0),"")</f>
        <v/>
      </c>
      <c r="J209" s="177" t="str">
        <f>IFERROR(VLOOKUP(D209,Cadastros!A:J,10,0),"")</f>
        <v/>
      </c>
      <c r="K209" s="177" t="str">
        <f>IF(COUNTIF(Tabela66[id],D209)=0,"",COUNTIF(Tabela66[id],D209))</f>
        <v/>
      </c>
      <c r="L209" s="198"/>
      <c r="M209" s="227" t="str">
        <f t="shared" si="15"/>
        <v/>
      </c>
      <c r="P209" s="176" t="str">
        <f>IFERROR(VLOOKUP(O209,Cadastros!A:B,2),"")</f>
        <v/>
      </c>
      <c r="Q209" s="177" t="str">
        <f t="shared" si="11"/>
        <v/>
      </c>
      <c r="R209" s="177" t="str">
        <f>IFERROR(VLOOKUP(O209,Cadastros!A:E,5,0),"")</f>
        <v/>
      </c>
      <c r="S209" s="177" t="str">
        <f>IFERROR(VLOOKUP(O209,Cadastros!A:F,6,0),"")</f>
        <v/>
      </c>
      <c r="T209" s="177" t="str">
        <f>IFERROR(VLOOKUP(O209,Cadastros!A:I,9,0),"")</f>
        <v/>
      </c>
      <c r="U209" s="177" t="str">
        <f t="shared" si="12"/>
        <v/>
      </c>
      <c r="V209" s="177" t="str">
        <f t="shared" si="13"/>
        <v/>
      </c>
      <c r="W209" s="177" t="str">
        <f t="shared" si="14"/>
        <v/>
      </c>
      <c r="Y209" s="240" t="e">
        <f t="array" ref="Y209">INDEX(Tabela.abordagens[],SMALL(IF(Tabela.abordagens[Mês]=$L$2,ROW(Tabela.abordagens[id])-2),ROW(A162)),1)</f>
        <v>#NUM!</v>
      </c>
      <c r="Z209" s="240" t="e">
        <f t="array" ref="Z209">INDEX(Tabela.abordagens[],SMALL(IF(Tabela.abordagens[Mês]=$L$2,ROW(Tabela.abordagens[Idade])-2),ROW(A162)),6)</f>
        <v>#NUM!</v>
      </c>
      <c r="AA209" s="240" t="e">
        <f t="array" ref="AA209">INDEX(Tabela.abordagens[],SMALL(IF(Tabela.abordagens[Mês]=$L$2,ROW(Tabela.abordagens[Idade])-2),ROW(A162)),4)</f>
        <v>#NUM!</v>
      </c>
      <c r="AB209" s="240" t="e">
        <f t="array" ref="AB209">INDEX(Tabela.abordagens[],SMALL(IF(Tabela.abordagens[Mês]=$L$2,ROW(Tabela.abordagens[Idade])-2),ROW(A162)),5)</f>
        <v>#NUM!</v>
      </c>
    </row>
    <row r="210" spans="2:28" ht="15" x14ac:dyDescent="0.25">
      <c r="B210" s="223" t="e">
        <f t="array" ref="B210">INDEX(Tabela.frequencia[],SMALL(IF(Tabela.frequencia[Mês]=$L$2,ROW(Tabela.frequencia[id])-1),ROW(A163)),1)</f>
        <v>#NUM!</v>
      </c>
      <c r="C210" s="229" t="e">
        <f t="array" ref="C210">INDEX(Tabela.frequencia[],SMALL(IF(Tabela.frequencia[Mês]=$L$2,ROW(Tabela.frequencia[id])-1),ROW(A163)),4)</f>
        <v>#NUM!</v>
      </c>
      <c r="E210" s="176" t="str">
        <f>IFERROR(VLOOKUP(D210,Tabela.cadastro[[ID]:[Nome]],2,0),"")</f>
        <v/>
      </c>
      <c r="F210" s="177" t="str">
        <f>IFERROR(VLOOKUP(D210,Tabela66[#All],2,0),"")</f>
        <v/>
      </c>
      <c r="G210" s="177" t="str">
        <f>IFERROR(VLOOKUP(D210,Tabela.cadastro[[ID]:[CP ou M]],5,0),"")</f>
        <v/>
      </c>
      <c r="H210" s="177" t="str">
        <f>IFERROR(VLOOKUP(D210,Cadastros!A:F,6,0),"")</f>
        <v/>
      </c>
      <c r="I210" s="177" t="str">
        <f>IFERROR(VLOOKUP(D210,Cadastros!A:I,9,0),"")</f>
        <v/>
      </c>
      <c r="J210" s="177" t="str">
        <f>IFERROR(VLOOKUP(D210,Cadastros!A:J,10,0),"")</f>
        <v/>
      </c>
      <c r="K210" s="177" t="str">
        <f>IF(COUNTIF(Tabela66[id],D210)=0,"",COUNTIF(Tabela66[id],D210))</f>
        <v/>
      </c>
      <c r="L210" s="198"/>
      <c r="M210" s="227" t="str">
        <f t="shared" si="15"/>
        <v/>
      </c>
      <c r="P210" s="176" t="str">
        <f>IFERROR(VLOOKUP(O210,Cadastros!A:B,2),"")</f>
        <v/>
      </c>
      <c r="Q210" s="177" t="str">
        <f t="shared" si="11"/>
        <v/>
      </c>
      <c r="R210" s="177" t="str">
        <f>IFERROR(VLOOKUP(O210,Cadastros!A:E,5,0),"")</f>
        <v/>
      </c>
      <c r="S210" s="177" t="str">
        <f>IFERROR(VLOOKUP(O210,Cadastros!A:F,6,0),"")</f>
        <v/>
      </c>
      <c r="T210" s="177" t="str">
        <f>IFERROR(VLOOKUP(O210,Cadastros!A:I,9,0),"")</f>
        <v/>
      </c>
      <c r="U210" s="177" t="str">
        <f t="shared" si="12"/>
        <v/>
      </c>
      <c r="V210" s="177" t="str">
        <f t="shared" si="13"/>
        <v/>
      </c>
      <c r="W210" s="177" t="str">
        <f t="shared" si="14"/>
        <v/>
      </c>
      <c r="Y210" s="240" t="e">
        <f t="array" ref="Y210">INDEX(Tabela.abordagens[],SMALL(IF(Tabela.abordagens[Mês]=$L$2,ROW(Tabela.abordagens[id])-2),ROW(A163)),1)</f>
        <v>#NUM!</v>
      </c>
      <c r="Z210" s="240" t="e">
        <f t="array" ref="Z210">INDEX(Tabela.abordagens[],SMALL(IF(Tabela.abordagens[Mês]=$L$2,ROW(Tabela.abordagens[Idade])-2),ROW(A163)),6)</f>
        <v>#NUM!</v>
      </c>
      <c r="AA210" s="240" t="e">
        <f t="array" ref="AA210">INDEX(Tabela.abordagens[],SMALL(IF(Tabela.abordagens[Mês]=$L$2,ROW(Tabela.abordagens[Idade])-2),ROW(A163)),4)</f>
        <v>#NUM!</v>
      </c>
      <c r="AB210" s="240" t="e">
        <f t="array" ref="AB210">INDEX(Tabela.abordagens[],SMALL(IF(Tabela.abordagens[Mês]=$L$2,ROW(Tabela.abordagens[Idade])-2),ROW(A163)),5)</f>
        <v>#NUM!</v>
      </c>
    </row>
    <row r="211" spans="2:28" ht="15" x14ac:dyDescent="0.25">
      <c r="B211" s="223" t="e">
        <f t="array" ref="B211">INDEX(Tabela.frequencia[],SMALL(IF(Tabela.frequencia[Mês]=$L$2,ROW(Tabela.frequencia[id])-1),ROW(A164)),1)</f>
        <v>#NUM!</v>
      </c>
      <c r="C211" s="229" t="e">
        <f t="array" ref="C211">INDEX(Tabela.frequencia[],SMALL(IF(Tabela.frequencia[Mês]=$L$2,ROW(Tabela.frequencia[id])-1),ROW(A164)),4)</f>
        <v>#NUM!</v>
      </c>
      <c r="E211" s="176" t="str">
        <f>IFERROR(VLOOKUP(D211,Tabela.cadastro[[ID]:[Nome]],2,0),"")</f>
        <v/>
      </c>
      <c r="F211" s="177" t="str">
        <f>IFERROR(VLOOKUP(D211,Tabela66[#All],2,0),"")</f>
        <v/>
      </c>
      <c r="G211" s="177" t="str">
        <f>IFERROR(VLOOKUP(D211,Tabela.cadastro[[ID]:[CP ou M]],5,0),"")</f>
        <v/>
      </c>
      <c r="H211" s="177" t="str">
        <f>IFERROR(VLOOKUP(D211,Cadastros!A:F,6,0),"")</f>
        <v/>
      </c>
      <c r="I211" s="177" t="str">
        <f>IFERROR(VLOOKUP(D211,Cadastros!A:I,9,0),"")</f>
        <v/>
      </c>
      <c r="J211" s="177" t="str">
        <f>IFERROR(VLOOKUP(D211,Cadastros!A:J,10,0),"")</f>
        <v/>
      </c>
      <c r="K211" s="177" t="str">
        <f>IF(COUNTIF(Tabela66[id],D211)=0,"",COUNTIF(Tabela66[id],D211))</f>
        <v/>
      </c>
      <c r="L211" s="198"/>
      <c r="M211" s="227" t="str">
        <f t="shared" si="15"/>
        <v/>
      </c>
      <c r="P211" s="176" t="str">
        <f>IFERROR(VLOOKUP(O211,Cadastros!A:B,2),"")</f>
        <v/>
      </c>
      <c r="Q211" s="177" t="str">
        <f t="shared" si="11"/>
        <v/>
      </c>
      <c r="R211" s="177" t="str">
        <f>IFERROR(VLOOKUP(O211,Cadastros!A:E,5,0),"")</f>
        <v/>
      </c>
      <c r="S211" s="177" t="str">
        <f>IFERROR(VLOOKUP(O211,Cadastros!A:F,6,0),"")</f>
        <v/>
      </c>
      <c r="T211" s="177" t="str">
        <f>IFERROR(VLOOKUP(O211,Cadastros!A:I,9,0),"")</f>
        <v/>
      </c>
      <c r="U211" s="177" t="str">
        <f t="shared" si="12"/>
        <v/>
      </c>
      <c r="V211" s="177" t="str">
        <f t="shared" si="13"/>
        <v/>
      </c>
      <c r="W211" s="177" t="str">
        <f t="shared" si="14"/>
        <v/>
      </c>
      <c r="Y211" s="240" t="e">
        <f t="array" ref="Y211">INDEX(Tabela.abordagens[],SMALL(IF(Tabela.abordagens[Mês]=$L$2,ROW(Tabela.abordagens[id])-2),ROW(A164)),1)</f>
        <v>#NUM!</v>
      </c>
      <c r="Z211" s="240" t="e">
        <f t="array" ref="Z211">INDEX(Tabela.abordagens[],SMALL(IF(Tabela.abordagens[Mês]=$L$2,ROW(Tabela.abordagens[Idade])-2),ROW(A164)),6)</f>
        <v>#NUM!</v>
      </c>
      <c r="AA211" s="240" t="e">
        <f t="array" ref="AA211">INDEX(Tabela.abordagens[],SMALL(IF(Tabela.abordagens[Mês]=$L$2,ROW(Tabela.abordagens[Idade])-2),ROW(A164)),4)</f>
        <v>#NUM!</v>
      </c>
      <c r="AB211" s="240" t="e">
        <f t="array" ref="AB211">INDEX(Tabela.abordagens[],SMALL(IF(Tabela.abordagens[Mês]=$L$2,ROW(Tabela.abordagens[Idade])-2),ROW(A164)),5)</f>
        <v>#NUM!</v>
      </c>
    </row>
    <row r="212" spans="2:28" ht="15" x14ac:dyDescent="0.25">
      <c r="B212" s="223" t="e">
        <f t="array" ref="B212">INDEX(Tabela.frequencia[],SMALL(IF(Tabela.frequencia[Mês]=$L$2,ROW(Tabela.frequencia[id])-1),ROW(A165)),1)</f>
        <v>#NUM!</v>
      </c>
      <c r="C212" s="229" t="e">
        <f t="array" ref="C212">INDEX(Tabela.frequencia[],SMALL(IF(Tabela.frequencia[Mês]=$L$2,ROW(Tabela.frequencia[id])-1),ROW(A165)),4)</f>
        <v>#NUM!</v>
      </c>
      <c r="E212" s="176" t="str">
        <f>IFERROR(VLOOKUP(D212,Tabela.cadastro[[ID]:[Nome]],2,0),"")</f>
        <v/>
      </c>
      <c r="F212" s="177" t="str">
        <f>IFERROR(VLOOKUP(D212,Tabela66[#All],2,0),"")</f>
        <v/>
      </c>
      <c r="G212" s="177" t="str">
        <f>IFERROR(VLOOKUP(D212,Tabela.cadastro[[ID]:[CP ou M]],5,0),"")</f>
        <v/>
      </c>
      <c r="H212" s="177" t="str">
        <f>IFERROR(VLOOKUP(D212,Cadastros!A:F,6,0),"")</f>
        <v/>
      </c>
      <c r="I212" s="177" t="str">
        <f>IFERROR(VLOOKUP(D212,Cadastros!A:I,9,0),"")</f>
        <v/>
      </c>
      <c r="J212" s="177" t="str">
        <f>IFERROR(VLOOKUP(D212,Cadastros!A:J,10,0),"")</f>
        <v/>
      </c>
      <c r="K212" s="177" t="str">
        <f>IF(COUNTIF(Tabela66[id],D212)=0,"",COUNTIF(Tabela66[id],D212))</f>
        <v/>
      </c>
      <c r="L212" s="198"/>
      <c r="M212" s="227" t="str">
        <f t="shared" si="15"/>
        <v/>
      </c>
      <c r="P212" s="176" t="str">
        <f>IFERROR(VLOOKUP(O212,Cadastros!A:B,2),"")</f>
        <v/>
      </c>
      <c r="Q212" s="177" t="str">
        <f t="shared" si="11"/>
        <v/>
      </c>
      <c r="R212" s="177" t="str">
        <f>IFERROR(VLOOKUP(O212,Cadastros!A:E,5,0),"")</f>
        <v/>
      </c>
      <c r="S212" s="177" t="str">
        <f>IFERROR(VLOOKUP(O212,Cadastros!A:F,6,0),"")</f>
        <v/>
      </c>
      <c r="T212" s="177" t="str">
        <f>IFERROR(VLOOKUP(O212,Cadastros!A:I,9,0),"")</f>
        <v/>
      </c>
      <c r="U212" s="177" t="str">
        <f t="shared" si="12"/>
        <v/>
      </c>
      <c r="V212" s="177" t="str">
        <f t="shared" si="13"/>
        <v/>
      </c>
      <c r="W212" s="177" t="str">
        <f t="shared" si="14"/>
        <v/>
      </c>
      <c r="Y212" s="240" t="e">
        <f t="array" ref="Y212">INDEX(Tabela.abordagens[],SMALL(IF(Tabela.abordagens[Mês]=$L$2,ROW(Tabela.abordagens[id])-2),ROW(A165)),1)</f>
        <v>#NUM!</v>
      </c>
      <c r="Z212" s="240" t="e">
        <f t="array" ref="Z212">INDEX(Tabela.abordagens[],SMALL(IF(Tabela.abordagens[Mês]=$L$2,ROW(Tabela.abordagens[Idade])-2),ROW(A165)),6)</f>
        <v>#NUM!</v>
      </c>
      <c r="AA212" s="240" t="e">
        <f t="array" ref="AA212">INDEX(Tabela.abordagens[],SMALL(IF(Tabela.abordagens[Mês]=$L$2,ROW(Tabela.abordagens[Idade])-2),ROW(A165)),4)</f>
        <v>#NUM!</v>
      </c>
      <c r="AB212" s="240" t="e">
        <f t="array" ref="AB212">INDEX(Tabela.abordagens[],SMALL(IF(Tabela.abordagens[Mês]=$L$2,ROW(Tabela.abordagens[Idade])-2),ROW(A165)),5)</f>
        <v>#NUM!</v>
      </c>
    </row>
    <row r="213" spans="2:28" ht="15" x14ac:dyDescent="0.25">
      <c r="B213" s="223" t="e">
        <f t="array" ref="B213">INDEX(Tabela.frequencia[],SMALL(IF(Tabela.frequencia[Mês]=$L$2,ROW(Tabela.frequencia[id])-1),ROW(A166)),1)</f>
        <v>#NUM!</v>
      </c>
      <c r="C213" s="229" t="e">
        <f t="array" ref="C213">INDEX(Tabela.frequencia[],SMALL(IF(Tabela.frequencia[Mês]=$L$2,ROW(Tabela.frequencia[id])-1),ROW(A166)),4)</f>
        <v>#NUM!</v>
      </c>
      <c r="E213" s="176" t="str">
        <f>IFERROR(VLOOKUP(D213,Tabela.cadastro[[ID]:[Nome]],2,0),"")</f>
        <v/>
      </c>
      <c r="F213" s="177" t="str">
        <f>IFERROR(VLOOKUP(D213,Tabela66[#All],2,0),"")</f>
        <v/>
      </c>
      <c r="G213" s="177" t="str">
        <f>IFERROR(VLOOKUP(D213,Tabela.cadastro[[ID]:[CP ou M]],5,0),"")</f>
        <v/>
      </c>
      <c r="H213" s="177" t="str">
        <f>IFERROR(VLOOKUP(D213,Cadastros!A:F,6,0),"")</f>
        <v/>
      </c>
      <c r="I213" s="177" t="str">
        <f>IFERROR(VLOOKUP(D213,Cadastros!A:I,9,0),"")</f>
        <v/>
      </c>
      <c r="J213" s="177" t="str">
        <f>IFERROR(VLOOKUP(D213,Cadastros!A:J,10,0),"")</f>
        <v/>
      </c>
      <c r="K213" s="177" t="str">
        <f>IF(COUNTIF(Tabela66[id],D213)=0,"",COUNTIF(Tabela66[id],D213))</f>
        <v/>
      </c>
      <c r="L213" s="198"/>
      <c r="M213" s="227" t="str">
        <f t="shared" si="15"/>
        <v/>
      </c>
      <c r="P213" s="176" t="str">
        <f>IFERROR(VLOOKUP(O213,Cadastros!A:B,2),"")</f>
        <v/>
      </c>
      <c r="Q213" s="177" t="str">
        <f t="shared" si="11"/>
        <v/>
      </c>
      <c r="R213" s="177" t="str">
        <f>IFERROR(VLOOKUP(O213,Cadastros!A:E,5,0),"")</f>
        <v/>
      </c>
      <c r="S213" s="177" t="str">
        <f>IFERROR(VLOOKUP(O213,Cadastros!A:F,6,0),"")</f>
        <v/>
      </c>
      <c r="T213" s="177" t="str">
        <f>IFERROR(VLOOKUP(O213,Cadastros!A:I,9,0),"")</f>
        <v/>
      </c>
      <c r="U213" s="177" t="str">
        <f t="shared" si="12"/>
        <v/>
      </c>
      <c r="V213" s="177" t="str">
        <f t="shared" si="13"/>
        <v/>
      </c>
      <c r="W213" s="177" t="str">
        <f t="shared" si="14"/>
        <v/>
      </c>
      <c r="Y213" s="240" t="e">
        <f t="array" ref="Y213">INDEX(Tabela.abordagens[],SMALL(IF(Tabela.abordagens[Mês]=$L$2,ROW(Tabela.abordagens[id])-2),ROW(A166)),1)</f>
        <v>#NUM!</v>
      </c>
      <c r="Z213" s="240" t="e">
        <f t="array" ref="Z213">INDEX(Tabela.abordagens[],SMALL(IF(Tabela.abordagens[Mês]=$L$2,ROW(Tabela.abordagens[Idade])-2),ROW(A166)),6)</f>
        <v>#NUM!</v>
      </c>
      <c r="AA213" s="240" t="e">
        <f t="array" ref="AA213">INDEX(Tabela.abordagens[],SMALL(IF(Tabela.abordagens[Mês]=$L$2,ROW(Tabela.abordagens[Idade])-2),ROW(A166)),4)</f>
        <v>#NUM!</v>
      </c>
      <c r="AB213" s="240" t="e">
        <f t="array" ref="AB213">INDEX(Tabela.abordagens[],SMALL(IF(Tabela.abordagens[Mês]=$L$2,ROW(Tabela.abordagens[Idade])-2),ROW(A166)),5)</f>
        <v>#NUM!</v>
      </c>
    </row>
    <row r="214" spans="2:28" ht="15" x14ac:dyDescent="0.25">
      <c r="B214" s="223" t="e">
        <f t="array" ref="B214">INDEX(Tabela.frequencia[],SMALL(IF(Tabela.frequencia[Mês]=$L$2,ROW(Tabela.frequencia[id])-1),ROW(A167)),1)</f>
        <v>#NUM!</v>
      </c>
      <c r="C214" s="229" t="e">
        <f t="array" ref="C214">INDEX(Tabela.frequencia[],SMALL(IF(Tabela.frequencia[Mês]=$L$2,ROW(Tabela.frequencia[id])-1),ROW(A167)),4)</f>
        <v>#NUM!</v>
      </c>
      <c r="E214" s="176" t="str">
        <f>IFERROR(VLOOKUP(D214,Tabela.cadastro[[ID]:[Nome]],2,0),"")</f>
        <v/>
      </c>
      <c r="F214" s="177" t="str">
        <f>IFERROR(VLOOKUP(D214,Tabela66[#All],2,0),"")</f>
        <v/>
      </c>
      <c r="G214" s="177" t="str">
        <f>IFERROR(VLOOKUP(D214,Tabela.cadastro[[ID]:[CP ou M]],5,0),"")</f>
        <v/>
      </c>
      <c r="H214" s="177" t="str">
        <f>IFERROR(VLOOKUP(D214,Cadastros!A:F,6,0),"")</f>
        <v/>
      </c>
      <c r="I214" s="177" t="str">
        <f>IFERROR(VLOOKUP(D214,Cadastros!A:I,9,0),"")</f>
        <v/>
      </c>
      <c r="J214" s="177" t="str">
        <f>IFERROR(VLOOKUP(D214,Cadastros!A:J,10,0),"")</f>
        <v/>
      </c>
      <c r="K214" s="177" t="str">
        <f>IF(COUNTIF(Tabela66[id],D214)=0,"",COUNTIF(Tabela66[id],D214))</f>
        <v/>
      </c>
      <c r="L214" s="198"/>
      <c r="M214" s="227" t="str">
        <f t="shared" si="15"/>
        <v/>
      </c>
      <c r="P214" s="176" t="str">
        <f>IFERROR(VLOOKUP(O214,Cadastros!A:B,2),"")</f>
        <v/>
      </c>
      <c r="Q214" s="177" t="str">
        <f t="shared" si="11"/>
        <v/>
      </c>
      <c r="R214" s="177" t="str">
        <f>IFERROR(VLOOKUP(O214,Cadastros!A:E,5,0),"")</f>
        <v/>
      </c>
      <c r="S214" s="177" t="str">
        <f>IFERROR(VLOOKUP(O214,Cadastros!A:F,6,0),"")</f>
        <v/>
      </c>
      <c r="T214" s="177" t="str">
        <f>IFERROR(VLOOKUP(O214,Cadastros!A:I,9,0),"")</f>
        <v/>
      </c>
      <c r="U214" s="177" t="str">
        <f t="shared" si="12"/>
        <v/>
      </c>
      <c r="V214" s="177" t="str">
        <f t="shared" si="13"/>
        <v/>
      </c>
      <c r="W214" s="177" t="str">
        <f t="shared" si="14"/>
        <v/>
      </c>
      <c r="Y214" s="240" t="e">
        <f t="array" ref="Y214">INDEX(Tabela.abordagens[],SMALL(IF(Tabela.abordagens[Mês]=$L$2,ROW(Tabela.abordagens[id])-2),ROW(A167)),1)</f>
        <v>#NUM!</v>
      </c>
      <c r="Z214" s="240" t="e">
        <f t="array" ref="Z214">INDEX(Tabela.abordagens[],SMALL(IF(Tabela.abordagens[Mês]=$L$2,ROW(Tabela.abordagens[Idade])-2),ROW(A167)),6)</f>
        <v>#NUM!</v>
      </c>
      <c r="AA214" s="240" t="e">
        <f t="array" ref="AA214">INDEX(Tabela.abordagens[],SMALL(IF(Tabela.abordagens[Mês]=$L$2,ROW(Tabela.abordagens[Idade])-2),ROW(A167)),4)</f>
        <v>#NUM!</v>
      </c>
      <c r="AB214" s="240" t="e">
        <f t="array" ref="AB214">INDEX(Tabela.abordagens[],SMALL(IF(Tabela.abordagens[Mês]=$L$2,ROW(Tabela.abordagens[Idade])-2),ROW(A167)),5)</f>
        <v>#NUM!</v>
      </c>
    </row>
    <row r="215" spans="2:28" ht="15" x14ac:dyDescent="0.25">
      <c r="B215" s="223" t="e">
        <f t="array" ref="B215">INDEX(Tabela.frequencia[],SMALL(IF(Tabela.frequencia[Mês]=$L$2,ROW(Tabela.frequencia[id])-1),ROW(A168)),1)</f>
        <v>#NUM!</v>
      </c>
      <c r="C215" s="229" t="e">
        <f t="array" ref="C215">INDEX(Tabela.frequencia[],SMALL(IF(Tabela.frequencia[Mês]=$L$2,ROW(Tabela.frequencia[id])-1),ROW(A168)),4)</f>
        <v>#NUM!</v>
      </c>
      <c r="E215" s="176" t="str">
        <f>IFERROR(VLOOKUP(D215,Tabela.cadastro[[ID]:[Nome]],2,0),"")</f>
        <v/>
      </c>
      <c r="F215" s="177" t="str">
        <f>IFERROR(VLOOKUP(D215,Tabela66[#All],2,0),"")</f>
        <v/>
      </c>
      <c r="G215" s="177" t="str">
        <f>IFERROR(VLOOKUP(D215,Tabela.cadastro[[ID]:[CP ou M]],5,0),"")</f>
        <v/>
      </c>
      <c r="H215" s="177" t="str">
        <f>IFERROR(VLOOKUP(D215,Cadastros!A:F,6,0),"")</f>
        <v/>
      </c>
      <c r="I215" s="177" t="str">
        <f>IFERROR(VLOOKUP(D215,Cadastros!A:I,9,0),"")</f>
        <v/>
      </c>
      <c r="J215" s="177" t="str">
        <f>IFERROR(VLOOKUP(D215,Cadastros!A:J,10,0),"")</f>
        <v/>
      </c>
      <c r="K215" s="177" t="str">
        <f>IF(COUNTIF(Tabela66[id],D215)=0,"",COUNTIF(Tabela66[id],D215))</f>
        <v/>
      </c>
      <c r="L215" s="198"/>
      <c r="M215" s="227" t="str">
        <f t="shared" si="15"/>
        <v/>
      </c>
      <c r="P215" s="176" t="str">
        <f>IFERROR(VLOOKUP(O215,Cadastros!A:B,2),"")</f>
        <v/>
      </c>
      <c r="Q215" s="177" t="str">
        <f t="shared" si="11"/>
        <v/>
      </c>
      <c r="R215" s="177" t="str">
        <f>IFERROR(VLOOKUP(O215,Cadastros!A:E,5,0),"")</f>
        <v/>
      </c>
      <c r="S215" s="177" t="str">
        <f>IFERROR(VLOOKUP(O215,Cadastros!A:F,6,0),"")</f>
        <v/>
      </c>
      <c r="T215" s="177" t="str">
        <f>IFERROR(VLOOKUP(O215,Cadastros!A:I,9,0),"")</f>
        <v/>
      </c>
      <c r="U215" s="177" t="str">
        <f t="shared" si="12"/>
        <v/>
      </c>
      <c r="V215" s="177" t="str">
        <f t="shared" si="13"/>
        <v/>
      </c>
      <c r="W215" s="177" t="str">
        <f t="shared" si="14"/>
        <v/>
      </c>
      <c r="Y215" s="240" t="e">
        <f t="array" ref="Y215">INDEX(Tabela.abordagens[],SMALL(IF(Tabela.abordagens[Mês]=$L$2,ROW(Tabela.abordagens[id])-2),ROW(A168)),1)</f>
        <v>#NUM!</v>
      </c>
      <c r="Z215" s="240" t="e">
        <f t="array" ref="Z215">INDEX(Tabela.abordagens[],SMALL(IF(Tabela.abordagens[Mês]=$L$2,ROW(Tabela.abordagens[Idade])-2),ROW(A168)),6)</f>
        <v>#NUM!</v>
      </c>
      <c r="AA215" s="240" t="e">
        <f t="array" ref="AA215">INDEX(Tabela.abordagens[],SMALL(IF(Tabela.abordagens[Mês]=$L$2,ROW(Tabela.abordagens[Idade])-2),ROW(A168)),4)</f>
        <v>#NUM!</v>
      </c>
      <c r="AB215" s="240" t="e">
        <f t="array" ref="AB215">INDEX(Tabela.abordagens[],SMALL(IF(Tabela.abordagens[Mês]=$L$2,ROW(Tabela.abordagens[Idade])-2),ROW(A168)),5)</f>
        <v>#NUM!</v>
      </c>
    </row>
    <row r="216" spans="2:28" ht="15" x14ac:dyDescent="0.25">
      <c r="B216" s="223" t="e">
        <f t="array" ref="B216">INDEX(Tabela.frequencia[],SMALL(IF(Tabela.frequencia[Mês]=$L$2,ROW(Tabela.frequencia[id])-1),ROW(A169)),1)</f>
        <v>#NUM!</v>
      </c>
      <c r="C216" s="229" t="e">
        <f t="array" ref="C216">INDEX(Tabela.frequencia[],SMALL(IF(Tabela.frequencia[Mês]=$L$2,ROW(Tabela.frequencia[id])-1),ROW(A169)),4)</f>
        <v>#NUM!</v>
      </c>
      <c r="E216" s="176" t="str">
        <f>IFERROR(VLOOKUP(D216,Tabela.cadastro[[ID]:[Nome]],2,0),"")</f>
        <v/>
      </c>
      <c r="F216" s="177" t="str">
        <f>IFERROR(VLOOKUP(D216,Tabela66[#All],2,0),"")</f>
        <v/>
      </c>
      <c r="G216" s="177" t="str">
        <f>IFERROR(VLOOKUP(D216,Tabela.cadastro[[ID]:[CP ou M]],5,0),"")</f>
        <v/>
      </c>
      <c r="H216" s="177" t="str">
        <f>IFERROR(VLOOKUP(D216,Cadastros!A:F,6,0),"")</f>
        <v/>
      </c>
      <c r="I216" s="177" t="str">
        <f>IFERROR(VLOOKUP(D216,Cadastros!A:I,9,0),"")</f>
        <v/>
      </c>
      <c r="J216" s="177" t="str">
        <f>IFERROR(VLOOKUP(D216,Cadastros!A:J,10,0),"")</f>
        <v/>
      </c>
      <c r="K216" s="177" t="str">
        <f>IF(COUNTIF(Tabela66[id],D216)=0,"",COUNTIF(Tabela66[id],D216))</f>
        <v/>
      </c>
      <c r="L216" s="198"/>
      <c r="M216" s="227" t="str">
        <f t="shared" si="15"/>
        <v/>
      </c>
      <c r="P216" s="176" t="str">
        <f>IFERROR(VLOOKUP(O216,Cadastros!A:B,2),"")</f>
        <v/>
      </c>
      <c r="Q216" s="177" t="str">
        <f t="shared" si="11"/>
        <v/>
      </c>
      <c r="R216" s="177" t="str">
        <f>IFERROR(VLOOKUP(O216,Cadastros!A:E,5,0),"")</f>
        <v/>
      </c>
      <c r="S216" s="177" t="str">
        <f>IFERROR(VLOOKUP(O216,Cadastros!A:F,6,0),"")</f>
        <v/>
      </c>
      <c r="T216" s="177" t="str">
        <f>IFERROR(VLOOKUP(O216,Cadastros!A:I,9,0),"")</f>
        <v/>
      </c>
      <c r="U216" s="177" t="str">
        <f t="shared" si="12"/>
        <v/>
      </c>
      <c r="V216" s="177" t="str">
        <f t="shared" si="13"/>
        <v/>
      </c>
      <c r="W216" s="177" t="str">
        <f t="shared" si="14"/>
        <v/>
      </c>
      <c r="Y216" s="240" t="e">
        <f t="array" ref="Y216">INDEX(Tabela.abordagens[],SMALL(IF(Tabela.abordagens[Mês]=$L$2,ROW(Tabela.abordagens[id])-2),ROW(A169)),1)</f>
        <v>#NUM!</v>
      </c>
      <c r="Z216" s="240" t="e">
        <f t="array" ref="Z216">INDEX(Tabela.abordagens[],SMALL(IF(Tabela.abordagens[Mês]=$L$2,ROW(Tabela.abordagens[Idade])-2),ROW(A169)),6)</f>
        <v>#NUM!</v>
      </c>
      <c r="AA216" s="240" t="e">
        <f t="array" ref="AA216">INDEX(Tabela.abordagens[],SMALL(IF(Tabela.abordagens[Mês]=$L$2,ROW(Tabela.abordagens[Idade])-2),ROW(A169)),4)</f>
        <v>#NUM!</v>
      </c>
      <c r="AB216" s="240" t="e">
        <f t="array" ref="AB216">INDEX(Tabela.abordagens[],SMALL(IF(Tabela.abordagens[Mês]=$L$2,ROW(Tabela.abordagens[Idade])-2),ROW(A169)),5)</f>
        <v>#NUM!</v>
      </c>
    </row>
    <row r="217" spans="2:28" ht="15" x14ac:dyDescent="0.25">
      <c r="B217" s="223" t="e">
        <f t="array" ref="B217">INDEX(Tabela.frequencia[],SMALL(IF(Tabela.frequencia[Mês]=$L$2,ROW(Tabela.frequencia[id])-1),ROW(A170)),1)</f>
        <v>#NUM!</v>
      </c>
      <c r="C217" s="229" t="e">
        <f t="array" ref="C217">INDEX(Tabela.frequencia[],SMALL(IF(Tabela.frequencia[Mês]=$L$2,ROW(Tabela.frequencia[id])-1),ROW(A170)),4)</f>
        <v>#NUM!</v>
      </c>
      <c r="E217" s="176" t="str">
        <f>IFERROR(VLOOKUP(D217,Tabela.cadastro[[ID]:[Nome]],2,0),"")</f>
        <v/>
      </c>
      <c r="F217" s="177" t="str">
        <f>IFERROR(VLOOKUP(D217,Tabela66[#All],2,0),"")</f>
        <v/>
      </c>
      <c r="G217" s="177" t="str">
        <f>IFERROR(VLOOKUP(D217,Tabela.cadastro[[ID]:[CP ou M]],5,0),"")</f>
        <v/>
      </c>
      <c r="H217" s="177" t="str">
        <f>IFERROR(VLOOKUP(D217,Cadastros!A:F,6,0),"")</f>
        <v/>
      </c>
      <c r="I217" s="177" t="str">
        <f>IFERROR(VLOOKUP(D217,Cadastros!A:I,9,0),"")</f>
        <v/>
      </c>
      <c r="J217" s="177" t="str">
        <f>IFERROR(VLOOKUP(D217,Cadastros!A:J,10,0),"")</f>
        <v/>
      </c>
      <c r="K217" s="177" t="str">
        <f>IF(COUNTIF(Tabela66[id],D217)=0,"",COUNTIF(Tabela66[id],D217))</f>
        <v/>
      </c>
      <c r="L217" s="198"/>
      <c r="M217" s="227" t="str">
        <f t="shared" si="15"/>
        <v/>
      </c>
      <c r="P217" s="176" t="str">
        <f>IFERROR(VLOOKUP(O217,Cadastros!A:B,2),"")</f>
        <v/>
      </c>
      <c r="Q217" s="177" t="str">
        <f t="shared" si="11"/>
        <v/>
      </c>
      <c r="R217" s="177" t="str">
        <f>IFERROR(VLOOKUP(O217,Cadastros!A:E,5,0),"")</f>
        <v/>
      </c>
      <c r="S217" s="177" t="str">
        <f>IFERROR(VLOOKUP(O217,Cadastros!A:F,6,0),"")</f>
        <v/>
      </c>
      <c r="T217" s="177" t="str">
        <f>IFERROR(VLOOKUP(O217,Cadastros!A:I,9,0),"")</f>
        <v/>
      </c>
      <c r="U217" s="177" t="str">
        <f t="shared" si="12"/>
        <v/>
      </c>
      <c r="V217" s="177" t="str">
        <f t="shared" si="13"/>
        <v/>
      </c>
      <c r="W217" s="177" t="str">
        <f t="shared" si="14"/>
        <v/>
      </c>
      <c r="Y217" s="240" t="e">
        <f t="array" ref="Y217">INDEX(Tabela.abordagens[],SMALL(IF(Tabela.abordagens[Mês]=$L$2,ROW(Tabela.abordagens[id])-2),ROW(A170)),1)</f>
        <v>#NUM!</v>
      </c>
      <c r="Z217" s="240" t="e">
        <f t="array" ref="Z217">INDEX(Tabela.abordagens[],SMALL(IF(Tabela.abordagens[Mês]=$L$2,ROW(Tabela.abordagens[Idade])-2),ROW(A170)),6)</f>
        <v>#NUM!</v>
      </c>
      <c r="AA217" s="240" t="e">
        <f t="array" ref="AA217">INDEX(Tabela.abordagens[],SMALL(IF(Tabela.abordagens[Mês]=$L$2,ROW(Tabela.abordagens[Idade])-2),ROW(A170)),4)</f>
        <v>#NUM!</v>
      </c>
      <c r="AB217" s="240" t="e">
        <f t="array" ref="AB217">INDEX(Tabela.abordagens[],SMALL(IF(Tabela.abordagens[Mês]=$L$2,ROW(Tabela.abordagens[Idade])-2),ROW(A170)),5)</f>
        <v>#NUM!</v>
      </c>
    </row>
    <row r="218" spans="2:28" ht="15" x14ac:dyDescent="0.25">
      <c r="B218" s="223" t="e">
        <f t="array" ref="B218">INDEX(Tabela.frequencia[],SMALL(IF(Tabela.frequencia[Mês]=$L$2,ROW(Tabela.frequencia[id])-1),ROW(A171)),1)</f>
        <v>#NUM!</v>
      </c>
      <c r="C218" s="229" t="e">
        <f t="array" ref="C218">INDEX(Tabela.frequencia[],SMALL(IF(Tabela.frequencia[Mês]=$L$2,ROW(Tabela.frequencia[id])-1),ROW(A171)),4)</f>
        <v>#NUM!</v>
      </c>
      <c r="E218" s="176" t="str">
        <f>IFERROR(VLOOKUP(D218,Tabela.cadastro[[ID]:[Nome]],2,0),"")</f>
        <v/>
      </c>
      <c r="F218" s="177" t="str">
        <f>IFERROR(VLOOKUP(D218,Tabela66[#All],2,0),"")</f>
        <v/>
      </c>
      <c r="G218" s="177" t="str">
        <f>IFERROR(VLOOKUP(D218,Tabela.cadastro[[ID]:[CP ou M]],5,0),"")</f>
        <v/>
      </c>
      <c r="H218" s="177" t="str">
        <f>IFERROR(VLOOKUP(D218,Cadastros!A:F,6,0),"")</f>
        <v/>
      </c>
      <c r="I218" s="177" t="str">
        <f>IFERROR(VLOOKUP(D218,Cadastros!A:I,9,0),"")</f>
        <v/>
      </c>
      <c r="J218" s="177" t="str">
        <f>IFERROR(VLOOKUP(D218,Cadastros!A:J,10,0),"")</f>
        <v/>
      </c>
      <c r="K218" s="177" t="str">
        <f>IF(COUNTIF(Tabela66[id],D218)=0,"",COUNTIF(Tabela66[id],D218))</f>
        <v/>
      </c>
      <c r="L218" s="198"/>
      <c r="M218" s="227" t="str">
        <f t="shared" si="15"/>
        <v/>
      </c>
      <c r="P218" s="176" t="str">
        <f>IFERROR(VLOOKUP(O218,Cadastros!A:B,2),"")</f>
        <v/>
      </c>
      <c r="Q218" s="177" t="str">
        <f t="shared" si="11"/>
        <v/>
      </c>
      <c r="R218" s="177" t="str">
        <f>IFERROR(VLOOKUP(O218,Cadastros!A:E,5,0),"")</f>
        <v/>
      </c>
      <c r="S218" s="177" t="str">
        <f>IFERROR(VLOOKUP(O218,Cadastros!A:F,6,0),"")</f>
        <v/>
      </c>
      <c r="T218" s="177" t="str">
        <f>IFERROR(VLOOKUP(O218,Cadastros!A:I,9,0),"")</f>
        <v/>
      </c>
      <c r="U218" s="177" t="str">
        <f t="shared" si="12"/>
        <v/>
      </c>
      <c r="V218" s="177" t="str">
        <f t="shared" si="13"/>
        <v/>
      </c>
      <c r="W218" s="177" t="str">
        <f t="shared" si="14"/>
        <v/>
      </c>
      <c r="Y218" s="240" t="e">
        <f t="array" ref="Y218">INDEX(Tabela.abordagens[],SMALL(IF(Tabela.abordagens[Mês]=$L$2,ROW(Tabela.abordagens[id])-2),ROW(A171)),1)</f>
        <v>#NUM!</v>
      </c>
      <c r="Z218" s="240" t="e">
        <f t="array" ref="Z218">INDEX(Tabela.abordagens[],SMALL(IF(Tabela.abordagens[Mês]=$L$2,ROW(Tabela.abordagens[Idade])-2),ROW(A171)),6)</f>
        <v>#NUM!</v>
      </c>
      <c r="AA218" s="240" t="e">
        <f t="array" ref="AA218">INDEX(Tabela.abordagens[],SMALL(IF(Tabela.abordagens[Mês]=$L$2,ROW(Tabela.abordagens[Idade])-2),ROW(A171)),4)</f>
        <v>#NUM!</v>
      </c>
      <c r="AB218" s="240" t="e">
        <f t="array" ref="AB218">INDEX(Tabela.abordagens[],SMALL(IF(Tabela.abordagens[Mês]=$L$2,ROW(Tabela.abordagens[Idade])-2),ROW(A171)),5)</f>
        <v>#NUM!</v>
      </c>
    </row>
    <row r="219" spans="2:28" ht="15" x14ac:dyDescent="0.25">
      <c r="B219" s="223" t="e">
        <f t="array" ref="B219">INDEX(Tabela.frequencia[],SMALL(IF(Tabela.frequencia[Mês]=$L$2,ROW(Tabela.frequencia[id])-1),ROW(A172)),1)</f>
        <v>#NUM!</v>
      </c>
      <c r="C219" s="229" t="e">
        <f t="array" ref="C219">INDEX(Tabela.frequencia[],SMALL(IF(Tabela.frequencia[Mês]=$L$2,ROW(Tabela.frequencia[id])-1),ROW(A172)),4)</f>
        <v>#NUM!</v>
      </c>
      <c r="E219" s="176" t="str">
        <f>IFERROR(VLOOKUP(D219,Tabela.cadastro[[ID]:[Nome]],2,0),"")</f>
        <v/>
      </c>
      <c r="F219" s="177" t="str">
        <f>IFERROR(VLOOKUP(D219,Tabela66[#All],2,0),"")</f>
        <v/>
      </c>
      <c r="G219" s="177" t="str">
        <f>IFERROR(VLOOKUP(D219,Tabela.cadastro[[ID]:[CP ou M]],5,0),"")</f>
        <v/>
      </c>
      <c r="H219" s="177" t="str">
        <f>IFERROR(VLOOKUP(D219,Cadastros!A:F,6,0),"")</f>
        <v/>
      </c>
      <c r="I219" s="177" t="str">
        <f>IFERROR(VLOOKUP(D219,Cadastros!A:I,9,0),"")</f>
        <v/>
      </c>
      <c r="J219" s="177" t="str">
        <f>IFERROR(VLOOKUP(D219,Cadastros!A:J,10,0),"")</f>
        <v/>
      </c>
      <c r="K219" s="177" t="str">
        <f>IF(COUNTIF(Tabela66[id],D219)=0,"",COUNTIF(Tabela66[id],D219))</f>
        <v/>
      </c>
      <c r="L219" s="198"/>
      <c r="M219" s="227" t="str">
        <f t="shared" si="15"/>
        <v/>
      </c>
      <c r="P219" s="176" t="str">
        <f>IFERROR(VLOOKUP(O219,Cadastros!A:B,2),"")</f>
        <v/>
      </c>
      <c r="Q219" s="177" t="str">
        <f t="shared" si="11"/>
        <v/>
      </c>
      <c r="R219" s="177" t="str">
        <f>IFERROR(VLOOKUP(O219,Cadastros!A:E,5,0),"")</f>
        <v/>
      </c>
      <c r="S219" s="177" t="str">
        <f>IFERROR(VLOOKUP(O219,Cadastros!A:F,6,0),"")</f>
        <v/>
      </c>
      <c r="T219" s="177" t="str">
        <f>IFERROR(VLOOKUP(O219,Cadastros!A:I,9,0),"")</f>
        <v/>
      </c>
      <c r="U219" s="177" t="str">
        <f t="shared" si="12"/>
        <v/>
      </c>
      <c r="V219" s="177" t="str">
        <f t="shared" si="13"/>
        <v/>
      </c>
      <c r="W219" s="177" t="str">
        <f t="shared" si="14"/>
        <v/>
      </c>
      <c r="Y219" s="240" t="e">
        <f t="array" ref="Y219">INDEX(Tabela.abordagens[],SMALL(IF(Tabela.abordagens[Mês]=$L$2,ROW(Tabela.abordagens[id])-2),ROW(A172)),1)</f>
        <v>#NUM!</v>
      </c>
      <c r="Z219" s="240" t="e">
        <f t="array" ref="Z219">INDEX(Tabela.abordagens[],SMALL(IF(Tabela.abordagens[Mês]=$L$2,ROW(Tabela.abordagens[Idade])-2),ROW(A172)),6)</f>
        <v>#NUM!</v>
      </c>
      <c r="AA219" s="240" t="e">
        <f t="array" ref="AA219">INDEX(Tabela.abordagens[],SMALL(IF(Tabela.abordagens[Mês]=$L$2,ROW(Tabela.abordagens[Idade])-2),ROW(A172)),4)</f>
        <v>#NUM!</v>
      </c>
      <c r="AB219" s="240" t="e">
        <f t="array" ref="AB219">INDEX(Tabela.abordagens[],SMALL(IF(Tabela.abordagens[Mês]=$L$2,ROW(Tabela.abordagens[Idade])-2),ROW(A172)),5)</f>
        <v>#NUM!</v>
      </c>
    </row>
    <row r="220" spans="2:28" ht="15" x14ac:dyDescent="0.25">
      <c r="B220" s="223" t="e">
        <f t="array" ref="B220">INDEX(Tabela.frequencia[],SMALL(IF(Tabela.frequencia[Mês]=$L$2,ROW(Tabela.frequencia[id])-1),ROW(A173)),1)</f>
        <v>#NUM!</v>
      </c>
      <c r="C220" s="229" t="e">
        <f t="array" ref="C220">INDEX(Tabela.frequencia[],SMALL(IF(Tabela.frequencia[Mês]=$L$2,ROW(Tabela.frequencia[id])-1),ROW(A173)),4)</f>
        <v>#NUM!</v>
      </c>
      <c r="E220" s="176" t="str">
        <f>IFERROR(VLOOKUP(D220,Tabela.cadastro[[ID]:[Nome]],2,0),"")</f>
        <v/>
      </c>
      <c r="F220" s="177" t="str">
        <f>IFERROR(VLOOKUP(D220,Tabela66[#All],2,0),"")</f>
        <v/>
      </c>
      <c r="G220" s="177" t="str">
        <f>IFERROR(VLOOKUP(D220,Tabela.cadastro[[ID]:[CP ou M]],5,0),"")</f>
        <v/>
      </c>
      <c r="H220" s="177" t="str">
        <f>IFERROR(VLOOKUP(D220,Cadastros!A:F,6,0),"")</f>
        <v/>
      </c>
      <c r="I220" s="177" t="str">
        <f>IFERROR(VLOOKUP(D220,Cadastros!A:I,9,0),"")</f>
        <v/>
      </c>
      <c r="J220" s="177" t="str">
        <f>IFERROR(VLOOKUP(D220,Cadastros!A:J,10,0),"")</f>
        <v/>
      </c>
      <c r="K220" s="177" t="str">
        <f>IF(COUNTIF(Tabela66[id],D220)=0,"",COUNTIF(Tabela66[id],D220))</f>
        <v/>
      </c>
      <c r="L220" s="198"/>
      <c r="M220" s="227" t="str">
        <f t="shared" si="15"/>
        <v/>
      </c>
      <c r="P220" s="176" t="str">
        <f>IFERROR(VLOOKUP(O220,Cadastros!A:B,2),"")</f>
        <v/>
      </c>
      <c r="Q220" s="177" t="str">
        <f t="shared" si="11"/>
        <v/>
      </c>
      <c r="R220" s="177" t="str">
        <f>IFERROR(VLOOKUP(O220,Cadastros!A:E,5,0),"")</f>
        <v/>
      </c>
      <c r="S220" s="177" t="str">
        <f>IFERROR(VLOOKUP(O220,Cadastros!A:F,6,0),"")</f>
        <v/>
      </c>
      <c r="T220" s="177" t="str">
        <f>IFERROR(VLOOKUP(O220,Cadastros!A:I,9,0),"")</f>
        <v/>
      </c>
      <c r="U220" s="177" t="str">
        <f t="shared" si="12"/>
        <v/>
      </c>
      <c r="V220" s="177" t="str">
        <f t="shared" si="13"/>
        <v/>
      </c>
      <c r="W220" s="177" t="str">
        <f t="shared" si="14"/>
        <v/>
      </c>
      <c r="Y220" s="240" t="e">
        <f t="array" ref="Y220">INDEX(Tabela.abordagens[],SMALL(IF(Tabela.abordagens[Mês]=$L$2,ROW(Tabela.abordagens[id])-2),ROW(A173)),1)</f>
        <v>#NUM!</v>
      </c>
      <c r="Z220" s="240" t="e">
        <f t="array" ref="Z220">INDEX(Tabela.abordagens[],SMALL(IF(Tabela.abordagens[Mês]=$L$2,ROW(Tabela.abordagens[Idade])-2),ROW(A173)),6)</f>
        <v>#NUM!</v>
      </c>
      <c r="AA220" s="240" t="e">
        <f t="array" ref="AA220">INDEX(Tabela.abordagens[],SMALL(IF(Tabela.abordagens[Mês]=$L$2,ROW(Tabela.abordagens[Idade])-2),ROW(A173)),4)</f>
        <v>#NUM!</v>
      </c>
      <c r="AB220" s="240" t="e">
        <f t="array" ref="AB220">INDEX(Tabela.abordagens[],SMALL(IF(Tabela.abordagens[Mês]=$L$2,ROW(Tabela.abordagens[Idade])-2),ROW(A173)),5)</f>
        <v>#NUM!</v>
      </c>
    </row>
    <row r="221" spans="2:28" ht="15" x14ac:dyDescent="0.25">
      <c r="B221" s="223" t="e">
        <f t="array" ref="B221">INDEX(Tabela.frequencia[],SMALL(IF(Tabela.frequencia[Mês]=$L$2,ROW(Tabela.frequencia[id])-1),ROW(A174)),1)</f>
        <v>#NUM!</v>
      </c>
      <c r="C221" s="229" t="e">
        <f t="array" ref="C221">INDEX(Tabela.frequencia[],SMALL(IF(Tabela.frequencia[Mês]=$L$2,ROW(Tabela.frequencia[id])-1),ROW(A174)),4)</f>
        <v>#NUM!</v>
      </c>
      <c r="E221" s="176" t="str">
        <f>IFERROR(VLOOKUP(D221,Tabela.cadastro[[ID]:[Nome]],2,0),"")</f>
        <v/>
      </c>
      <c r="F221" s="177" t="str">
        <f>IFERROR(VLOOKUP(D221,Tabela66[#All],2,0),"")</f>
        <v/>
      </c>
      <c r="G221" s="177" t="str">
        <f>IFERROR(VLOOKUP(D221,Tabela.cadastro[[ID]:[CP ou M]],5,0),"")</f>
        <v/>
      </c>
      <c r="H221" s="177" t="str">
        <f>IFERROR(VLOOKUP(D221,Cadastros!A:F,6,0),"")</f>
        <v/>
      </c>
      <c r="I221" s="177" t="str">
        <f>IFERROR(VLOOKUP(D221,Cadastros!A:I,9,0),"")</f>
        <v/>
      </c>
      <c r="J221" s="177" t="str">
        <f>IFERROR(VLOOKUP(D221,Cadastros!A:J,10,0),"")</f>
        <v/>
      </c>
      <c r="K221" s="177" t="str">
        <f>IF(COUNTIF(Tabela66[id],D221)=0,"",COUNTIF(Tabela66[id],D221))</f>
        <v/>
      </c>
      <c r="L221" s="198"/>
      <c r="M221" s="227" t="str">
        <f t="shared" si="15"/>
        <v/>
      </c>
      <c r="P221" s="176" t="str">
        <f>IFERROR(VLOOKUP(O221,Cadastros!A:B,2),"")</f>
        <v/>
      </c>
      <c r="Q221" s="177" t="str">
        <f t="shared" si="11"/>
        <v/>
      </c>
      <c r="R221" s="177" t="str">
        <f>IFERROR(VLOOKUP(O221,Cadastros!A:E,5,0),"")</f>
        <v/>
      </c>
      <c r="S221" s="177" t="str">
        <f>IFERROR(VLOOKUP(O221,Cadastros!A:F,6,0),"")</f>
        <v/>
      </c>
      <c r="T221" s="177" t="str">
        <f>IFERROR(VLOOKUP(O221,Cadastros!A:I,9,0),"")</f>
        <v/>
      </c>
      <c r="U221" s="177" t="str">
        <f t="shared" si="12"/>
        <v/>
      </c>
      <c r="V221" s="177" t="str">
        <f t="shared" si="13"/>
        <v/>
      </c>
      <c r="W221" s="177" t="str">
        <f t="shared" si="14"/>
        <v/>
      </c>
      <c r="Y221" s="240" t="e">
        <f t="array" ref="Y221">INDEX(Tabela.abordagens[],SMALL(IF(Tabela.abordagens[Mês]=$L$2,ROW(Tabela.abordagens[id])-2),ROW(A174)),1)</f>
        <v>#NUM!</v>
      </c>
      <c r="Z221" s="240" t="e">
        <f t="array" ref="Z221">INDEX(Tabela.abordagens[],SMALL(IF(Tabela.abordagens[Mês]=$L$2,ROW(Tabela.abordagens[Idade])-2),ROW(A174)),6)</f>
        <v>#NUM!</v>
      </c>
      <c r="AA221" s="240" t="e">
        <f t="array" ref="AA221">INDEX(Tabela.abordagens[],SMALL(IF(Tabela.abordagens[Mês]=$L$2,ROW(Tabela.abordagens[Idade])-2),ROW(A174)),4)</f>
        <v>#NUM!</v>
      </c>
      <c r="AB221" s="240" t="e">
        <f t="array" ref="AB221">INDEX(Tabela.abordagens[],SMALL(IF(Tabela.abordagens[Mês]=$L$2,ROW(Tabela.abordagens[Idade])-2),ROW(A174)),5)</f>
        <v>#NUM!</v>
      </c>
    </row>
    <row r="222" spans="2:28" ht="15" x14ac:dyDescent="0.25">
      <c r="B222" s="223" t="e">
        <f t="array" ref="B222">INDEX(Tabela.frequencia[],SMALL(IF(Tabela.frequencia[Mês]=$L$2,ROW(Tabela.frequencia[id])-1),ROW(A175)),1)</f>
        <v>#NUM!</v>
      </c>
      <c r="C222" s="229" t="e">
        <f t="array" ref="C222">INDEX(Tabela.frequencia[],SMALL(IF(Tabela.frequencia[Mês]=$L$2,ROW(Tabela.frequencia[id])-1),ROW(A175)),4)</f>
        <v>#NUM!</v>
      </c>
      <c r="E222" s="176" t="str">
        <f>IFERROR(VLOOKUP(D222,Tabela.cadastro[[ID]:[Nome]],2,0),"")</f>
        <v/>
      </c>
      <c r="F222" s="177" t="str">
        <f>IFERROR(VLOOKUP(D222,Tabela66[#All],2,0),"")</f>
        <v/>
      </c>
      <c r="G222" s="177" t="str">
        <f>IFERROR(VLOOKUP(D222,Tabela.cadastro[[ID]:[CP ou M]],5,0),"")</f>
        <v/>
      </c>
      <c r="H222" s="177" t="str">
        <f>IFERROR(VLOOKUP(D222,Cadastros!A:F,6,0),"")</f>
        <v/>
      </c>
      <c r="I222" s="177" t="str">
        <f>IFERROR(VLOOKUP(D222,Cadastros!A:I,9,0),"")</f>
        <v/>
      </c>
      <c r="J222" s="177" t="str">
        <f>IFERROR(VLOOKUP(D222,Cadastros!A:J,10,0),"")</f>
        <v/>
      </c>
      <c r="K222" s="177" t="str">
        <f>IF(COUNTIF(Tabela66[id],D222)=0,"",COUNTIF(Tabela66[id],D222))</f>
        <v/>
      </c>
      <c r="L222" s="198"/>
      <c r="M222" s="227" t="str">
        <f t="shared" si="15"/>
        <v/>
      </c>
      <c r="P222" s="176" t="str">
        <f>IFERROR(VLOOKUP(O222,Cadastros!A:B,2),"")</f>
        <v/>
      </c>
      <c r="Q222" s="177" t="str">
        <f t="shared" si="11"/>
        <v/>
      </c>
      <c r="R222" s="177" t="str">
        <f>IFERROR(VLOOKUP(O222,Cadastros!A:E,5,0),"")</f>
        <v/>
      </c>
      <c r="S222" s="177" t="str">
        <f>IFERROR(VLOOKUP(O222,Cadastros!A:F,6,0),"")</f>
        <v/>
      </c>
      <c r="T222" s="177" t="str">
        <f>IFERROR(VLOOKUP(O222,Cadastros!A:I,9,0),"")</f>
        <v/>
      </c>
      <c r="U222" s="177" t="str">
        <f t="shared" si="12"/>
        <v/>
      </c>
      <c r="V222" s="177" t="str">
        <f t="shared" si="13"/>
        <v/>
      </c>
      <c r="W222" s="177" t="str">
        <f t="shared" si="14"/>
        <v/>
      </c>
      <c r="Y222" s="240" t="e">
        <f t="array" ref="Y222">INDEX(Tabela.abordagens[],SMALL(IF(Tabela.abordagens[Mês]=$L$2,ROW(Tabela.abordagens[id])-2),ROW(A175)),1)</f>
        <v>#NUM!</v>
      </c>
      <c r="Z222" s="240" t="e">
        <f t="array" ref="Z222">INDEX(Tabela.abordagens[],SMALL(IF(Tabela.abordagens[Mês]=$L$2,ROW(Tabela.abordagens[Idade])-2),ROW(A175)),6)</f>
        <v>#NUM!</v>
      </c>
      <c r="AA222" s="240" t="e">
        <f t="array" ref="AA222">INDEX(Tabela.abordagens[],SMALL(IF(Tabela.abordagens[Mês]=$L$2,ROW(Tabela.abordagens[Idade])-2),ROW(A175)),4)</f>
        <v>#NUM!</v>
      </c>
      <c r="AB222" s="240" t="e">
        <f t="array" ref="AB222">INDEX(Tabela.abordagens[],SMALL(IF(Tabela.abordagens[Mês]=$L$2,ROW(Tabela.abordagens[Idade])-2),ROW(A175)),5)</f>
        <v>#NUM!</v>
      </c>
    </row>
    <row r="223" spans="2:28" ht="15" x14ac:dyDescent="0.25">
      <c r="B223" s="223" t="e">
        <f t="array" ref="B223">INDEX(Tabela.frequencia[],SMALL(IF(Tabela.frequencia[Mês]=$L$2,ROW(Tabela.frequencia[id])-1),ROW(A176)),1)</f>
        <v>#NUM!</v>
      </c>
      <c r="C223" s="229" t="e">
        <f t="array" ref="C223">INDEX(Tabela.frequencia[],SMALL(IF(Tabela.frequencia[Mês]=$L$2,ROW(Tabela.frequencia[id])-1),ROW(A176)),4)</f>
        <v>#NUM!</v>
      </c>
      <c r="E223" s="176" t="str">
        <f>IFERROR(VLOOKUP(D223,Tabela.cadastro[[ID]:[Nome]],2,0),"")</f>
        <v/>
      </c>
      <c r="F223" s="177" t="str">
        <f>IFERROR(VLOOKUP(D223,Tabela66[#All],2,0),"")</f>
        <v/>
      </c>
      <c r="G223" s="177" t="str">
        <f>IFERROR(VLOOKUP(D223,Tabela.cadastro[[ID]:[CP ou M]],5,0),"")</f>
        <v/>
      </c>
      <c r="H223" s="177" t="str">
        <f>IFERROR(VLOOKUP(D223,Cadastros!A:F,6,0),"")</f>
        <v/>
      </c>
      <c r="I223" s="177" t="str">
        <f>IFERROR(VLOOKUP(D223,Cadastros!A:I,9,0),"")</f>
        <v/>
      </c>
      <c r="J223" s="177" t="str">
        <f>IFERROR(VLOOKUP(D223,Cadastros!A:J,10,0),"")</f>
        <v/>
      </c>
      <c r="K223" s="177" t="str">
        <f>IF(COUNTIF(Tabela66[id],D223)=0,"",COUNTIF(Tabela66[id],D223))</f>
        <v/>
      </c>
      <c r="L223" s="198"/>
      <c r="M223" s="227" t="str">
        <f t="shared" si="15"/>
        <v/>
      </c>
      <c r="P223" s="176" t="str">
        <f>IFERROR(VLOOKUP(O223,Cadastros!A:B,2),"")</f>
        <v/>
      </c>
      <c r="Q223" s="177" t="str">
        <f t="shared" si="11"/>
        <v/>
      </c>
      <c r="R223" s="177" t="str">
        <f>IFERROR(VLOOKUP(O223,Cadastros!A:E,5,0),"")</f>
        <v/>
      </c>
      <c r="S223" s="177" t="str">
        <f>IFERROR(VLOOKUP(O223,Cadastros!A:F,6,0),"")</f>
        <v/>
      </c>
      <c r="T223" s="177" t="str">
        <f>IFERROR(VLOOKUP(O223,Cadastros!A:I,9,0),"")</f>
        <v/>
      </c>
      <c r="U223" s="177" t="str">
        <f t="shared" si="12"/>
        <v/>
      </c>
      <c r="V223" s="177" t="str">
        <f t="shared" si="13"/>
        <v/>
      </c>
      <c r="W223" s="177" t="str">
        <f t="shared" si="14"/>
        <v/>
      </c>
      <c r="Y223" s="240" t="e">
        <f t="array" ref="Y223">INDEX(Tabela.abordagens[],SMALL(IF(Tabela.abordagens[Mês]=$L$2,ROW(Tabela.abordagens[id])-2),ROW(A176)),1)</f>
        <v>#NUM!</v>
      </c>
      <c r="Z223" s="240" t="e">
        <f t="array" ref="Z223">INDEX(Tabela.abordagens[],SMALL(IF(Tabela.abordagens[Mês]=$L$2,ROW(Tabela.abordagens[Idade])-2),ROW(A176)),6)</f>
        <v>#NUM!</v>
      </c>
      <c r="AA223" s="240" t="e">
        <f t="array" ref="AA223">INDEX(Tabela.abordagens[],SMALL(IF(Tabela.abordagens[Mês]=$L$2,ROW(Tabela.abordagens[Idade])-2),ROW(A176)),4)</f>
        <v>#NUM!</v>
      </c>
      <c r="AB223" s="240" t="e">
        <f t="array" ref="AB223">INDEX(Tabela.abordagens[],SMALL(IF(Tabela.abordagens[Mês]=$L$2,ROW(Tabela.abordagens[Idade])-2),ROW(A176)),5)</f>
        <v>#NUM!</v>
      </c>
    </row>
    <row r="224" spans="2:28" ht="15" x14ac:dyDescent="0.25">
      <c r="B224" s="223" t="e">
        <f t="array" ref="B224">INDEX(Tabela.frequencia[],SMALL(IF(Tabela.frequencia[Mês]=$L$2,ROW(Tabela.frequencia[id])-1),ROW(A177)),1)</f>
        <v>#NUM!</v>
      </c>
      <c r="C224" s="229" t="e">
        <f t="array" ref="C224">INDEX(Tabela.frequencia[],SMALL(IF(Tabela.frequencia[Mês]=$L$2,ROW(Tabela.frequencia[id])-1),ROW(A177)),4)</f>
        <v>#NUM!</v>
      </c>
      <c r="E224" s="176" t="str">
        <f>IFERROR(VLOOKUP(D224,Tabela.cadastro[[ID]:[Nome]],2,0),"")</f>
        <v/>
      </c>
      <c r="F224" s="177" t="str">
        <f>IFERROR(VLOOKUP(D224,Tabela66[#All],2,0),"")</f>
        <v/>
      </c>
      <c r="G224" s="177" t="str">
        <f>IFERROR(VLOOKUP(D224,Tabela.cadastro[[ID]:[CP ou M]],5,0),"")</f>
        <v/>
      </c>
      <c r="H224" s="177" t="str">
        <f>IFERROR(VLOOKUP(D224,Cadastros!A:F,6,0),"")</f>
        <v/>
      </c>
      <c r="I224" s="177" t="str">
        <f>IFERROR(VLOOKUP(D224,Cadastros!A:I,9,0),"")</f>
        <v/>
      </c>
      <c r="J224" s="177" t="str">
        <f>IFERROR(VLOOKUP(D224,Cadastros!A:J,10,0),"")</f>
        <v/>
      </c>
      <c r="K224" s="177" t="str">
        <f>IF(COUNTIF(Tabela66[id],D224)=0,"",COUNTIF(Tabela66[id],D224))</f>
        <v/>
      </c>
      <c r="L224" s="198"/>
      <c r="M224" s="227" t="str">
        <f t="shared" si="15"/>
        <v/>
      </c>
      <c r="P224" s="176" t="str">
        <f>IFERROR(VLOOKUP(O224,Cadastros!A:B,2),"")</f>
        <v/>
      </c>
      <c r="Q224" s="177" t="str">
        <f t="shared" si="11"/>
        <v/>
      </c>
      <c r="R224" s="177" t="str">
        <f>IFERROR(VLOOKUP(O224,Cadastros!A:E,5,0),"")</f>
        <v/>
      </c>
      <c r="S224" s="177" t="str">
        <f>IFERROR(VLOOKUP(O224,Cadastros!A:F,6,0),"")</f>
        <v/>
      </c>
      <c r="T224" s="177" t="str">
        <f>IFERROR(VLOOKUP(O224,Cadastros!A:I,9,0),"")</f>
        <v/>
      </c>
      <c r="U224" s="177" t="str">
        <f t="shared" si="12"/>
        <v/>
      </c>
      <c r="V224" s="177" t="str">
        <f t="shared" si="13"/>
        <v/>
      </c>
      <c r="W224" s="177" t="str">
        <f t="shared" si="14"/>
        <v/>
      </c>
      <c r="Y224" s="240" t="e">
        <f t="array" ref="Y224">INDEX(Tabela.abordagens[],SMALL(IF(Tabela.abordagens[Mês]=$L$2,ROW(Tabela.abordagens[id])-2),ROW(A177)),1)</f>
        <v>#NUM!</v>
      </c>
      <c r="Z224" s="240" t="e">
        <f t="array" ref="Z224">INDEX(Tabela.abordagens[],SMALL(IF(Tabela.abordagens[Mês]=$L$2,ROW(Tabela.abordagens[Idade])-2),ROW(A177)),6)</f>
        <v>#NUM!</v>
      </c>
      <c r="AA224" s="240" t="e">
        <f t="array" ref="AA224">INDEX(Tabela.abordagens[],SMALL(IF(Tabela.abordagens[Mês]=$L$2,ROW(Tabela.abordagens[Idade])-2),ROW(A177)),4)</f>
        <v>#NUM!</v>
      </c>
      <c r="AB224" s="240" t="e">
        <f t="array" ref="AB224">INDEX(Tabela.abordagens[],SMALL(IF(Tabela.abordagens[Mês]=$L$2,ROW(Tabela.abordagens[Idade])-2),ROW(A177)),5)</f>
        <v>#NUM!</v>
      </c>
    </row>
    <row r="225" spans="2:28" ht="15" x14ac:dyDescent="0.25">
      <c r="B225" s="223" t="e">
        <f t="array" ref="B225">INDEX(Tabela.frequencia[],SMALL(IF(Tabela.frequencia[Mês]=$L$2,ROW(Tabela.frequencia[id])-1),ROW(A178)),1)</f>
        <v>#NUM!</v>
      </c>
      <c r="C225" s="229" t="e">
        <f t="array" ref="C225">INDEX(Tabela.frequencia[],SMALL(IF(Tabela.frequencia[Mês]=$L$2,ROW(Tabela.frequencia[id])-1),ROW(A178)),4)</f>
        <v>#NUM!</v>
      </c>
      <c r="E225" s="176" t="str">
        <f>IFERROR(VLOOKUP(D225,Tabela.cadastro[[ID]:[Nome]],2,0),"")</f>
        <v/>
      </c>
      <c r="F225" s="177" t="str">
        <f>IFERROR(VLOOKUP(D225,Tabela66[#All],2,0),"")</f>
        <v/>
      </c>
      <c r="G225" s="177" t="str">
        <f>IFERROR(VLOOKUP(D225,Tabela.cadastro[[ID]:[CP ou M]],5,0),"")</f>
        <v/>
      </c>
      <c r="H225" s="177" t="str">
        <f>IFERROR(VLOOKUP(D225,Cadastros!A:F,6,0),"")</f>
        <v/>
      </c>
      <c r="I225" s="177" t="str">
        <f>IFERROR(VLOOKUP(D225,Cadastros!A:I,9,0),"")</f>
        <v/>
      </c>
      <c r="J225" s="177" t="str">
        <f>IFERROR(VLOOKUP(D225,Cadastros!A:J,10,0),"")</f>
        <v/>
      </c>
      <c r="K225" s="177" t="str">
        <f>IF(COUNTIF(Tabela66[id],D225)=0,"",COUNTIF(Tabela66[id],D225))</f>
        <v/>
      </c>
      <c r="L225" s="198"/>
      <c r="M225" s="227" t="str">
        <f t="shared" si="15"/>
        <v/>
      </c>
      <c r="P225" s="176" t="str">
        <f>IFERROR(VLOOKUP(O225,Cadastros!A:B,2),"")</f>
        <v/>
      </c>
      <c r="Q225" s="177" t="str">
        <f t="shared" si="11"/>
        <v/>
      </c>
      <c r="R225" s="177" t="str">
        <f>IFERROR(VLOOKUP(O225,Cadastros!A:E,5,0),"")</f>
        <v/>
      </c>
      <c r="S225" s="177" t="str">
        <f>IFERROR(VLOOKUP(O225,Cadastros!A:F,6,0),"")</f>
        <v/>
      </c>
      <c r="T225" s="177" t="str">
        <f>IFERROR(VLOOKUP(O225,Cadastros!A:I,9,0),"")</f>
        <v/>
      </c>
      <c r="U225" s="177" t="str">
        <f t="shared" si="12"/>
        <v/>
      </c>
      <c r="V225" s="177" t="str">
        <f t="shared" si="13"/>
        <v/>
      </c>
      <c r="W225" s="177" t="str">
        <f t="shared" si="14"/>
        <v/>
      </c>
      <c r="Y225" s="240" t="e">
        <f t="array" ref="Y225">INDEX(Tabela.abordagens[],SMALL(IF(Tabela.abordagens[Mês]=$L$2,ROW(Tabela.abordagens[id])-2),ROW(A178)),1)</f>
        <v>#NUM!</v>
      </c>
      <c r="Z225" s="240" t="e">
        <f t="array" ref="Z225">INDEX(Tabela.abordagens[],SMALL(IF(Tabela.abordagens[Mês]=$L$2,ROW(Tabela.abordagens[Idade])-2),ROW(A178)),6)</f>
        <v>#NUM!</v>
      </c>
      <c r="AA225" s="240" t="e">
        <f t="array" ref="AA225">INDEX(Tabela.abordagens[],SMALL(IF(Tabela.abordagens[Mês]=$L$2,ROW(Tabela.abordagens[Idade])-2),ROW(A178)),4)</f>
        <v>#NUM!</v>
      </c>
      <c r="AB225" s="240" t="e">
        <f t="array" ref="AB225">INDEX(Tabela.abordagens[],SMALL(IF(Tabela.abordagens[Mês]=$L$2,ROW(Tabela.abordagens[Idade])-2),ROW(A178)),5)</f>
        <v>#NUM!</v>
      </c>
    </row>
    <row r="226" spans="2:28" ht="15" x14ac:dyDescent="0.25">
      <c r="B226" s="223" t="e">
        <f t="array" ref="B226">INDEX(Tabela.frequencia[],SMALL(IF(Tabela.frequencia[Mês]=$L$2,ROW(Tabela.frequencia[id])-1),ROW(A179)),1)</f>
        <v>#NUM!</v>
      </c>
      <c r="C226" s="229" t="e">
        <f t="array" ref="C226">INDEX(Tabela.frequencia[],SMALL(IF(Tabela.frequencia[Mês]=$L$2,ROW(Tabela.frequencia[id])-1),ROW(A179)),4)</f>
        <v>#NUM!</v>
      </c>
      <c r="E226" s="176" t="str">
        <f>IFERROR(VLOOKUP(D226,Tabela.cadastro[[ID]:[Nome]],2,0),"")</f>
        <v/>
      </c>
      <c r="F226" s="177" t="str">
        <f>IFERROR(VLOOKUP(D226,Tabela66[#All],2,0),"")</f>
        <v/>
      </c>
      <c r="G226" s="177" t="str">
        <f>IFERROR(VLOOKUP(D226,Tabela.cadastro[[ID]:[CP ou M]],5,0),"")</f>
        <v/>
      </c>
      <c r="H226" s="177" t="str">
        <f>IFERROR(VLOOKUP(D226,Cadastros!A:F,6,0),"")</f>
        <v/>
      </c>
      <c r="I226" s="177" t="str">
        <f>IFERROR(VLOOKUP(D226,Cadastros!A:I,9,0),"")</f>
        <v/>
      </c>
      <c r="J226" s="177" t="str">
        <f>IFERROR(VLOOKUP(D226,Cadastros!A:J,10,0),"")</f>
        <v/>
      </c>
      <c r="K226" s="177" t="str">
        <f>IF(COUNTIF(Tabela66[id],D226)=0,"",COUNTIF(Tabela66[id],D226))</f>
        <v/>
      </c>
      <c r="L226" s="198"/>
      <c r="M226" s="227" t="str">
        <f t="shared" si="15"/>
        <v/>
      </c>
      <c r="P226" s="176" t="str">
        <f>IFERROR(VLOOKUP(O226,Cadastros!A:B,2),"")</f>
        <v/>
      </c>
      <c r="Q226" s="177" t="str">
        <f t="shared" ref="Q226:Q289" si="16">IFERROR(VLOOKUP(O226,$Y$33:$Z$866,2,0),"")</f>
        <v/>
      </c>
      <c r="R226" s="177" t="str">
        <f>IFERROR(VLOOKUP(O226,Cadastros!A:E,5,0),"")</f>
        <v/>
      </c>
      <c r="S226" s="177" t="str">
        <f>IFERROR(VLOOKUP(O226,Cadastros!A:F,6,0),"")</f>
        <v/>
      </c>
      <c r="T226" s="177" t="str">
        <f>IFERROR(VLOOKUP(O226,Cadastros!A:I,9,0),"")</f>
        <v/>
      </c>
      <c r="U226" s="177" t="str">
        <f t="shared" ref="U226:U289" si="17">IFERROR(VLOOKUP(O226,Y$33:AB$866,3,0),"")</f>
        <v/>
      </c>
      <c r="V226" s="177" t="str">
        <f t="shared" ref="V226:V289" si="18">IFERROR(VLOOKUP(O226,Y$33:AB$866,4,0),"")</f>
        <v/>
      </c>
      <c r="W226" s="177" t="str">
        <f t="shared" ref="W226:W289" si="19">IF(COUNTIF(Y$33:Y$866,O226)=0,"",COUNTIF(Y$33:Y$866,O226))</f>
        <v/>
      </c>
      <c r="Y226" s="240" t="e">
        <f t="array" ref="Y226">INDEX(Tabela.abordagens[],SMALL(IF(Tabela.abordagens[Mês]=$L$2,ROW(Tabela.abordagens[id])-2),ROW(A179)),1)</f>
        <v>#NUM!</v>
      </c>
      <c r="Z226" s="240" t="e">
        <f t="array" ref="Z226">INDEX(Tabela.abordagens[],SMALL(IF(Tabela.abordagens[Mês]=$L$2,ROW(Tabela.abordagens[Idade])-2),ROW(A179)),6)</f>
        <v>#NUM!</v>
      </c>
      <c r="AA226" s="240" t="e">
        <f t="array" ref="AA226">INDEX(Tabela.abordagens[],SMALL(IF(Tabela.abordagens[Mês]=$L$2,ROW(Tabela.abordagens[Idade])-2),ROW(A179)),4)</f>
        <v>#NUM!</v>
      </c>
      <c r="AB226" s="240" t="e">
        <f t="array" ref="AB226">INDEX(Tabela.abordagens[],SMALL(IF(Tabela.abordagens[Mês]=$L$2,ROW(Tabela.abordagens[Idade])-2),ROW(A179)),5)</f>
        <v>#NUM!</v>
      </c>
    </row>
    <row r="227" spans="2:28" ht="15" x14ac:dyDescent="0.25">
      <c r="B227" s="223" t="e">
        <f t="array" ref="B227">INDEX(Tabela.frequencia[],SMALL(IF(Tabela.frequencia[Mês]=$L$2,ROW(Tabela.frequencia[id])-1),ROW(A180)),1)</f>
        <v>#NUM!</v>
      </c>
      <c r="C227" s="229" t="e">
        <f t="array" ref="C227">INDEX(Tabela.frequencia[],SMALL(IF(Tabela.frequencia[Mês]=$L$2,ROW(Tabela.frequencia[id])-1),ROW(A180)),4)</f>
        <v>#NUM!</v>
      </c>
      <c r="E227" s="176" t="str">
        <f>IFERROR(VLOOKUP(D227,Tabela.cadastro[[ID]:[Nome]],2,0),"")</f>
        <v/>
      </c>
      <c r="F227" s="177" t="str">
        <f>IFERROR(VLOOKUP(D227,Tabela66[#All],2,0),"")</f>
        <v/>
      </c>
      <c r="G227" s="177" t="str">
        <f>IFERROR(VLOOKUP(D227,Tabela.cadastro[[ID]:[CP ou M]],5,0),"")</f>
        <v/>
      </c>
      <c r="H227" s="177" t="str">
        <f>IFERROR(VLOOKUP(D227,Cadastros!A:F,6,0),"")</f>
        <v/>
      </c>
      <c r="I227" s="177" t="str">
        <f>IFERROR(VLOOKUP(D227,Cadastros!A:I,9,0),"")</f>
        <v/>
      </c>
      <c r="J227" s="177" t="str">
        <f>IFERROR(VLOOKUP(D227,Cadastros!A:J,10,0),"")</f>
        <v/>
      </c>
      <c r="K227" s="177" t="str">
        <f>IF(COUNTIF(Tabela66[id],D227)=0,"",COUNTIF(Tabela66[id],D227))</f>
        <v/>
      </c>
      <c r="L227" s="198"/>
      <c r="M227" s="227" t="str">
        <f t="shared" si="15"/>
        <v/>
      </c>
      <c r="P227" s="176" t="str">
        <f>IFERROR(VLOOKUP(O227,Cadastros!A:B,2),"")</f>
        <v/>
      </c>
      <c r="Q227" s="177" t="str">
        <f t="shared" si="16"/>
        <v/>
      </c>
      <c r="R227" s="177" t="str">
        <f>IFERROR(VLOOKUP(O227,Cadastros!A:E,5,0),"")</f>
        <v/>
      </c>
      <c r="S227" s="177" t="str">
        <f>IFERROR(VLOOKUP(O227,Cadastros!A:F,6,0),"")</f>
        <v/>
      </c>
      <c r="T227" s="177" t="str">
        <f>IFERROR(VLOOKUP(O227,Cadastros!A:I,9,0),"")</f>
        <v/>
      </c>
      <c r="U227" s="177" t="str">
        <f t="shared" si="17"/>
        <v/>
      </c>
      <c r="V227" s="177" t="str">
        <f t="shared" si="18"/>
        <v/>
      </c>
      <c r="W227" s="177" t="str">
        <f t="shared" si="19"/>
        <v/>
      </c>
      <c r="Y227" s="240" t="e">
        <f t="array" ref="Y227">INDEX(Tabela.abordagens[],SMALL(IF(Tabela.abordagens[Mês]=$L$2,ROW(Tabela.abordagens[id])-2),ROW(A180)),1)</f>
        <v>#NUM!</v>
      </c>
      <c r="Z227" s="240" t="e">
        <f t="array" ref="Z227">INDEX(Tabela.abordagens[],SMALL(IF(Tabela.abordagens[Mês]=$L$2,ROW(Tabela.abordagens[Idade])-2),ROW(A180)),6)</f>
        <v>#NUM!</v>
      </c>
      <c r="AA227" s="240" t="e">
        <f t="array" ref="AA227">INDEX(Tabela.abordagens[],SMALL(IF(Tabela.abordagens[Mês]=$L$2,ROW(Tabela.abordagens[Idade])-2),ROW(A180)),4)</f>
        <v>#NUM!</v>
      </c>
      <c r="AB227" s="240" t="e">
        <f t="array" ref="AB227">INDEX(Tabela.abordagens[],SMALL(IF(Tabela.abordagens[Mês]=$L$2,ROW(Tabela.abordagens[Idade])-2),ROW(A180)),5)</f>
        <v>#NUM!</v>
      </c>
    </row>
    <row r="228" spans="2:28" ht="15" x14ac:dyDescent="0.25">
      <c r="B228" s="223" t="e">
        <f t="array" ref="B228">INDEX(Tabela.frequencia[],SMALL(IF(Tabela.frequencia[Mês]=$L$2,ROW(Tabela.frequencia[id])-1),ROW(A181)),1)</f>
        <v>#NUM!</v>
      </c>
      <c r="C228" s="229" t="e">
        <f t="array" ref="C228">INDEX(Tabela.frequencia[],SMALL(IF(Tabela.frequencia[Mês]=$L$2,ROW(Tabela.frequencia[id])-1),ROW(A181)),4)</f>
        <v>#NUM!</v>
      </c>
      <c r="E228" s="176" t="str">
        <f>IFERROR(VLOOKUP(D228,Tabela.cadastro[[ID]:[Nome]],2,0),"")</f>
        <v/>
      </c>
      <c r="F228" s="177" t="str">
        <f>IFERROR(VLOOKUP(D228,Tabela66[#All],2,0),"")</f>
        <v/>
      </c>
      <c r="G228" s="177" t="str">
        <f>IFERROR(VLOOKUP(D228,Tabela.cadastro[[ID]:[CP ou M]],5,0),"")</f>
        <v/>
      </c>
      <c r="H228" s="177" t="str">
        <f>IFERROR(VLOOKUP(D228,Cadastros!A:F,6,0),"")</f>
        <v/>
      </c>
      <c r="I228" s="177" t="str">
        <f>IFERROR(VLOOKUP(D228,Cadastros!A:I,9,0),"")</f>
        <v/>
      </c>
      <c r="J228" s="177" t="str">
        <f>IFERROR(VLOOKUP(D228,Cadastros!A:J,10,0),"")</f>
        <v/>
      </c>
      <c r="K228" s="177" t="str">
        <f>IF(COUNTIF(Tabela66[id],D228)=0,"",COUNTIF(Tabela66[id],D228))</f>
        <v/>
      </c>
      <c r="L228" s="198"/>
      <c r="M228" s="227" t="str">
        <f t="shared" si="15"/>
        <v/>
      </c>
      <c r="P228" s="176" t="str">
        <f>IFERROR(VLOOKUP(O228,Cadastros!A:B,2),"")</f>
        <v/>
      </c>
      <c r="Q228" s="177" t="str">
        <f t="shared" si="16"/>
        <v/>
      </c>
      <c r="R228" s="177" t="str">
        <f>IFERROR(VLOOKUP(O228,Cadastros!A:E,5,0),"")</f>
        <v/>
      </c>
      <c r="S228" s="177" t="str">
        <f>IFERROR(VLOOKUP(O228,Cadastros!A:F,6,0),"")</f>
        <v/>
      </c>
      <c r="T228" s="177" t="str">
        <f>IFERROR(VLOOKUP(O228,Cadastros!A:I,9,0),"")</f>
        <v/>
      </c>
      <c r="U228" s="177" t="str">
        <f t="shared" si="17"/>
        <v/>
      </c>
      <c r="V228" s="177" t="str">
        <f t="shared" si="18"/>
        <v/>
      </c>
      <c r="W228" s="177" t="str">
        <f t="shared" si="19"/>
        <v/>
      </c>
      <c r="Y228" s="240" t="e">
        <f t="array" ref="Y228">INDEX(Tabela.abordagens[],SMALL(IF(Tabela.abordagens[Mês]=$L$2,ROW(Tabela.abordagens[id])-2),ROW(A181)),1)</f>
        <v>#NUM!</v>
      </c>
      <c r="Z228" s="240" t="e">
        <f t="array" ref="Z228">INDEX(Tabela.abordagens[],SMALL(IF(Tabela.abordagens[Mês]=$L$2,ROW(Tabela.abordagens[Idade])-2),ROW(A181)),6)</f>
        <v>#NUM!</v>
      </c>
      <c r="AA228" s="240" t="e">
        <f t="array" ref="AA228">INDEX(Tabela.abordagens[],SMALL(IF(Tabela.abordagens[Mês]=$L$2,ROW(Tabela.abordagens[Idade])-2),ROW(A181)),4)</f>
        <v>#NUM!</v>
      </c>
      <c r="AB228" s="240" t="e">
        <f t="array" ref="AB228">INDEX(Tabela.abordagens[],SMALL(IF(Tabela.abordagens[Mês]=$L$2,ROW(Tabela.abordagens[Idade])-2),ROW(A181)),5)</f>
        <v>#NUM!</v>
      </c>
    </row>
    <row r="229" spans="2:28" ht="15" x14ac:dyDescent="0.25">
      <c r="B229" s="223" t="e">
        <f t="array" ref="B229">INDEX(Tabela.frequencia[],SMALL(IF(Tabela.frequencia[Mês]=$L$2,ROW(Tabela.frequencia[id])-1),ROW(A182)),1)</f>
        <v>#NUM!</v>
      </c>
      <c r="C229" s="229" t="e">
        <f t="array" ref="C229">INDEX(Tabela.frequencia[],SMALL(IF(Tabela.frequencia[Mês]=$L$2,ROW(Tabela.frequencia[id])-1),ROW(A182)),4)</f>
        <v>#NUM!</v>
      </c>
      <c r="E229" s="176" t="str">
        <f>IFERROR(VLOOKUP(D229,Tabela.cadastro[[ID]:[Nome]],2,0),"")</f>
        <v/>
      </c>
      <c r="F229" s="177" t="str">
        <f>IFERROR(VLOOKUP(D229,Tabela66[#All],2,0),"")</f>
        <v/>
      </c>
      <c r="G229" s="177" t="str">
        <f>IFERROR(VLOOKUP(D229,Tabela.cadastro[[ID]:[CP ou M]],5,0),"")</f>
        <v/>
      </c>
      <c r="H229" s="177" t="str">
        <f>IFERROR(VLOOKUP(D229,Cadastros!A:F,6,0),"")</f>
        <v/>
      </c>
      <c r="I229" s="177" t="str">
        <f>IFERROR(VLOOKUP(D229,Cadastros!A:I,9,0),"")</f>
        <v/>
      </c>
      <c r="J229" s="177" t="str">
        <f>IFERROR(VLOOKUP(D229,Cadastros!A:J,10,0),"")</f>
        <v/>
      </c>
      <c r="K229" s="177" t="str">
        <f>IF(COUNTIF(Tabela66[id],D229)=0,"",COUNTIF(Tabela66[id],D229))</f>
        <v/>
      </c>
      <c r="L229" s="198"/>
      <c r="M229" s="227" t="str">
        <f t="shared" si="15"/>
        <v/>
      </c>
      <c r="P229" s="176" t="str">
        <f>IFERROR(VLOOKUP(O229,Cadastros!A:B,2),"")</f>
        <v/>
      </c>
      <c r="Q229" s="177" t="str">
        <f t="shared" si="16"/>
        <v/>
      </c>
      <c r="R229" s="177" t="str">
        <f>IFERROR(VLOOKUP(O229,Cadastros!A:E,5,0),"")</f>
        <v/>
      </c>
      <c r="S229" s="177" t="str">
        <f>IFERROR(VLOOKUP(O229,Cadastros!A:F,6,0),"")</f>
        <v/>
      </c>
      <c r="T229" s="177" t="str">
        <f>IFERROR(VLOOKUP(O229,Cadastros!A:I,9,0),"")</f>
        <v/>
      </c>
      <c r="U229" s="177" t="str">
        <f t="shared" si="17"/>
        <v/>
      </c>
      <c r="V229" s="177" t="str">
        <f t="shared" si="18"/>
        <v/>
      </c>
      <c r="W229" s="177" t="str">
        <f t="shared" si="19"/>
        <v/>
      </c>
      <c r="Y229" s="240" t="e">
        <f t="array" ref="Y229">INDEX(Tabela.abordagens[],SMALL(IF(Tabela.abordagens[Mês]=$L$2,ROW(Tabela.abordagens[id])-2),ROW(A182)),1)</f>
        <v>#NUM!</v>
      </c>
      <c r="Z229" s="240" t="e">
        <f t="array" ref="Z229">INDEX(Tabela.abordagens[],SMALL(IF(Tabela.abordagens[Mês]=$L$2,ROW(Tabela.abordagens[Idade])-2),ROW(A182)),6)</f>
        <v>#NUM!</v>
      </c>
      <c r="AA229" s="240" t="e">
        <f t="array" ref="AA229">INDEX(Tabela.abordagens[],SMALL(IF(Tabela.abordagens[Mês]=$L$2,ROW(Tabela.abordagens[Idade])-2),ROW(A182)),4)</f>
        <v>#NUM!</v>
      </c>
      <c r="AB229" s="240" t="e">
        <f t="array" ref="AB229">INDEX(Tabela.abordagens[],SMALL(IF(Tabela.abordagens[Mês]=$L$2,ROW(Tabela.abordagens[Idade])-2),ROW(A182)),5)</f>
        <v>#NUM!</v>
      </c>
    </row>
    <row r="230" spans="2:28" ht="15" x14ac:dyDescent="0.25">
      <c r="B230" s="223" t="e">
        <f t="array" ref="B230">INDEX(Tabela.frequencia[],SMALL(IF(Tabela.frequencia[Mês]=$L$2,ROW(Tabela.frequencia[id])-1),ROW(A183)),1)</f>
        <v>#NUM!</v>
      </c>
      <c r="C230" s="229" t="e">
        <f t="array" ref="C230">INDEX(Tabela.frequencia[],SMALL(IF(Tabela.frequencia[Mês]=$L$2,ROW(Tabela.frequencia[id])-1),ROW(A183)),4)</f>
        <v>#NUM!</v>
      </c>
      <c r="E230" s="176" t="str">
        <f>IFERROR(VLOOKUP(D230,Tabela.cadastro[[ID]:[Nome]],2,0),"")</f>
        <v/>
      </c>
      <c r="F230" s="177" t="str">
        <f>IFERROR(VLOOKUP(D230,Tabela66[#All],2,0),"")</f>
        <v/>
      </c>
      <c r="G230" s="177" t="str">
        <f>IFERROR(VLOOKUP(D230,Tabela.cadastro[[ID]:[CP ou M]],5,0),"")</f>
        <v/>
      </c>
      <c r="H230" s="177" t="str">
        <f>IFERROR(VLOOKUP(D230,Cadastros!A:F,6,0),"")</f>
        <v/>
      </c>
      <c r="I230" s="177" t="str">
        <f>IFERROR(VLOOKUP(D230,Cadastros!A:I,9,0),"")</f>
        <v/>
      </c>
      <c r="J230" s="177" t="str">
        <f>IFERROR(VLOOKUP(D230,Cadastros!A:J,10,0),"")</f>
        <v/>
      </c>
      <c r="K230" s="177" t="str">
        <f>IF(COUNTIF(Tabela66[id],D230)=0,"",COUNTIF(Tabela66[id],D230))</f>
        <v/>
      </c>
      <c r="L230" s="198"/>
      <c r="M230" s="227" t="str">
        <f t="shared" si="15"/>
        <v/>
      </c>
      <c r="P230" s="176" t="str">
        <f>IFERROR(VLOOKUP(O230,Cadastros!A:B,2),"")</f>
        <v/>
      </c>
      <c r="Q230" s="177" t="str">
        <f t="shared" si="16"/>
        <v/>
      </c>
      <c r="R230" s="177" t="str">
        <f>IFERROR(VLOOKUP(O230,Cadastros!A:E,5,0),"")</f>
        <v/>
      </c>
      <c r="S230" s="177" t="str">
        <f>IFERROR(VLOOKUP(O230,Cadastros!A:F,6,0),"")</f>
        <v/>
      </c>
      <c r="T230" s="177" t="str">
        <f>IFERROR(VLOOKUP(O230,Cadastros!A:I,9,0),"")</f>
        <v/>
      </c>
      <c r="U230" s="177" t="str">
        <f t="shared" si="17"/>
        <v/>
      </c>
      <c r="V230" s="177" t="str">
        <f t="shared" si="18"/>
        <v/>
      </c>
      <c r="W230" s="177" t="str">
        <f t="shared" si="19"/>
        <v/>
      </c>
      <c r="Y230" s="240" t="e">
        <f t="array" ref="Y230">INDEX(Tabela.abordagens[],SMALL(IF(Tabela.abordagens[Mês]=$L$2,ROW(Tabela.abordagens[id])-2),ROW(A183)),1)</f>
        <v>#NUM!</v>
      </c>
      <c r="Z230" s="240" t="e">
        <f t="array" ref="Z230">INDEX(Tabela.abordagens[],SMALL(IF(Tabela.abordagens[Mês]=$L$2,ROW(Tabela.abordagens[Idade])-2),ROW(A183)),6)</f>
        <v>#NUM!</v>
      </c>
      <c r="AA230" s="240" t="e">
        <f t="array" ref="AA230">INDEX(Tabela.abordagens[],SMALL(IF(Tabela.abordagens[Mês]=$L$2,ROW(Tabela.abordagens[Idade])-2),ROW(A183)),4)</f>
        <v>#NUM!</v>
      </c>
      <c r="AB230" s="240" t="e">
        <f t="array" ref="AB230">INDEX(Tabela.abordagens[],SMALL(IF(Tabela.abordagens[Mês]=$L$2,ROW(Tabela.abordagens[Idade])-2),ROW(A183)),5)</f>
        <v>#NUM!</v>
      </c>
    </row>
    <row r="231" spans="2:28" ht="15" x14ac:dyDescent="0.25">
      <c r="B231" s="223" t="e">
        <f t="array" ref="B231">INDEX(Tabela.frequencia[],SMALL(IF(Tabela.frequencia[Mês]=$L$2,ROW(Tabela.frequencia[id])-1),ROW(A184)),1)</f>
        <v>#NUM!</v>
      </c>
      <c r="C231" s="229" t="e">
        <f t="array" ref="C231">INDEX(Tabela.frequencia[],SMALL(IF(Tabela.frequencia[Mês]=$L$2,ROW(Tabela.frequencia[id])-1),ROW(A184)),4)</f>
        <v>#NUM!</v>
      </c>
      <c r="E231" s="176" t="str">
        <f>IFERROR(VLOOKUP(D231,Tabela.cadastro[[ID]:[Nome]],2,0),"")</f>
        <v/>
      </c>
      <c r="F231" s="177" t="str">
        <f>IFERROR(VLOOKUP(D231,Tabela66[#All],2,0),"")</f>
        <v/>
      </c>
      <c r="G231" s="177" t="str">
        <f>IFERROR(VLOOKUP(D231,Tabela.cadastro[[ID]:[CP ou M]],5,0),"")</f>
        <v/>
      </c>
      <c r="H231" s="177" t="str">
        <f>IFERROR(VLOOKUP(D231,Cadastros!A:F,6,0),"")</f>
        <v/>
      </c>
      <c r="I231" s="177" t="str">
        <f>IFERROR(VLOOKUP(D231,Cadastros!A:I,9,0),"")</f>
        <v/>
      </c>
      <c r="J231" s="177" t="str">
        <f>IFERROR(VLOOKUP(D231,Cadastros!A:J,10,0),"")</f>
        <v/>
      </c>
      <c r="K231" s="177" t="str">
        <f>IF(COUNTIF(Tabela66[id],D231)=0,"",COUNTIF(Tabela66[id],D231))</f>
        <v/>
      </c>
      <c r="L231" s="198"/>
      <c r="M231" s="227" t="str">
        <f t="shared" si="15"/>
        <v/>
      </c>
      <c r="P231" s="176" t="str">
        <f>IFERROR(VLOOKUP(O231,Cadastros!A:B,2),"")</f>
        <v/>
      </c>
      <c r="Q231" s="177" t="str">
        <f t="shared" si="16"/>
        <v/>
      </c>
      <c r="R231" s="177" t="str">
        <f>IFERROR(VLOOKUP(O231,Cadastros!A:E,5,0),"")</f>
        <v/>
      </c>
      <c r="S231" s="177" t="str">
        <f>IFERROR(VLOOKUP(O231,Cadastros!A:F,6,0),"")</f>
        <v/>
      </c>
      <c r="T231" s="177" t="str">
        <f>IFERROR(VLOOKUP(O231,Cadastros!A:I,9,0),"")</f>
        <v/>
      </c>
      <c r="U231" s="177" t="str">
        <f t="shared" si="17"/>
        <v/>
      </c>
      <c r="V231" s="177" t="str">
        <f t="shared" si="18"/>
        <v/>
      </c>
      <c r="W231" s="177" t="str">
        <f t="shared" si="19"/>
        <v/>
      </c>
      <c r="Y231" s="240" t="e">
        <f t="array" ref="Y231">INDEX(Tabela.abordagens[],SMALL(IF(Tabela.abordagens[Mês]=$L$2,ROW(Tabela.abordagens[id])-2),ROW(A184)),1)</f>
        <v>#NUM!</v>
      </c>
      <c r="Z231" s="240" t="e">
        <f t="array" ref="Z231">INDEX(Tabela.abordagens[],SMALL(IF(Tabela.abordagens[Mês]=$L$2,ROW(Tabela.abordagens[Idade])-2),ROW(A184)),6)</f>
        <v>#NUM!</v>
      </c>
      <c r="AA231" s="240" t="e">
        <f t="array" ref="AA231">INDEX(Tabela.abordagens[],SMALL(IF(Tabela.abordagens[Mês]=$L$2,ROW(Tabela.abordagens[Idade])-2),ROW(A184)),4)</f>
        <v>#NUM!</v>
      </c>
      <c r="AB231" s="240" t="e">
        <f t="array" ref="AB231">INDEX(Tabela.abordagens[],SMALL(IF(Tabela.abordagens[Mês]=$L$2,ROW(Tabela.abordagens[Idade])-2),ROW(A184)),5)</f>
        <v>#NUM!</v>
      </c>
    </row>
    <row r="232" spans="2:28" ht="15" x14ac:dyDescent="0.25">
      <c r="B232" s="223" t="e">
        <f t="array" ref="B232">INDEX(Tabela.frequencia[],SMALL(IF(Tabela.frequencia[Mês]=$L$2,ROW(Tabela.frequencia[id])-1),ROW(A185)),1)</f>
        <v>#NUM!</v>
      </c>
      <c r="C232" s="229" t="e">
        <f t="array" ref="C232">INDEX(Tabela.frequencia[],SMALL(IF(Tabela.frequencia[Mês]=$L$2,ROW(Tabela.frequencia[id])-1),ROW(A185)),4)</f>
        <v>#NUM!</v>
      </c>
      <c r="E232" s="176" t="str">
        <f>IFERROR(VLOOKUP(D232,Tabela.cadastro[[ID]:[Nome]],2,0),"")</f>
        <v/>
      </c>
      <c r="F232" s="177" t="str">
        <f>IFERROR(VLOOKUP(D232,Tabela66[#All],2,0),"")</f>
        <v/>
      </c>
      <c r="G232" s="177" t="str">
        <f>IFERROR(VLOOKUP(D232,Tabela.cadastro[[ID]:[CP ou M]],5,0),"")</f>
        <v/>
      </c>
      <c r="H232" s="177" t="str">
        <f>IFERROR(VLOOKUP(D232,Cadastros!A:F,6,0),"")</f>
        <v/>
      </c>
      <c r="I232" s="177" t="str">
        <f>IFERROR(VLOOKUP(D232,Cadastros!A:I,9,0),"")</f>
        <v/>
      </c>
      <c r="J232" s="177" t="str">
        <f>IFERROR(VLOOKUP(D232,Cadastros!A:J,10,0),"")</f>
        <v/>
      </c>
      <c r="K232" s="177" t="str">
        <f>IF(COUNTIF(Tabela66[id],D232)=0,"",COUNTIF(Tabela66[id],D232))</f>
        <v/>
      </c>
      <c r="L232" s="198"/>
      <c r="M232" s="227" t="str">
        <f t="shared" si="15"/>
        <v/>
      </c>
      <c r="P232" s="176" t="str">
        <f>IFERROR(VLOOKUP(O232,Cadastros!A:B,2),"")</f>
        <v/>
      </c>
      <c r="Q232" s="177" t="str">
        <f t="shared" si="16"/>
        <v/>
      </c>
      <c r="R232" s="177" t="str">
        <f>IFERROR(VLOOKUP(O232,Cadastros!A:E,5,0),"")</f>
        <v/>
      </c>
      <c r="S232" s="177" t="str">
        <f>IFERROR(VLOOKUP(O232,Cadastros!A:F,6,0),"")</f>
        <v/>
      </c>
      <c r="T232" s="177" t="str">
        <f>IFERROR(VLOOKUP(O232,Cadastros!A:I,9,0),"")</f>
        <v/>
      </c>
      <c r="U232" s="177" t="str">
        <f t="shared" si="17"/>
        <v/>
      </c>
      <c r="V232" s="177" t="str">
        <f t="shared" si="18"/>
        <v/>
      </c>
      <c r="W232" s="177" t="str">
        <f t="shared" si="19"/>
        <v/>
      </c>
      <c r="Y232" s="240" t="e">
        <f t="array" ref="Y232">INDEX(Tabela.abordagens[],SMALL(IF(Tabela.abordagens[Mês]=$L$2,ROW(Tabela.abordagens[id])-2),ROW(A185)),1)</f>
        <v>#NUM!</v>
      </c>
      <c r="Z232" s="240" t="e">
        <f t="array" ref="Z232">INDEX(Tabela.abordagens[],SMALL(IF(Tabela.abordagens[Mês]=$L$2,ROW(Tabela.abordagens[Idade])-2),ROW(A185)),6)</f>
        <v>#NUM!</v>
      </c>
      <c r="AA232" s="240" t="e">
        <f t="array" ref="AA232">INDEX(Tabela.abordagens[],SMALL(IF(Tabela.abordagens[Mês]=$L$2,ROW(Tabela.abordagens[Idade])-2),ROW(A185)),4)</f>
        <v>#NUM!</v>
      </c>
      <c r="AB232" s="240" t="e">
        <f t="array" ref="AB232">INDEX(Tabela.abordagens[],SMALL(IF(Tabela.abordagens[Mês]=$L$2,ROW(Tabela.abordagens[Idade])-2),ROW(A185)),5)</f>
        <v>#NUM!</v>
      </c>
    </row>
    <row r="233" spans="2:28" ht="15" x14ac:dyDescent="0.25">
      <c r="B233" s="223" t="e">
        <f t="array" ref="B233">INDEX(Tabela.frequencia[],SMALL(IF(Tabela.frequencia[Mês]=$L$2,ROW(Tabela.frequencia[id])-1),ROW(A186)),1)</f>
        <v>#NUM!</v>
      </c>
      <c r="C233" s="229" t="e">
        <f t="array" ref="C233">INDEX(Tabela.frequencia[],SMALL(IF(Tabela.frequencia[Mês]=$L$2,ROW(Tabela.frequencia[id])-1),ROW(A186)),4)</f>
        <v>#NUM!</v>
      </c>
      <c r="E233" s="176" t="str">
        <f>IFERROR(VLOOKUP(D233,Tabela.cadastro[[ID]:[Nome]],2,0),"")</f>
        <v/>
      </c>
      <c r="F233" s="177" t="str">
        <f>IFERROR(VLOOKUP(D233,Tabela66[#All],2,0),"")</f>
        <v/>
      </c>
      <c r="G233" s="177" t="str">
        <f>IFERROR(VLOOKUP(D233,Tabela.cadastro[[ID]:[CP ou M]],5,0),"")</f>
        <v/>
      </c>
      <c r="H233" s="177" t="str">
        <f>IFERROR(VLOOKUP(D233,Cadastros!A:F,6,0),"")</f>
        <v/>
      </c>
      <c r="I233" s="177" t="str">
        <f>IFERROR(VLOOKUP(D233,Cadastros!A:I,9,0),"")</f>
        <v/>
      </c>
      <c r="J233" s="177" t="str">
        <f>IFERROR(VLOOKUP(D233,Cadastros!A:J,10,0),"")</f>
        <v/>
      </c>
      <c r="K233" s="177" t="str">
        <f>IF(COUNTIF(Tabela66[id],D233)=0,"",COUNTIF(Tabela66[id],D233))</f>
        <v/>
      </c>
      <c r="L233" s="198"/>
      <c r="M233" s="227" t="str">
        <f t="shared" si="15"/>
        <v/>
      </c>
      <c r="P233" s="176" t="str">
        <f>IFERROR(VLOOKUP(O233,Cadastros!A:B,2),"")</f>
        <v/>
      </c>
      <c r="Q233" s="177" t="str">
        <f t="shared" si="16"/>
        <v/>
      </c>
      <c r="R233" s="177" t="str">
        <f>IFERROR(VLOOKUP(O233,Cadastros!A:E,5,0),"")</f>
        <v/>
      </c>
      <c r="S233" s="177" t="str">
        <f>IFERROR(VLOOKUP(O233,Cadastros!A:F,6,0),"")</f>
        <v/>
      </c>
      <c r="T233" s="177" t="str">
        <f>IFERROR(VLOOKUP(O233,Cadastros!A:I,9,0),"")</f>
        <v/>
      </c>
      <c r="U233" s="177" t="str">
        <f t="shared" si="17"/>
        <v/>
      </c>
      <c r="V233" s="177" t="str">
        <f t="shared" si="18"/>
        <v/>
      </c>
      <c r="W233" s="177" t="str">
        <f t="shared" si="19"/>
        <v/>
      </c>
      <c r="Y233" s="240" t="e">
        <f t="array" ref="Y233">INDEX(Tabela.abordagens[],SMALL(IF(Tabela.abordagens[Mês]=$L$2,ROW(Tabela.abordagens[id])-2),ROW(A186)),1)</f>
        <v>#NUM!</v>
      </c>
      <c r="Z233" s="240" t="e">
        <f t="array" ref="Z233">INDEX(Tabela.abordagens[],SMALL(IF(Tabela.abordagens[Mês]=$L$2,ROW(Tabela.abordagens[Idade])-2),ROW(A186)),6)</f>
        <v>#NUM!</v>
      </c>
      <c r="AA233" s="240" t="e">
        <f t="array" ref="AA233">INDEX(Tabela.abordagens[],SMALL(IF(Tabela.abordagens[Mês]=$L$2,ROW(Tabela.abordagens[Idade])-2),ROW(A186)),4)</f>
        <v>#NUM!</v>
      </c>
      <c r="AB233" s="240" t="e">
        <f t="array" ref="AB233">INDEX(Tabela.abordagens[],SMALL(IF(Tabela.abordagens[Mês]=$L$2,ROW(Tabela.abordagens[Idade])-2),ROW(A186)),5)</f>
        <v>#NUM!</v>
      </c>
    </row>
    <row r="234" spans="2:28" ht="15" x14ac:dyDescent="0.25">
      <c r="B234" s="223" t="e">
        <f t="array" ref="B234">INDEX(Tabela.frequencia[],SMALL(IF(Tabela.frequencia[Mês]=$L$2,ROW(Tabela.frequencia[id])-1),ROW(A187)),1)</f>
        <v>#NUM!</v>
      </c>
      <c r="C234" s="229" t="e">
        <f t="array" ref="C234">INDEX(Tabela.frequencia[],SMALL(IF(Tabela.frequencia[Mês]=$L$2,ROW(Tabela.frequencia[id])-1),ROW(A187)),4)</f>
        <v>#NUM!</v>
      </c>
      <c r="E234" s="176" t="str">
        <f>IFERROR(VLOOKUP(D234,Tabela.cadastro[[ID]:[Nome]],2,0),"")</f>
        <v/>
      </c>
      <c r="F234" s="177" t="str">
        <f>IFERROR(VLOOKUP(D234,Tabela66[#All],2,0),"")</f>
        <v/>
      </c>
      <c r="G234" s="177" t="str">
        <f>IFERROR(VLOOKUP(D234,Tabela.cadastro[[ID]:[CP ou M]],5,0),"")</f>
        <v/>
      </c>
      <c r="H234" s="177" t="str">
        <f>IFERROR(VLOOKUP(D234,Cadastros!A:F,6,0),"")</f>
        <v/>
      </c>
      <c r="I234" s="177" t="str">
        <f>IFERROR(VLOOKUP(D234,Cadastros!A:I,9,0),"")</f>
        <v/>
      </c>
      <c r="J234" s="177" t="str">
        <f>IFERROR(VLOOKUP(D234,Cadastros!A:J,10,0),"")</f>
        <v/>
      </c>
      <c r="K234" s="177" t="str">
        <f>IF(COUNTIF(Tabela66[id],D234)=0,"",COUNTIF(Tabela66[id],D234))</f>
        <v/>
      </c>
      <c r="L234" s="198"/>
      <c r="M234" s="227" t="str">
        <f t="shared" ref="M234:M297" si="20">IF(AND(K234:K1065&gt;=5,L234:L1065="Não"),"*","")</f>
        <v/>
      </c>
      <c r="P234" s="176" t="str">
        <f>IFERROR(VLOOKUP(O234,Cadastros!A:B,2),"")</f>
        <v/>
      </c>
      <c r="Q234" s="177" t="str">
        <f t="shared" si="16"/>
        <v/>
      </c>
      <c r="R234" s="177" t="str">
        <f>IFERROR(VLOOKUP(O234,Cadastros!A:E,5,0),"")</f>
        <v/>
      </c>
      <c r="S234" s="177" t="str">
        <f>IFERROR(VLOOKUP(O234,Cadastros!A:F,6,0),"")</f>
        <v/>
      </c>
      <c r="T234" s="177" t="str">
        <f>IFERROR(VLOOKUP(O234,Cadastros!A:I,9,0),"")</f>
        <v/>
      </c>
      <c r="U234" s="177" t="str">
        <f t="shared" si="17"/>
        <v/>
      </c>
      <c r="V234" s="177" t="str">
        <f t="shared" si="18"/>
        <v/>
      </c>
      <c r="W234" s="177" t="str">
        <f t="shared" si="19"/>
        <v/>
      </c>
      <c r="Y234" s="240" t="e">
        <f t="array" ref="Y234">INDEX(Tabela.abordagens[],SMALL(IF(Tabela.abordagens[Mês]=$L$2,ROW(Tabela.abordagens[id])-2),ROW(A187)),1)</f>
        <v>#NUM!</v>
      </c>
      <c r="Z234" s="240" t="e">
        <f t="array" ref="Z234">INDEX(Tabela.abordagens[],SMALL(IF(Tabela.abordagens[Mês]=$L$2,ROW(Tabela.abordagens[Idade])-2),ROW(A187)),6)</f>
        <v>#NUM!</v>
      </c>
      <c r="AA234" s="240" t="e">
        <f t="array" ref="AA234">INDEX(Tabela.abordagens[],SMALL(IF(Tabela.abordagens[Mês]=$L$2,ROW(Tabela.abordagens[Idade])-2),ROW(A187)),4)</f>
        <v>#NUM!</v>
      </c>
      <c r="AB234" s="240" t="e">
        <f t="array" ref="AB234">INDEX(Tabela.abordagens[],SMALL(IF(Tabela.abordagens[Mês]=$L$2,ROW(Tabela.abordagens[Idade])-2),ROW(A187)),5)</f>
        <v>#NUM!</v>
      </c>
    </row>
    <row r="235" spans="2:28" ht="15" x14ac:dyDescent="0.25">
      <c r="B235" s="223" t="e">
        <f t="array" ref="B235">INDEX(Tabela.frequencia[],SMALL(IF(Tabela.frequencia[Mês]=$L$2,ROW(Tabela.frequencia[id])-1),ROW(A188)),1)</f>
        <v>#NUM!</v>
      </c>
      <c r="C235" s="229" t="e">
        <f t="array" ref="C235">INDEX(Tabela.frequencia[],SMALL(IF(Tabela.frequencia[Mês]=$L$2,ROW(Tabela.frequencia[id])-1),ROW(A188)),4)</f>
        <v>#NUM!</v>
      </c>
      <c r="E235" s="176" t="str">
        <f>IFERROR(VLOOKUP(D235,Tabela.cadastro[[ID]:[Nome]],2,0),"")</f>
        <v/>
      </c>
      <c r="F235" s="177" t="str">
        <f>IFERROR(VLOOKUP(D235,Tabela66[#All],2,0),"")</f>
        <v/>
      </c>
      <c r="G235" s="177" t="str">
        <f>IFERROR(VLOOKUP(D235,Tabela.cadastro[[ID]:[CP ou M]],5,0),"")</f>
        <v/>
      </c>
      <c r="H235" s="177" t="str">
        <f>IFERROR(VLOOKUP(D235,Cadastros!A:F,6,0),"")</f>
        <v/>
      </c>
      <c r="I235" s="177" t="str">
        <f>IFERROR(VLOOKUP(D235,Cadastros!A:I,9,0),"")</f>
        <v/>
      </c>
      <c r="J235" s="177" t="str">
        <f>IFERROR(VLOOKUP(D235,Cadastros!A:J,10,0),"")</f>
        <v/>
      </c>
      <c r="K235" s="177" t="str">
        <f>IF(COUNTIF(Tabela66[id],D235)=0,"",COUNTIF(Tabela66[id],D235))</f>
        <v/>
      </c>
      <c r="L235" s="198"/>
      <c r="M235" s="227" t="str">
        <f t="shared" si="20"/>
        <v/>
      </c>
      <c r="P235" s="176" t="str">
        <f>IFERROR(VLOOKUP(O235,Cadastros!A:B,2),"")</f>
        <v/>
      </c>
      <c r="Q235" s="177" t="str">
        <f t="shared" si="16"/>
        <v/>
      </c>
      <c r="R235" s="177" t="str">
        <f>IFERROR(VLOOKUP(O235,Cadastros!A:E,5,0),"")</f>
        <v/>
      </c>
      <c r="S235" s="177" t="str">
        <f>IFERROR(VLOOKUP(O235,Cadastros!A:F,6,0),"")</f>
        <v/>
      </c>
      <c r="T235" s="177" t="str">
        <f>IFERROR(VLOOKUP(O235,Cadastros!A:I,9,0),"")</f>
        <v/>
      </c>
      <c r="U235" s="177" t="str">
        <f t="shared" si="17"/>
        <v/>
      </c>
      <c r="V235" s="177" t="str">
        <f t="shared" si="18"/>
        <v/>
      </c>
      <c r="W235" s="177" t="str">
        <f t="shared" si="19"/>
        <v/>
      </c>
      <c r="Y235" s="240" t="e">
        <f t="array" ref="Y235">INDEX(Tabela.abordagens[],SMALL(IF(Tabela.abordagens[Mês]=$L$2,ROW(Tabela.abordagens[id])-2),ROW(A188)),1)</f>
        <v>#NUM!</v>
      </c>
      <c r="Z235" s="240" t="e">
        <f t="array" ref="Z235">INDEX(Tabela.abordagens[],SMALL(IF(Tabela.abordagens[Mês]=$L$2,ROW(Tabela.abordagens[Idade])-2),ROW(A188)),6)</f>
        <v>#NUM!</v>
      </c>
      <c r="AA235" s="240" t="e">
        <f t="array" ref="AA235">INDEX(Tabela.abordagens[],SMALL(IF(Tabela.abordagens[Mês]=$L$2,ROW(Tabela.abordagens[Idade])-2),ROW(A188)),4)</f>
        <v>#NUM!</v>
      </c>
      <c r="AB235" s="240" t="e">
        <f t="array" ref="AB235">INDEX(Tabela.abordagens[],SMALL(IF(Tabela.abordagens[Mês]=$L$2,ROW(Tabela.abordagens[Idade])-2),ROW(A188)),5)</f>
        <v>#NUM!</v>
      </c>
    </row>
    <row r="236" spans="2:28" ht="15" x14ac:dyDescent="0.25">
      <c r="B236" s="223" t="e">
        <f t="array" ref="B236">INDEX(Tabela.frequencia[],SMALL(IF(Tabela.frequencia[Mês]=$L$2,ROW(Tabela.frequencia[id])-1),ROW(A189)),1)</f>
        <v>#NUM!</v>
      </c>
      <c r="C236" s="229" t="e">
        <f t="array" ref="C236">INDEX(Tabela.frequencia[],SMALL(IF(Tabela.frequencia[Mês]=$L$2,ROW(Tabela.frequencia[id])-1),ROW(A189)),4)</f>
        <v>#NUM!</v>
      </c>
      <c r="E236" s="176" t="str">
        <f>IFERROR(VLOOKUP(D236,Tabela.cadastro[[ID]:[Nome]],2,0),"")</f>
        <v/>
      </c>
      <c r="F236" s="177" t="str">
        <f>IFERROR(VLOOKUP(D236,Tabela66[#All],2,0),"")</f>
        <v/>
      </c>
      <c r="G236" s="177" t="str">
        <f>IFERROR(VLOOKUP(D236,Tabela.cadastro[[ID]:[CP ou M]],5,0),"")</f>
        <v/>
      </c>
      <c r="H236" s="177" t="str">
        <f>IFERROR(VLOOKUP(D236,Cadastros!A:F,6,0),"")</f>
        <v/>
      </c>
      <c r="I236" s="177" t="str">
        <f>IFERROR(VLOOKUP(D236,Cadastros!A:I,9,0),"")</f>
        <v/>
      </c>
      <c r="J236" s="177" t="str">
        <f>IFERROR(VLOOKUP(D236,Cadastros!A:J,10,0),"")</f>
        <v/>
      </c>
      <c r="K236" s="177" t="str">
        <f>IF(COUNTIF(Tabela66[id],D236)=0,"",COUNTIF(Tabela66[id],D236))</f>
        <v/>
      </c>
      <c r="L236" s="198"/>
      <c r="M236" s="227" t="str">
        <f t="shared" si="20"/>
        <v/>
      </c>
      <c r="P236" s="176" t="str">
        <f>IFERROR(VLOOKUP(O236,Cadastros!A:B,2),"")</f>
        <v/>
      </c>
      <c r="Q236" s="177" t="str">
        <f t="shared" si="16"/>
        <v/>
      </c>
      <c r="R236" s="177" t="str">
        <f>IFERROR(VLOOKUP(O236,Cadastros!A:E,5,0),"")</f>
        <v/>
      </c>
      <c r="S236" s="177" t="str">
        <f>IFERROR(VLOOKUP(O236,Cadastros!A:F,6,0),"")</f>
        <v/>
      </c>
      <c r="T236" s="177" t="str">
        <f>IFERROR(VLOOKUP(O236,Cadastros!A:I,9,0),"")</f>
        <v/>
      </c>
      <c r="U236" s="177" t="str">
        <f t="shared" si="17"/>
        <v/>
      </c>
      <c r="V236" s="177" t="str">
        <f t="shared" si="18"/>
        <v/>
      </c>
      <c r="W236" s="177" t="str">
        <f t="shared" si="19"/>
        <v/>
      </c>
      <c r="Y236" s="240" t="e">
        <f t="array" ref="Y236">INDEX(Tabela.abordagens[],SMALL(IF(Tabela.abordagens[Mês]=$L$2,ROW(Tabela.abordagens[id])-2),ROW(A189)),1)</f>
        <v>#NUM!</v>
      </c>
      <c r="Z236" s="240" t="e">
        <f t="array" ref="Z236">INDEX(Tabela.abordagens[],SMALL(IF(Tabela.abordagens[Mês]=$L$2,ROW(Tabela.abordagens[Idade])-2),ROW(A189)),6)</f>
        <v>#NUM!</v>
      </c>
      <c r="AA236" s="240" t="e">
        <f t="array" ref="AA236">INDEX(Tabela.abordagens[],SMALL(IF(Tabela.abordagens[Mês]=$L$2,ROW(Tabela.abordagens[Idade])-2),ROW(A189)),4)</f>
        <v>#NUM!</v>
      </c>
      <c r="AB236" s="240" t="e">
        <f t="array" ref="AB236">INDEX(Tabela.abordagens[],SMALL(IF(Tabela.abordagens[Mês]=$L$2,ROW(Tabela.abordagens[Idade])-2),ROW(A189)),5)</f>
        <v>#NUM!</v>
      </c>
    </row>
    <row r="237" spans="2:28" ht="15" x14ac:dyDescent="0.25">
      <c r="B237" s="223" t="e">
        <f t="array" ref="B237">INDEX(Tabela.frequencia[],SMALL(IF(Tabela.frequencia[Mês]=$L$2,ROW(Tabela.frequencia[id])-1),ROW(A190)),1)</f>
        <v>#NUM!</v>
      </c>
      <c r="C237" s="229" t="e">
        <f t="array" ref="C237">INDEX(Tabela.frequencia[],SMALL(IF(Tabela.frequencia[Mês]=$L$2,ROW(Tabela.frequencia[id])-1),ROW(A190)),4)</f>
        <v>#NUM!</v>
      </c>
      <c r="E237" s="176" t="str">
        <f>IFERROR(VLOOKUP(D237,Tabela.cadastro[[ID]:[Nome]],2,0),"")</f>
        <v/>
      </c>
      <c r="F237" s="177" t="str">
        <f>IFERROR(VLOOKUP(D237,Tabela66[#All],2,0),"")</f>
        <v/>
      </c>
      <c r="G237" s="177" t="str">
        <f>IFERROR(VLOOKUP(D237,Tabela.cadastro[[ID]:[CP ou M]],5,0),"")</f>
        <v/>
      </c>
      <c r="H237" s="177" t="str">
        <f>IFERROR(VLOOKUP(D237,Cadastros!A:F,6,0),"")</f>
        <v/>
      </c>
      <c r="I237" s="177" t="str">
        <f>IFERROR(VLOOKUP(D237,Cadastros!A:I,9,0),"")</f>
        <v/>
      </c>
      <c r="J237" s="177" t="str">
        <f>IFERROR(VLOOKUP(D237,Cadastros!A:J,10,0),"")</f>
        <v/>
      </c>
      <c r="K237" s="177" t="str">
        <f>IF(COUNTIF(Tabela66[id],D237)=0,"",COUNTIF(Tabela66[id],D237))</f>
        <v/>
      </c>
      <c r="L237" s="198"/>
      <c r="M237" s="227" t="str">
        <f t="shared" si="20"/>
        <v/>
      </c>
      <c r="P237" s="176" t="str">
        <f>IFERROR(VLOOKUP(O237,Cadastros!A:B,2),"")</f>
        <v/>
      </c>
      <c r="Q237" s="177" t="str">
        <f t="shared" si="16"/>
        <v/>
      </c>
      <c r="R237" s="177" t="str">
        <f>IFERROR(VLOOKUP(O237,Cadastros!A:E,5,0),"")</f>
        <v/>
      </c>
      <c r="S237" s="177" t="str">
        <f>IFERROR(VLOOKUP(O237,Cadastros!A:F,6,0),"")</f>
        <v/>
      </c>
      <c r="T237" s="177" t="str">
        <f>IFERROR(VLOOKUP(O237,Cadastros!A:I,9,0),"")</f>
        <v/>
      </c>
      <c r="U237" s="177" t="str">
        <f t="shared" si="17"/>
        <v/>
      </c>
      <c r="V237" s="177" t="str">
        <f t="shared" si="18"/>
        <v/>
      </c>
      <c r="W237" s="177" t="str">
        <f t="shared" si="19"/>
        <v/>
      </c>
      <c r="Y237" s="240" t="e">
        <f t="array" ref="Y237">INDEX(Tabela.abordagens[],SMALL(IF(Tabela.abordagens[Mês]=$L$2,ROW(Tabela.abordagens[id])-2),ROW(A190)),1)</f>
        <v>#NUM!</v>
      </c>
      <c r="Z237" s="240" t="e">
        <f t="array" ref="Z237">INDEX(Tabela.abordagens[],SMALL(IF(Tabela.abordagens[Mês]=$L$2,ROW(Tabela.abordagens[Idade])-2),ROW(A190)),6)</f>
        <v>#NUM!</v>
      </c>
      <c r="AA237" s="240" t="e">
        <f t="array" ref="AA237">INDEX(Tabela.abordagens[],SMALL(IF(Tabela.abordagens[Mês]=$L$2,ROW(Tabela.abordagens[Idade])-2),ROW(A190)),4)</f>
        <v>#NUM!</v>
      </c>
      <c r="AB237" s="240" t="e">
        <f t="array" ref="AB237">INDEX(Tabela.abordagens[],SMALL(IF(Tabela.abordagens[Mês]=$L$2,ROW(Tabela.abordagens[Idade])-2),ROW(A190)),5)</f>
        <v>#NUM!</v>
      </c>
    </row>
    <row r="238" spans="2:28" ht="15" x14ac:dyDescent="0.25">
      <c r="B238" s="223" t="e">
        <f t="array" ref="B238">INDEX(Tabela.frequencia[],SMALL(IF(Tabela.frequencia[Mês]=$L$2,ROW(Tabela.frequencia[id])-1),ROW(A191)),1)</f>
        <v>#NUM!</v>
      </c>
      <c r="C238" s="229" t="e">
        <f t="array" ref="C238">INDEX(Tabela.frequencia[],SMALL(IF(Tabela.frequencia[Mês]=$L$2,ROW(Tabela.frequencia[id])-1),ROW(A191)),4)</f>
        <v>#NUM!</v>
      </c>
      <c r="E238" s="176" t="str">
        <f>IFERROR(VLOOKUP(D238,Tabela.cadastro[[ID]:[Nome]],2,0),"")</f>
        <v/>
      </c>
      <c r="F238" s="177" t="str">
        <f>IFERROR(VLOOKUP(D238,Tabela66[#All],2,0),"")</f>
        <v/>
      </c>
      <c r="G238" s="177" t="str">
        <f>IFERROR(VLOOKUP(D238,Tabela.cadastro[[ID]:[CP ou M]],5,0),"")</f>
        <v/>
      </c>
      <c r="H238" s="177" t="str">
        <f>IFERROR(VLOOKUP(D238,Cadastros!A:F,6,0),"")</f>
        <v/>
      </c>
      <c r="I238" s="177" t="str">
        <f>IFERROR(VLOOKUP(D238,Cadastros!A:I,9,0),"")</f>
        <v/>
      </c>
      <c r="J238" s="177" t="str">
        <f>IFERROR(VLOOKUP(D238,Cadastros!A:J,10,0),"")</f>
        <v/>
      </c>
      <c r="K238" s="177" t="str">
        <f>IF(COUNTIF(Tabela66[id],D238)=0,"",COUNTIF(Tabela66[id],D238))</f>
        <v/>
      </c>
      <c r="L238" s="198"/>
      <c r="M238" s="227" t="str">
        <f t="shared" si="20"/>
        <v/>
      </c>
      <c r="P238" s="176" t="str">
        <f>IFERROR(VLOOKUP(O238,Cadastros!A:B,2),"")</f>
        <v/>
      </c>
      <c r="Q238" s="177" t="str">
        <f t="shared" si="16"/>
        <v/>
      </c>
      <c r="R238" s="177" t="str">
        <f>IFERROR(VLOOKUP(O238,Cadastros!A:E,5,0),"")</f>
        <v/>
      </c>
      <c r="S238" s="177" t="str">
        <f>IFERROR(VLOOKUP(O238,Cadastros!A:F,6,0),"")</f>
        <v/>
      </c>
      <c r="T238" s="177" t="str">
        <f>IFERROR(VLOOKUP(O238,Cadastros!A:I,9,0),"")</f>
        <v/>
      </c>
      <c r="U238" s="177" t="str">
        <f t="shared" si="17"/>
        <v/>
      </c>
      <c r="V238" s="177" t="str">
        <f t="shared" si="18"/>
        <v/>
      </c>
      <c r="W238" s="177" t="str">
        <f t="shared" si="19"/>
        <v/>
      </c>
      <c r="Y238" s="240" t="e">
        <f t="array" ref="Y238">INDEX(Tabela.abordagens[],SMALL(IF(Tabela.abordagens[Mês]=$L$2,ROW(Tabela.abordagens[id])-2),ROW(A191)),1)</f>
        <v>#NUM!</v>
      </c>
      <c r="Z238" s="240" t="e">
        <f t="array" ref="Z238">INDEX(Tabela.abordagens[],SMALL(IF(Tabela.abordagens[Mês]=$L$2,ROW(Tabela.abordagens[Idade])-2),ROW(A191)),6)</f>
        <v>#NUM!</v>
      </c>
      <c r="AA238" s="240" t="e">
        <f t="array" ref="AA238">INDEX(Tabela.abordagens[],SMALL(IF(Tabela.abordagens[Mês]=$L$2,ROW(Tabela.abordagens[Idade])-2),ROW(A191)),4)</f>
        <v>#NUM!</v>
      </c>
      <c r="AB238" s="240" t="e">
        <f t="array" ref="AB238">INDEX(Tabela.abordagens[],SMALL(IF(Tabela.abordagens[Mês]=$L$2,ROW(Tabela.abordagens[Idade])-2),ROW(A191)),5)</f>
        <v>#NUM!</v>
      </c>
    </row>
    <row r="239" spans="2:28" ht="15" x14ac:dyDescent="0.25">
      <c r="B239" s="223" t="e">
        <f t="array" ref="B239">INDEX(Tabela.frequencia[],SMALL(IF(Tabela.frequencia[Mês]=$L$2,ROW(Tabela.frequencia[id])-1),ROW(A192)),1)</f>
        <v>#NUM!</v>
      </c>
      <c r="C239" s="229" t="e">
        <f t="array" ref="C239">INDEX(Tabela.frequencia[],SMALL(IF(Tabela.frequencia[Mês]=$L$2,ROW(Tabela.frequencia[id])-1),ROW(A192)),4)</f>
        <v>#NUM!</v>
      </c>
      <c r="E239" s="176" t="str">
        <f>IFERROR(VLOOKUP(D239,Tabela.cadastro[[ID]:[Nome]],2,0),"")</f>
        <v/>
      </c>
      <c r="F239" s="177" t="str">
        <f>IFERROR(VLOOKUP(D239,Tabela66[#All],2,0),"")</f>
        <v/>
      </c>
      <c r="G239" s="177" t="str">
        <f>IFERROR(VLOOKUP(D239,Tabela.cadastro[[ID]:[CP ou M]],5,0),"")</f>
        <v/>
      </c>
      <c r="H239" s="177" t="str">
        <f>IFERROR(VLOOKUP(D239,Cadastros!A:F,6,0),"")</f>
        <v/>
      </c>
      <c r="I239" s="177" t="str">
        <f>IFERROR(VLOOKUP(D239,Cadastros!A:I,9,0),"")</f>
        <v/>
      </c>
      <c r="J239" s="177" t="str">
        <f>IFERROR(VLOOKUP(D239,Cadastros!A:J,10,0),"")</f>
        <v/>
      </c>
      <c r="K239" s="177" t="str">
        <f>IF(COUNTIF(Tabela66[id],D239)=0,"",COUNTIF(Tabela66[id],D239))</f>
        <v/>
      </c>
      <c r="L239" s="198"/>
      <c r="M239" s="227" t="str">
        <f t="shared" si="20"/>
        <v/>
      </c>
      <c r="P239" s="176" t="str">
        <f>IFERROR(VLOOKUP(O239,Cadastros!A:B,2),"")</f>
        <v/>
      </c>
      <c r="Q239" s="177" t="str">
        <f t="shared" si="16"/>
        <v/>
      </c>
      <c r="R239" s="177" t="str">
        <f>IFERROR(VLOOKUP(O239,Cadastros!A:E,5,0),"")</f>
        <v/>
      </c>
      <c r="S239" s="177" t="str">
        <f>IFERROR(VLOOKUP(O239,Cadastros!A:F,6,0),"")</f>
        <v/>
      </c>
      <c r="T239" s="177" t="str">
        <f>IFERROR(VLOOKUP(O239,Cadastros!A:I,9,0),"")</f>
        <v/>
      </c>
      <c r="U239" s="177" t="str">
        <f t="shared" si="17"/>
        <v/>
      </c>
      <c r="V239" s="177" t="str">
        <f t="shared" si="18"/>
        <v/>
      </c>
      <c r="W239" s="177" t="str">
        <f t="shared" si="19"/>
        <v/>
      </c>
      <c r="Y239" s="240" t="e">
        <f t="array" ref="Y239">INDEX(Tabela.abordagens[],SMALL(IF(Tabela.abordagens[Mês]=$L$2,ROW(Tabela.abordagens[id])-2),ROW(A192)),1)</f>
        <v>#NUM!</v>
      </c>
      <c r="Z239" s="240" t="e">
        <f t="array" ref="Z239">INDEX(Tabela.abordagens[],SMALL(IF(Tabela.abordagens[Mês]=$L$2,ROW(Tabela.abordagens[Idade])-2),ROW(A192)),6)</f>
        <v>#NUM!</v>
      </c>
      <c r="AA239" s="240" t="e">
        <f t="array" ref="AA239">INDEX(Tabela.abordagens[],SMALL(IF(Tabela.abordagens[Mês]=$L$2,ROW(Tabela.abordagens[Idade])-2),ROW(A192)),4)</f>
        <v>#NUM!</v>
      </c>
      <c r="AB239" s="240" t="e">
        <f t="array" ref="AB239">INDEX(Tabela.abordagens[],SMALL(IF(Tabela.abordagens[Mês]=$L$2,ROW(Tabela.abordagens[Idade])-2),ROW(A192)),5)</f>
        <v>#NUM!</v>
      </c>
    </row>
    <row r="240" spans="2:28" ht="15" x14ac:dyDescent="0.25">
      <c r="B240" s="223" t="e">
        <f t="array" ref="B240">INDEX(Tabela.frequencia[],SMALL(IF(Tabela.frequencia[Mês]=$L$2,ROW(Tabela.frequencia[id])-1),ROW(A193)),1)</f>
        <v>#NUM!</v>
      </c>
      <c r="C240" s="229" t="e">
        <f t="array" ref="C240">INDEX(Tabela.frequencia[],SMALL(IF(Tabela.frequencia[Mês]=$L$2,ROW(Tabela.frequencia[id])-1),ROW(A193)),4)</f>
        <v>#NUM!</v>
      </c>
      <c r="E240" s="176" t="str">
        <f>IFERROR(VLOOKUP(D240,Tabela.cadastro[[ID]:[Nome]],2,0),"")</f>
        <v/>
      </c>
      <c r="F240" s="177" t="str">
        <f>IFERROR(VLOOKUP(D240,Tabela66[#All],2,0),"")</f>
        <v/>
      </c>
      <c r="G240" s="177" t="str">
        <f>IFERROR(VLOOKUP(D240,Tabela.cadastro[[ID]:[CP ou M]],5,0),"")</f>
        <v/>
      </c>
      <c r="H240" s="177" t="str">
        <f>IFERROR(VLOOKUP(D240,Cadastros!A:F,6,0),"")</f>
        <v/>
      </c>
      <c r="I240" s="177" t="str">
        <f>IFERROR(VLOOKUP(D240,Cadastros!A:I,9,0),"")</f>
        <v/>
      </c>
      <c r="J240" s="177" t="str">
        <f>IFERROR(VLOOKUP(D240,Cadastros!A:J,10,0),"")</f>
        <v/>
      </c>
      <c r="K240" s="177" t="str">
        <f>IF(COUNTIF(Tabela66[id],D240)=0,"",COUNTIF(Tabela66[id],D240))</f>
        <v/>
      </c>
      <c r="L240" s="198"/>
      <c r="M240" s="227" t="str">
        <f t="shared" si="20"/>
        <v/>
      </c>
      <c r="P240" s="176" t="str">
        <f>IFERROR(VLOOKUP(O240,Cadastros!A:B,2),"")</f>
        <v/>
      </c>
      <c r="Q240" s="177" t="str">
        <f t="shared" si="16"/>
        <v/>
      </c>
      <c r="R240" s="177" t="str">
        <f>IFERROR(VLOOKUP(O240,Cadastros!A:E,5,0),"")</f>
        <v/>
      </c>
      <c r="S240" s="177" t="str">
        <f>IFERROR(VLOOKUP(O240,Cadastros!A:F,6,0),"")</f>
        <v/>
      </c>
      <c r="T240" s="177" t="str">
        <f>IFERROR(VLOOKUP(O240,Cadastros!A:I,9,0),"")</f>
        <v/>
      </c>
      <c r="U240" s="177" t="str">
        <f t="shared" si="17"/>
        <v/>
      </c>
      <c r="V240" s="177" t="str">
        <f t="shared" si="18"/>
        <v/>
      </c>
      <c r="W240" s="177" t="str">
        <f t="shared" si="19"/>
        <v/>
      </c>
      <c r="Y240" s="240" t="e">
        <f t="array" ref="Y240">INDEX(Tabela.abordagens[],SMALL(IF(Tabela.abordagens[Mês]=$L$2,ROW(Tabela.abordagens[id])-2),ROW(A193)),1)</f>
        <v>#NUM!</v>
      </c>
      <c r="Z240" s="240" t="e">
        <f t="array" ref="Z240">INDEX(Tabela.abordagens[],SMALL(IF(Tabela.abordagens[Mês]=$L$2,ROW(Tabela.abordagens[Idade])-2),ROW(A193)),6)</f>
        <v>#NUM!</v>
      </c>
      <c r="AA240" s="240" t="e">
        <f t="array" ref="AA240">INDEX(Tabela.abordagens[],SMALL(IF(Tabela.abordagens[Mês]=$L$2,ROW(Tabela.abordagens[Idade])-2),ROW(A193)),4)</f>
        <v>#NUM!</v>
      </c>
      <c r="AB240" s="240" t="e">
        <f t="array" ref="AB240">INDEX(Tabela.abordagens[],SMALL(IF(Tabela.abordagens[Mês]=$L$2,ROW(Tabela.abordagens[Idade])-2),ROW(A193)),5)</f>
        <v>#NUM!</v>
      </c>
    </row>
    <row r="241" spans="2:28" ht="15" x14ac:dyDescent="0.25">
      <c r="B241" s="223" t="e">
        <f t="array" ref="B241">INDEX(Tabela.frequencia[],SMALL(IF(Tabela.frequencia[Mês]=$L$2,ROW(Tabela.frequencia[id])-1),ROW(A194)),1)</f>
        <v>#NUM!</v>
      </c>
      <c r="C241" s="229" t="e">
        <f t="array" ref="C241">INDEX(Tabela.frequencia[],SMALL(IF(Tabela.frequencia[Mês]=$L$2,ROW(Tabela.frequencia[id])-1),ROW(A194)),4)</f>
        <v>#NUM!</v>
      </c>
      <c r="E241" s="176" t="str">
        <f>IFERROR(VLOOKUP(D241,Tabela.cadastro[[ID]:[Nome]],2,0),"")</f>
        <v/>
      </c>
      <c r="F241" s="177" t="str">
        <f>IFERROR(VLOOKUP(D241,Tabela66[#All],2,0),"")</f>
        <v/>
      </c>
      <c r="G241" s="177" t="str">
        <f>IFERROR(VLOOKUP(D241,Tabela.cadastro[[ID]:[CP ou M]],5,0),"")</f>
        <v/>
      </c>
      <c r="H241" s="177" t="str">
        <f>IFERROR(VLOOKUP(D241,Cadastros!A:F,6,0),"")</f>
        <v/>
      </c>
      <c r="I241" s="177" t="str">
        <f>IFERROR(VLOOKUP(D241,Cadastros!A:I,9,0),"")</f>
        <v/>
      </c>
      <c r="J241" s="177" t="str">
        <f>IFERROR(VLOOKUP(D241,Cadastros!A:J,10,0),"")</f>
        <v/>
      </c>
      <c r="K241" s="177" t="str">
        <f>IF(COUNTIF(Tabela66[id],D241)=0,"",COUNTIF(Tabela66[id],D241))</f>
        <v/>
      </c>
      <c r="L241" s="198"/>
      <c r="M241" s="227" t="str">
        <f t="shared" si="20"/>
        <v/>
      </c>
      <c r="P241" s="176" t="str">
        <f>IFERROR(VLOOKUP(O241,Cadastros!A:B,2),"")</f>
        <v/>
      </c>
      <c r="Q241" s="177" t="str">
        <f t="shared" si="16"/>
        <v/>
      </c>
      <c r="R241" s="177" t="str">
        <f>IFERROR(VLOOKUP(O241,Cadastros!A:E,5,0),"")</f>
        <v/>
      </c>
      <c r="S241" s="177" t="str">
        <f>IFERROR(VLOOKUP(O241,Cadastros!A:F,6,0),"")</f>
        <v/>
      </c>
      <c r="T241" s="177" t="str">
        <f>IFERROR(VLOOKUP(O241,Cadastros!A:I,9,0),"")</f>
        <v/>
      </c>
      <c r="U241" s="177" t="str">
        <f t="shared" si="17"/>
        <v/>
      </c>
      <c r="V241" s="177" t="str">
        <f t="shared" si="18"/>
        <v/>
      </c>
      <c r="W241" s="177" t="str">
        <f t="shared" si="19"/>
        <v/>
      </c>
      <c r="Y241" s="240" t="e">
        <f t="array" ref="Y241">INDEX(Tabela.abordagens[],SMALL(IF(Tabela.abordagens[Mês]=$L$2,ROW(Tabela.abordagens[id])-2),ROW(A194)),1)</f>
        <v>#NUM!</v>
      </c>
      <c r="Z241" s="240" t="e">
        <f t="array" ref="Z241">INDEX(Tabela.abordagens[],SMALL(IF(Tabela.abordagens[Mês]=$L$2,ROW(Tabela.abordagens[Idade])-2),ROW(A194)),6)</f>
        <v>#NUM!</v>
      </c>
      <c r="AA241" s="240" t="e">
        <f t="array" ref="AA241">INDEX(Tabela.abordagens[],SMALL(IF(Tabela.abordagens[Mês]=$L$2,ROW(Tabela.abordagens[Idade])-2),ROW(A194)),4)</f>
        <v>#NUM!</v>
      </c>
      <c r="AB241" s="240" t="e">
        <f t="array" ref="AB241">INDEX(Tabela.abordagens[],SMALL(IF(Tabela.abordagens[Mês]=$L$2,ROW(Tabela.abordagens[Idade])-2),ROW(A194)),5)</f>
        <v>#NUM!</v>
      </c>
    </row>
    <row r="242" spans="2:28" ht="15" x14ac:dyDescent="0.25">
      <c r="B242" s="223" t="e">
        <f t="array" ref="B242">INDEX(Tabela.frequencia[],SMALL(IF(Tabela.frequencia[Mês]=$L$2,ROW(Tabela.frequencia[id])-1),ROW(A195)),1)</f>
        <v>#NUM!</v>
      </c>
      <c r="C242" s="229" t="e">
        <f t="array" ref="C242">INDEX(Tabela.frequencia[],SMALL(IF(Tabela.frequencia[Mês]=$L$2,ROW(Tabela.frequencia[id])-1),ROW(A195)),4)</f>
        <v>#NUM!</v>
      </c>
      <c r="E242" s="176" t="str">
        <f>IFERROR(VLOOKUP(D242,Tabela.cadastro[[ID]:[Nome]],2,0),"")</f>
        <v/>
      </c>
      <c r="F242" s="177" t="str">
        <f>IFERROR(VLOOKUP(D242,Tabela66[#All],2,0),"")</f>
        <v/>
      </c>
      <c r="G242" s="177" t="str">
        <f>IFERROR(VLOOKUP(D242,Tabela.cadastro[[ID]:[CP ou M]],5,0),"")</f>
        <v/>
      </c>
      <c r="H242" s="177" t="str">
        <f>IFERROR(VLOOKUP(D242,Cadastros!A:F,6,0),"")</f>
        <v/>
      </c>
      <c r="I242" s="177" t="str">
        <f>IFERROR(VLOOKUP(D242,Cadastros!A:I,9,0),"")</f>
        <v/>
      </c>
      <c r="J242" s="177" t="str">
        <f>IFERROR(VLOOKUP(D242,Cadastros!A:J,10,0),"")</f>
        <v/>
      </c>
      <c r="K242" s="177" t="str">
        <f>IF(COUNTIF(Tabela66[id],D242)=0,"",COUNTIF(Tabela66[id],D242))</f>
        <v/>
      </c>
      <c r="L242" s="198"/>
      <c r="M242" s="227" t="str">
        <f t="shared" si="20"/>
        <v/>
      </c>
      <c r="P242" s="176" t="str">
        <f>IFERROR(VLOOKUP(O242,Cadastros!A:B,2),"")</f>
        <v/>
      </c>
      <c r="Q242" s="177" t="str">
        <f t="shared" si="16"/>
        <v/>
      </c>
      <c r="R242" s="177" t="str">
        <f>IFERROR(VLOOKUP(O242,Cadastros!A:E,5,0),"")</f>
        <v/>
      </c>
      <c r="S242" s="177" t="str">
        <f>IFERROR(VLOOKUP(O242,Cadastros!A:F,6,0),"")</f>
        <v/>
      </c>
      <c r="T242" s="177" t="str">
        <f>IFERROR(VLOOKUP(O242,Cadastros!A:I,9,0),"")</f>
        <v/>
      </c>
      <c r="U242" s="177" t="str">
        <f t="shared" si="17"/>
        <v/>
      </c>
      <c r="V242" s="177" t="str">
        <f t="shared" si="18"/>
        <v/>
      </c>
      <c r="W242" s="177" t="str">
        <f t="shared" si="19"/>
        <v/>
      </c>
      <c r="Y242" s="240" t="e">
        <f t="array" ref="Y242">INDEX(Tabela.abordagens[],SMALL(IF(Tabela.abordagens[Mês]=$L$2,ROW(Tabela.abordagens[id])-2),ROW(A195)),1)</f>
        <v>#NUM!</v>
      </c>
      <c r="Z242" s="240" t="e">
        <f t="array" ref="Z242">INDEX(Tabela.abordagens[],SMALL(IF(Tabela.abordagens[Mês]=$L$2,ROW(Tabela.abordagens[Idade])-2),ROW(A195)),6)</f>
        <v>#NUM!</v>
      </c>
      <c r="AA242" s="240" t="e">
        <f t="array" ref="AA242">INDEX(Tabela.abordagens[],SMALL(IF(Tabela.abordagens[Mês]=$L$2,ROW(Tabela.abordagens[Idade])-2),ROW(A195)),4)</f>
        <v>#NUM!</v>
      </c>
      <c r="AB242" s="240" t="e">
        <f t="array" ref="AB242">INDEX(Tabela.abordagens[],SMALL(IF(Tabela.abordagens[Mês]=$L$2,ROW(Tabela.abordagens[Idade])-2),ROW(A195)),5)</f>
        <v>#NUM!</v>
      </c>
    </row>
    <row r="243" spans="2:28" ht="15" x14ac:dyDescent="0.25">
      <c r="B243" s="223" t="e">
        <f t="array" ref="B243">INDEX(Tabela.frequencia[],SMALL(IF(Tabela.frequencia[Mês]=$L$2,ROW(Tabela.frequencia[id])-1),ROW(A196)),1)</f>
        <v>#NUM!</v>
      </c>
      <c r="C243" s="229" t="e">
        <f t="array" ref="C243">INDEX(Tabela.frequencia[],SMALL(IF(Tabela.frequencia[Mês]=$L$2,ROW(Tabela.frequencia[id])-1),ROW(A196)),4)</f>
        <v>#NUM!</v>
      </c>
      <c r="E243" s="176" t="str">
        <f>IFERROR(VLOOKUP(D243,Tabela.cadastro[[ID]:[Nome]],2,0),"")</f>
        <v/>
      </c>
      <c r="F243" s="177" t="str">
        <f>IFERROR(VLOOKUP(D243,Tabela66[#All],2,0),"")</f>
        <v/>
      </c>
      <c r="G243" s="177" t="str">
        <f>IFERROR(VLOOKUP(D243,Tabela.cadastro[[ID]:[CP ou M]],5,0),"")</f>
        <v/>
      </c>
      <c r="H243" s="177" t="str">
        <f>IFERROR(VLOOKUP(D243,Cadastros!A:F,6,0),"")</f>
        <v/>
      </c>
      <c r="I243" s="177" t="str">
        <f>IFERROR(VLOOKUP(D243,Cadastros!A:I,9,0),"")</f>
        <v/>
      </c>
      <c r="J243" s="177" t="str">
        <f>IFERROR(VLOOKUP(D243,Cadastros!A:J,10,0),"")</f>
        <v/>
      </c>
      <c r="K243" s="177" t="str">
        <f>IF(COUNTIF(Tabela66[id],D243)=0,"",COUNTIF(Tabela66[id],D243))</f>
        <v/>
      </c>
      <c r="L243" s="198"/>
      <c r="M243" s="227" t="str">
        <f t="shared" si="20"/>
        <v/>
      </c>
      <c r="P243" s="176" t="str">
        <f>IFERROR(VLOOKUP(O243,Cadastros!A:B,2),"")</f>
        <v/>
      </c>
      <c r="Q243" s="177" t="str">
        <f t="shared" si="16"/>
        <v/>
      </c>
      <c r="R243" s="177" t="str">
        <f>IFERROR(VLOOKUP(O243,Cadastros!A:E,5,0),"")</f>
        <v/>
      </c>
      <c r="S243" s="177" t="str">
        <f>IFERROR(VLOOKUP(O243,Cadastros!A:F,6,0),"")</f>
        <v/>
      </c>
      <c r="T243" s="177" t="str">
        <f>IFERROR(VLOOKUP(O243,Cadastros!A:I,9,0),"")</f>
        <v/>
      </c>
      <c r="U243" s="177" t="str">
        <f t="shared" si="17"/>
        <v/>
      </c>
      <c r="V243" s="177" t="str">
        <f t="shared" si="18"/>
        <v/>
      </c>
      <c r="W243" s="177" t="str">
        <f t="shared" si="19"/>
        <v/>
      </c>
      <c r="Y243" s="240" t="e">
        <f t="array" ref="Y243">INDEX(Tabela.abordagens[],SMALL(IF(Tabela.abordagens[Mês]=$L$2,ROW(Tabela.abordagens[id])-2),ROW(A196)),1)</f>
        <v>#NUM!</v>
      </c>
      <c r="Z243" s="240" t="e">
        <f t="array" ref="Z243">INDEX(Tabela.abordagens[],SMALL(IF(Tabela.abordagens[Mês]=$L$2,ROW(Tabela.abordagens[Idade])-2),ROW(A196)),6)</f>
        <v>#NUM!</v>
      </c>
      <c r="AA243" s="240" t="e">
        <f t="array" ref="AA243">INDEX(Tabela.abordagens[],SMALL(IF(Tabela.abordagens[Mês]=$L$2,ROW(Tabela.abordagens[Idade])-2),ROW(A196)),4)</f>
        <v>#NUM!</v>
      </c>
      <c r="AB243" s="240" t="e">
        <f t="array" ref="AB243">INDEX(Tabela.abordagens[],SMALL(IF(Tabela.abordagens[Mês]=$L$2,ROW(Tabela.abordagens[Idade])-2),ROW(A196)),5)</f>
        <v>#NUM!</v>
      </c>
    </row>
    <row r="244" spans="2:28" ht="15" x14ac:dyDescent="0.25">
      <c r="B244" s="223" t="e">
        <f t="array" ref="B244">INDEX(Tabela.frequencia[],SMALL(IF(Tabela.frequencia[Mês]=$L$2,ROW(Tabela.frequencia[id])-1),ROW(A197)),1)</f>
        <v>#NUM!</v>
      </c>
      <c r="C244" s="229" t="e">
        <f t="array" ref="C244">INDEX(Tabela.frequencia[],SMALL(IF(Tabela.frequencia[Mês]=$L$2,ROW(Tabela.frequencia[id])-1),ROW(A197)),4)</f>
        <v>#NUM!</v>
      </c>
      <c r="E244" s="176" t="str">
        <f>IFERROR(VLOOKUP(D244,Tabela.cadastro[[ID]:[Nome]],2,0),"")</f>
        <v/>
      </c>
      <c r="F244" s="177" t="str">
        <f>IFERROR(VLOOKUP(D244,Tabela66[#All],2,0),"")</f>
        <v/>
      </c>
      <c r="G244" s="177" t="str">
        <f>IFERROR(VLOOKUP(D244,Tabela.cadastro[[ID]:[CP ou M]],5,0),"")</f>
        <v/>
      </c>
      <c r="H244" s="177" t="str">
        <f>IFERROR(VLOOKUP(D244,Cadastros!A:F,6,0),"")</f>
        <v/>
      </c>
      <c r="I244" s="177" t="str">
        <f>IFERROR(VLOOKUP(D244,Cadastros!A:I,9,0),"")</f>
        <v/>
      </c>
      <c r="J244" s="177" t="str">
        <f>IFERROR(VLOOKUP(D244,Cadastros!A:J,10,0),"")</f>
        <v/>
      </c>
      <c r="K244" s="177" t="str">
        <f>IF(COUNTIF(Tabela66[id],D244)=0,"",COUNTIF(Tabela66[id],D244))</f>
        <v/>
      </c>
      <c r="L244" s="198"/>
      <c r="M244" s="227" t="str">
        <f t="shared" si="20"/>
        <v/>
      </c>
      <c r="P244" s="176" t="str">
        <f>IFERROR(VLOOKUP(O244,Cadastros!A:B,2),"")</f>
        <v/>
      </c>
      <c r="Q244" s="177" t="str">
        <f t="shared" si="16"/>
        <v/>
      </c>
      <c r="R244" s="177" t="str">
        <f>IFERROR(VLOOKUP(O244,Cadastros!A:E,5,0),"")</f>
        <v/>
      </c>
      <c r="S244" s="177" t="str">
        <f>IFERROR(VLOOKUP(O244,Cadastros!A:F,6,0),"")</f>
        <v/>
      </c>
      <c r="T244" s="177" t="str">
        <f>IFERROR(VLOOKUP(O244,Cadastros!A:I,9,0),"")</f>
        <v/>
      </c>
      <c r="U244" s="177" t="str">
        <f t="shared" si="17"/>
        <v/>
      </c>
      <c r="V244" s="177" t="str">
        <f t="shared" si="18"/>
        <v/>
      </c>
      <c r="W244" s="177" t="str">
        <f t="shared" si="19"/>
        <v/>
      </c>
      <c r="Y244" s="240" t="e">
        <f t="array" ref="Y244">INDEX(Tabela.abordagens[],SMALL(IF(Tabela.abordagens[Mês]=$L$2,ROW(Tabela.abordagens[id])-2),ROW(A197)),1)</f>
        <v>#NUM!</v>
      </c>
      <c r="Z244" s="240" t="e">
        <f t="array" ref="Z244">INDEX(Tabela.abordagens[],SMALL(IF(Tabela.abordagens[Mês]=$L$2,ROW(Tabela.abordagens[Idade])-2),ROW(A197)),6)</f>
        <v>#NUM!</v>
      </c>
      <c r="AA244" s="240" t="e">
        <f t="array" ref="AA244">INDEX(Tabela.abordagens[],SMALL(IF(Tabela.abordagens[Mês]=$L$2,ROW(Tabela.abordagens[Idade])-2),ROW(A197)),4)</f>
        <v>#NUM!</v>
      </c>
      <c r="AB244" s="240" t="e">
        <f t="array" ref="AB244">INDEX(Tabela.abordagens[],SMALL(IF(Tabela.abordagens[Mês]=$L$2,ROW(Tabela.abordagens[Idade])-2),ROW(A197)),5)</f>
        <v>#NUM!</v>
      </c>
    </row>
    <row r="245" spans="2:28" ht="15" x14ac:dyDescent="0.25">
      <c r="B245" s="223" t="e">
        <f t="array" ref="B245">INDEX(Tabela.frequencia[],SMALL(IF(Tabela.frequencia[Mês]=$L$2,ROW(Tabela.frequencia[id])-1),ROW(A198)),1)</f>
        <v>#NUM!</v>
      </c>
      <c r="C245" s="229" t="e">
        <f t="array" ref="C245">INDEX(Tabela.frequencia[],SMALL(IF(Tabela.frequencia[Mês]=$L$2,ROW(Tabela.frequencia[id])-1),ROW(A198)),4)</f>
        <v>#NUM!</v>
      </c>
      <c r="E245" s="176" t="str">
        <f>IFERROR(VLOOKUP(D245,Tabela.cadastro[[ID]:[Nome]],2,0),"")</f>
        <v/>
      </c>
      <c r="F245" s="177" t="str">
        <f>IFERROR(VLOOKUP(D245,Tabela66[#All],2,0),"")</f>
        <v/>
      </c>
      <c r="G245" s="177" t="str">
        <f>IFERROR(VLOOKUP(D245,Tabela.cadastro[[ID]:[CP ou M]],5,0),"")</f>
        <v/>
      </c>
      <c r="H245" s="177" t="str">
        <f>IFERROR(VLOOKUP(D245,Cadastros!A:F,6,0),"")</f>
        <v/>
      </c>
      <c r="I245" s="177" t="str">
        <f>IFERROR(VLOOKUP(D245,Cadastros!A:I,9,0),"")</f>
        <v/>
      </c>
      <c r="J245" s="177" t="str">
        <f>IFERROR(VLOOKUP(D245,Cadastros!A:J,10,0),"")</f>
        <v/>
      </c>
      <c r="K245" s="177" t="str">
        <f>IF(COUNTIF(Tabela66[id],D245)=0,"",COUNTIF(Tabela66[id],D245))</f>
        <v/>
      </c>
      <c r="L245" s="198"/>
      <c r="M245" s="227" t="str">
        <f t="shared" si="20"/>
        <v/>
      </c>
      <c r="P245" s="176" t="str">
        <f>IFERROR(VLOOKUP(O245,Cadastros!A:B,2),"")</f>
        <v/>
      </c>
      <c r="Q245" s="177" t="str">
        <f t="shared" si="16"/>
        <v/>
      </c>
      <c r="R245" s="177" t="str">
        <f>IFERROR(VLOOKUP(O245,Cadastros!A:E,5,0),"")</f>
        <v/>
      </c>
      <c r="S245" s="177" t="str">
        <f>IFERROR(VLOOKUP(O245,Cadastros!A:F,6,0),"")</f>
        <v/>
      </c>
      <c r="T245" s="177" t="str">
        <f>IFERROR(VLOOKUP(O245,Cadastros!A:I,9,0),"")</f>
        <v/>
      </c>
      <c r="U245" s="177" t="str">
        <f t="shared" si="17"/>
        <v/>
      </c>
      <c r="V245" s="177" t="str">
        <f t="shared" si="18"/>
        <v/>
      </c>
      <c r="W245" s="177" t="str">
        <f t="shared" si="19"/>
        <v/>
      </c>
      <c r="Y245" s="240" t="e">
        <f t="array" ref="Y245">INDEX(Tabela.abordagens[],SMALL(IF(Tabela.abordagens[Mês]=$L$2,ROW(Tabela.abordagens[id])-2),ROW(A198)),1)</f>
        <v>#NUM!</v>
      </c>
      <c r="Z245" s="240" t="e">
        <f t="array" ref="Z245">INDEX(Tabela.abordagens[],SMALL(IF(Tabela.abordagens[Mês]=$L$2,ROW(Tabela.abordagens[Idade])-2),ROW(A198)),6)</f>
        <v>#NUM!</v>
      </c>
      <c r="AA245" s="240" t="e">
        <f t="array" ref="AA245">INDEX(Tabela.abordagens[],SMALL(IF(Tabela.abordagens[Mês]=$L$2,ROW(Tabela.abordagens[Idade])-2),ROW(A198)),4)</f>
        <v>#NUM!</v>
      </c>
      <c r="AB245" s="240" t="e">
        <f t="array" ref="AB245">INDEX(Tabela.abordagens[],SMALL(IF(Tabela.abordagens[Mês]=$L$2,ROW(Tabela.abordagens[Idade])-2),ROW(A198)),5)</f>
        <v>#NUM!</v>
      </c>
    </row>
    <row r="246" spans="2:28" ht="15" x14ac:dyDescent="0.25">
      <c r="B246" s="223" t="e">
        <f t="array" ref="B246">INDEX(Tabela.frequencia[],SMALL(IF(Tabela.frequencia[Mês]=$L$2,ROW(Tabela.frequencia[id])-1),ROW(A199)),1)</f>
        <v>#NUM!</v>
      </c>
      <c r="C246" s="229" t="e">
        <f t="array" ref="C246">INDEX(Tabela.frequencia[],SMALL(IF(Tabela.frequencia[Mês]=$L$2,ROW(Tabela.frequencia[id])-1),ROW(A199)),4)</f>
        <v>#NUM!</v>
      </c>
      <c r="E246" s="176" t="str">
        <f>IFERROR(VLOOKUP(D246,Tabela.cadastro[[ID]:[Nome]],2,0),"")</f>
        <v/>
      </c>
      <c r="F246" s="177" t="str">
        <f>IFERROR(VLOOKUP(D246,Tabela66[#All],2,0),"")</f>
        <v/>
      </c>
      <c r="G246" s="177" t="str">
        <f>IFERROR(VLOOKUP(D246,Tabela.cadastro[[ID]:[CP ou M]],5,0),"")</f>
        <v/>
      </c>
      <c r="H246" s="177" t="str">
        <f>IFERROR(VLOOKUP(D246,Cadastros!A:F,6,0),"")</f>
        <v/>
      </c>
      <c r="I246" s="177" t="str">
        <f>IFERROR(VLOOKUP(D246,Cadastros!A:I,9,0),"")</f>
        <v/>
      </c>
      <c r="J246" s="177" t="str">
        <f>IFERROR(VLOOKUP(D246,Cadastros!A:J,10,0),"")</f>
        <v/>
      </c>
      <c r="K246" s="177" t="str">
        <f>IF(COUNTIF(Tabela66[id],D246)=0,"",COUNTIF(Tabela66[id],D246))</f>
        <v/>
      </c>
      <c r="L246" s="198"/>
      <c r="M246" s="227" t="str">
        <f t="shared" si="20"/>
        <v/>
      </c>
      <c r="P246" s="176" t="str">
        <f>IFERROR(VLOOKUP(O246,Cadastros!A:B,2),"")</f>
        <v/>
      </c>
      <c r="Q246" s="177" t="str">
        <f t="shared" si="16"/>
        <v/>
      </c>
      <c r="R246" s="177" t="str">
        <f>IFERROR(VLOOKUP(O246,Cadastros!A:E,5,0),"")</f>
        <v/>
      </c>
      <c r="S246" s="177" t="str">
        <f>IFERROR(VLOOKUP(O246,Cadastros!A:F,6,0),"")</f>
        <v/>
      </c>
      <c r="T246" s="177" t="str">
        <f>IFERROR(VLOOKUP(O246,Cadastros!A:I,9,0),"")</f>
        <v/>
      </c>
      <c r="U246" s="177" t="str">
        <f t="shared" si="17"/>
        <v/>
      </c>
      <c r="V246" s="177" t="str">
        <f t="shared" si="18"/>
        <v/>
      </c>
      <c r="W246" s="177" t="str">
        <f t="shared" si="19"/>
        <v/>
      </c>
      <c r="Y246" s="240" t="e">
        <f t="array" ref="Y246">INDEX(Tabela.abordagens[],SMALL(IF(Tabela.abordagens[Mês]=$L$2,ROW(Tabela.abordagens[id])-2),ROW(A199)),1)</f>
        <v>#NUM!</v>
      </c>
      <c r="Z246" s="240" t="e">
        <f t="array" ref="Z246">INDEX(Tabela.abordagens[],SMALL(IF(Tabela.abordagens[Mês]=$L$2,ROW(Tabela.abordagens[Idade])-2),ROW(A199)),6)</f>
        <v>#NUM!</v>
      </c>
      <c r="AA246" s="240" t="e">
        <f t="array" ref="AA246">INDEX(Tabela.abordagens[],SMALL(IF(Tabela.abordagens[Mês]=$L$2,ROW(Tabela.abordagens[Idade])-2),ROW(A199)),4)</f>
        <v>#NUM!</v>
      </c>
      <c r="AB246" s="240" t="e">
        <f t="array" ref="AB246">INDEX(Tabela.abordagens[],SMALL(IF(Tabela.abordagens[Mês]=$L$2,ROW(Tabela.abordagens[Idade])-2),ROW(A199)),5)</f>
        <v>#NUM!</v>
      </c>
    </row>
    <row r="247" spans="2:28" ht="15" x14ac:dyDescent="0.25">
      <c r="B247" s="223" t="e">
        <f t="array" ref="B247">INDEX(Tabela.frequencia[],SMALL(IF(Tabela.frequencia[Mês]=$L$2,ROW(Tabela.frequencia[id])-1),ROW(A200)),1)</f>
        <v>#NUM!</v>
      </c>
      <c r="C247" s="229" t="e">
        <f t="array" ref="C247">INDEX(Tabela.frequencia[],SMALL(IF(Tabela.frequencia[Mês]=$L$2,ROW(Tabela.frequencia[id])-1),ROW(A200)),4)</f>
        <v>#NUM!</v>
      </c>
      <c r="E247" s="176" t="str">
        <f>IFERROR(VLOOKUP(D247,Tabela.cadastro[[ID]:[Nome]],2,0),"")</f>
        <v/>
      </c>
      <c r="F247" s="177" t="str">
        <f>IFERROR(VLOOKUP(D247,Tabela66[#All],2,0),"")</f>
        <v/>
      </c>
      <c r="G247" s="177" t="str">
        <f>IFERROR(VLOOKUP(D247,Tabela.cadastro[[ID]:[CP ou M]],5,0),"")</f>
        <v/>
      </c>
      <c r="H247" s="177" t="str">
        <f>IFERROR(VLOOKUP(D247,Cadastros!A:F,6,0),"")</f>
        <v/>
      </c>
      <c r="I247" s="177" t="str">
        <f>IFERROR(VLOOKUP(D247,Cadastros!A:I,9,0),"")</f>
        <v/>
      </c>
      <c r="J247" s="177" t="str">
        <f>IFERROR(VLOOKUP(D247,Cadastros!A:J,10,0),"")</f>
        <v/>
      </c>
      <c r="K247" s="177" t="str">
        <f>IF(COUNTIF(Tabela66[id],D247)=0,"",COUNTIF(Tabela66[id],D247))</f>
        <v/>
      </c>
      <c r="L247" s="198"/>
      <c r="M247" s="227" t="str">
        <f t="shared" si="20"/>
        <v/>
      </c>
      <c r="P247" s="176" t="str">
        <f>IFERROR(VLOOKUP(O247,Cadastros!A:B,2),"")</f>
        <v/>
      </c>
      <c r="Q247" s="177" t="str">
        <f t="shared" si="16"/>
        <v/>
      </c>
      <c r="R247" s="177" t="str">
        <f>IFERROR(VLOOKUP(O247,Cadastros!A:E,5,0),"")</f>
        <v/>
      </c>
      <c r="S247" s="177" t="str">
        <f>IFERROR(VLOOKUP(O247,Cadastros!A:F,6,0),"")</f>
        <v/>
      </c>
      <c r="T247" s="177" t="str">
        <f>IFERROR(VLOOKUP(O247,Cadastros!A:I,9,0),"")</f>
        <v/>
      </c>
      <c r="U247" s="177" t="str">
        <f t="shared" si="17"/>
        <v/>
      </c>
      <c r="V247" s="177" t="str">
        <f t="shared" si="18"/>
        <v/>
      </c>
      <c r="W247" s="177" t="str">
        <f t="shared" si="19"/>
        <v/>
      </c>
      <c r="Y247" s="240" t="e">
        <f t="array" ref="Y247">INDEX(Tabela.abordagens[],SMALL(IF(Tabela.abordagens[Mês]=$L$2,ROW(Tabela.abordagens[id])-2),ROW(A200)),1)</f>
        <v>#NUM!</v>
      </c>
      <c r="Z247" s="240" t="e">
        <f t="array" ref="Z247">INDEX(Tabela.abordagens[],SMALL(IF(Tabela.abordagens[Mês]=$L$2,ROW(Tabela.abordagens[Idade])-2),ROW(A200)),6)</f>
        <v>#NUM!</v>
      </c>
      <c r="AA247" s="240" t="e">
        <f t="array" ref="AA247">INDEX(Tabela.abordagens[],SMALL(IF(Tabela.abordagens[Mês]=$L$2,ROW(Tabela.abordagens[Idade])-2),ROW(A200)),4)</f>
        <v>#NUM!</v>
      </c>
      <c r="AB247" s="240" t="e">
        <f t="array" ref="AB247">INDEX(Tabela.abordagens[],SMALL(IF(Tabela.abordagens[Mês]=$L$2,ROW(Tabela.abordagens[Idade])-2),ROW(A200)),5)</f>
        <v>#NUM!</v>
      </c>
    </row>
    <row r="248" spans="2:28" ht="15" x14ac:dyDescent="0.25">
      <c r="B248" s="223" t="e">
        <f t="array" ref="B248">INDEX(Tabela.frequencia[],SMALL(IF(Tabela.frequencia[Mês]=$L$2,ROW(Tabela.frequencia[id])-1),ROW(A201)),1)</f>
        <v>#NUM!</v>
      </c>
      <c r="C248" s="229" t="e">
        <f t="array" ref="C248">INDEX(Tabela.frequencia[],SMALL(IF(Tabela.frequencia[Mês]=$L$2,ROW(Tabela.frequencia[id])-1),ROW(A201)),4)</f>
        <v>#NUM!</v>
      </c>
      <c r="E248" s="176" t="str">
        <f>IFERROR(VLOOKUP(D248,Tabela.cadastro[[ID]:[Nome]],2,0),"")</f>
        <v/>
      </c>
      <c r="F248" s="177" t="str">
        <f>IFERROR(VLOOKUP(D248,Tabela66[#All],2,0),"")</f>
        <v/>
      </c>
      <c r="G248" s="177" t="str">
        <f>IFERROR(VLOOKUP(D248,Tabela.cadastro[[ID]:[CP ou M]],5,0),"")</f>
        <v/>
      </c>
      <c r="H248" s="177" t="str">
        <f>IFERROR(VLOOKUP(D248,Cadastros!A:F,6,0),"")</f>
        <v/>
      </c>
      <c r="I248" s="177" t="str">
        <f>IFERROR(VLOOKUP(D248,Cadastros!A:I,9,0),"")</f>
        <v/>
      </c>
      <c r="J248" s="177" t="str">
        <f>IFERROR(VLOOKUP(D248,Cadastros!A:J,10,0),"")</f>
        <v/>
      </c>
      <c r="K248" s="177" t="str">
        <f>IF(COUNTIF(Tabela66[id],D248)=0,"",COUNTIF(Tabela66[id],D248))</f>
        <v/>
      </c>
      <c r="L248" s="198"/>
      <c r="M248" s="227" t="str">
        <f t="shared" si="20"/>
        <v/>
      </c>
      <c r="P248" s="176" t="str">
        <f>IFERROR(VLOOKUP(O248,Cadastros!A:B,2),"")</f>
        <v/>
      </c>
      <c r="Q248" s="177" t="str">
        <f t="shared" si="16"/>
        <v/>
      </c>
      <c r="R248" s="177" t="str">
        <f>IFERROR(VLOOKUP(O248,Cadastros!A:E,5,0),"")</f>
        <v/>
      </c>
      <c r="S248" s="177" t="str">
        <f>IFERROR(VLOOKUP(O248,Cadastros!A:F,6,0),"")</f>
        <v/>
      </c>
      <c r="T248" s="177" t="str">
        <f>IFERROR(VLOOKUP(O248,Cadastros!A:I,9,0),"")</f>
        <v/>
      </c>
      <c r="U248" s="177" t="str">
        <f t="shared" si="17"/>
        <v/>
      </c>
      <c r="V248" s="177" t="str">
        <f t="shared" si="18"/>
        <v/>
      </c>
      <c r="W248" s="177" t="str">
        <f t="shared" si="19"/>
        <v/>
      </c>
      <c r="Y248" s="240" t="e">
        <f t="array" ref="Y248">INDEX(Tabela.abordagens[],SMALL(IF(Tabela.abordagens[Mês]=$L$2,ROW(Tabela.abordagens[id])-2),ROW(A201)),1)</f>
        <v>#NUM!</v>
      </c>
      <c r="Z248" s="240" t="e">
        <f t="array" ref="Z248">INDEX(Tabela.abordagens[],SMALL(IF(Tabela.abordagens[Mês]=$L$2,ROW(Tabela.abordagens[Idade])-2),ROW(A201)),6)</f>
        <v>#NUM!</v>
      </c>
      <c r="AA248" s="240" t="e">
        <f t="array" ref="AA248">INDEX(Tabela.abordagens[],SMALL(IF(Tabela.abordagens[Mês]=$L$2,ROW(Tabela.abordagens[Idade])-2),ROW(A201)),4)</f>
        <v>#NUM!</v>
      </c>
      <c r="AB248" s="240" t="e">
        <f t="array" ref="AB248">INDEX(Tabela.abordagens[],SMALL(IF(Tabela.abordagens[Mês]=$L$2,ROW(Tabela.abordagens[Idade])-2),ROW(A201)),5)</f>
        <v>#NUM!</v>
      </c>
    </row>
    <row r="249" spans="2:28" ht="15" x14ac:dyDescent="0.25">
      <c r="B249" s="223" t="e">
        <f t="array" ref="B249">INDEX(Tabela.frequencia[],SMALL(IF(Tabela.frequencia[Mês]=$L$2,ROW(Tabela.frequencia[id])-1),ROW(A202)),1)</f>
        <v>#NUM!</v>
      </c>
      <c r="C249" s="229" t="e">
        <f t="array" ref="C249">INDEX(Tabela.frequencia[],SMALL(IF(Tabela.frequencia[Mês]=$L$2,ROW(Tabela.frequencia[id])-1),ROW(A202)),4)</f>
        <v>#NUM!</v>
      </c>
      <c r="E249" s="176" t="str">
        <f>IFERROR(VLOOKUP(D249,Tabela.cadastro[[ID]:[Nome]],2,0),"")</f>
        <v/>
      </c>
      <c r="F249" s="177" t="str">
        <f>IFERROR(VLOOKUP(D249,Tabela66[#All],2,0),"")</f>
        <v/>
      </c>
      <c r="G249" s="177" t="str">
        <f>IFERROR(VLOOKUP(D249,Tabela.cadastro[[ID]:[CP ou M]],5,0),"")</f>
        <v/>
      </c>
      <c r="H249" s="177" t="str">
        <f>IFERROR(VLOOKUP(D249,Cadastros!A:F,6,0),"")</f>
        <v/>
      </c>
      <c r="I249" s="177" t="str">
        <f>IFERROR(VLOOKUP(D249,Cadastros!A:I,9,0),"")</f>
        <v/>
      </c>
      <c r="J249" s="177" t="str">
        <f>IFERROR(VLOOKUP(D249,Cadastros!A:J,10,0),"")</f>
        <v/>
      </c>
      <c r="K249" s="177" t="str">
        <f>IF(COUNTIF(Tabela66[id],D249)=0,"",COUNTIF(Tabela66[id],D249))</f>
        <v/>
      </c>
      <c r="L249" s="198"/>
      <c r="M249" s="227" t="str">
        <f t="shared" si="20"/>
        <v/>
      </c>
      <c r="P249" s="176" t="str">
        <f>IFERROR(VLOOKUP(O249,Cadastros!A:B,2),"")</f>
        <v/>
      </c>
      <c r="Q249" s="177" t="str">
        <f t="shared" si="16"/>
        <v/>
      </c>
      <c r="R249" s="177" t="str">
        <f>IFERROR(VLOOKUP(O249,Cadastros!A:E,5,0),"")</f>
        <v/>
      </c>
      <c r="S249" s="177" t="str">
        <f>IFERROR(VLOOKUP(O249,Cadastros!A:F,6,0),"")</f>
        <v/>
      </c>
      <c r="T249" s="177" t="str">
        <f>IFERROR(VLOOKUP(O249,Cadastros!A:I,9,0),"")</f>
        <v/>
      </c>
      <c r="U249" s="177" t="str">
        <f t="shared" si="17"/>
        <v/>
      </c>
      <c r="V249" s="177" t="str">
        <f t="shared" si="18"/>
        <v/>
      </c>
      <c r="W249" s="177" t="str">
        <f t="shared" si="19"/>
        <v/>
      </c>
      <c r="Y249" s="240" t="e">
        <f t="array" ref="Y249">INDEX(Tabela.abordagens[],SMALL(IF(Tabela.abordagens[Mês]=$L$2,ROW(Tabela.abordagens[id])-2),ROW(A202)),1)</f>
        <v>#NUM!</v>
      </c>
      <c r="Z249" s="240" t="e">
        <f t="array" ref="Z249">INDEX(Tabela.abordagens[],SMALL(IF(Tabela.abordagens[Mês]=$L$2,ROW(Tabela.abordagens[Idade])-2),ROW(A202)),6)</f>
        <v>#NUM!</v>
      </c>
      <c r="AA249" s="240" t="e">
        <f t="array" ref="AA249">INDEX(Tabela.abordagens[],SMALL(IF(Tabela.abordagens[Mês]=$L$2,ROW(Tabela.abordagens[Idade])-2),ROW(A202)),4)</f>
        <v>#NUM!</v>
      </c>
      <c r="AB249" s="240" t="e">
        <f t="array" ref="AB249">INDEX(Tabela.abordagens[],SMALL(IF(Tabela.abordagens[Mês]=$L$2,ROW(Tabela.abordagens[Idade])-2),ROW(A202)),5)</f>
        <v>#NUM!</v>
      </c>
    </row>
    <row r="250" spans="2:28" ht="15" x14ac:dyDescent="0.25">
      <c r="B250" s="223" t="e">
        <f t="array" ref="B250">INDEX(Tabela.frequencia[],SMALL(IF(Tabela.frequencia[Mês]=$L$2,ROW(Tabela.frequencia[id])-1),ROW(A203)),1)</f>
        <v>#NUM!</v>
      </c>
      <c r="C250" s="229" t="e">
        <f t="array" ref="C250">INDEX(Tabela.frequencia[],SMALL(IF(Tabela.frequencia[Mês]=$L$2,ROW(Tabela.frequencia[id])-1),ROW(A203)),4)</f>
        <v>#NUM!</v>
      </c>
      <c r="E250" s="176" t="str">
        <f>IFERROR(VLOOKUP(D250,Tabela.cadastro[[ID]:[Nome]],2,0),"")</f>
        <v/>
      </c>
      <c r="F250" s="177" t="str">
        <f>IFERROR(VLOOKUP(D250,Tabela66[#All],2,0),"")</f>
        <v/>
      </c>
      <c r="G250" s="177" t="str">
        <f>IFERROR(VLOOKUP(D250,Tabela.cadastro[[ID]:[CP ou M]],5,0),"")</f>
        <v/>
      </c>
      <c r="H250" s="177" t="str">
        <f>IFERROR(VLOOKUP(D250,Cadastros!A:F,6,0),"")</f>
        <v/>
      </c>
      <c r="I250" s="177" t="str">
        <f>IFERROR(VLOOKUP(D250,Cadastros!A:I,9,0),"")</f>
        <v/>
      </c>
      <c r="J250" s="177" t="str">
        <f>IFERROR(VLOOKUP(D250,Cadastros!A:J,10,0),"")</f>
        <v/>
      </c>
      <c r="K250" s="177" t="str">
        <f>IF(COUNTIF(Tabela66[id],D250)=0,"",COUNTIF(Tabela66[id],D250))</f>
        <v/>
      </c>
      <c r="L250" s="198"/>
      <c r="M250" s="227" t="str">
        <f t="shared" si="20"/>
        <v/>
      </c>
      <c r="P250" s="176" t="str">
        <f>IFERROR(VLOOKUP(O250,Cadastros!A:B,2),"")</f>
        <v/>
      </c>
      <c r="Q250" s="177" t="str">
        <f t="shared" si="16"/>
        <v/>
      </c>
      <c r="R250" s="177" t="str">
        <f>IFERROR(VLOOKUP(O250,Cadastros!A:E,5,0),"")</f>
        <v/>
      </c>
      <c r="S250" s="177" t="str">
        <f>IFERROR(VLOOKUP(O250,Cadastros!A:F,6,0),"")</f>
        <v/>
      </c>
      <c r="T250" s="177" t="str">
        <f>IFERROR(VLOOKUP(O250,Cadastros!A:I,9,0),"")</f>
        <v/>
      </c>
      <c r="U250" s="177" t="str">
        <f t="shared" si="17"/>
        <v/>
      </c>
      <c r="V250" s="177" t="str">
        <f t="shared" si="18"/>
        <v/>
      </c>
      <c r="W250" s="177" t="str">
        <f t="shared" si="19"/>
        <v/>
      </c>
      <c r="Y250" s="240" t="e">
        <f t="array" ref="Y250">INDEX(Tabela.abordagens[],SMALL(IF(Tabela.abordagens[Mês]=$L$2,ROW(Tabela.abordagens[id])-2),ROW(A203)),1)</f>
        <v>#NUM!</v>
      </c>
      <c r="Z250" s="240" t="e">
        <f t="array" ref="Z250">INDEX(Tabela.abordagens[],SMALL(IF(Tabela.abordagens[Mês]=$L$2,ROW(Tabela.abordagens[Idade])-2),ROW(A203)),6)</f>
        <v>#NUM!</v>
      </c>
      <c r="AA250" s="240" t="e">
        <f t="array" ref="AA250">INDEX(Tabela.abordagens[],SMALL(IF(Tabela.abordagens[Mês]=$L$2,ROW(Tabela.abordagens[Idade])-2),ROW(A203)),4)</f>
        <v>#NUM!</v>
      </c>
      <c r="AB250" s="240" t="e">
        <f t="array" ref="AB250">INDEX(Tabela.abordagens[],SMALL(IF(Tabela.abordagens[Mês]=$L$2,ROW(Tabela.abordagens[Idade])-2),ROW(A203)),5)</f>
        <v>#NUM!</v>
      </c>
    </row>
    <row r="251" spans="2:28" ht="15" x14ac:dyDescent="0.25">
      <c r="B251" s="223" t="e">
        <f t="array" ref="B251">INDEX(Tabela.frequencia[],SMALL(IF(Tabela.frequencia[Mês]=$L$2,ROW(Tabela.frequencia[id])-1),ROW(A204)),1)</f>
        <v>#NUM!</v>
      </c>
      <c r="C251" s="229" t="e">
        <f t="array" ref="C251">INDEX(Tabela.frequencia[],SMALL(IF(Tabela.frequencia[Mês]=$L$2,ROW(Tabela.frequencia[id])-1),ROW(A204)),4)</f>
        <v>#NUM!</v>
      </c>
      <c r="E251" s="176" t="str">
        <f>IFERROR(VLOOKUP(D251,Tabela.cadastro[[ID]:[Nome]],2,0),"")</f>
        <v/>
      </c>
      <c r="F251" s="177" t="str">
        <f>IFERROR(VLOOKUP(D251,Tabela66[#All],2,0),"")</f>
        <v/>
      </c>
      <c r="G251" s="177" t="str">
        <f>IFERROR(VLOOKUP(D251,Tabela.cadastro[[ID]:[CP ou M]],5,0),"")</f>
        <v/>
      </c>
      <c r="H251" s="177" t="str">
        <f>IFERROR(VLOOKUP(D251,Cadastros!A:F,6,0),"")</f>
        <v/>
      </c>
      <c r="I251" s="177" t="str">
        <f>IFERROR(VLOOKUP(D251,Cadastros!A:I,9,0),"")</f>
        <v/>
      </c>
      <c r="J251" s="177" t="str">
        <f>IFERROR(VLOOKUP(D251,Cadastros!A:J,10,0),"")</f>
        <v/>
      </c>
      <c r="K251" s="177" t="str">
        <f>IF(COUNTIF(Tabela66[id],D251)=0,"",COUNTIF(Tabela66[id],D251))</f>
        <v/>
      </c>
      <c r="L251" s="198"/>
      <c r="M251" s="227" t="str">
        <f t="shared" si="20"/>
        <v/>
      </c>
      <c r="P251" s="176" t="str">
        <f>IFERROR(VLOOKUP(O251,Cadastros!A:B,2),"")</f>
        <v/>
      </c>
      <c r="Q251" s="177" t="str">
        <f t="shared" si="16"/>
        <v/>
      </c>
      <c r="R251" s="177" t="str">
        <f>IFERROR(VLOOKUP(O251,Cadastros!A:E,5,0),"")</f>
        <v/>
      </c>
      <c r="S251" s="177" t="str">
        <f>IFERROR(VLOOKUP(O251,Cadastros!A:F,6,0),"")</f>
        <v/>
      </c>
      <c r="T251" s="177" t="str">
        <f>IFERROR(VLOOKUP(O251,Cadastros!A:I,9,0),"")</f>
        <v/>
      </c>
      <c r="U251" s="177" t="str">
        <f t="shared" si="17"/>
        <v/>
      </c>
      <c r="V251" s="177" t="str">
        <f t="shared" si="18"/>
        <v/>
      </c>
      <c r="W251" s="177" t="str">
        <f t="shared" si="19"/>
        <v/>
      </c>
      <c r="Y251" s="240" t="e">
        <f t="array" ref="Y251">INDEX(Tabela.abordagens[],SMALL(IF(Tabela.abordagens[Mês]=$L$2,ROW(Tabela.abordagens[id])-2),ROW(A204)),1)</f>
        <v>#NUM!</v>
      </c>
      <c r="Z251" s="240" t="e">
        <f t="array" ref="Z251">INDEX(Tabela.abordagens[],SMALL(IF(Tabela.abordagens[Mês]=$L$2,ROW(Tabela.abordagens[Idade])-2),ROW(A204)),6)</f>
        <v>#NUM!</v>
      </c>
      <c r="AA251" s="240" t="e">
        <f t="array" ref="AA251">INDEX(Tabela.abordagens[],SMALL(IF(Tabela.abordagens[Mês]=$L$2,ROW(Tabela.abordagens[Idade])-2),ROW(A204)),4)</f>
        <v>#NUM!</v>
      </c>
      <c r="AB251" s="240" t="e">
        <f t="array" ref="AB251">INDEX(Tabela.abordagens[],SMALL(IF(Tabela.abordagens[Mês]=$L$2,ROW(Tabela.abordagens[Idade])-2),ROW(A204)),5)</f>
        <v>#NUM!</v>
      </c>
    </row>
    <row r="252" spans="2:28" ht="15" x14ac:dyDescent="0.25">
      <c r="B252" s="223" t="e">
        <f t="array" ref="B252">INDEX(Tabela.frequencia[],SMALL(IF(Tabela.frequencia[Mês]=$L$2,ROW(Tabela.frequencia[id])-1),ROW(A205)),1)</f>
        <v>#NUM!</v>
      </c>
      <c r="C252" s="229" t="e">
        <f t="array" ref="C252">INDEX(Tabela.frequencia[],SMALL(IF(Tabela.frequencia[Mês]=$L$2,ROW(Tabela.frequencia[id])-1),ROW(A205)),4)</f>
        <v>#NUM!</v>
      </c>
      <c r="E252" s="176" t="str">
        <f>IFERROR(VLOOKUP(D252,Tabela.cadastro[[ID]:[Nome]],2,0),"")</f>
        <v/>
      </c>
      <c r="F252" s="177" t="str">
        <f>IFERROR(VLOOKUP(D252,Tabela66[#All],2,0),"")</f>
        <v/>
      </c>
      <c r="G252" s="177" t="str">
        <f>IFERROR(VLOOKUP(D252,Tabela.cadastro[[ID]:[CP ou M]],5,0),"")</f>
        <v/>
      </c>
      <c r="H252" s="177" t="str">
        <f>IFERROR(VLOOKUP(D252,Cadastros!A:F,6,0),"")</f>
        <v/>
      </c>
      <c r="I252" s="177" t="str">
        <f>IFERROR(VLOOKUP(D252,Cadastros!A:I,9,0),"")</f>
        <v/>
      </c>
      <c r="J252" s="177" t="str">
        <f>IFERROR(VLOOKUP(D252,Cadastros!A:J,10,0),"")</f>
        <v/>
      </c>
      <c r="K252" s="177" t="str">
        <f>IF(COUNTIF(Tabela66[id],D252)=0,"",COUNTIF(Tabela66[id],D252))</f>
        <v/>
      </c>
      <c r="L252" s="198"/>
      <c r="M252" s="227" t="str">
        <f t="shared" si="20"/>
        <v/>
      </c>
      <c r="P252" s="176" t="str">
        <f>IFERROR(VLOOKUP(O252,Cadastros!A:B,2),"")</f>
        <v/>
      </c>
      <c r="Q252" s="177" t="str">
        <f t="shared" si="16"/>
        <v/>
      </c>
      <c r="R252" s="177" t="str">
        <f>IFERROR(VLOOKUP(O252,Cadastros!A:E,5,0),"")</f>
        <v/>
      </c>
      <c r="S252" s="177" t="str">
        <f>IFERROR(VLOOKUP(O252,Cadastros!A:F,6,0),"")</f>
        <v/>
      </c>
      <c r="T252" s="177" t="str">
        <f>IFERROR(VLOOKUP(O252,Cadastros!A:I,9,0),"")</f>
        <v/>
      </c>
      <c r="U252" s="177" t="str">
        <f t="shared" si="17"/>
        <v/>
      </c>
      <c r="V252" s="177" t="str">
        <f t="shared" si="18"/>
        <v/>
      </c>
      <c r="W252" s="177" t="str">
        <f t="shared" si="19"/>
        <v/>
      </c>
      <c r="Y252" s="240" t="e">
        <f t="array" ref="Y252">INDEX(Tabela.abordagens[],SMALL(IF(Tabela.abordagens[Mês]=$L$2,ROW(Tabela.abordagens[id])-2),ROW(A205)),1)</f>
        <v>#NUM!</v>
      </c>
      <c r="Z252" s="240" t="e">
        <f t="array" ref="Z252">INDEX(Tabela.abordagens[],SMALL(IF(Tabela.abordagens[Mês]=$L$2,ROW(Tabela.abordagens[Idade])-2),ROW(A205)),6)</f>
        <v>#NUM!</v>
      </c>
      <c r="AA252" s="240" t="e">
        <f t="array" ref="AA252">INDEX(Tabela.abordagens[],SMALL(IF(Tabela.abordagens[Mês]=$L$2,ROW(Tabela.abordagens[Idade])-2),ROW(A205)),4)</f>
        <v>#NUM!</v>
      </c>
      <c r="AB252" s="240" t="e">
        <f t="array" ref="AB252">INDEX(Tabela.abordagens[],SMALL(IF(Tabela.abordagens[Mês]=$L$2,ROW(Tabela.abordagens[Idade])-2),ROW(A205)),5)</f>
        <v>#NUM!</v>
      </c>
    </row>
    <row r="253" spans="2:28" ht="15" x14ac:dyDescent="0.25">
      <c r="B253" s="223" t="e">
        <f t="array" ref="B253">INDEX(Tabela.frequencia[],SMALL(IF(Tabela.frequencia[Mês]=$L$2,ROW(Tabela.frequencia[id])-1),ROW(A206)),1)</f>
        <v>#NUM!</v>
      </c>
      <c r="C253" s="229" t="e">
        <f t="array" ref="C253">INDEX(Tabela.frequencia[],SMALL(IF(Tabela.frequencia[Mês]=$L$2,ROW(Tabela.frequencia[id])-1),ROW(A206)),4)</f>
        <v>#NUM!</v>
      </c>
      <c r="E253" s="176" t="str">
        <f>IFERROR(VLOOKUP(D253,Tabela.cadastro[[ID]:[Nome]],2,0),"")</f>
        <v/>
      </c>
      <c r="F253" s="177" t="str">
        <f>IFERROR(VLOOKUP(D253,Tabela66[#All],2,0),"")</f>
        <v/>
      </c>
      <c r="G253" s="177" t="str">
        <f>IFERROR(VLOOKUP(D253,Tabela.cadastro[[ID]:[CP ou M]],5,0),"")</f>
        <v/>
      </c>
      <c r="H253" s="177" t="str">
        <f>IFERROR(VLOOKUP(D253,Cadastros!A:F,6,0),"")</f>
        <v/>
      </c>
      <c r="I253" s="177" t="str">
        <f>IFERROR(VLOOKUP(D253,Cadastros!A:I,9,0),"")</f>
        <v/>
      </c>
      <c r="J253" s="177" t="str">
        <f>IFERROR(VLOOKUP(D253,Cadastros!A:J,10,0),"")</f>
        <v/>
      </c>
      <c r="K253" s="177" t="str">
        <f>IF(COUNTIF(Tabela66[id],D253)=0,"",COUNTIF(Tabela66[id],D253))</f>
        <v/>
      </c>
      <c r="L253" s="198"/>
      <c r="M253" s="227" t="str">
        <f t="shared" si="20"/>
        <v/>
      </c>
      <c r="P253" s="176" t="str">
        <f>IFERROR(VLOOKUP(O253,Cadastros!A:B,2),"")</f>
        <v/>
      </c>
      <c r="Q253" s="177" t="str">
        <f t="shared" si="16"/>
        <v/>
      </c>
      <c r="R253" s="177" t="str">
        <f>IFERROR(VLOOKUP(O253,Cadastros!A:E,5,0),"")</f>
        <v/>
      </c>
      <c r="S253" s="177" t="str">
        <f>IFERROR(VLOOKUP(O253,Cadastros!A:F,6,0),"")</f>
        <v/>
      </c>
      <c r="T253" s="177" t="str">
        <f>IFERROR(VLOOKUP(O253,Cadastros!A:I,9,0),"")</f>
        <v/>
      </c>
      <c r="U253" s="177" t="str">
        <f t="shared" si="17"/>
        <v/>
      </c>
      <c r="V253" s="177" t="str">
        <f t="shared" si="18"/>
        <v/>
      </c>
      <c r="W253" s="177" t="str">
        <f t="shared" si="19"/>
        <v/>
      </c>
      <c r="Y253" s="240" t="e">
        <f t="array" ref="Y253">INDEX(Tabela.abordagens[],SMALL(IF(Tabela.abordagens[Mês]=$L$2,ROW(Tabela.abordagens[id])-2),ROW(A206)),1)</f>
        <v>#NUM!</v>
      </c>
      <c r="Z253" s="240" t="e">
        <f t="array" ref="Z253">INDEX(Tabela.abordagens[],SMALL(IF(Tabela.abordagens[Mês]=$L$2,ROW(Tabela.abordagens[Idade])-2),ROW(A206)),6)</f>
        <v>#NUM!</v>
      </c>
      <c r="AA253" s="240" t="e">
        <f t="array" ref="AA253">INDEX(Tabela.abordagens[],SMALL(IF(Tabela.abordagens[Mês]=$L$2,ROW(Tabela.abordagens[Idade])-2),ROW(A206)),4)</f>
        <v>#NUM!</v>
      </c>
      <c r="AB253" s="240" t="e">
        <f t="array" ref="AB253">INDEX(Tabela.abordagens[],SMALL(IF(Tabela.abordagens[Mês]=$L$2,ROW(Tabela.abordagens[Idade])-2),ROW(A206)),5)</f>
        <v>#NUM!</v>
      </c>
    </row>
    <row r="254" spans="2:28" ht="15" x14ac:dyDescent="0.25">
      <c r="B254" s="223" t="e">
        <f t="array" ref="B254">INDEX(Tabela.frequencia[],SMALL(IF(Tabela.frequencia[Mês]=$L$2,ROW(Tabela.frequencia[id])-1),ROW(A207)),1)</f>
        <v>#NUM!</v>
      </c>
      <c r="C254" s="229" t="e">
        <f t="array" ref="C254">INDEX(Tabela.frequencia[],SMALL(IF(Tabela.frequencia[Mês]=$L$2,ROW(Tabela.frequencia[id])-1),ROW(A207)),4)</f>
        <v>#NUM!</v>
      </c>
      <c r="E254" s="176" t="str">
        <f>IFERROR(VLOOKUP(D254,Tabela.cadastro[[ID]:[Nome]],2,0),"")</f>
        <v/>
      </c>
      <c r="F254" s="177" t="str">
        <f>IFERROR(VLOOKUP(D254,Tabela66[#All],2,0),"")</f>
        <v/>
      </c>
      <c r="G254" s="177" t="str">
        <f>IFERROR(VLOOKUP(D254,Tabela.cadastro[[ID]:[CP ou M]],5,0),"")</f>
        <v/>
      </c>
      <c r="H254" s="177" t="str">
        <f>IFERROR(VLOOKUP(D254,Cadastros!A:F,6,0),"")</f>
        <v/>
      </c>
      <c r="I254" s="177" t="str">
        <f>IFERROR(VLOOKUP(D254,Cadastros!A:I,9,0),"")</f>
        <v/>
      </c>
      <c r="J254" s="177" t="str">
        <f>IFERROR(VLOOKUP(D254,Cadastros!A:J,10,0),"")</f>
        <v/>
      </c>
      <c r="K254" s="177" t="str">
        <f>IF(COUNTIF(Tabela66[id],D254)=0,"",COUNTIF(Tabela66[id],D254))</f>
        <v/>
      </c>
      <c r="L254" s="198"/>
      <c r="M254" s="227" t="str">
        <f t="shared" si="20"/>
        <v/>
      </c>
      <c r="P254" s="176" t="str">
        <f>IFERROR(VLOOKUP(O254,Cadastros!A:B,2),"")</f>
        <v/>
      </c>
      <c r="Q254" s="177" t="str">
        <f t="shared" si="16"/>
        <v/>
      </c>
      <c r="R254" s="177" t="str">
        <f>IFERROR(VLOOKUP(O254,Cadastros!A:E,5,0),"")</f>
        <v/>
      </c>
      <c r="S254" s="177" t="str">
        <f>IFERROR(VLOOKUP(O254,Cadastros!A:F,6,0),"")</f>
        <v/>
      </c>
      <c r="T254" s="177" t="str">
        <f>IFERROR(VLOOKUP(O254,Cadastros!A:I,9,0),"")</f>
        <v/>
      </c>
      <c r="U254" s="177" t="str">
        <f t="shared" si="17"/>
        <v/>
      </c>
      <c r="V254" s="177" t="str">
        <f t="shared" si="18"/>
        <v/>
      </c>
      <c r="W254" s="177" t="str">
        <f t="shared" si="19"/>
        <v/>
      </c>
      <c r="Y254" s="240" t="e">
        <f t="array" ref="Y254">INDEX(Tabela.abordagens[],SMALL(IF(Tabela.abordagens[Mês]=$L$2,ROW(Tabela.abordagens[id])-2),ROW(A207)),1)</f>
        <v>#NUM!</v>
      </c>
      <c r="Z254" s="240" t="e">
        <f t="array" ref="Z254">INDEX(Tabela.abordagens[],SMALL(IF(Tabela.abordagens[Mês]=$L$2,ROW(Tabela.abordagens[Idade])-2),ROW(A207)),6)</f>
        <v>#NUM!</v>
      </c>
      <c r="AA254" s="240" t="e">
        <f t="array" ref="AA254">INDEX(Tabela.abordagens[],SMALL(IF(Tabela.abordagens[Mês]=$L$2,ROW(Tabela.abordagens[Idade])-2),ROW(A207)),4)</f>
        <v>#NUM!</v>
      </c>
      <c r="AB254" s="240" t="e">
        <f t="array" ref="AB254">INDEX(Tabela.abordagens[],SMALL(IF(Tabela.abordagens[Mês]=$L$2,ROW(Tabela.abordagens[Idade])-2),ROW(A207)),5)</f>
        <v>#NUM!</v>
      </c>
    </row>
    <row r="255" spans="2:28" ht="15" x14ac:dyDescent="0.25">
      <c r="B255" s="223" t="e">
        <f t="array" ref="B255">INDEX(Tabela.frequencia[],SMALL(IF(Tabela.frequencia[Mês]=$L$2,ROW(Tabela.frequencia[id])-1),ROW(A208)),1)</f>
        <v>#NUM!</v>
      </c>
      <c r="C255" s="229" t="e">
        <f t="array" ref="C255">INDEX(Tabela.frequencia[],SMALL(IF(Tabela.frequencia[Mês]=$L$2,ROW(Tabela.frequencia[id])-1),ROW(A208)),4)</f>
        <v>#NUM!</v>
      </c>
      <c r="E255" s="176" t="str">
        <f>IFERROR(VLOOKUP(D255,Tabela.cadastro[[ID]:[Nome]],2,0),"")</f>
        <v/>
      </c>
      <c r="F255" s="177" t="str">
        <f>IFERROR(VLOOKUP(D255,Tabela66[#All],2,0),"")</f>
        <v/>
      </c>
      <c r="G255" s="177" t="str">
        <f>IFERROR(VLOOKUP(D255,Tabela.cadastro[[ID]:[CP ou M]],5,0),"")</f>
        <v/>
      </c>
      <c r="H255" s="177" t="str">
        <f>IFERROR(VLOOKUP(D255,Cadastros!A:F,6,0),"")</f>
        <v/>
      </c>
      <c r="I255" s="177" t="str">
        <f>IFERROR(VLOOKUP(D255,Cadastros!A:I,9,0),"")</f>
        <v/>
      </c>
      <c r="J255" s="177" t="str">
        <f>IFERROR(VLOOKUP(D255,Cadastros!A:J,10,0),"")</f>
        <v/>
      </c>
      <c r="K255" s="177" t="str">
        <f>IF(COUNTIF(Tabela66[id],D255)=0,"",COUNTIF(Tabela66[id],D255))</f>
        <v/>
      </c>
      <c r="L255" s="198"/>
      <c r="M255" s="227" t="str">
        <f t="shared" si="20"/>
        <v/>
      </c>
      <c r="P255" s="176" t="str">
        <f>IFERROR(VLOOKUP(O255,Cadastros!A:B,2),"")</f>
        <v/>
      </c>
      <c r="Q255" s="177" t="str">
        <f t="shared" si="16"/>
        <v/>
      </c>
      <c r="R255" s="177" t="str">
        <f>IFERROR(VLOOKUP(O255,Cadastros!A:E,5,0),"")</f>
        <v/>
      </c>
      <c r="S255" s="177" t="str">
        <f>IFERROR(VLOOKUP(O255,Cadastros!A:F,6,0),"")</f>
        <v/>
      </c>
      <c r="T255" s="177" t="str">
        <f>IFERROR(VLOOKUP(O255,Cadastros!A:I,9,0),"")</f>
        <v/>
      </c>
      <c r="U255" s="177" t="str">
        <f t="shared" si="17"/>
        <v/>
      </c>
      <c r="V255" s="177" t="str">
        <f t="shared" si="18"/>
        <v/>
      </c>
      <c r="W255" s="177" t="str">
        <f t="shared" si="19"/>
        <v/>
      </c>
      <c r="Y255" s="240" t="e">
        <f t="array" ref="Y255">INDEX(Tabela.abordagens[],SMALL(IF(Tabela.abordagens[Mês]=$L$2,ROW(Tabela.abordagens[id])-2),ROW(A208)),1)</f>
        <v>#NUM!</v>
      </c>
      <c r="Z255" s="240" t="e">
        <f t="array" ref="Z255">INDEX(Tabela.abordagens[],SMALL(IF(Tabela.abordagens[Mês]=$L$2,ROW(Tabela.abordagens[Idade])-2),ROW(A208)),6)</f>
        <v>#NUM!</v>
      </c>
      <c r="AA255" s="240" t="e">
        <f t="array" ref="AA255">INDEX(Tabela.abordagens[],SMALL(IF(Tabela.abordagens[Mês]=$L$2,ROW(Tabela.abordagens[Idade])-2),ROW(A208)),4)</f>
        <v>#NUM!</v>
      </c>
      <c r="AB255" s="240" t="e">
        <f t="array" ref="AB255">INDEX(Tabela.abordagens[],SMALL(IF(Tabela.abordagens[Mês]=$L$2,ROW(Tabela.abordagens[Idade])-2),ROW(A208)),5)</f>
        <v>#NUM!</v>
      </c>
    </row>
    <row r="256" spans="2:28" ht="15" x14ac:dyDescent="0.25">
      <c r="B256" s="223" t="e">
        <f t="array" ref="B256">INDEX(Tabela.frequencia[],SMALL(IF(Tabela.frequencia[Mês]=$L$2,ROW(Tabela.frequencia[id])-1),ROW(A209)),1)</f>
        <v>#NUM!</v>
      </c>
      <c r="C256" s="229" t="e">
        <f t="array" ref="C256">INDEX(Tabela.frequencia[],SMALL(IF(Tabela.frequencia[Mês]=$L$2,ROW(Tabela.frequencia[id])-1),ROW(A209)),4)</f>
        <v>#NUM!</v>
      </c>
      <c r="E256" s="176" t="str">
        <f>IFERROR(VLOOKUP(D256,Tabela.cadastro[[ID]:[Nome]],2,0),"")</f>
        <v/>
      </c>
      <c r="F256" s="177" t="str">
        <f>IFERROR(VLOOKUP(D256,Tabela66[#All],2,0),"")</f>
        <v/>
      </c>
      <c r="G256" s="177" t="str">
        <f>IFERROR(VLOOKUP(D256,Tabela.cadastro[[ID]:[CP ou M]],5,0),"")</f>
        <v/>
      </c>
      <c r="H256" s="177" t="str">
        <f>IFERROR(VLOOKUP(D256,Cadastros!A:F,6,0),"")</f>
        <v/>
      </c>
      <c r="I256" s="177" t="str">
        <f>IFERROR(VLOOKUP(D256,Cadastros!A:I,9,0),"")</f>
        <v/>
      </c>
      <c r="J256" s="177" t="str">
        <f>IFERROR(VLOOKUP(D256,Cadastros!A:J,10,0),"")</f>
        <v/>
      </c>
      <c r="K256" s="177" t="str">
        <f>IF(COUNTIF(Tabela66[id],D256)=0,"",COUNTIF(Tabela66[id],D256))</f>
        <v/>
      </c>
      <c r="L256" s="198"/>
      <c r="M256" s="227" t="str">
        <f t="shared" si="20"/>
        <v/>
      </c>
      <c r="P256" s="176" t="str">
        <f>IFERROR(VLOOKUP(O256,Cadastros!A:B,2),"")</f>
        <v/>
      </c>
      <c r="Q256" s="177" t="str">
        <f t="shared" si="16"/>
        <v/>
      </c>
      <c r="R256" s="177" t="str">
        <f>IFERROR(VLOOKUP(O256,Cadastros!A:E,5,0),"")</f>
        <v/>
      </c>
      <c r="S256" s="177" t="str">
        <f>IFERROR(VLOOKUP(O256,Cadastros!A:F,6,0),"")</f>
        <v/>
      </c>
      <c r="T256" s="177" t="str">
        <f>IFERROR(VLOOKUP(O256,Cadastros!A:I,9,0),"")</f>
        <v/>
      </c>
      <c r="U256" s="177" t="str">
        <f t="shared" si="17"/>
        <v/>
      </c>
      <c r="V256" s="177" t="str">
        <f t="shared" si="18"/>
        <v/>
      </c>
      <c r="W256" s="177" t="str">
        <f t="shared" si="19"/>
        <v/>
      </c>
      <c r="Y256" s="240" t="e">
        <f t="array" ref="Y256">INDEX(Tabela.abordagens[],SMALL(IF(Tabela.abordagens[Mês]=$L$2,ROW(Tabela.abordagens[id])-2),ROW(A209)),1)</f>
        <v>#NUM!</v>
      </c>
      <c r="Z256" s="240" t="e">
        <f t="array" ref="Z256">INDEX(Tabela.abordagens[],SMALL(IF(Tabela.abordagens[Mês]=$L$2,ROW(Tabela.abordagens[Idade])-2),ROW(A209)),6)</f>
        <v>#NUM!</v>
      </c>
      <c r="AA256" s="240" t="e">
        <f t="array" ref="AA256">INDEX(Tabela.abordagens[],SMALL(IF(Tabela.abordagens[Mês]=$L$2,ROW(Tabela.abordagens[Idade])-2),ROW(A209)),4)</f>
        <v>#NUM!</v>
      </c>
      <c r="AB256" s="240" t="e">
        <f t="array" ref="AB256">INDEX(Tabela.abordagens[],SMALL(IF(Tabela.abordagens[Mês]=$L$2,ROW(Tabela.abordagens[Idade])-2),ROW(A209)),5)</f>
        <v>#NUM!</v>
      </c>
    </row>
    <row r="257" spans="2:28" ht="15" x14ac:dyDescent="0.25">
      <c r="B257" s="223" t="e">
        <f t="array" ref="B257">INDEX(Tabela.frequencia[],SMALL(IF(Tabela.frequencia[Mês]=$L$2,ROW(Tabela.frequencia[id])-1),ROW(A210)),1)</f>
        <v>#NUM!</v>
      </c>
      <c r="C257" s="229" t="e">
        <f t="array" ref="C257">INDEX(Tabela.frequencia[],SMALL(IF(Tabela.frequencia[Mês]=$L$2,ROW(Tabela.frequencia[id])-1),ROW(A210)),4)</f>
        <v>#NUM!</v>
      </c>
      <c r="E257" s="176" t="str">
        <f>IFERROR(VLOOKUP(D257,Tabela.cadastro[[ID]:[Nome]],2,0),"")</f>
        <v/>
      </c>
      <c r="F257" s="177" t="str">
        <f>IFERROR(VLOOKUP(D257,Tabela66[#All],2,0),"")</f>
        <v/>
      </c>
      <c r="G257" s="177" t="str">
        <f>IFERROR(VLOOKUP(D257,Tabela.cadastro[[ID]:[CP ou M]],5,0),"")</f>
        <v/>
      </c>
      <c r="H257" s="177" t="str">
        <f>IFERROR(VLOOKUP(D257,Cadastros!A:F,6,0),"")</f>
        <v/>
      </c>
      <c r="I257" s="177" t="str">
        <f>IFERROR(VLOOKUP(D257,Cadastros!A:I,9,0),"")</f>
        <v/>
      </c>
      <c r="J257" s="177" t="str">
        <f>IFERROR(VLOOKUP(D257,Cadastros!A:J,10,0),"")</f>
        <v/>
      </c>
      <c r="K257" s="177" t="str">
        <f>IF(COUNTIF(Tabela66[id],D257)=0,"",COUNTIF(Tabela66[id],D257))</f>
        <v/>
      </c>
      <c r="L257" s="198"/>
      <c r="M257" s="227" t="str">
        <f t="shared" si="20"/>
        <v/>
      </c>
      <c r="P257" s="176" t="str">
        <f>IFERROR(VLOOKUP(O257,Cadastros!A:B,2),"")</f>
        <v/>
      </c>
      <c r="Q257" s="177" t="str">
        <f t="shared" si="16"/>
        <v/>
      </c>
      <c r="R257" s="177" t="str">
        <f>IFERROR(VLOOKUP(O257,Cadastros!A:E,5,0),"")</f>
        <v/>
      </c>
      <c r="S257" s="177" t="str">
        <f>IFERROR(VLOOKUP(O257,Cadastros!A:F,6,0),"")</f>
        <v/>
      </c>
      <c r="T257" s="177" t="str">
        <f>IFERROR(VLOOKUP(O257,Cadastros!A:I,9,0),"")</f>
        <v/>
      </c>
      <c r="U257" s="177" t="str">
        <f t="shared" si="17"/>
        <v/>
      </c>
      <c r="V257" s="177" t="str">
        <f t="shared" si="18"/>
        <v/>
      </c>
      <c r="W257" s="177" t="str">
        <f t="shared" si="19"/>
        <v/>
      </c>
      <c r="Y257" s="240" t="e">
        <f t="array" ref="Y257">INDEX(Tabela.abordagens[],SMALL(IF(Tabela.abordagens[Mês]=$L$2,ROW(Tabela.abordagens[id])-2),ROW(A210)),1)</f>
        <v>#NUM!</v>
      </c>
      <c r="Z257" s="240" t="e">
        <f t="array" ref="Z257">INDEX(Tabela.abordagens[],SMALL(IF(Tabela.abordagens[Mês]=$L$2,ROW(Tabela.abordagens[Idade])-2),ROW(A210)),6)</f>
        <v>#NUM!</v>
      </c>
      <c r="AA257" s="240" t="e">
        <f t="array" ref="AA257">INDEX(Tabela.abordagens[],SMALL(IF(Tabela.abordagens[Mês]=$L$2,ROW(Tabela.abordagens[Idade])-2),ROW(A210)),4)</f>
        <v>#NUM!</v>
      </c>
      <c r="AB257" s="240" t="e">
        <f t="array" ref="AB257">INDEX(Tabela.abordagens[],SMALL(IF(Tabela.abordagens[Mês]=$L$2,ROW(Tabela.abordagens[Idade])-2),ROW(A210)),5)</f>
        <v>#NUM!</v>
      </c>
    </row>
    <row r="258" spans="2:28" ht="15" x14ac:dyDescent="0.25">
      <c r="B258" s="223" t="e">
        <f t="array" ref="B258">INDEX(Tabela.frequencia[],SMALL(IF(Tabela.frequencia[Mês]=$L$2,ROW(Tabela.frequencia[id])-1),ROW(A211)),1)</f>
        <v>#NUM!</v>
      </c>
      <c r="C258" s="229" t="e">
        <f t="array" ref="C258">INDEX(Tabela.frequencia[],SMALL(IF(Tabela.frequencia[Mês]=$L$2,ROW(Tabela.frequencia[id])-1),ROW(A211)),4)</f>
        <v>#NUM!</v>
      </c>
      <c r="E258" s="176" t="str">
        <f>IFERROR(VLOOKUP(D258,Tabela.cadastro[[ID]:[Nome]],2,0),"")</f>
        <v/>
      </c>
      <c r="F258" s="177" t="str">
        <f>IFERROR(VLOOKUP(D258,Tabela66[#All],2,0),"")</f>
        <v/>
      </c>
      <c r="G258" s="177" t="str">
        <f>IFERROR(VLOOKUP(D258,Tabela.cadastro[[ID]:[CP ou M]],5,0),"")</f>
        <v/>
      </c>
      <c r="H258" s="177" t="str">
        <f>IFERROR(VLOOKUP(D258,Cadastros!A:F,6,0),"")</f>
        <v/>
      </c>
      <c r="I258" s="177" t="str">
        <f>IFERROR(VLOOKUP(D258,Cadastros!A:I,9,0),"")</f>
        <v/>
      </c>
      <c r="J258" s="177" t="str">
        <f>IFERROR(VLOOKUP(D258,Cadastros!A:J,10,0),"")</f>
        <v/>
      </c>
      <c r="K258" s="177" t="str">
        <f>IF(COUNTIF(Tabela66[id],D258)=0,"",COUNTIF(Tabela66[id],D258))</f>
        <v/>
      </c>
      <c r="L258" s="198"/>
      <c r="M258" s="227" t="str">
        <f t="shared" si="20"/>
        <v/>
      </c>
      <c r="P258" s="176" t="str">
        <f>IFERROR(VLOOKUP(O258,Cadastros!A:B,2),"")</f>
        <v/>
      </c>
      <c r="Q258" s="177" t="str">
        <f t="shared" si="16"/>
        <v/>
      </c>
      <c r="R258" s="177" t="str">
        <f>IFERROR(VLOOKUP(O258,Cadastros!A:E,5,0),"")</f>
        <v/>
      </c>
      <c r="S258" s="177" t="str">
        <f>IFERROR(VLOOKUP(O258,Cadastros!A:F,6,0),"")</f>
        <v/>
      </c>
      <c r="T258" s="177" t="str">
        <f>IFERROR(VLOOKUP(O258,Cadastros!A:I,9,0),"")</f>
        <v/>
      </c>
      <c r="U258" s="177" t="str">
        <f t="shared" si="17"/>
        <v/>
      </c>
      <c r="V258" s="177" t="str">
        <f t="shared" si="18"/>
        <v/>
      </c>
      <c r="W258" s="177" t="str">
        <f t="shared" si="19"/>
        <v/>
      </c>
      <c r="Y258" s="240" t="e">
        <f t="array" ref="Y258">INDEX(Tabela.abordagens[],SMALL(IF(Tabela.abordagens[Mês]=$L$2,ROW(Tabela.abordagens[id])-2),ROW(A211)),1)</f>
        <v>#NUM!</v>
      </c>
      <c r="Z258" s="240" t="e">
        <f t="array" ref="Z258">INDEX(Tabela.abordagens[],SMALL(IF(Tabela.abordagens[Mês]=$L$2,ROW(Tabela.abordagens[Idade])-2),ROW(A211)),6)</f>
        <v>#NUM!</v>
      </c>
      <c r="AA258" s="240" t="e">
        <f t="array" ref="AA258">INDEX(Tabela.abordagens[],SMALL(IF(Tabela.abordagens[Mês]=$L$2,ROW(Tabela.abordagens[Idade])-2),ROW(A211)),4)</f>
        <v>#NUM!</v>
      </c>
      <c r="AB258" s="240" t="e">
        <f t="array" ref="AB258">INDEX(Tabela.abordagens[],SMALL(IF(Tabela.abordagens[Mês]=$L$2,ROW(Tabela.abordagens[Idade])-2),ROW(A211)),5)</f>
        <v>#NUM!</v>
      </c>
    </row>
    <row r="259" spans="2:28" ht="15" x14ac:dyDescent="0.25">
      <c r="B259" s="223" t="e">
        <f t="array" ref="B259">INDEX(Tabela.frequencia[],SMALL(IF(Tabela.frequencia[Mês]=$L$2,ROW(Tabela.frequencia[id])-1),ROW(A212)),1)</f>
        <v>#NUM!</v>
      </c>
      <c r="C259" s="229" t="e">
        <f t="array" ref="C259">INDEX(Tabela.frequencia[],SMALL(IF(Tabela.frequencia[Mês]=$L$2,ROW(Tabela.frequencia[id])-1),ROW(A212)),4)</f>
        <v>#NUM!</v>
      </c>
      <c r="E259" s="176" t="str">
        <f>IFERROR(VLOOKUP(D259,Tabela.cadastro[[ID]:[Nome]],2,0),"")</f>
        <v/>
      </c>
      <c r="F259" s="177" t="str">
        <f>IFERROR(VLOOKUP(D259,Tabela66[#All],2,0),"")</f>
        <v/>
      </c>
      <c r="G259" s="177" t="str">
        <f>IFERROR(VLOOKUP(D259,Tabela.cadastro[[ID]:[CP ou M]],5,0),"")</f>
        <v/>
      </c>
      <c r="H259" s="177" t="str">
        <f>IFERROR(VLOOKUP(D259,Cadastros!A:F,6,0),"")</f>
        <v/>
      </c>
      <c r="I259" s="177" t="str">
        <f>IFERROR(VLOOKUP(D259,Cadastros!A:I,9,0),"")</f>
        <v/>
      </c>
      <c r="J259" s="177" t="str">
        <f>IFERROR(VLOOKUP(D259,Cadastros!A:J,10,0),"")</f>
        <v/>
      </c>
      <c r="K259" s="177" t="str">
        <f>IF(COUNTIF(Tabela66[id],D259)=0,"",COUNTIF(Tabela66[id],D259))</f>
        <v/>
      </c>
      <c r="L259" s="198"/>
      <c r="M259" s="227" t="str">
        <f t="shared" si="20"/>
        <v/>
      </c>
      <c r="P259" s="176" t="str">
        <f>IFERROR(VLOOKUP(O259,Cadastros!A:B,2),"")</f>
        <v/>
      </c>
      <c r="Q259" s="177" t="str">
        <f t="shared" si="16"/>
        <v/>
      </c>
      <c r="R259" s="177" t="str">
        <f>IFERROR(VLOOKUP(O259,Cadastros!A:E,5,0),"")</f>
        <v/>
      </c>
      <c r="S259" s="177" t="str">
        <f>IFERROR(VLOOKUP(O259,Cadastros!A:F,6,0),"")</f>
        <v/>
      </c>
      <c r="T259" s="177" t="str">
        <f>IFERROR(VLOOKUP(O259,Cadastros!A:I,9,0),"")</f>
        <v/>
      </c>
      <c r="U259" s="177" t="str">
        <f t="shared" si="17"/>
        <v/>
      </c>
      <c r="V259" s="177" t="str">
        <f t="shared" si="18"/>
        <v/>
      </c>
      <c r="W259" s="177" t="str">
        <f t="shared" si="19"/>
        <v/>
      </c>
      <c r="Y259" s="240" t="e">
        <f t="array" ref="Y259">INDEX(Tabela.abordagens[],SMALL(IF(Tabela.abordagens[Mês]=$L$2,ROW(Tabela.abordagens[id])-2),ROW(A212)),1)</f>
        <v>#NUM!</v>
      </c>
      <c r="Z259" s="240" t="e">
        <f t="array" ref="Z259">INDEX(Tabela.abordagens[],SMALL(IF(Tabela.abordagens[Mês]=$L$2,ROW(Tabela.abordagens[Idade])-2),ROW(A212)),6)</f>
        <v>#NUM!</v>
      </c>
      <c r="AA259" s="240" t="e">
        <f t="array" ref="AA259">INDEX(Tabela.abordagens[],SMALL(IF(Tabela.abordagens[Mês]=$L$2,ROW(Tabela.abordagens[Idade])-2),ROW(A212)),4)</f>
        <v>#NUM!</v>
      </c>
      <c r="AB259" s="240" t="e">
        <f t="array" ref="AB259">INDEX(Tabela.abordagens[],SMALL(IF(Tabela.abordagens[Mês]=$L$2,ROW(Tabela.abordagens[Idade])-2),ROW(A212)),5)</f>
        <v>#NUM!</v>
      </c>
    </row>
    <row r="260" spans="2:28" ht="15" x14ac:dyDescent="0.25">
      <c r="B260" s="223" t="e">
        <f t="array" ref="B260">INDEX(Tabela.frequencia[],SMALL(IF(Tabela.frequencia[Mês]=$L$2,ROW(Tabela.frequencia[id])-1),ROW(A213)),1)</f>
        <v>#NUM!</v>
      </c>
      <c r="C260" s="229" t="e">
        <f t="array" ref="C260">INDEX(Tabela.frequencia[],SMALL(IF(Tabela.frequencia[Mês]=$L$2,ROW(Tabela.frequencia[id])-1),ROW(A213)),4)</f>
        <v>#NUM!</v>
      </c>
      <c r="E260" s="176" t="str">
        <f>IFERROR(VLOOKUP(D260,Tabela.cadastro[[ID]:[Nome]],2,0),"")</f>
        <v/>
      </c>
      <c r="F260" s="177" t="str">
        <f>IFERROR(VLOOKUP(D260,Tabela66[#All],2,0),"")</f>
        <v/>
      </c>
      <c r="G260" s="177" t="str">
        <f>IFERROR(VLOOKUP(D260,Tabela.cadastro[[ID]:[CP ou M]],5,0),"")</f>
        <v/>
      </c>
      <c r="H260" s="177" t="str">
        <f>IFERROR(VLOOKUP(D260,Cadastros!A:F,6,0),"")</f>
        <v/>
      </c>
      <c r="I260" s="177" t="str">
        <f>IFERROR(VLOOKUP(D260,Cadastros!A:I,9,0),"")</f>
        <v/>
      </c>
      <c r="J260" s="177" t="str">
        <f>IFERROR(VLOOKUP(D260,Cadastros!A:J,10,0),"")</f>
        <v/>
      </c>
      <c r="K260" s="177" t="str">
        <f>IF(COUNTIF(Tabela66[id],D260)=0,"",COUNTIF(Tabela66[id],D260))</f>
        <v/>
      </c>
      <c r="L260" s="198"/>
      <c r="M260" s="227" t="str">
        <f t="shared" si="20"/>
        <v/>
      </c>
      <c r="P260" s="176" t="str">
        <f>IFERROR(VLOOKUP(O260,Cadastros!A:B,2),"")</f>
        <v/>
      </c>
      <c r="Q260" s="177" t="str">
        <f t="shared" si="16"/>
        <v/>
      </c>
      <c r="R260" s="177" t="str">
        <f>IFERROR(VLOOKUP(O260,Cadastros!A:E,5,0),"")</f>
        <v/>
      </c>
      <c r="S260" s="177" t="str">
        <f>IFERROR(VLOOKUP(O260,Cadastros!A:F,6,0),"")</f>
        <v/>
      </c>
      <c r="T260" s="177" t="str">
        <f>IFERROR(VLOOKUP(O260,Cadastros!A:I,9,0),"")</f>
        <v/>
      </c>
      <c r="U260" s="177" t="str">
        <f t="shared" si="17"/>
        <v/>
      </c>
      <c r="V260" s="177" t="str">
        <f t="shared" si="18"/>
        <v/>
      </c>
      <c r="W260" s="177" t="str">
        <f t="shared" si="19"/>
        <v/>
      </c>
      <c r="Y260" s="240" t="e">
        <f t="array" ref="Y260">INDEX(Tabela.abordagens[],SMALL(IF(Tabela.abordagens[Mês]=$L$2,ROW(Tabela.abordagens[id])-2),ROW(A213)),1)</f>
        <v>#NUM!</v>
      </c>
      <c r="Z260" s="240" t="e">
        <f t="array" ref="Z260">INDEX(Tabela.abordagens[],SMALL(IF(Tabela.abordagens[Mês]=$L$2,ROW(Tabela.abordagens[Idade])-2),ROW(A213)),6)</f>
        <v>#NUM!</v>
      </c>
      <c r="AA260" s="240" t="e">
        <f t="array" ref="AA260">INDEX(Tabela.abordagens[],SMALL(IF(Tabela.abordagens[Mês]=$L$2,ROW(Tabela.abordagens[Idade])-2),ROW(A213)),4)</f>
        <v>#NUM!</v>
      </c>
      <c r="AB260" s="240" t="e">
        <f t="array" ref="AB260">INDEX(Tabela.abordagens[],SMALL(IF(Tabela.abordagens[Mês]=$L$2,ROW(Tabela.abordagens[Idade])-2),ROW(A213)),5)</f>
        <v>#NUM!</v>
      </c>
    </row>
    <row r="261" spans="2:28" ht="15" x14ac:dyDescent="0.25">
      <c r="B261" s="223" t="e">
        <f t="array" ref="B261">INDEX(Tabela.frequencia[],SMALL(IF(Tabela.frequencia[Mês]=$L$2,ROW(Tabela.frequencia[id])-1),ROW(A214)),1)</f>
        <v>#NUM!</v>
      </c>
      <c r="C261" s="229" t="e">
        <f t="array" ref="C261">INDEX(Tabela.frequencia[],SMALL(IF(Tabela.frequencia[Mês]=$L$2,ROW(Tabela.frequencia[id])-1),ROW(A214)),4)</f>
        <v>#NUM!</v>
      </c>
      <c r="E261" s="176" t="str">
        <f>IFERROR(VLOOKUP(D261,Tabela.cadastro[[ID]:[Nome]],2,0),"")</f>
        <v/>
      </c>
      <c r="F261" s="177" t="str">
        <f>IFERROR(VLOOKUP(D261,Tabela66[#All],2,0),"")</f>
        <v/>
      </c>
      <c r="G261" s="177" t="str">
        <f>IFERROR(VLOOKUP(D261,Tabela.cadastro[[ID]:[CP ou M]],5,0),"")</f>
        <v/>
      </c>
      <c r="H261" s="177" t="str">
        <f>IFERROR(VLOOKUP(D261,Cadastros!A:F,6,0),"")</f>
        <v/>
      </c>
      <c r="I261" s="177" t="str">
        <f>IFERROR(VLOOKUP(D261,Cadastros!A:I,9,0),"")</f>
        <v/>
      </c>
      <c r="J261" s="177" t="str">
        <f>IFERROR(VLOOKUP(D261,Cadastros!A:J,10,0),"")</f>
        <v/>
      </c>
      <c r="K261" s="177" t="str">
        <f>IF(COUNTIF(Tabela66[id],D261)=0,"",COUNTIF(Tabela66[id],D261))</f>
        <v/>
      </c>
      <c r="L261" s="198"/>
      <c r="M261" s="227" t="str">
        <f t="shared" si="20"/>
        <v/>
      </c>
      <c r="P261" s="176" t="str">
        <f>IFERROR(VLOOKUP(O261,Cadastros!A:B,2),"")</f>
        <v/>
      </c>
      <c r="Q261" s="177" t="str">
        <f t="shared" si="16"/>
        <v/>
      </c>
      <c r="R261" s="177" t="str">
        <f>IFERROR(VLOOKUP(O261,Cadastros!A:E,5,0),"")</f>
        <v/>
      </c>
      <c r="S261" s="177" t="str">
        <f>IFERROR(VLOOKUP(O261,Cadastros!A:F,6,0),"")</f>
        <v/>
      </c>
      <c r="T261" s="177" t="str">
        <f>IFERROR(VLOOKUP(O261,Cadastros!A:I,9,0),"")</f>
        <v/>
      </c>
      <c r="U261" s="177" t="str">
        <f t="shared" si="17"/>
        <v/>
      </c>
      <c r="V261" s="177" t="str">
        <f t="shared" si="18"/>
        <v/>
      </c>
      <c r="W261" s="177" t="str">
        <f t="shared" si="19"/>
        <v/>
      </c>
      <c r="Y261" s="240" t="e">
        <f t="array" ref="Y261">INDEX(Tabela.abordagens[],SMALL(IF(Tabela.abordagens[Mês]=$L$2,ROW(Tabela.abordagens[id])-2),ROW(A214)),1)</f>
        <v>#NUM!</v>
      </c>
      <c r="Z261" s="240" t="e">
        <f t="array" ref="Z261">INDEX(Tabela.abordagens[],SMALL(IF(Tabela.abordagens[Mês]=$L$2,ROW(Tabela.abordagens[Idade])-2),ROW(A214)),6)</f>
        <v>#NUM!</v>
      </c>
      <c r="AA261" s="240" t="e">
        <f t="array" ref="AA261">INDEX(Tabela.abordagens[],SMALL(IF(Tabela.abordagens[Mês]=$L$2,ROW(Tabela.abordagens[Idade])-2),ROW(A214)),4)</f>
        <v>#NUM!</v>
      </c>
      <c r="AB261" s="240" t="e">
        <f t="array" ref="AB261">INDEX(Tabela.abordagens[],SMALL(IF(Tabela.abordagens[Mês]=$L$2,ROW(Tabela.abordagens[Idade])-2),ROW(A214)),5)</f>
        <v>#NUM!</v>
      </c>
    </row>
    <row r="262" spans="2:28" ht="15" x14ac:dyDescent="0.25">
      <c r="B262" s="223" t="e">
        <f t="array" ref="B262">INDEX(Tabela.frequencia[],SMALL(IF(Tabela.frequencia[Mês]=$L$2,ROW(Tabela.frequencia[id])-1),ROW(A215)),1)</f>
        <v>#NUM!</v>
      </c>
      <c r="C262" s="229" t="e">
        <f t="array" ref="C262">INDEX(Tabela.frequencia[],SMALL(IF(Tabela.frequencia[Mês]=$L$2,ROW(Tabela.frequencia[id])-1),ROW(A215)),4)</f>
        <v>#NUM!</v>
      </c>
      <c r="E262" s="176" t="str">
        <f>IFERROR(VLOOKUP(D262,Tabela.cadastro[[ID]:[Nome]],2,0),"")</f>
        <v/>
      </c>
      <c r="F262" s="177" t="str">
        <f>IFERROR(VLOOKUP(D262,Tabela66[#All],2,0),"")</f>
        <v/>
      </c>
      <c r="G262" s="177" t="str">
        <f>IFERROR(VLOOKUP(D262,Tabela.cadastro[[ID]:[CP ou M]],5,0),"")</f>
        <v/>
      </c>
      <c r="H262" s="177" t="str">
        <f>IFERROR(VLOOKUP(D262,Cadastros!A:F,6,0),"")</f>
        <v/>
      </c>
      <c r="I262" s="177" t="str">
        <f>IFERROR(VLOOKUP(D262,Cadastros!A:I,9,0),"")</f>
        <v/>
      </c>
      <c r="J262" s="177" t="str">
        <f>IFERROR(VLOOKUP(D262,Cadastros!A:J,10,0),"")</f>
        <v/>
      </c>
      <c r="K262" s="177" t="str">
        <f>IF(COUNTIF(Tabela66[id],D262)=0,"",COUNTIF(Tabela66[id],D262))</f>
        <v/>
      </c>
      <c r="L262" s="198"/>
      <c r="M262" s="227" t="str">
        <f t="shared" si="20"/>
        <v/>
      </c>
      <c r="P262" s="176" t="str">
        <f>IFERROR(VLOOKUP(O262,Cadastros!A:B,2),"")</f>
        <v/>
      </c>
      <c r="Q262" s="177" t="str">
        <f t="shared" si="16"/>
        <v/>
      </c>
      <c r="R262" s="177" t="str">
        <f>IFERROR(VLOOKUP(O262,Cadastros!A:E,5,0),"")</f>
        <v/>
      </c>
      <c r="S262" s="177" t="str">
        <f>IFERROR(VLOOKUP(O262,Cadastros!A:F,6,0),"")</f>
        <v/>
      </c>
      <c r="T262" s="177" t="str">
        <f>IFERROR(VLOOKUP(O262,Cadastros!A:I,9,0),"")</f>
        <v/>
      </c>
      <c r="U262" s="177" t="str">
        <f t="shared" si="17"/>
        <v/>
      </c>
      <c r="V262" s="177" t="str">
        <f t="shared" si="18"/>
        <v/>
      </c>
      <c r="W262" s="177" t="str">
        <f t="shared" si="19"/>
        <v/>
      </c>
      <c r="Y262" s="240" t="e">
        <f t="array" ref="Y262">INDEX(Tabela.abordagens[],SMALL(IF(Tabela.abordagens[Mês]=$L$2,ROW(Tabela.abordagens[id])-2),ROW(A215)),1)</f>
        <v>#NUM!</v>
      </c>
      <c r="Z262" s="240" t="e">
        <f t="array" ref="Z262">INDEX(Tabela.abordagens[],SMALL(IF(Tabela.abordagens[Mês]=$L$2,ROW(Tabela.abordagens[Idade])-2),ROW(A215)),6)</f>
        <v>#NUM!</v>
      </c>
      <c r="AA262" s="240" t="e">
        <f t="array" ref="AA262">INDEX(Tabela.abordagens[],SMALL(IF(Tabela.abordagens[Mês]=$L$2,ROW(Tabela.abordagens[Idade])-2),ROW(A215)),4)</f>
        <v>#NUM!</v>
      </c>
      <c r="AB262" s="240" t="e">
        <f t="array" ref="AB262">INDEX(Tabela.abordagens[],SMALL(IF(Tabela.abordagens[Mês]=$L$2,ROW(Tabela.abordagens[Idade])-2),ROW(A215)),5)</f>
        <v>#NUM!</v>
      </c>
    </row>
    <row r="263" spans="2:28" ht="15" x14ac:dyDescent="0.25">
      <c r="B263" s="223" t="e">
        <f t="array" ref="B263">INDEX(Tabela.frequencia[],SMALL(IF(Tabela.frequencia[Mês]=$L$2,ROW(Tabela.frequencia[id])-1),ROW(A216)),1)</f>
        <v>#NUM!</v>
      </c>
      <c r="C263" s="229" t="e">
        <f t="array" ref="C263">INDEX(Tabela.frequencia[],SMALL(IF(Tabela.frequencia[Mês]=$L$2,ROW(Tabela.frequencia[id])-1),ROW(A216)),4)</f>
        <v>#NUM!</v>
      </c>
      <c r="E263" s="176" t="str">
        <f>IFERROR(VLOOKUP(D263,Tabela.cadastro[[ID]:[Nome]],2,0),"")</f>
        <v/>
      </c>
      <c r="F263" s="177" t="str">
        <f>IFERROR(VLOOKUP(D263,Tabela66[#All],2,0),"")</f>
        <v/>
      </c>
      <c r="G263" s="177" t="str">
        <f>IFERROR(VLOOKUP(D263,Tabela.cadastro[[ID]:[CP ou M]],5,0),"")</f>
        <v/>
      </c>
      <c r="H263" s="177" t="str">
        <f>IFERROR(VLOOKUP(D263,Cadastros!A:F,6,0),"")</f>
        <v/>
      </c>
      <c r="I263" s="177" t="str">
        <f>IFERROR(VLOOKUP(D263,Cadastros!A:I,9,0),"")</f>
        <v/>
      </c>
      <c r="J263" s="177" t="str">
        <f>IFERROR(VLOOKUP(D263,Cadastros!A:J,10,0),"")</f>
        <v/>
      </c>
      <c r="K263" s="177" t="str">
        <f>IF(COUNTIF(Tabela66[id],D263)=0,"",COUNTIF(Tabela66[id],D263))</f>
        <v/>
      </c>
      <c r="L263" s="198"/>
      <c r="M263" s="227" t="str">
        <f t="shared" si="20"/>
        <v/>
      </c>
      <c r="P263" s="176" t="str">
        <f>IFERROR(VLOOKUP(O263,Cadastros!A:B,2),"")</f>
        <v/>
      </c>
      <c r="Q263" s="177" t="str">
        <f t="shared" si="16"/>
        <v/>
      </c>
      <c r="R263" s="177" t="str">
        <f>IFERROR(VLOOKUP(O263,Cadastros!A:E,5,0),"")</f>
        <v/>
      </c>
      <c r="S263" s="177" t="str">
        <f>IFERROR(VLOOKUP(O263,Cadastros!A:F,6,0),"")</f>
        <v/>
      </c>
      <c r="T263" s="177" t="str">
        <f>IFERROR(VLOOKUP(O263,Cadastros!A:I,9,0),"")</f>
        <v/>
      </c>
      <c r="U263" s="177" t="str">
        <f t="shared" si="17"/>
        <v/>
      </c>
      <c r="V263" s="177" t="str">
        <f t="shared" si="18"/>
        <v/>
      </c>
      <c r="W263" s="177" t="str">
        <f t="shared" si="19"/>
        <v/>
      </c>
      <c r="Y263" s="240" t="e">
        <f t="array" ref="Y263">INDEX(Tabela.abordagens[],SMALL(IF(Tabela.abordagens[Mês]=$L$2,ROW(Tabela.abordagens[id])-2),ROW(A216)),1)</f>
        <v>#NUM!</v>
      </c>
      <c r="Z263" s="240" t="e">
        <f t="array" ref="Z263">INDEX(Tabela.abordagens[],SMALL(IF(Tabela.abordagens[Mês]=$L$2,ROW(Tabela.abordagens[Idade])-2),ROW(A216)),6)</f>
        <v>#NUM!</v>
      </c>
      <c r="AA263" s="240" t="e">
        <f t="array" ref="AA263">INDEX(Tabela.abordagens[],SMALL(IF(Tabela.abordagens[Mês]=$L$2,ROW(Tabela.abordagens[Idade])-2),ROW(A216)),4)</f>
        <v>#NUM!</v>
      </c>
      <c r="AB263" s="240" t="e">
        <f t="array" ref="AB263">INDEX(Tabela.abordagens[],SMALL(IF(Tabela.abordagens[Mês]=$L$2,ROW(Tabela.abordagens[Idade])-2),ROW(A216)),5)</f>
        <v>#NUM!</v>
      </c>
    </row>
    <row r="264" spans="2:28" ht="15" x14ac:dyDescent="0.25">
      <c r="B264" s="223" t="e">
        <f t="array" ref="B264">INDEX(Tabela.frequencia[],SMALL(IF(Tabela.frequencia[Mês]=$L$2,ROW(Tabela.frequencia[id])-1),ROW(A217)),1)</f>
        <v>#NUM!</v>
      </c>
      <c r="C264" s="229" t="e">
        <f t="array" ref="C264">INDEX(Tabela.frequencia[],SMALL(IF(Tabela.frequencia[Mês]=$L$2,ROW(Tabela.frequencia[id])-1),ROW(A217)),4)</f>
        <v>#NUM!</v>
      </c>
      <c r="E264" s="176" t="str">
        <f>IFERROR(VLOOKUP(D264,Tabela.cadastro[[ID]:[Nome]],2,0),"")</f>
        <v/>
      </c>
      <c r="F264" s="177" t="str">
        <f>IFERROR(VLOOKUP(D264,Tabela66[#All],2,0),"")</f>
        <v/>
      </c>
      <c r="G264" s="177" t="str">
        <f>IFERROR(VLOOKUP(D264,Tabela.cadastro[[ID]:[CP ou M]],5,0),"")</f>
        <v/>
      </c>
      <c r="H264" s="177" t="str">
        <f>IFERROR(VLOOKUP(D264,Cadastros!A:F,6,0),"")</f>
        <v/>
      </c>
      <c r="I264" s="177" t="str">
        <f>IFERROR(VLOOKUP(D264,Cadastros!A:I,9,0),"")</f>
        <v/>
      </c>
      <c r="J264" s="177" t="str">
        <f>IFERROR(VLOOKUP(D264,Cadastros!A:J,10,0),"")</f>
        <v/>
      </c>
      <c r="K264" s="177" t="str">
        <f>IF(COUNTIF(Tabela66[id],D264)=0,"",COUNTIF(Tabela66[id],D264))</f>
        <v/>
      </c>
      <c r="L264" s="198"/>
      <c r="M264" s="227" t="str">
        <f t="shared" si="20"/>
        <v/>
      </c>
      <c r="P264" s="176" t="str">
        <f>IFERROR(VLOOKUP(O264,Cadastros!A:B,2),"")</f>
        <v/>
      </c>
      <c r="Q264" s="177" t="str">
        <f t="shared" si="16"/>
        <v/>
      </c>
      <c r="R264" s="177" t="str">
        <f>IFERROR(VLOOKUP(O264,Cadastros!A:E,5,0),"")</f>
        <v/>
      </c>
      <c r="S264" s="177" t="str">
        <f>IFERROR(VLOOKUP(O264,Cadastros!A:F,6,0),"")</f>
        <v/>
      </c>
      <c r="T264" s="177" t="str">
        <f>IFERROR(VLOOKUP(O264,Cadastros!A:I,9,0),"")</f>
        <v/>
      </c>
      <c r="U264" s="177" t="str">
        <f t="shared" si="17"/>
        <v/>
      </c>
      <c r="V264" s="177" t="str">
        <f t="shared" si="18"/>
        <v/>
      </c>
      <c r="W264" s="177" t="str">
        <f t="shared" si="19"/>
        <v/>
      </c>
      <c r="Y264" s="240" t="e">
        <f t="array" ref="Y264">INDEX(Tabela.abordagens[],SMALL(IF(Tabela.abordagens[Mês]=$L$2,ROW(Tabela.abordagens[id])-2),ROW(A217)),1)</f>
        <v>#NUM!</v>
      </c>
      <c r="Z264" s="240" t="e">
        <f t="array" ref="Z264">INDEX(Tabela.abordagens[],SMALL(IF(Tabela.abordagens[Mês]=$L$2,ROW(Tabela.abordagens[Idade])-2),ROW(A217)),6)</f>
        <v>#NUM!</v>
      </c>
      <c r="AA264" s="240" t="e">
        <f t="array" ref="AA264">INDEX(Tabela.abordagens[],SMALL(IF(Tabela.abordagens[Mês]=$L$2,ROW(Tabela.abordagens[Idade])-2),ROW(A217)),4)</f>
        <v>#NUM!</v>
      </c>
      <c r="AB264" s="240" t="e">
        <f t="array" ref="AB264">INDEX(Tabela.abordagens[],SMALL(IF(Tabela.abordagens[Mês]=$L$2,ROW(Tabela.abordagens[Idade])-2),ROW(A217)),5)</f>
        <v>#NUM!</v>
      </c>
    </row>
    <row r="265" spans="2:28" ht="15" x14ac:dyDescent="0.25">
      <c r="B265" s="223" t="e">
        <f t="array" ref="B265">INDEX(Tabela.frequencia[],SMALL(IF(Tabela.frequencia[Mês]=$L$2,ROW(Tabela.frequencia[id])-1),ROW(A218)),1)</f>
        <v>#NUM!</v>
      </c>
      <c r="C265" s="229" t="e">
        <f t="array" ref="C265">INDEX(Tabela.frequencia[],SMALL(IF(Tabela.frequencia[Mês]=$L$2,ROW(Tabela.frequencia[id])-1),ROW(A218)),4)</f>
        <v>#NUM!</v>
      </c>
      <c r="E265" s="176" t="str">
        <f>IFERROR(VLOOKUP(D265,Tabela.cadastro[[ID]:[Nome]],2,0),"")</f>
        <v/>
      </c>
      <c r="F265" s="177" t="str">
        <f>IFERROR(VLOOKUP(D265,Tabela66[#All],2,0),"")</f>
        <v/>
      </c>
      <c r="G265" s="177" t="str">
        <f>IFERROR(VLOOKUP(D265,Tabela.cadastro[[ID]:[CP ou M]],5,0),"")</f>
        <v/>
      </c>
      <c r="H265" s="177" t="str">
        <f>IFERROR(VLOOKUP(D265,Cadastros!A:F,6,0),"")</f>
        <v/>
      </c>
      <c r="I265" s="177" t="str">
        <f>IFERROR(VLOOKUP(D265,Cadastros!A:I,9,0),"")</f>
        <v/>
      </c>
      <c r="J265" s="177" t="str">
        <f>IFERROR(VLOOKUP(D265,Cadastros!A:J,10,0),"")</f>
        <v/>
      </c>
      <c r="K265" s="177" t="str">
        <f>IF(COUNTIF(Tabela66[id],D265)=0,"",COUNTIF(Tabela66[id],D265))</f>
        <v/>
      </c>
      <c r="L265" s="198"/>
      <c r="M265" s="227" t="str">
        <f t="shared" si="20"/>
        <v/>
      </c>
      <c r="P265" s="176" t="str">
        <f>IFERROR(VLOOKUP(O265,Cadastros!A:B,2),"")</f>
        <v/>
      </c>
      <c r="Q265" s="177" t="str">
        <f t="shared" si="16"/>
        <v/>
      </c>
      <c r="R265" s="177" t="str">
        <f>IFERROR(VLOOKUP(O265,Cadastros!A:E,5,0),"")</f>
        <v/>
      </c>
      <c r="S265" s="177" t="str">
        <f>IFERROR(VLOOKUP(O265,Cadastros!A:F,6,0),"")</f>
        <v/>
      </c>
      <c r="T265" s="177" t="str">
        <f>IFERROR(VLOOKUP(O265,Cadastros!A:I,9,0),"")</f>
        <v/>
      </c>
      <c r="U265" s="177" t="str">
        <f t="shared" si="17"/>
        <v/>
      </c>
      <c r="V265" s="177" t="str">
        <f t="shared" si="18"/>
        <v/>
      </c>
      <c r="W265" s="177" t="str">
        <f t="shared" si="19"/>
        <v/>
      </c>
      <c r="Y265" s="240" t="e">
        <f t="array" ref="Y265">INDEX(Tabela.abordagens[],SMALL(IF(Tabela.abordagens[Mês]=$L$2,ROW(Tabela.abordagens[id])-2),ROW(A218)),1)</f>
        <v>#NUM!</v>
      </c>
      <c r="Z265" s="240" t="e">
        <f t="array" ref="Z265">INDEX(Tabela.abordagens[],SMALL(IF(Tabela.abordagens[Mês]=$L$2,ROW(Tabela.abordagens[Idade])-2),ROW(A218)),6)</f>
        <v>#NUM!</v>
      </c>
      <c r="AA265" s="240" t="e">
        <f t="array" ref="AA265">INDEX(Tabela.abordagens[],SMALL(IF(Tabela.abordagens[Mês]=$L$2,ROW(Tabela.abordagens[Idade])-2),ROW(A218)),4)</f>
        <v>#NUM!</v>
      </c>
      <c r="AB265" s="240" t="e">
        <f t="array" ref="AB265">INDEX(Tabela.abordagens[],SMALL(IF(Tabela.abordagens[Mês]=$L$2,ROW(Tabela.abordagens[Idade])-2),ROW(A218)),5)</f>
        <v>#NUM!</v>
      </c>
    </row>
    <row r="266" spans="2:28" ht="15" x14ac:dyDescent="0.25">
      <c r="B266" s="223" t="e">
        <f t="array" ref="B266">INDEX(Tabela.frequencia[],SMALL(IF(Tabela.frequencia[Mês]=$L$2,ROW(Tabela.frequencia[id])-1),ROW(A219)),1)</f>
        <v>#NUM!</v>
      </c>
      <c r="C266" s="229" t="e">
        <f t="array" ref="C266">INDEX(Tabela.frequencia[],SMALL(IF(Tabela.frequencia[Mês]=$L$2,ROW(Tabela.frequencia[id])-1),ROW(A219)),4)</f>
        <v>#NUM!</v>
      </c>
      <c r="E266" s="176" t="str">
        <f>IFERROR(VLOOKUP(D266,Tabela.cadastro[[ID]:[Nome]],2,0),"")</f>
        <v/>
      </c>
      <c r="F266" s="177" t="str">
        <f>IFERROR(VLOOKUP(D266,Tabela66[#All],2,0),"")</f>
        <v/>
      </c>
      <c r="G266" s="177" t="str">
        <f>IFERROR(VLOOKUP(D266,Tabela.cadastro[[ID]:[CP ou M]],5,0),"")</f>
        <v/>
      </c>
      <c r="H266" s="177" t="str">
        <f>IFERROR(VLOOKUP(D266,Cadastros!A:F,6,0),"")</f>
        <v/>
      </c>
      <c r="I266" s="177" t="str">
        <f>IFERROR(VLOOKUP(D266,Cadastros!A:I,9,0),"")</f>
        <v/>
      </c>
      <c r="J266" s="177" t="str">
        <f>IFERROR(VLOOKUP(D266,Cadastros!A:J,10,0),"")</f>
        <v/>
      </c>
      <c r="K266" s="177" t="str">
        <f>IF(COUNTIF(Tabela66[id],D266)=0,"",COUNTIF(Tabela66[id],D266))</f>
        <v/>
      </c>
      <c r="L266" s="198"/>
      <c r="M266" s="227" t="str">
        <f t="shared" si="20"/>
        <v/>
      </c>
      <c r="P266" s="176" t="str">
        <f>IFERROR(VLOOKUP(O266,Cadastros!A:B,2),"")</f>
        <v/>
      </c>
      <c r="Q266" s="177" t="str">
        <f t="shared" si="16"/>
        <v/>
      </c>
      <c r="R266" s="177" t="str">
        <f>IFERROR(VLOOKUP(O266,Cadastros!A:E,5,0),"")</f>
        <v/>
      </c>
      <c r="S266" s="177" t="str">
        <f>IFERROR(VLOOKUP(O266,Cadastros!A:F,6,0),"")</f>
        <v/>
      </c>
      <c r="T266" s="177" t="str">
        <f>IFERROR(VLOOKUP(O266,Cadastros!A:I,9,0),"")</f>
        <v/>
      </c>
      <c r="U266" s="177" t="str">
        <f t="shared" si="17"/>
        <v/>
      </c>
      <c r="V266" s="177" t="str">
        <f t="shared" si="18"/>
        <v/>
      </c>
      <c r="W266" s="177" t="str">
        <f t="shared" si="19"/>
        <v/>
      </c>
      <c r="Y266" s="240" t="e">
        <f t="array" ref="Y266">INDEX(Tabela.abordagens[],SMALL(IF(Tabela.abordagens[Mês]=$L$2,ROW(Tabela.abordagens[id])-2),ROW(A219)),1)</f>
        <v>#NUM!</v>
      </c>
      <c r="Z266" s="240" t="e">
        <f t="array" ref="Z266">INDEX(Tabela.abordagens[],SMALL(IF(Tabela.abordagens[Mês]=$L$2,ROW(Tabela.abordagens[Idade])-2),ROW(A219)),6)</f>
        <v>#NUM!</v>
      </c>
      <c r="AA266" s="240" t="e">
        <f t="array" ref="AA266">INDEX(Tabela.abordagens[],SMALL(IF(Tabela.abordagens[Mês]=$L$2,ROW(Tabela.abordagens[Idade])-2),ROW(A219)),4)</f>
        <v>#NUM!</v>
      </c>
      <c r="AB266" s="240" t="e">
        <f t="array" ref="AB266">INDEX(Tabela.abordagens[],SMALL(IF(Tabela.abordagens[Mês]=$L$2,ROW(Tabela.abordagens[Idade])-2),ROW(A219)),5)</f>
        <v>#NUM!</v>
      </c>
    </row>
    <row r="267" spans="2:28" ht="15" x14ac:dyDescent="0.25">
      <c r="B267" s="223" t="e">
        <f t="array" ref="B267">INDEX(Tabela.frequencia[],SMALL(IF(Tabela.frequencia[Mês]=$L$2,ROW(Tabela.frequencia[id])-1),ROW(A220)),1)</f>
        <v>#NUM!</v>
      </c>
      <c r="C267" s="229" t="e">
        <f t="array" ref="C267">INDEX(Tabela.frequencia[],SMALL(IF(Tabela.frequencia[Mês]=$L$2,ROW(Tabela.frequencia[id])-1),ROW(A220)),4)</f>
        <v>#NUM!</v>
      </c>
      <c r="E267" s="176" t="str">
        <f>IFERROR(VLOOKUP(D267,Tabela.cadastro[[ID]:[Nome]],2,0),"")</f>
        <v/>
      </c>
      <c r="F267" s="177" t="str">
        <f>IFERROR(VLOOKUP(D267,Tabela66[#All],2,0),"")</f>
        <v/>
      </c>
      <c r="G267" s="177" t="str">
        <f>IFERROR(VLOOKUP(D267,Tabela.cadastro[[ID]:[CP ou M]],5,0),"")</f>
        <v/>
      </c>
      <c r="H267" s="177" t="str">
        <f>IFERROR(VLOOKUP(D267,Cadastros!A:F,6,0),"")</f>
        <v/>
      </c>
      <c r="I267" s="177" t="str">
        <f>IFERROR(VLOOKUP(D267,Cadastros!A:I,9,0),"")</f>
        <v/>
      </c>
      <c r="J267" s="177" t="str">
        <f>IFERROR(VLOOKUP(D267,Cadastros!A:J,10,0),"")</f>
        <v/>
      </c>
      <c r="K267" s="177" t="str">
        <f>IF(COUNTIF(Tabela66[id],D267)=0,"",COUNTIF(Tabela66[id],D267))</f>
        <v/>
      </c>
      <c r="L267" s="198"/>
      <c r="M267" s="227" t="str">
        <f t="shared" si="20"/>
        <v/>
      </c>
      <c r="P267" s="176" t="str">
        <f>IFERROR(VLOOKUP(O267,Cadastros!A:B,2),"")</f>
        <v/>
      </c>
      <c r="Q267" s="177" t="str">
        <f t="shared" si="16"/>
        <v/>
      </c>
      <c r="R267" s="177" t="str">
        <f>IFERROR(VLOOKUP(O267,Cadastros!A:E,5,0),"")</f>
        <v/>
      </c>
      <c r="S267" s="177" t="str">
        <f>IFERROR(VLOOKUP(O267,Cadastros!A:F,6,0),"")</f>
        <v/>
      </c>
      <c r="T267" s="177" t="str">
        <f>IFERROR(VLOOKUP(O267,Cadastros!A:I,9,0),"")</f>
        <v/>
      </c>
      <c r="U267" s="177" t="str">
        <f t="shared" si="17"/>
        <v/>
      </c>
      <c r="V267" s="177" t="str">
        <f t="shared" si="18"/>
        <v/>
      </c>
      <c r="W267" s="177" t="str">
        <f t="shared" si="19"/>
        <v/>
      </c>
      <c r="Y267" s="240" t="e">
        <f t="array" ref="Y267">INDEX(Tabela.abordagens[],SMALL(IF(Tabela.abordagens[Mês]=$L$2,ROW(Tabela.abordagens[id])-2),ROW(A220)),1)</f>
        <v>#NUM!</v>
      </c>
      <c r="Z267" s="240" t="e">
        <f t="array" ref="Z267">INDEX(Tabela.abordagens[],SMALL(IF(Tabela.abordagens[Mês]=$L$2,ROW(Tabela.abordagens[Idade])-2),ROW(A220)),6)</f>
        <v>#NUM!</v>
      </c>
      <c r="AA267" s="240" t="e">
        <f t="array" ref="AA267">INDEX(Tabela.abordagens[],SMALL(IF(Tabela.abordagens[Mês]=$L$2,ROW(Tabela.abordagens[Idade])-2),ROW(A220)),4)</f>
        <v>#NUM!</v>
      </c>
      <c r="AB267" s="240" t="e">
        <f t="array" ref="AB267">INDEX(Tabela.abordagens[],SMALL(IF(Tabela.abordagens[Mês]=$L$2,ROW(Tabela.abordagens[Idade])-2),ROW(A220)),5)</f>
        <v>#NUM!</v>
      </c>
    </row>
    <row r="268" spans="2:28" ht="15" x14ac:dyDescent="0.25">
      <c r="B268" s="223" t="e">
        <f t="array" ref="B268">INDEX(Tabela.frequencia[],SMALL(IF(Tabela.frequencia[Mês]=$L$2,ROW(Tabela.frequencia[id])-1),ROW(A221)),1)</f>
        <v>#NUM!</v>
      </c>
      <c r="C268" s="229" t="e">
        <f t="array" ref="C268">INDEX(Tabela.frequencia[],SMALL(IF(Tabela.frequencia[Mês]=$L$2,ROW(Tabela.frequencia[id])-1),ROW(A221)),4)</f>
        <v>#NUM!</v>
      </c>
      <c r="E268" s="176" t="str">
        <f>IFERROR(VLOOKUP(D268,Tabela.cadastro[[ID]:[Nome]],2,0),"")</f>
        <v/>
      </c>
      <c r="F268" s="177" t="str">
        <f>IFERROR(VLOOKUP(D268,Tabela66[#All],2,0),"")</f>
        <v/>
      </c>
      <c r="G268" s="177" t="str">
        <f>IFERROR(VLOOKUP(D268,Tabela.cadastro[[ID]:[CP ou M]],5,0),"")</f>
        <v/>
      </c>
      <c r="H268" s="177" t="str">
        <f>IFERROR(VLOOKUP(D268,Cadastros!A:F,6,0),"")</f>
        <v/>
      </c>
      <c r="I268" s="177" t="str">
        <f>IFERROR(VLOOKUP(D268,Cadastros!A:I,9,0),"")</f>
        <v/>
      </c>
      <c r="J268" s="177" t="str">
        <f>IFERROR(VLOOKUP(D268,Cadastros!A:J,10,0),"")</f>
        <v/>
      </c>
      <c r="K268" s="177" t="str">
        <f>IF(COUNTIF(Tabela66[id],D268)=0,"",COUNTIF(Tabela66[id],D268))</f>
        <v/>
      </c>
      <c r="L268" s="198"/>
      <c r="M268" s="227" t="str">
        <f t="shared" si="20"/>
        <v/>
      </c>
      <c r="P268" s="176" t="str">
        <f>IFERROR(VLOOKUP(O268,Cadastros!A:B,2),"")</f>
        <v/>
      </c>
      <c r="Q268" s="177" t="str">
        <f t="shared" si="16"/>
        <v/>
      </c>
      <c r="R268" s="177" t="str">
        <f>IFERROR(VLOOKUP(O268,Cadastros!A:E,5,0),"")</f>
        <v/>
      </c>
      <c r="S268" s="177" t="str">
        <f>IFERROR(VLOOKUP(O268,Cadastros!A:F,6,0),"")</f>
        <v/>
      </c>
      <c r="T268" s="177" t="str">
        <f>IFERROR(VLOOKUP(O268,Cadastros!A:I,9,0),"")</f>
        <v/>
      </c>
      <c r="U268" s="177" t="str">
        <f t="shared" si="17"/>
        <v/>
      </c>
      <c r="V268" s="177" t="str">
        <f t="shared" si="18"/>
        <v/>
      </c>
      <c r="W268" s="177" t="str">
        <f t="shared" si="19"/>
        <v/>
      </c>
      <c r="Y268" s="240" t="e">
        <f t="array" ref="Y268">INDEX(Tabela.abordagens[],SMALL(IF(Tabela.abordagens[Mês]=$L$2,ROW(Tabela.abordagens[id])-2),ROW(A221)),1)</f>
        <v>#NUM!</v>
      </c>
      <c r="Z268" s="240" t="e">
        <f t="array" ref="Z268">INDEX(Tabela.abordagens[],SMALL(IF(Tabela.abordagens[Mês]=$L$2,ROW(Tabela.abordagens[Idade])-2),ROW(A221)),6)</f>
        <v>#NUM!</v>
      </c>
      <c r="AA268" s="240" t="e">
        <f t="array" ref="AA268">INDEX(Tabela.abordagens[],SMALL(IF(Tabela.abordagens[Mês]=$L$2,ROW(Tabela.abordagens[Idade])-2),ROW(A221)),4)</f>
        <v>#NUM!</v>
      </c>
      <c r="AB268" s="240" t="e">
        <f t="array" ref="AB268">INDEX(Tabela.abordagens[],SMALL(IF(Tabela.abordagens[Mês]=$L$2,ROW(Tabela.abordagens[Idade])-2),ROW(A221)),5)</f>
        <v>#NUM!</v>
      </c>
    </row>
    <row r="269" spans="2:28" ht="15" x14ac:dyDescent="0.25">
      <c r="B269" s="223" t="e">
        <f t="array" ref="B269">INDEX(Tabela.frequencia[],SMALL(IF(Tabela.frequencia[Mês]=$L$2,ROW(Tabela.frequencia[id])-1),ROW(A222)),1)</f>
        <v>#NUM!</v>
      </c>
      <c r="C269" s="229" t="e">
        <f t="array" ref="C269">INDEX(Tabela.frequencia[],SMALL(IF(Tabela.frequencia[Mês]=$L$2,ROW(Tabela.frequencia[id])-1),ROW(A222)),4)</f>
        <v>#NUM!</v>
      </c>
      <c r="E269" s="176" t="str">
        <f>IFERROR(VLOOKUP(D269,Tabela.cadastro[[ID]:[Nome]],2,0),"")</f>
        <v/>
      </c>
      <c r="F269" s="177" t="str">
        <f>IFERROR(VLOOKUP(D269,Tabela66[#All],2,0),"")</f>
        <v/>
      </c>
      <c r="G269" s="177" t="str">
        <f>IFERROR(VLOOKUP(D269,Tabela.cadastro[[ID]:[CP ou M]],5,0),"")</f>
        <v/>
      </c>
      <c r="H269" s="177" t="str">
        <f>IFERROR(VLOOKUP(D269,Cadastros!A:F,6,0),"")</f>
        <v/>
      </c>
      <c r="I269" s="177" t="str">
        <f>IFERROR(VLOOKUP(D269,Cadastros!A:I,9,0),"")</f>
        <v/>
      </c>
      <c r="J269" s="177" t="str">
        <f>IFERROR(VLOOKUP(D269,Cadastros!A:J,10,0),"")</f>
        <v/>
      </c>
      <c r="K269" s="177" t="str">
        <f>IF(COUNTIF(Tabela66[id],D269)=0,"",COUNTIF(Tabela66[id],D269))</f>
        <v/>
      </c>
      <c r="L269" s="198"/>
      <c r="M269" s="227" t="str">
        <f t="shared" si="20"/>
        <v/>
      </c>
      <c r="P269" s="176" t="str">
        <f>IFERROR(VLOOKUP(O269,Cadastros!A:B,2),"")</f>
        <v/>
      </c>
      <c r="Q269" s="177" t="str">
        <f t="shared" si="16"/>
        <v/>
      </c>
      <c r="R269" s="177" t="str">
        <f>IFERROR(VLOOKUP(O269,Cadastros!A:E,5,0),"")</f>
        <v/>
      </c>
      <c r="S269" s="177" t="str">
        <f>IFERROR(VLOOKUP(O269,Cadastros!A:F,6,0),"")</f>
        <v/>
      </c>
      <c r="T269" s="177" t="str">
        <f>IFERROR(VLOOKUP(O269,Cadastros!A:I,9,0),"")</f>
        <v/>
      </c>
      <c r="U269" s="177" t="str">
        <f t="shared" si="17"/>
        <v/>
      </c>
      <c r="V269" s="177" t="str">
        <f t="shared" si="18"/>
        <v/>
      </c>
      <c r="W269" s="177" t="str">
        <f t="shared" si="19"/>
        <v/>
      </c>
      <c r="Y269" s="240" t="e">
        <f t="array" ref="Y269">INDEX(Tabela.abordagens[],SMALL(IF(Tabela.abordagens[Mês]=$L$2,ROW(Tabela.abordagens[id])-2),ROW(A222)),1)</f>
        <v>#NUM!</v>
      </c>
      <c r="Z269" s="240" t="e">
        <f t="array" ref="Z269">INDEX(Tabela.abordagens[],SMALL(IF(Tabela.abordagens[Mês]=$L$2,ROW(Tabela.abordagens[Idade])-2),ROW(A222)),6)</f>
        <v>#NUM!</v>
      </c>
      <c r="AA269" s="240" t="e">
        <f t="array" ref="AA269">INDEX(Tabela.abordagens[],SMALL(IF(Tabela.abordagens[Mês]=$L$2,ROW(Tabela.abordagens[Idade])-2),ROW(A222)),4)</f>
        <v>#NUM!</v>
      </c>
      <c r="AB269" s="240" t="e">
        <f t="array" ref="AB269">INDEX(Tabela.abordagens[],SMALL(IF(Tabela.abordagens[Mês]=$L$2,ROW(Tabela.abordagens[Idade])-2),ROW(A222)),5)</f>
        <v>#NUM!</v>
      </c>
    </row>
    <row r="270" spans="2:28" ht="15" x14ac:dyDescent="0.25">
      <c r="B270" s="223" t="e">
        <f t="array" ref="B270">INDEX(Tabela.frequencia[],SMALL(IF(Tabela.frequencia[Mês]=$L$2,ROW(Tabela.frequencia[id])-1),ROW(A223)),1)</f>
        <v>#NUM!</v>
      </c>
      <c r="C270" s="229" t="e">
        <f t="array" ref="C270">INDEX(Tabela.frequencia[],SMALL(IF(Tabela.frequencia[Mês]=$L$2,ROW(Tabela.frequencia[id])-1),ROW(A223)),4)</f>
        <v>#NUM!</v>
      </c>
      <c r="E270" s="176" t="str">
        <f>IFERROR(VLOOKUP(D270,Tabela.cadastro[[ID]:[Nome]],2,0),"")</f>
        <v/>
      </c>
      <c r="F270" s="177" t="str">
        <f>IFERROR(VLOOKUP(D270,Tabela66[#All],2,0),"")</f>
        <v/>
      </c>
      <c r="G270" s="177" t="str">
        <f>IFERROR(VLOOKUP(D270,Tabela.cadastro[[ID]:[CP ou M]],5,0),"")</f>
        <v/>
      </c>
      <c r="H270" s="177" t="str">
        <f>IFERROR(VLOOKUP(D270,Cadastros!A:F,6,0),"")</f>
        <v/>
      </c>
      <c r="I270" s="177" t="str">
        <f>IFERROR(VLOOKUP(D270,Cadastros!A:I,9,0),"")</f>
        <v/>
      </c>
      <c r="J270" s="177" t="str">
        <f>IFERROR(VLOOKUP(D270,Cadastros!A:J,10,0),"")</f>
        <v/>
      </c>
      <c r="K270" s="177" t="str">
        <f>IF(COUNTIF(Tabela66[id],D270)=0,"",COUNTIF(Tabela66[id],D270))</f>
        <v/>
      </c>
      <c r="L270" s="198"/>
      <c r="M270" s="227" t="str">
        <f t="shared" si="20"/>
        <v/>
      </c>
      <c r="P270" s="176" t="str">
        <f>IFERROR(VLOOKUP(O270,Cadastros!A:B,2),"")</f>
        <v/>
      </c>
      <c r="Q270" s="177" t="str">
        <f t="shared" si="16"/>
        <v/>
      </c>
      <c r="R270" s="177" t="str">
        <f>IFERROR(VLOOKUP(O270,Cadastros!A:E,5,0),"")</f>
        <v/>
      </c>
      <c r="S270" s="177" t="str">
        <f>IFERROR(VLOOKUP(O270,Cadastros!A:F,6,0),"")</f>
        <v/>
      </c>
      <c r="T270" s="177" t="str">
        <f>IFERROR(VLOOKUP(O270,Cadastros!A:I,9,0),"")</f>
        <v/>
      </c>
      <c r="U270" s="177" t="str">
        <f t="shared" si="17"/>
        <v/>
      </c>
      <c r="V270" s="177" t="str">
        <f t="shared" si="18"/>
        <v/>
      </c>
      <c r="W270" s="177" t="str">
        <f t="shared" si="19"/>
        <v/>
      </c>
      <c r="Y270" s="240" t="e">
        <f t="array" ref="Y270">INDEX(Tabela.abordagens[],SMALL(IF(Tabela.abordagens[Mês]=$L$2,ROW(Tabela.abordagens[id])-2),ROW(A223)),1)</f>
        <v>#NUM!</v>
      </c>
      <c r="Z270" s="240" t="e">
        <f t="array" ref="Z270">INDEX(Tabela.abordagens[],SMALL(IF(Tabela.abordagens[Mês]=$L$2,ROW(Tabela.abordagens[Idade])-2),ROW(A223)),6)</f>
        <v>#NUM!</v>
      </c>
      <c r="AA270" s="240" t="e">
        <f t="array" ref="AA270">INDEX(Tabela.abordagens[],SMALL(IF(Tabela.abordagens[Mês]=$L$2,ROW(Tabela.abordagens[Idade])-2),ROW(A223)),4)</f>
        <v>#NUM!</v>
      </c>
      <c r="AB270" s="240" t="e">
        <f t="array" ref="AB270">INDEX(Tabela.abordagens[],SMALL(IF(Tabela.abordagens[Mês]=$L$2,ROW(Tabela.abordagens[Idade])-2),ROW(A223)),5)</f>
        <v>#NUM!</v>
      </c>
    </row>
    <row r="271" spans="2:28" ht="15" x14ac:dyDescent="0.25">
      <c r="B271" s="223" t="e">
        <f t="array" ref="B271">INDEX(Tabela.frequencia[],SMALL(IF(Tabela.frequencia[Mês]=$L$2,ROW(Tabela.frequencia[id])-1),ROW(A224)),1)</f>
        <v>#NUM!</v>
      </c>
      <c r="C271" s="229" t="e">
        <f t="array" ref="C271">INDEX(Tabela.frequencia[],SMALL(IF(Tabela.frequencia[Mês]=$L$2,ROW(Tabela.frequencia[id])-1),ROW(A224)),4)</f>
        <v>#NUM!</v>
      </c>
      <c r="E271" s="176" t="str">
        <f>IFERROR(VLOOKUP(D271,Tabela.cadastro[[ID]:[Nome]],2,0),"")</f>
        <v/>
      </c>
      <c r="F271" s="177" t="str">
        <f>IFERROR(VLOOKUP(D271,Tabela66[#All],2,0),"")</f>
        <v/>
      </c>
      <c r="G271" s="177" t="str">
        <f>IFERROR(VLOOKUP(D271,Tabela.cadastro[[ID]:[CP ou M]],5,0),"")</f>
        <v/>
      </c>
      <c r="H271" s="177" t="str">
        <f>IFERROR(VLOOKUP(D271,Cadastros!A:F,6,0),"")</f>
        <v/>
      </c>
      <c r="I271" s="177" t="str">
        <f>IFERROR(VLOOKUP(D271,Cadastros!A:I,9,0),"")</f>
        <v/>
      </c>
      <c r="J271" s="177" t="str">
        <f>IFERROR(VLOOKUP(D271,Cadastros!A:J,10,0),"")</f>
        <v/>
      </c>
      <c r="K271" s="177" t="str">
        <f>IF(COUNTIF(Tabela66[id],D271)=0,"",COUNTIF(Tabela66[id],D271))</f>
        <v/>
      </c>
      <c r="L271" s="198"/>
      <c r="M271" s="227" t="str">
        <f t="shared" si="20"/>
        <v/>
      </c>
      <c r="P271" s="176" t="str">
        <f>IFERROR(VLOOKUP(O271,Cadastros!A:B,2),"")</f>
        <v/>
      </c>
      <c r="Q271" s="177" t="str">
        <f t="shared" si="16"/>
        <v/>
      </c>
      <c r="R271" s="177" t="str">
        <f>IFERROR(VLOOKUP(O271,Cadastros!A:E,5,0),"")</f>
        <v/>
      </c>
      <c r="S271" s="177" t="str">
        <f>IFERROR(VLOOKUP(O271,Cadastros!A:F,6,0),"")</f>
        <v/>
      </c>
      <c r="T271" s="177" t="str">
        <f>IFERROR(VLOOKUP(O271,Cadastros!A:I,9,0),"")</f>
        <v/>
      </c>
      <c r="U271" s="177" t="str">
        <f t="shared" si="17"/>
        <v/>
      </c>
      <c r="V271" s="177" t="str">
        <f t="shared" si="18"/>
        <v/>
      </c>
      <c r="W271" s="177" t="str">
        <f t="shared" si="19"/>
        <v/>
      </c>
      <c r="Y271" s="240" t="e">
        <f t="array" ref="Y271">INDEX(Tabela.abordagens[],SMALL(IF(Tabela.abordagens[Mês]=$L$2,ROW(Tabela.abordagens[id])-2),ROW(A224)),1)</f>
        <v>#NUM!</v>
      </c>
      <c r="Z271" s="240" t="e">
        <f t="array" ref="Z271">INDEX(Tabela.abordagens[],SMALL(IF(Tabela.abordagens[Mês]=$L$2,ROW(Tabela.abordagens[Idade])-2),ROW(A224)),6)</f>
        <v>#NUM!</v>
      </c>
      <c r="AA271" s="240" t="e">
        <f t="array" ref="AA271">INDEX(Tabela.abordagens[],SMALL(IF(Tabela.abordagens[Mês]=$L$2,ROW(Tabela.abordagens[Idade])-2),ROW(A224)),4)</f>
        <v>#NUM!</v>
      </c>
      <c r="AB271" s="240" t="e">
        <f t="array" ref="AB271">INDEX(Tabela.abordagens[],SMALL(IF(Tabela.abordagens[Mês]=$L$2,ROW(Tabela.abordagens[Idade])-2),ROW(A224)),5)</f>
        <v>#NUM!</v>
      </c>
    </row>
    <row r="272" spans="2:28" ht="15" x14ac:dyDescent="0.25">
      <c r="B272" s="223" t="e">
        <f t="array" ref="B272">INDEX(Tabela.frequencia[],SMALL(IF(Tabela.frequencia[Mês]=$L$2,ROW(Tabela.frequencia[id])-1),ROW(A225)),1)</f>
        <v>#NUM!</v>
      </c>
      <c r="C272" s="229" t="e">
        <f t="array" ref="C272">INDEX(Tabela.frequencia[],SMALL(IF(Tabela.frequencia[Mês]=$L$2,ROW(Tabela.frequencia[id])-1),ROW(A225)),4)</f>
        <v>#NUM!</v>
      </c>
      <c r="E272" s="176" t="str">
        <f>IFERROR(VLOOKUP(D272,Tabela.cadastro[[ID]:[Nome]],2,0),"")</f>
        <v/>
      </c>
      <c r="F272" s="177" t="str">
        <f>IFERROR(VLOOKUP(D272,Tabela66[#All],2,0),"")</f>
        <v/>
      </c>
      <c r="G272" s="177" t="str">
        <f>IFERROR(VLOOKUP(D272,Tabela.cadastro[[ID]:[CP ou M]],5,0),"")</f>
        <v/>
      </c>
      <c r="H272" s="177" t="str">
        <f>IFERROR(VLOOKUP(D272,Cadastros!A:F,6,0),"")</f>
        <v/>
      </c>
      <c r="I272" s="177" t="str">
        <f>IFERROR(VLOOKUP(D272,Cadastros!A:I,9,0),"")</f>
        <v/>
      </c>
      <c r="J272" s="177" t="str">
        <f>IFERROR(VLOOKUP(D272,Cadastros!A:J,10,0),"")</f>
        <v/>
      </c>
      <c r="K272" s="177" t="str">
        <f>IF(COUNTIF(Tabela66[id],D272)=0,"",COUNTIF(Tabela66[id],D272))</f>
        <v/>
      </c>
      <c r="L272" s="198"/>
      <c r="M272" s="227" t="str">
        <f t="shared" si="20"/>
        <v/>
      </c>
      <c r="P272" s="176" t="str">
        <f>IFERROR(VLOOKUP(O272,Cadastros!A:B,2),"")</f>
        <v/>
      </c>
      <c r="Q272" s="177" t="str">
        <f t="shared" si="16"/>
        <v/>
      </c>
      <c r="R272" s="177" t="str">
        <f>IFERROR(VLOOKUP(O272,Cadastros!A:E,5,0),"")</f>
        <v/>
      </c>
      <c r="S272" s="177" t="str">
        <f>IFERROR(VLOOKUP(O272,Cadastros!A:F,6,0),"")</f>
        <v/>
      </c>
      <c r="T272" s="177" t="str">
        <f>IFERROR(VLOOKUP(O272,Cadastros!A:I,9,0),"")</f>
        <v/>
      </c>
      <c r="U272" s="177" t="str">
        <f t="shared" si="17"/>
        <v/>
      </c>
      <c r="V272" s="177" t="str">
        <f t="shared" si="18"/>
        <v/>
      </c>
      <c r="W272" s="177" t="str">
        <f t="shared" si="19"/>
        <v/>
      </c>
      <c r="Y272" s="240" t="e">
        <f t="array" ref="Y272">INDEX(Tabela.abordagens[],SMALL(IF(Tabela.abordagens[Mês]=$L$2,ROW(Tabela.abordagens[id])-2),ROW(A225)),1)</f>
        <v>#NUM!</v>
      </c>
      <c r="Z272" s="240" t="e">
        <f t="array" ref="Z272">INDEX(Tabela.abordagens[],SMALL(IF(Tabela.abordagens[Mês]=$L$2,ROW(Tabela.abordagens[Idade])-2),ROW(A225)),6)</f>
        <v>#NUM!</v>
      </c>
      <c r="AA272" s="240" t="e">
        <f t="array" ref="AA272">INDEX(Tabela.abordagens[],SMALL(IF(Tabela.abordagens[Mês]=$L$2,ROW(Tabela.abordagens[Idade])-2),ROW(A225)),4)</f>
        <v>#NUM!</v>
      </c>
      <c r="AB272" s="240" t="e">
        <f t="array" ref="AB272">INDEX(Tabela.abordagens[],SMALL(IF(Tabela.abordagens[Mês]=$L$2,ROW(Tabela.abordagens[Idade])-2),ROW(A225)),5)</f>
        <v>#NUM!</v>
      </c>
    </row>
    <row r="273" spans="2:28" ht="15" x14ac:dyDescent="0.25">
      <c r="B273" s="223" t="e">
        <f t="array" ref="B273">INDEX(Tabela.frequencia[],SMALL(IF(Tabela.frequencia[Mês]=$L$2,ROW(Tabela.frequencia[id])-1),ROW(A226)),1)</f>
        <v>#NUM!</v>
      </c>
      <c r="C273" s="229" t="e">
        <f t="array" ref="C273">INDEX(Tabela.frequencia[],SMALL(IF(Tabela.frequencia[Mês]=$L$2,ROW(Tabela.frequencia[id])-1),ROW(A226)),4)</f>
        <v>#NUM!</v>
      </c>
      <c r="E273" s="176" t="str">
        <f>IFERROR(VLOOKUP(D273,Tabela.cadastro[[ID]:[Nome]],2,0),"")</f>
        <v/>
      </c>
      <c r="F273" s="177" t="str">
        <f>IFERROR(VLOOKUP(D273,Tabela66[#All],2,0),"")</f>
        <v/>
      </c>
      <c r="G273" s="177" t="str">
        <f>IFERROR(VLOOKUP(D273,Tabela.cadastro[[ID]:[CP ou M]],5,0),"")</f>
        <v/>
      </c>
      <c r="H273" s="177" t="str">
        <f>IFERROR(VLOOKUP(D273,Cadastros!A:F,6,0),"")</f>
        <v/>
      </c>
      <c r="I273" s="177" t="str">
        <f>IFERROR(VLOOKUP(D273,Cadastros!A:I,9,0),"")</f>
        <v/>
      </c>
      <c r="J273" s="177" t="str">
        <f>IFERROR(VLOOKUP(D273,Cadastros!A:J,10,0),"")</f>
        <v/>
      </c>
      <c r="K273" s="177" t="str">
        <f>IF(COUNTIF(Tabela66[id],D273)=0,"",COUNTIF(Tabela66[id],D273))</f>
        <v/>
      </c>
      <c r="L273" s="198"/>
      <c r="M273" s="227" t="str">
        <f t="shared" si="20"/>
        <v/>
      </c>
      <c r="P273" s="176" t="str">
        <f>IFERROR(VLOOKUP(O273,Cadastros!A:B,2),"")</f>
        <v/>
      </c>
      <c r="Q273" s="177" t="str">
        <f t="shared" si="16"/>
        <v/>
      </c>
      <c r="R273" s="177" t="str">
        <f>IFERROR(VLOOKUP(O273,Cadastros!A:E,5,0),"")</f>
        <v/>
      </c>
      <c r="S273" s="177" t="str">
        <f>IFERROR(VLOOKUP(O273,Cadastros!A:F,6,0),"")</f>
        <v/>
      </c>
      <c r="T273" s="177" t="str">
        <f>IFERROR(VLOOKUP(O273,Cadastros!A:I,9,0),"")</f>
        <v/>
      </c>
      <c r="U273" s="177" t="str">
        <f t="shared" si="17"/>
        <v/>
      </c>
      <c r="V273" s="177" t="str">
        <f t="shared" si="18"/>
        <v/>
      </c>
      <c r="W273" s="177" t="str">
        <f t="shared" si="19"/>
        <v/>
      </c>
      <c r="Y273" s="240" t="e">
        <f t="array" ref="Y273">INDEX(Tabela.abordagens[],SMALL(IF(Tabela.abordagens[Mês]=$L$2,ROW(Tabela.abordagens[id])-2),ROW(A226)),1)</f>
        <v>#NUM!</v>
      </c>
      <c r="Z273" s="240" t="e">
        <f t="array" ref="Z273">INDEX(Tabela.abordagens[],SMALL(IF(Tabela.abordagens[Mês]=$L$2,ROW(Tabela.abordagens[Idade])-2),ROW(A226)),6)</f>
        <v>#NUM!</v>
      </c>
      <c r="AA273" s="240" t="e">
        <f t="array" ref="AA273">INDEX(Tabela.abordagens[],SMALL(IF(Tabela.abordagens[Mês]=$L$2,ROW(Tabela.abordagens[Idade])-2),ROW(A226)),4)</f>
        <v>#NUM!</v>
      </c>
      <c r="AB273" s="240" t="e">
        <f t="array" ref="AB273">INDEX(Tabela.abordagens[],SMALL(IF(Tabela.abordagens[Mês]=$L$2,ROW(Tabela.abordagens[Idade])-2),ROW(A226)),5)</f>
        <v>#NUM!</v>
      </c>
    </row>
    <row r="274" spans="2:28" ht="15" x14ac:dyDescent="0.25">
      <c r="B274" s="223" t="e">
        <f t="array" ref="B274">INDEX(Tabela.frequencia[],SMALL(IF(Tabela.frequencia[Mês]=$L$2,ROW(Tabela.frequencia[id])-1),ROW(A227)),1)</f>
        <v>#NUM!</v>
      </c>
      <c r="C274" s="229" t="e">
        <f t="array" ref="C274">INDEX(Tabela.frequencia[],SMALL(IF(Tabela.frequencia[Mês]=$L$2,ROW(Tabela.frequencia[id])-1),ROW(A227)),4)</f>
        <v>#NUM!</v>
      </c>
      <c r="E274" s="176" t="str">
        <f>IFERROR(VLOOKUP(D274,Tabela.cadastro[[ID]:[Nome]],2,0),"")</f>
        <v/>
      </c>
      <c r="F274" s="177" t="str">
        <f>IFERROR(VLOOKUP(D274,Tabela66[#All],2,0),"")</f>
        <v/>
      </c>
      <c r="G274" s="177" t="str">
        <f>IFERROR(VLOOKUP(D274,Tabela.cadastro[[ID]:[CP ou M]],5,0),"")</f>
        <v/>
      </c>
      <c r="H274" s="177" t="str">
        <f>IFERROR(VLOOKUP(D274,Cadastros!A:F,6,0),"")</f>
        <v/>
      </c>
      <c r="I274" s="177" t="str">
        <f>IFERROR(VLOOKUP(D274,Cadastros!A:I,9,0),"")</f>
        <v/>
      </c>
      <c r="J274" s="177" t="str">
        <f>IFERROR(VLOOKUP(D274,Cadastros!A:J,10,0),"")</f>
        <v/>
      </c>
      <c r="K274" s="177" t="str">
        <f>IF(COUNTIF(Tabela66[id],D274)=0,"",COUNTIF(Tabela66[id],D274))</f>
        <v/>
      </c>
      <c r="L274" s="198"/>
      <c r="M274" s="227" t="str">
        <f t="shared" si="20"/>
        <v/>
      </c>
      <c r="P274" s="176" t="str">
        <f>IFERROR(VLOOKUP(O274,Cadastros!A:B,2),"")</f>
        <v/>
      </c>
      <c r="Q274" s="177" t="str">
        <f t="shared" si="16"/>
        <v/>
      </c>
      <c r="R274" s="177" t="str">
        <f>IFERROR(VLOOKUP(O274,Cadastros!A:E,5,0),"")</f>
        <v/>
      </c>
      <c r="S274" s="177" t="str">
        <f>IFERROR(VLOOKUP(O274,Cadastros!A:F,6,0),"")</f>
        <v/>
      </c>
      <c r="T274" s="177" t="str">
        <f>IFERROR(VLOOKUP(O274,Cadastros!A:I,9,0),"")</f>
        <v/>
      </c>
      <c r="U274" s="177" t="str">
        <f t="shared" si="17"/>
        <v/>
      </c>
      <c r="V274" s="177" t="str">
        <f t="shared" si="18"/>
        <v/>
      </c>
      <c r="W274" s="177" t="str">
        <f t="shared" si="19"/>
        <v/>
      </c>
      <c r="Y274" s="240" t="e">
        <f t="array" ref="Y274">INDEX(Tabela.abordagens[],SMALL(IF(Tabela.abordagens[Mês]=$L$2,ROW(Tabela.abordagens[id])-2),ROW(A227)),1)</f>
        <v>#NUM!</v>
      </c>
      <c r="Z274" s="240" t="e">
        <f t="array" ref="Z274">INDEX(Tabela.abordagens[],SMALL(IF(Tabela.abordagens[Mês]=$L$2,ROW(Tabela.abordagens[Idade])-2),ROW(A227)),6)</f>
        <v>#NUM!</v>
      </c>
      <c r="AA274" s="240" t="e">
        <f t="array" ref="AA274">INDEX(Tabela.abordagens[],SMALL(IF(Tabela.abordagens[Mês]=$L$2,ROW(Tabela.abordagens[Idade])-2),ROW(A227)),4)</f>
        <v>#NUM!</v>
      </c>
      <c r="AB274" s="240" t="e">
        <f t="array" ref="AB274">INDEX(Tabela.abordagens[],SMALL(IF(Tabela.abordagens[Mês]=$L$2,ROW(Tabela.abordagens[Idade])-2),ROW(A227)),5)</f>
        <v>#NUM!</v>
      </c>
    </row>
    <row r="275" spans="2:28" ht="15" x14ac:dyDescent="0.25">
      <c r="B275" s="223" t="e">
        <f t="array" ref="B275">INDEX(Tabela.frequencia[],SMALL(IF(Tabela.frequencia[Mês]=$L$2,ROW(Tabela.frequencia[id])-1),ROW(A228)),1)</f>
        <v>#NUM!</v>
      </c>
      <c r="C275" s="229" t="e">
        <f t="array" ref="C275">INDEX(Tabela.frequencia[],SMALL(IF(Tabela.frequencia[Mês]=$L$2,ROW(Tabela.frequencia[id])-1),ROW(A228)),4)</f>
        <v>#NUM!</v>
      </c>
      <c r="E275" s="176" t="str">
        <f>IFERROR(VLOOKUP(D275,Tabela.cadastro[[ID]:[Nome]],2,0),"")</f>
        <v/>
      </c>
      <c r="F275" s="177" t="str">
        <f>IFERROR(VLOOKUP(D275,Tabela66[#All],2,0),"")</f>
        <v/>
      </c>
      <c r="G275" s="177" t="str">
        <f>IFERROR(VLOOKUP(D275,Tabela.cadastro[[ID]:[CP ou M]],5,0),"")</f>
        <v/>
      </c>
      <c r="H275" s="177" t="str">
        <f>IFERROR(VLOOKUP(D275,Cadastros!A:F,6,0),"")</f>
        <v/>
      </c>
      <c r="I275" s="177" t="str">
        <f>IFERROR(VLOOKUP(D275,Cadastros!A:I,9,0),"")</f>
        <v/>
      </c>
      <c r="J275" s="177" t="str">
        <f>IFERROR(VLOOKUP(D275,Cadastros!A:J,10,0),"")</f>
        <v/>
      </c>
      <c r="K275" s="177" t="str">
        <f>IF(COUNTIF(Tabela66[id],D275)=0,"",COUNTIF(Tabela66[id],D275))</f>
        <v/>
      </c>
      <c r="L275" s="198"/>
      <c r="M275" s="227" t="str">
        <f t="shared" si="20"/>
        <v/>
      </c>
      <c r="P275" s="176" t="str">
        <f>IFERROR(VLOOKUP(O275,Cadastros!A:B,2),"")</f>
        <v/>
      </c>
      <c r="Q275" s="177" t="str">
        <f t="shared" si="16"/>
        <v/>
      </c>
      <c r="R275" s="177" t="str">
        <f>IFERROR(VLOOKUP(O275,Cadastros!A:E,5,0),"")</f>
        <v/>
      </c>
      <c r="S275" s="177" t="str">
        <f>IFERROR(VLOOKUP(O275,Cadastros!A:F,6,0),"")</f>
        <v/>
      </c>
      <c r="T275" s="177" t="str">
        <f>IFERROR(VLOOKUP(O275,Cadastros!A:I,9,0),"")</f>
        <v/>
      </c>
      <c r="U275" s="177" t="str">
        <f t="shared" si="17"/>
        <v/>
      </c>
      <c r="V275" s="177" t="str">
        <f t="shared" si="18"/>
        <v/>
      </c>
      <c r="W275" s="177" t="str">
        <f t="shared" si="19"/>
        <v/>
      </c>
      <c r="Y275" s="240" t="e">
        <f t="array" ref="Y275">INDEX(Tabela.abordagens[],SMALL(IF(Tabela.abordagens[Mês]=$L$2,ROW(Tabela.abordagens[id])-2),ROW(A228)),1)</f>
        <v>#NUM!</v>
      </c>
      <c r="Z275" s="240" t="e">
        <f t="array" ref="Z275">INDEX(Tabela.abordagens[],SMALL(IF(Tabela.abordagens[Mês]=$L$2,ROW(Tabela.abordagens[Idade])-2),ROW(A228)),6)</f>
        <v>#NUM!</v>
      </c>
      <c r="AA275" s="240" t="e">
        <f t="array" ref="AA275">INDEX(Tabela.abordagens[],SMALL(IF(Tabela.abordagens[Mês]=$L$2,ROW(Tabela.abordagens[Idade])-2),ROW(A228)),4)</f>
        <v>#NUM!</v>
      </c>
      <c r="AB275" s="240" t="e">
        <f t="array" ref="AB275">INDEX(Tabela.abordagens[],SMALL(IF(Tabela.abordagens[Mês]=$L$2,ROW(Tabela.abordagens[Idade])-2),ROW(A228)),5)</f>
        <v>#NUM!</v>
      </c>
    </row>
    <row r="276" spans="2:28" ht="15" x14ac:dyDescent="0.25">
      <c r="B276" s="223" t="e">
        <f t="array" ref="B276">INDEX(Tabela.frequencia[],SMALL(IF(Tabela.frequencia[Mês]=$L$2,ROW(Tabela.frequencia[id])-1),ROW(A229)),1)</f>
        <v>#NUM!</v>
      </c>
      <c r="C276" s="229" t="e">
        <f t="array" ref="C276">INDEX(Tabela.frequencia[],SMALL(IF(Tabela.frequencia[Mês]=$L$2,ROW(Tabela.frequencia[id])-1),ROW(A229)),4)</f>
        <v>#NUM!</v>
      </c>
      <c r="E276" s="176" t="str">
        <f>IFERROR(VLOOKUP(D276,Tabela.cadastro[[ID]:[Nome]],2,0),"")</f>
        <v/>
      </c>
      <c r="F276" s="177" t="str">
        <f>IFERROR(VLOOKUP(D276,Tabela66[#All],2,0),"")</f>
        <v/>
      </c>
      <c r="G276" s="177" t="str">
        <f>IFERROR(VLOOKUP(D276,Tabela.cadastro[[ID]:[CP ou M]],5,0),"")</f>
        <v/>
      </c>
      <c r="H276" s="177" t="str">
        <f>IFERROR(VLOOKUP(D276,Cadastros!A:F,6,0),"")</f>
        <v/>
      </c>
      <c r="I276" s="177" t="str">
        <f>IFERROR(VLOOKUP(D276,Cadastros!A:I,9,0),"")</f>
        <v/>
      </c>
      <c r="J276" s="177" t="str">
        <f>IFERROR(VLOOKUP(D276,Cadastros!A:J,10,0),"")</f>
        <v/>
      </c>
      <c r="K276" s="177" t="str">
        <f>IF(COUNTIF(Tabela66[id],D276)=0,"",COUNTIF(Tabela66[id],D276))</f>
        <v/>
      </c>
      <c r="L276" s="198"/>
      <c r="M276" s="227" t="str">
        <f t="shared" si="20"/>
        <v/>
      </c>
      <c r="P276" s="176" t="str">
        <f>IFERROR(VLOOKUP(O276,Cadastros!A:B,2),"")</f>
        <v/>
      </c>
      <c r="Q276" s="177" t="str">
        <f t="shared" si="16"/>
        <v/>
      </c>
      <c r="R276" s="177" t="str">
        <f>IFERROR(VLOOKUP(O276,Cadastros!A:E,5,0),"")</f>
        <v/>
      </c>
      <c r="S276" s="177" t="str">
        <f>IFERROR(VLOOKUP(O276,Cadastros!A:F,6,0),"")</f>
        <v/>
      </c>
      <c r="T276" s="177" t="str">
        <f>IFERROR(VLOOKUP(O276,Cadastros!A:I,9,0),"")</f>
        <v/>
      </c>
      <c r="U276" s="177" t="str">
        <f t="shared" si="17"/>
        <v/>
      </c>
      <c r="V276" s="177" t="str">
        <f t="shared" si="18"/>
        <v/>
      </c>
      <c r="W276" s="177" t="str">
        <f t="shared" si="19"/>
        <v/>
      </c>
      <c r="Y276" s="240" t="e">
        <f t="array" ref="Y276">INDEX(Tabela.abordagens[],SMALL(IF(Tabela.abordagens[Mês]=$L$2,ROW(Tabela.abordagens[id])-2),ROW(A229)),1)</f>
        <v>#NUM!</v>
      </c>
      <c r="Z276" s="240" t="e">
        <f t="array" ref="Z276">INDEX(Tabela.abordagens[],SMALL(IF(Tabela.abordagens[Mês]=$L$2,ROW(Tabela.abordagens[Idade])-2),ROW(A229)),6)</f>
        <v>#NUM!</v>
      </c>
      <c r="AA276" s="240" t="e">
        <f t="array" ref="AA276">INDEX(Tabela.abordagens[],SMALL(IF(Tabela.abordagens[Mês]=$L$2,ROW(Tabela.abordagens[Idade])-2),ROW(A229)),4)</f>
        <v>#NUM!</v>
      </c>
      <c r="AB276" s="240" t="e">
        <f t="array" ref="AB276">INDEX(Tabela.abordagens[],SMALL(IF(Tabela.abordagens[Mês]=$L$2,ROW(Tabela.abordagens[Idade])-2),ROW(A229)),5)</f>
        <v>#NUM!</v>
      </c>
    </row>
    <row r="277" spans="2:28" ht="15" x14ac:dyDescent="0.25">
      <c r="B277" s="223" t="e">
        <f t="array" ref="B277">INDEX(Tabela.frequencia[],SMALL(IF(Tabela.frequencia[Mês]=$L$2,ROW(Tabela.frequencia[id])-1),ROW(A230)),1)</f>
        <v>#NUM!</v>
      </c>
      <c r="C277" s="229" t="e">
        <f t="array" ref="C277">INDEX(Tabela.frequencia[],SMALL(IF(Tabela.frequencia[Mês]=$L$2,ROW(Tabela.frequencia[id])-1),ROW(A230)),4)</f>
        <v>#NUM!</v>
      </c>
      <c r="E277" s="176" t="str">
        <f>IFERROR(VLOOKUP(D277,Tabela.cadastro[[ID]:[Nome]],2,0),"")</f>
        <v/>
      </c>
      <c r="F277" s="177" t="str">
        <f>IFERROR(VLOOKUP(D277,Tabela66[#All],2,0),"")</f>
        <v/>
      </c>
      <c r="G277" s="177" t="str">
        <f>IFERROR(VLOOKUP(D277,Tabela.cadastro[[ID]:[CP ou M]],5,0),"")</f>
        <v/>
      </c>
      <c r="H277" s="177" t="str">
        <f>IFERROR(VLOOKUP(D277,Cadastros!A:F,6,0),"")</f>
        <v/>
      </c>
      <c r="I277" s="177" t="str">
        <f>IFERROR(VLOOKUP(D277,Cadastros!A:I,9,0),"")</f>
        <v/>
      </c>
      <c r="J277" s="177" t="str">
        <f>IFERROR(VLOOKUP(D277,Cadastros!A:J,10,0),"")</f>
        <v/>
      </c>
      <c r="K277" s="177" t="str">
        <f>IF(COUNTIF(Tabela66[id],D277)=0,"",COUNTIF(Tabela66[id],D277))</f>
        <v/>
      </c>
      <c r="L277" s="198"/>
      <c r="M277" s="227" t="str">
        <f t="shared" si="20"/>
        <v/>
      </c>
      <c r="P277" s="176" t="str">
        <f>IFERROR(VLOOKUP(O277,Cadastros!A:B,2),"")</f>
        <v/>
      </c>
      <c r="Q277" s="177" t="str">
        <f t="shared" si="16"/>
        <v/>
      </c>
      <c r="R277" s="177" t="str">
        <f>IFERROR(VLOOKUP(O277,Cadastros!A:E,5,0),"")</f>
        <v/>
      </c>
      <c r="S277" s="177" t="str">
        <f>IFERROR(VLOOKUP(O277,Cadastros!A:F,6,0),"")</f>
        <v/>
      </c>
      <c r="T277" s="177" t="str">
        <f>IFERROR(VLOOKUP(O277,Cadastros!A:I,9,0),"")</f>
        <v/>
      </c>
      <c r="U277" s="177" t="str">
        <f t="shared" si="17"/>
        <v/>
      </c>
      <c r="V277" s="177" t="str">
        <f t="shared" si="18"/>
        <v/>
      </c>
      <c r="W277" s="177" t="str">
        <f t="shared" si="19"/>
        <v/>
      </c>
      <c r="Y277" s="240" t="e">
        <f t="array" ref="Y277">INDEX(Tabela.abordagens[],SMALL(IF(Tabela.abordagens[Mês]=$L$2,ROW(Tabela.abordagens[id])-2),ROW(A230)),1)</f>
        <v>#NUM!</v>
      </c>
      <c r="Z277" s="240" t="e">
        <f t="array" ref="Z277">INDEX(Tabela.abordagens[],SMALL(IF(Tabela.abordagens[Mês]=$L$2,ROW(Tabela.abordagens[Idade])-2),ROW(A230)),6)</f>
        <v>#NUM!</v>
      </c>
      <c r="AA277" s="240" t="e">
        <f t="array" ref="AA277">INDEX(Tabela.abordagens[],SMALL(IF(Tabela.abordagens[Mês]=$L$2,ROW(Tabela.abordagens[Idade])-2),ROW(A230)),4)</f>
        <v>#NUM!</v>
      </c>
      <c r="AB277" s="240" t="e">
        <f t="array" ref="AB277">INDEX(Tabela.abordagens[],SMALL(IF(Tabela.abordagens[Mês]=$L$2,ROW(Tabela.abordagens[Idade])-2),ROW(A230)),5)</f>
        <v>#NUM!</v>
      </c>
    </row>
    <row r="278" spans="2:28" ht="15" x14ac:dyDescent="0.25">
      <c r="B278" s="223" t="e">
        <f t="array" ref="B278">INDEX(Tabela.frequencia[],SMALL(IF(Tabela.frequencia[Mês]=$L$2,ROW(Tabela.frequencia[id])-1),ROW(A231)),1)</f>
        <v>#NUM!</v>
      </c>
      <c r="C278" s="229" t="e">
        <f t="array" ref="C278">INDEX(Tabela.frequencia[],SMALL(IF(Tabela.frequencia[Mês]=$L$2,ROW(Tabela.frequencia[id])-1),ROW(A231)),4)</f>
        <v>#NUM!</v>
      </c>
      <c r="E278" s="176" t="str">
        <f>IFERROR(VLOOKUP(D278,Tabela.cadastro[[ID]:[Nome]],2,0),"")</f>
        <v/>
      </c>
      <c r="F278" s="177" t="str">
        <f>IFERROR(VLOOKUP(D278,Tabela66[#All],2,0),"")</f>
        <v/>
      </c>
      <c r="G278" s="177" t="str">
        <f>IFERROR(VLOOKUP(D278,Tabela.cadastro[[ID]:[CP ou M]],5,0),"")</f>
        <v/>
      </c>
      <c r="H278" s="177" t="str">
        <f>IFERROR(VLOOKUP(D278,Cadastros!A:F,6,0),"")</f>
        <v/>
      </c>
      <c r="I278" s="177" t="str">
        <f>IFERROR(VLOOKUP(D278,Cadastros!A:I,9,0),"")</f>
        <v/>
      </c>
      <c r="J278" s="177" t="str">
        <f>IFERROR(VLOOKUP(D278,Cadastros!A:J,10,0),"")</f>
        <v/>
      </c>
      <c r="K278" s="177" t="str">
        <f>IF(COUNTIF(Tabela66[id],D278)=0,"",COUNTIF(Tabela66[id],D278))</f>
        <v/>
      </c>
      <c r="L278" s="198"/>
      <c r="M278" s="227" t="str">
        <f t="shared" si="20"/>
        <v/>
      </c>
      <c r="P278" s="176" t="str">
        <f>IFERROR(VLOOKUP(O278,Cadastros!A:B,2),"")</f>
        <v/>
      </c>
      <c r="Q278" s="177" t="str">
        <f t="shared" si="16"/>
        <v/>
      </c>
      <c r="R278" s="177" t="str">
        <f>IFERROR(VLOOKUP(O278,Cadastros!A:E,5,0),"")</f>
        <v/>
      </c>
      <c r="S278" s="177" t="str">
        <f>IFERROR(VLOOKUP(O278,Cadastros!A:F,6,0),"")</f>
        <v/>
      </c>
      <c r="T278" s="177" t="str">
        <f>IFERROR(VLOOKUP(O278,Cadastros!A:I,9,0),"")</f>
        <v/>
      </c>
      <c r="U278" s="177" t="str">
        <f t="shared" si="17"/>
        <v/>
      </c>
      <c r="V278" s="177" t="str">
        <f t="shared" si="18"/>
        <v/>
      </c>
      <c r="W278" s="177" t="str">
        <f t="shared" si="19"/>
        <v/>
      </c>
      <c r="Y278" s="240" t="e">
        <f t="array" ref="Y278">INDEX(Tabela.abordagens[],SMALL(IF(Tabela.abordagens[Mês]=$L$2,ROW(Tabela.abordagens[id])-2),ROW(A231)),1)</f>
        <v>#NUM!</v>
      </c>
      <c r="Z278" s="240" t="e">
        <f t="array" ref="Z278">INDEX(Tabela.abordagens[],SMALL(IF(Tabela.abordagens[Mês]=$L$2,ROW(Tabela.abordagens[Idade])-2),ROW(A231)),6)</f>
        <v>#NUM!</v>
      </c>
      <c r="AA278" s="240" t="e">
        <f t="array" ref="AA278">INDEX(Tabela.abordagens[],SMALL(IF(Tabela.abordagens[Mês]=$L$2,ROW(Tabela.abordagens[Idade])-2),ROW(A231)),4)</f>
        <v>#NUM!</v>
      </c>
      <c r="AB278" s="240" t="e">
        <f t="array" ref="AB278">INDEX(Tabela.abordagens[],SMALL(IF(Tabela.abordagens[Mês]=$L$2,ROW(Tabela.abordagens[Idade])-2),ROW(A231)),5)</f>
        <v>#NUM!</v>
      </c>
    </row>
    <row r="279" spans="2:28" ht="15" x14ac:dyDescent="0.25">
      <c r="B279" s="223" t="e">
        <f t="array" ref="B279">INDEX(Tabela.frequencia[],SMALL(IF(Tabela.frequencia[Mês]=$L$2,ROW(Tabela.frequencia[id])-1),ROW(A232)),1)</f>
        <v>#NUM!</v>
      </c>
      <c r="C279" s="229" t="e">
        <f t="array" ref="C279">INDEX(Tabela.frequencia[],SMALL(IF(Tabela.frequencia[Mês]=$L$2,ROW(Tabela.frequencia[id])-1),ROW(A232)),4)</f>
        <v>#NUM!</v>
      </c>
      <c r="E279" s="176" t="str">
        <f>IFERROR(VLOOKUP(D279,Tabela.cadastro[[ID]:[Nome]],2,0),"")</f>
        <v/>
      </c>
      <c r="F279" s="177" t="str">
        <f>IFERROR(VLOOKUP(D279,Tabela66[#All],2,0),"")</f>
        <v/>
      </c>
      <c r="G279" s="177" t="str">
        <f>IFERROR(VLOOKUP(D279,Tabela.cadastro[[ID]:[CP ou M]],5,0),"")</f>
        <v/>
      </c>
      <c r="H279" s="177" t="str">
        <f>IFERROR(VLOOKUP(D279,Cadastros!A:F,6,0),"")</f>
        <v/>
      </c>
      <c r="I279" s="177" t="str">
        <f>IFERROR(VLOOKUP(D279,Cadastros!A:I,9,0),"")</f>
        <v/>
      </c>
      <c r="J279" s="177" t="str">
        <f>IFERROR(VLOOKUP(D279,Cadastros!A:J,10,0),"")</f>
        <v/>
      </c>
      <c r="K279" s="177" t="str">
        <f>IF(COUNTIF(Tabela66[id],D279)=0,"",COUNTIF(Tabela66[id],D279))</f>
        <v/>
      </c>
      <c r="L279" s="198"/>
      <c r="M279" s="227" t="str">
        <f t="shared" si="20"/>
        <v/>
      </c>
      <c r="P279" s="176" t="str">
        <f>IFERROR(VLOOKUP(O279,Cadastros!A:B,2),"")</f>
        <v/>
      </c>
      <c r="Q279" s="177" t="str">
        <f t="shared" si="16"/>
        <v/>
      </c>
      <c r="R279" s="177" t="str">
        <f>IFERROR(VLOOKUP(O279,Cadastros!A:E,5,0),"")</f>
        <v/>
      </c>
      <c r="S279" s="177" t="str">
        <f>IFERROR(VLOOKUP(O279,Cadastros!A:F,6,0),"")</f>
        <v/>
      </c>
      <c r="T279" s="177" t="str">
        <f>IFERROR(VLOOKUP(O279,Cadastros!A:I,9,0),"")</f>
        <v/>
      </c>
      <c r="U279" s="177" t="str">
        <f t="shared" si="17"/>
        <v/>
      </c>
      <c r="V279" s="177" t="str">
        <f t="shared" si="18"/>
        <v/>
      </c>
      <c r="W279" s="177" t="str">
        <f t="shared" si="19"/>
        <v/>
      </c>
      <c r="Y279" s="240" t="e">
        <f t="array" ref="Y279">INDEX(Tabela.abordagens[],SMALL(IF(Tabela.abordagens[Mês]=$L$2,ROW(Tabela.abordagens[id])-2),ROW(A232)),1)</f>
        <v>#NUM!</v>
      </c>
      <c r="Z279" s="240" t="e">
        <f t="array" ref="Z279">INDEX(Tabela.abordagens[],SMALL(IF(Tabela.abordagens[Mês]=$L$2,ROW(Tabela.abordagens[Idade])-2),ROW(A232)),6)</f>
        <v>#NUM!</v>
      </c>
      <c r="AA279" s="240" t="e">
        <f t="array" ref="AA279">INDEX(Tabela.abordagens[],SMALL(IF(Tabela.abordagens[Mês]=$L$2,ROW(Tabela.abordagens[Idade])-2),ROW(A232)),4)</f>
        <v>#NUM!</v>
      </c>
      <c r="AB279" s="240" t="e">
        <f t="array" ref="AB279">INDEX(Tabela.abordagens[],SMALL(IF(Tabela.abordagens[Mês]=$L$2,ROW(Tabela.abordagens[Idade])-2),ROW(A232)),5)</f>
        <v>#NUM!</v>
      </c>
    </row>
    <row r="280" spans="2:28" ht="15" x14ac:dyDescent="0.25">
      <c r="B280" s="223" t="e">
        <f t="array" ref="B280">INDEX(Tabela.frequencia[],SMALL(IF(Tabela.frequencia[Mês]=$L$2,ROW(Tabela.frequencia[id])-1),ROW(A233)),1)</f>
        <v>#NUM!</v>
      </c>
      <c r="C280" s="229" t="e">
        <f t="array" ref="C280">INDEX(Tabela.frequencia[],SMALL(IF(Tabela.frequencia[Mês]=$L$2,ROW(Tabela.frequencia[id])-1),ROW(A233)),4)</f>
        <v>#NUM!</v>
      </c>
      <c r="E280" s="176" t="str">
        <f>IFERROR(VLOOKUP(D280,Tabela.cadastro[[ID]:[Nome]],2,0),"")</f>
        <v/>
      </c>
      <c r="F280" s="177" t="str">
        <f>IFERROR(VLOOKUP(D280,Tabela66[#All],2,0),"")</f>
        <v/>
      </c>
      <c r="G280" s="177" t="str">
        <f>IFERROR(VLOOKUP(D280,Tabela.cadastro[[ID]:[CP ou M]],5,0),"")</f>
        <v/>
      </c>
      <c r="H280" s="177" t="str">
        <f>IFERROR(VLOOKUP(D280,Cadastros!A:F,6,0),"")</f>
        <v/>
      </c>
      <c r="I280" s="177" t="str">
        <f>IFERROR(VLOOKUP(D280,Cadastros!A:I,9,0),"")</f>
        <v/>
      </c>
      <c r="J280" s="177" t="str">
        <f>IFERROR(VLOOKUP(D280,Cadastros!A:J,10,0),"")</f>
        <v/>
      </c>
      <c r="K280" s="177" t="str">
        <f>IF(COUNTIF(Tabela66[id],D280)=0,"",COUNTIF(Tabela66[id],D280))</f>
        <v/>
      </c>
      <c r="L280" s="198"/>
      <c r="M280" s="227" t="str">
        <f t="shared" si="20"/>
        <v/>
      </c>
      <c r="P280" s="176" t="str">
        <f>IFERROR(VLOOKUP(O280,Cadastros!A:B,2),"")</f>
        <v/>
      </c>
      <c r="Q280" s="177" t="str">
        <f t="shared" si="16"/>
        <v/>
      </c>
      <c r="R280" s="177" t="str">
        <f>IFERROR(VLOOKUP(O280,Cadastros!A:E,5,0),"")</f>
        <v/>
      </c>
      <c r="S280" s="177" t="str">
        <f>IFERROR(VLOOKUP(O280,Cadastros!A:F,6,0),"")</f>
        <v/>
      </c>
      <c r="T280" s="177" t="str">
        <f>IFERROR(VLOOKUP(O280,Cadastros!A:I,9,0),"")</f>
        <v/>
      </c>
      <c r="U280" s="177" t="str">
        <f t="shared" si="17"/>
        <v/>
      </c>
      <c r="V280" s="177" t="str">
        <f t="shared" si="18"/>
        <v/>
      </c>
      <c r="W280" s="177" t="str">
        <f t="shared" si="19"/>
        <v/>
      </c>
      <c r="Y280" s="240" t="e">
        <f t="array" ref="Y280">INDEX(Tabela.abordagens[],SMALL(IF(Tabela.abordagens[Mês]=$L$2,ROW(Tabela.abordagens[id])-2),ROW(A233)),1)</f>
        <v>#NUM!</v>
      </c>
      <c r="Z280" s="240" t="e">
        <f t="array" ref="Z280">INDEX(Tabela.abordagens[],SMALL(IF(Tabela.abordagens[Mês]=$L$2,ROW(Tabela.abordagens[Idade])-2),ROW(A233)),6)</f>
        <v>#NUM!</v>
      </c>
      <c r="AA280" s="240" t="e">
        <f t="array" ref="AA280">INDEX(Tabela.abordagens[],SMALL(IF(Tabela.abordagens[Mês]=$L$2,ROW(Tabela.abordagens[Idade])-2),ROW(A233)),4)</f>
        <v>#NUM!</v>
      </c>
      <c r="AB280" s="240" t="e">
        <f t="array" ref="AB280">INDEX(Tabela.abordagens[],SMALL(IF(Tabela.abordagens[Mês]=$L$2,ROW(Tabela.abordagens[Idade])-2),ROW(A233)),5)</f>
        <v>#NUM!</v>
      </c>
    </row>
    <row r="281" spans="2:28" ht="15" x14ac:dyDescent="0.25">
      <c r="B281" s="223" t="e">
        <f t="array" ref="B281">INDEX(Tabela.frequencia[],SMALL(IF(Tabela.frequencia[Mês]=$L$2,ROW(Tabela.frequencia[id])-1),ROW(A234)),1)</f>
        <v>#NUM!</v>
      </c>
      <c r="C281" s="229" t="e">
        <f t="array" ref="C281">INDEX(Tabela.frequencia[],SMALL(IF(Tabela.frequencia[Mês]=$L$2,ROW(Tabela.frequencia[id])-1),ROW(A234)),4)</f>
        <v>#NUM!</v>
      </c>
      <c r="E281" s="176" t="str">
        <f>IFERROR(VLOOKUP(D281,Tabela.cadastro[[ID]:[Nome]],2,0),"")</f>
        <v/>
      </c>
      <c r="F281" s="177" t="str">
        <f>IFERROR(VLOOKUP(D281,Tabela66[#All],2,0),"")</f>
        <v/>
      </c>
      <c r="G281" s="177" t="str">
        <f>IFERROR(VLOOKUP(D281,Tabela.cadastro[[ID]:[CP ou M]],5,0),"")</f>
        <v/>
      </c>
      <c r="H281" s="177" t="str">
        <f>IFERROR(VLOOKUP(D281,Cadastros!A:F,6,0),"")</f>
        <v/>
      </c>
      <c r="I281" s="177" t="str">
        <f>IFERROR(VLOOKUP(D281,Cadastros!A:I,9,0),"")</f>
        <v/>
      </c>
      <c r="J281" s="177" t="str">
        <f>IFERROR(VLOOKUP(D281,Cadastros!A:J,10,0),"")</f>
        <v/>
      </c>
      <c r="K281" s="177" t="str">
        <f>IF(COUNTIF(Tabela66[id],D281)=0,"",COUNTIF(Tabela66[id],D281))</f>
        <v/>
      </c>
      <c r="L281" s="198"/>
      <c r="M281" s="227" t="str">
        <f t="shared" si="20"/>
        <v/>
      </c>
      <c r="P281" s="176" t="str">
        <f>IFERROR(VLOOKUP(O281,Cadastros!A:B,2),"")</f>
        <v/>
      </c>
      <c r="Q281" s="177" t="str">
        <f t="shared" si="16"/>
        <v/>
      </c>
      <c r="R281" s="177" t="str">
        <f>IFERROR(VLOOKUP(O281,Cadastros!A:E,5,0),"")</f>
        <v/>
      </c>
      <c r="S281" s="177" t="str">
        <f>IFERROR(VLOOKUP(O281,Cadastros!A:F,6,0),"")</f>
        <v/>
      </c>
      <c r="T281" s="177" t="str">
        <f>IFERROR(VLOOKUP(O281,Cadastros!A:I,9,0),"")</f>
        <v/>
      </c>
      <c r="U281" s="177" t="str">
        <f t="shared" si="17"/>
        <v/>
      </c>
      <c r="V281" s="177" t="str">
        <f t="shared" si="18"/>
        <v/>
      </c>
      <c r="W281" s="177" t="str">
        <f t="shared" si="19"/>
        <v/>
      </c>
      <c r="Y281" s="240" t="e">
        <f t="array" ref="Y281">INDEX(Tabela.abordagens[],SMALL(IF(Tabela.abordagens[Mês]=$L$2,ROW(Tabela.abordagens[id])-2),ROW(A234)),1)</f>
        <v>#NUM!</v>
      </c>
      <c r="Z281" s="240" t="e">
        <f t="array" ref="Z281">INDEX(Tabela.abordagens[],SMALL(IF(Tabela.abordagens[Mês]=$L$2,ROW(Tabela.abordagens[Idade])-2),ROW(A234)),6)</f>
        <v>#NUM!</v>
      </c>
      <c r="AA281" s="240" t="e">
        <f t="array" ref="AA281">INDEX(Tabela.abordagens[],SMALL(IF(Tabela.abordagens[Mês]=$L$2,ROW(Tabela.abordagens[Idade])-2),ROW(A234)),4)</f>
        <v>#NUM!</v>
      </c>
      <c r="AB281" s="240" t="e">
        <f t="array" ref="AB281">INDEX(Tabela.abordagens[],SMALL(IF(Tabela.abordagens[Mês]=$L$2,ROW(Tabela.abordagens[Idade])-2),ROW(A234)),5)</f>
        <v>#NUM!</v>
      </c>
    </row>
    <row r="282" spans="2:28" ht="15" x14ac:dyDescent="0.25">
      <c r="B282" s="223" t="e">
        <f t="array" ref="B282">INDEX(Tabela.frequencia[],SMALL(IF(Tabela.frequencia[Mês]=$L$2,ROW(Tabela.frequencia[id])-1),ROW(A235)),1)</f>
        <v>#NUM!</v>
      </c>
      <c r="C282" s="229" t="e">
        <f t="array" ref="C282">INDEX(Tabela.frequencia[],SMALL(IF(Tabela.frequencia[Mês]=$L$2,ROW(Tabela.frequencia[id])-1),ROW(A235)),4)</f>
        <v>#NUM!</v>
      </c>
      <c r="E282" s="176" t="str">
        <f>IFERROR(VLOOKUP(D282,Tabela.cadastro[[ID]:[Nome]],2,0),"")</f>
        <v/>
      </c>
      <c r="F282" s="177" t="str">
        <f>IFERROR(VLOOKUP(D282,Tabela66[#All],2,0),"")</f>
        <v/>
      </c>
      <c r="G282" s="177" t="str">
        <f>IFERROR(VLOOKUP(D282,Tabela.cadastro[[ID]:[CP ou M]],5,0),"")</f>
        <v/>
      </c>
      <c r="H282" s="177" t="str">
        <f>IFERROR(VLOOKUP(D282,Cadastros!A:F,6,0),"")</f>
        <v/>
      </c>
      <c r="I282" s="177" t="str">
        <f>IFERROR(VLOOKUP(D282,Cadastros!A:I,9,0),"")</f>
        <v/>
      </c>
      <c r="J282" s="177" t="str">
        <f>IFERROR(VLOOKUP(D282,Cadastros!A:J,10,0),"")</f>
        <v/>
      </c>
      <c r="K282" s="177" t="str">
        <f>IF(COUNTIF(Tabela66[id],D282)=0,"",COUNTIF(Tabela66[id],D282))</f>
        <v/>
      </c>
      <c r="L282" s="198"/>
      <c r="M282" s="227" t="str">
        <f t="shared" si="20"/>
        <v/>
      </c>
      <c r="P282" s="176" t="str">
        <f>IFERROR(VLOOKUP(O282,Cadastros!A:B,2),"")</f>
        <v/>
      </c>
      <c r="Q282" s="177" t="str">
        <f t="shared" si="16"/>
        <v/>
      </c>
      <c r="R282" s="177" t="str">
        <f>IFERROR(VLOOKUP(O282,Cadastros!A:E,5,0),"")</f>
        <v/>
      </c>
      <c r="S282" s="177" t="str">
        <f>IFERROR(VLOOKUP(O282,Cadastros!A:F,6,0),"")</f>
        <v/>
      </c>
      <c r="T282" s="177" t="str">
        <f>IFERROR(VLOOKUP(O282,Cadastros!A:I,9,0),"")</f>
        <v/>
      </c>
      <c r="U282" s="177" t="str">
        <f t="shared" si="17"/>
        <v/>
      </c>
      <c r="V282" s="177" t="str">
        <f t="shared" si="18"/>
        <v/>
      </c>
      <c r="W282" s="177" t="str">
        <f t="shared" si="19"/>
        <v/>
      </c>
      <c r="Y282" s="240" t="e">
        <f t="array" ref="Y282">INDEX(Tabela.abordagens[],SMALL(IF(Tabela.abordagens[Mês]=$L$2,ROW(Tabela.abordagens[id])-2),ROW(A235)),1)</f>
        <v>#NUM!</v>
      </c>
      <c r="Z282" s="240" t="e">
        <f t="array" ref="Z282">INDEX(Tabela.abordagens[],SMALL(IF(Tabela.abordagens[Mês]=$L$2,ROW(Tabela.abordagens[Idade])-2),ROW(A235)),6)</f>
        <v>#NUM!</v>
      </c>
      <c r="AA282" s="240" t="e">
        <f t="array" ref="AA282">INDEX(Tabela.abordagens[],SMALL(IF(Tabela.abordagens[Mês]=$L$2,ROW(Tabela.abordagens[Idade])-2),ROW(A235)),4)</f>
        <v>#NUM!</v>
      </c>
      <c r="AB282" s="240" t="e">
        <f t="array" ref="AB282">INDEX(Tabela.abordagens[],SMALL(IF(Tabela.abordagens[Mês]=$L$2,ROW(Tabela.abordagens[Idade])-2),ROW(A235)),5)</f>
        <v>#NUM!</v>
      </c>
    </row>
    <row r="283" spans="2:28" ht="15" x14ac:dyDescent="0.25">
      <c r="B283" s="223" t="e">
        <f t="array" ref="B283">INDEX(Tabela.frequencia[],SMALL(IF(Tabela.frequencia[Mês]=$L$2,ROW(Tabela.frequencia[id])-1),ROW(A236)),1)</f>
        <v>#NUM!</v>
      </c>
      <c r="C283" s="229" t="e">
        <f t="array" ref="C283">INDEX(Tabela.frequencia[],SMALL(IF(Tabela.frequencia[Mês]=$L$2,ROW(Tabela.frequencia[id])-1),ROW(A236)),4)</f>
        <v>#NUM!</v>
      </c>
      <c r="E283" s="176" t="str">
        <f>IFERROR(VLOOKUP(D283,Tabela.cadastro[[ID]:[Nome]],2,0),"")</f>
        <v/>
      </c>
      <c r="F283" s="177" t="str">
        <f>IFERROR(VLOOKUP(D283,Tabela66[#All],2,0),"")</f>
        <v/>
      </c>
      <c r="G283" s="177" t="str">
        <f>IFERROR(VLOOKUP(D283,Tabela.cadastro[[ID]:[CP ou M]],5,0),"")</f>
        <v/>
      </c>
      <c r="H283" s="177" t="str">
        <f>IFERROR(VLOOKUP(D283,Cadastros!A:F,6,0),"")</f>
        <v/>
      </c>
      <c r="I283" s="177" t="str">
        <f>IFERROR(VLOOKUP(D283,Cadastros!A:I,9,0),"")</f>
        <v/>
      </c>
      <c r="J283" s="177" t="str">
        <f>IFERROR(VLOOKUP(D283,Cadastros!A:J,10,0),"")</f>
        <v/>
      </c>
      <c r="K283" s="177" t="str">
        <f>IF(COUNTIF(Tabela66[id],D283)=0,"",COUNTIF(Tabela66[id],D283))</f>
        <v/>
      </c>
      <c r="L283" s="198"/>
      <c r="M283" s="227" t="str">
        <f t="shared" si="20"/>
        <v/>
      </c>
      <c r="P283" s="176" t="str">
        <f>IFERROR(VLOOKUP(O283,Cadastros!A:B,2),"")</f>
        <v/>
      </c>
      <c r="Q283" s="177" t="str">
        <f t="shared" si="16"/>
        <v/>
      </c>
      <c r="R283" s="177" t="str">
        <f>IFERROR(VLOOKUP(O283,Cadastros!A:E,5,0),"")</f>
        <v/>
      </c>
      <c r="S283" s="177" t="str">
        <f>IFERROR(VLOOKUP(O283,Cadastros!A:F,6,0),"")</f>
        <v/>
      </c>
      <c r="T283" s="177" t="str">
        <f>IFERROR(VLOOKUP(O283,Cadastros!A:I,9,0),"")</f>
        <v/>
      </c>
      <c r="U283" s="177" t="str">
        <f t="shared" si="17"/>
        <v/>
      </c>
      <c r="V283" s="177" t="str">
        <f t="shared" si="18"/>
        <v/>
      </c>
      <c r="W283" s="177" t="str">
        <f t="shared" si="19"/>
        <v/>
      </c>
      <c r="Y283" s="240" t="e">
        <f t="array" ref="Y283">INDEX(Tabela.abordagens[],SMALL(IF(Tabela.abordagens[Mês]=$L$2,ROW(Tabela.abordagens[id])-2),ROW(A236)),1)</f>
        <v>#NUM!</v>
      </c>
      <c r="Z283" s="240" t="e">
        <f t="array" ref="Z283">INDEX(Tabela.abordagens[],SMALL(IF(Tabela.abordagens[Mês]=$L$2,ROW(Tabela.abordagens[Idade])-2),ROW(A236)),6)</f>
        <v>#NUM!</v>
      </c>
      <c r="AA283" s="240" t="e">
        <f t="array" ref="AA283">INDEX(Tabela.abordagens[],SMALL(IF(Tabela.abordagens[Mês]=$L$2,ROW(Tabela.abordagens[Idade])-2),ROW(A236)),4)</f>
        <v>#NUM!</v>
      </c>
      <c r="AB283" s="240" t="e">
        <f t="array" ref="AB283">INDEX(Tabela.abordagens[],SMALL(IF(Tabela.abordagens[Mês]=$L$2,ROW(Tabela.abordagens[Idade])-2),ROW(A236)),5)</f>
        <v>#NUM!</v>
      </c>
    </row>
    <row r="284" spans="2:28" ht="15" x14ac:dyDescent="0.25">
      <c r="B284" s="223" t="e">
        <f t="array" ref="B284">INDEX(Tabela.frequencia[],SMALL(IF(Tabela.frequencia[Mês]=$L$2,ROW(Tabela.frequencia[id])-1),ROW(A237)),1)</f>
        <v>#NUM!</v>
      </c>
      <c r="C284" s="229" t="e">
        <f t="array" ref="C284">INDEX(Tabela.frequencia[],SMALL(IF(Tabela.frequencia[Mês]=$L$2,ROW(Tabela.frequencia[id])-1),ROW(A237)),4)</f>
        <v>#NUM!</v>
      </c>
      <c r="E284" s="176" t="str">
        <f>IFERROR(VLOOKUP(D284,Tabela.cadastro[[ID]:[Nome]],2,0),"")</f>
        <v/>
      </c>
      <c r="F284" s="177" t="str">
        <f>IFERROR(VLOOKUP(D284,Tabela66[#All],2,0),"")</f>
        <v/>
      </c>
      <c r="G284" s="177" t="str">
        <f>IFERROR(VLOOKUP(D284,Tabela.cadastro[[ID]:[CP ou M]],5,0),"")</f>
        <v/>
      </c>
      <c r="H284" s="177" t="str">
        <f>IFERROR(VLOOKUP(D284,Cadastros!A:F,6,0),"")</f>
        <v/>
      </c>
      <c r="I284" s="177" t="str">
        <f>IFERROR(VLOOKUP(D284,Cadastros!A:I,9,0),"")</f>
        <v/>
      </c>
      <c r="J284" s="177" t="str">
        <f>IFERROR(VLOOKUP(D284,Cadastros!A:J,10,0),"")</f>
        <v/>
      </c>
      <c r="K284" s="177" t="str">
        <f>IF(COUNTIF(Tabela66[id],D284)=0,"",COUNTIF(Tabela66[id],D284))</f>
        <v/>
      </c>
      <c r="L284" s="198"/>
      <c r="M284" s="227" t="str">
        <f t="shared" si="20"/>
        <v/>
      </c>
      <c r="P284" s="176" t="str">
        <f>IFERROR(VLOOKUP(O284,Cadastros!A:B,2),"")</f>
        <v/>
      </c>
      <c r="Q284" s="177" t="str">
        <f t="shared" si="16"/>
        <v/>
      </c>
      <c r="R284" s="177" t="str">
        <f>IFERROR(VLOOKUP(O284,Cadastros!A:E,5,0),"")</f>
        <v/>
      </c>
      <c r="S284" s="177" t="str">
        <f>IFERROR(VLOOKUP(O284,Cadastros!A:F,6,0),"")</f>
        <v/>
      </c>
      <c r="T284" s="177" t="str">
        <f>IFERROR(VLOOKUP(O284,Cadastros!A:I,9,0),"")</f>
        <v/>
      </c>
      <c r="U284" s="177" t="str">
        <f t="shared" si="17"/>
        <v/>
      </c>
      <c r="V284" s="177" t="str">
        <f t="shared" si="18"/>
        <v/>
      </c>
      <c r="W284" s="177" t="str">
        <f t="shared" si="19"/>
        <v/>
      </c>
      <c r="Y284" s="240" t="e">
        <f t="array" ref="Y284">INDEX(Tabela.abordagens[],SMALL(IF(Tabela.abordagens[Mês]=$L$2,ROW(Tabela.abordagens[id])-2),ROW(A237)),1)</f>
        <v>#NUM!</v>
      </c>
      <c r="Z284" s="240" t="e">
        <f t="array" ref="Z284">INDEX(Tabela.abordagens[],SMALL(IF(Tabela.abordagens[Mês]=$L$2,ROW(Tabela.abordagens[Idade])-2),ROW(A237)),6)</f>
        <v>#NUM!</v>
      </c>
      <c r="AA284" s="240" t="e">
        <f t="array" ref="AA284">INDEX(Tabela.abordagens[],SMALL(IF(Tabela.abordagens[Mês]=$L$2,ROW(Tabela.abordagens[Idade])-2),ROW(A237)),4)</f>
        <v>#NUM!</v>
      </c>
      <c r="AB284" s="240" t="e">
        <f t="array" ref="AB284">INDEX(Tabela.abordagens[],SMALL(IF(Tabela.abordagens[Mês]=$L$2,ROW(Tabela.abordagens[Idade])-2),ROW(A237)),5)</f>
        <v>#NUM!</v>
      </c>
    </row>
    <row r="285" spans="2:28" ht="15" x14ac:dyDescent="0.25">
      <c r="B285" s="223" t="e">
        <f t="array" ref="B285">INDEX(Tabela.frequencia[],SMALL(IF(Tabela.frequencia[Mês]=$L$2,ROW(Tabela.frequencia[id])-1),ROW(A238)),1)</f>
        <v>#NUM!</v>
      </c>
      <c r="C285" s="229" t="e">
        <f t="array" ref="C285">INDEX(Tabela.frequencia[],SMALL(IF(Tabela.frequencia[Mês]=$L$2,ROW(Tabela.frequencia[id])-1),ROW(A238)),4)</f>
        <v>#NUM!</v>
      </c>
      <c r="E285" s="176" t="str">
        <f>IFERROR(VLOOKUP(D285,Tabela.cadastro[[ID]:[Nome]],2,0),"")</f>
        <v/>
      </c>
      <c r="F285" s="177" t="str">
        <f>IFERROR(VLOOKUP(D285,Tabela66[#All],2,0),"")</f>
        <v/>
      </c>
      <c r="G285" s="177" t="str">
        <f>IFERROR(VLOOKUP(D285,Tabela.cadastro[[ID]:[CP ou M]],5,0),"")</f>
        <v/>
      </c>
      <c r="H285" s="177" t="str">
        <f>IFERROR(VLOOKUP(D285,Cadastros!A:F,6,0),"")</f>
        <v/>
      </c>
      <c r="I285" s="177" t="str">
        <f>IFERROR(VLOOKUP(D285,Cadastros!A:I,9,0),"")</f>
        <v/>
      </c>
      <c r="J285" s="177" t="str">
        <f>IFERROR(VLOOKUP(D285,Cadastros!A:J,10,0),"")</f>
        <v/>
      </c>
      <c r="K285" s="177" t="str">
        <f>IF(COUNTIF(Tabela66[id],D285)=0,"",COUNTIF(Tabela66[id],D285))</f>
        <v/>
      </c>
      <c r="L285" s="198"/>
      <c r="M285" s="227" t="str">
        <f t="shared" si="20"/>
        <v/>
      </c>
      <c r="P285" s="176" t="str">
        <f>IFERROR(VLOOKUP(O285,Cadastros!A:B,2),"")</f>
        <v/>
      </c>
      <c r="Q285" s="177" t="str">
        <f t="shared" si="16"/>
        <v/>
      </c>
      <c r="R285" s="177" t="str">
        <f>IFERROR(VLOOKUP(O285,Cadastros!A:E,5,0),"")</f>
        <v/>
      </c>
      <c r="S285" s="177" t="str">
        <f>IFERROR(VLOOKUP(O285,Cadastros!A:F,6,0),"")</f>
        <v/>
      </c>
      <c r="T285" s="177" t="str">
        <f>IFERROR(VLOOKUP(O285,Cadastros!A:I,9,0),"")</f>
        <v/>
      </c>
      <c r="U285" s="177" t="str">
        <f t="shared" si="17"/>
        <v/>
      </c>
      <c r="V285" s="177" t="str">
        <f t="shared" si="18"/>
        <v/>
      </c>
      <c r="W285" s="177" t="str">
        <f t="shared" si="19"/>
        <v/>
      </c>
      <c r="Y285" s="240" t="e">
        <f t="array" ref="Y285">INDEX(Tabela.abordagens[],SMALL(IF(Tabela.abordagens[Mês]=$L$2,ROW(Tabela.abordagens[id])-2),ROW(A238)),1)</f>
        <v>#NUM!</v>
      </c>
      <c r="Z285" s="240" t="e">
        <f t="array" ref="Z285">INDEX(Tabela.abordagens[],SMALL(IF(Tabela.abordagens[Mês]=$L$2,ROW(Tabela.abordagens[Idade])-2),ROW(A238)),6)</f>
        <v>#NUM!</v>
      </c>
      <c r="AA285" s="240" t="e">
        <f t="array" ref="AA285">INDEX(Tabela.abordagens[],SMALL(IF(Tabela.abordagens[Mês]=$L$2,ROW(Tabela.abordagens[Idade])-2),ROW(A238)),4)</f>
        <v>#NUM!</v>
      </c>
      <c r="AB285" s="240" t="e">
        <f t="array" ref="AB285">INDEX(Tabela.abordagens[],SMALL(IF(Tabela.abordagens[Mês]=$L$2,ROW(Tabela.abordagens[Idade])-2),ROW(A238)),5)</f>
        <v>#NUM!</v>
      </c>
    </row>
    <row r="286" spans="2:28" ht="15" x14ac:dyDescent="0.25">
      <c r="B286" s="223" t="e">
        <f t="array" ref="B286">INDEX(Tabela.frequencia[],SMALL(IF(Tabela.frequencia[Mês]=$L$2,ROW(Tabela.frequencia[id])-1),ROW(A239)),1)</f>
        <v>#NUM!</v>
      </c>
      <c r="C286" s="229" t="e">
        <f t="array" ref="C286">INDEX(Tabela.frequencia[],SMALL(IF(Tabela.frequencia[Mês]=$L$2,ROW(Tabela.frequencia[id])-1),ROW(A239)),4)</f>
        <v>#NUM!</v>
      </c>
      <c r="E286" s="176" t="str">
        <f>IFERROR(VLOOKUP(D286,Tabela.cadastro[[ID]:[Nome]],2,0),"")</f>
        <v/>
      </c>
      <c r="F286" s="177" t="str">
        <f>IFERROR(VLOOKUP(D286,Tabela66[#All],2,0),"")</f>
        <v/>
      </c>
      <c r="G286" s="177" t="str">
        <f>IFERROR(VLOOKUP(D286,Tabela.cadastro[[ID]:[CP ou M]],5,0),"")</f>
        <v/>
      </c>
      <c r="H286" s="177" t="str">
        <f>IFERROR(VLOOKUP(D286,Cadastros!A:F,6,0),"")</f>
        <v/>
      </c>
      <c r="I286" s="177" t="str">
        <f>IFERROR(VLOOKUP(D286,Cadastros!A:I,9,0),"")</f>
        <v/>
      </c>
      <c r="J286" s="177" t="str">
        <f>IFERROR(VLOOKUP(D286,Cadastros!A:J,10,0),"")</f>
        <v/>
      </c>
      <c r="K286" s="177" t="str">
        <f>IF(COUNTIF(Tabela66[id],D286)=0,"",COUNTIF(Tabela66[id],D286))</f>
        <v/>
      </c>
      <c r="L286" s="198"/>
      <c r="M286" s="227" t="str">
        <f t="shared" si="20"/>
        <v/>
      </c>
      <c r="P286" s="176" t="str">
        <f>IFERROR(VLOOKUP(O286,Cadastros!A:B,2),"")</f>
        <v/>
      </c>
      <c r="Q286" s="177" t="str">
        <f t="shared" si="16"/>
        <v/>
      </c>
      <c r="R286" s="177" t="str">
        <f>IFERROR(VLOOKUP(O286,Cadastros!A:E,5,0),"")</f>
        <v/>
      </c>
      <c r="S286" s="177" t="str">
        <f>IFERROR(VLOOKUP(O286,Cadastros!A:F,6,0),"")</f>
        <v/>
      </c>
      <c r="T286" s="177" t="str">
        <f>IFERROR(VLOOKUP(O286,Cadastros!A:I,9,0),"")</f>
        <v/>
      </c>
      <c r="U286" s="177" t="str">
        <f t="shared" si="17"/>
        <v/>
      </c>
      <c r="V286" s="177" t="str">
        <f t="shared" si="18"/>
        <v/>
      </c>
      <c r="W286" s="177" t="str">
        <f t="shared" si="19"/>
        <v/>
      </c>
      <c r="Y286" s="240" t="e">
        <f t="array" ref="Y286">INDEX(Tabela.abordagens[],SMALL(IF(Tabela.abordagens[Mês]=$L$2,ROW(Tabela.abordagens[id])-2),ROW(A239)),1)</f>
        <v>#NUM!</v>
      </c>
      <c r="Z286" s="240" t="e">
        <f t="array" ref="Z286">INDEX(Tabela.abordagens[],SMALL(IF(Tabela.abordagens[Mês]=$L$2,ROW(Tabela.abordagens[Idade])-2),ROW(A239)),6)</f>
        <v>#NUM!</v>
      </c>
      <c r="AA286" s="240" t="e">
        <f t="array" ref="AA286">INDEX(Tabela.abordagens[],SMALL(IF(Tabela.abordagens[Mês]=$L$2,ROW(Tabela.abordagens[Idade])-2),ROW(A239)),4)</f>
        <v>#NUM!</v>
      </c>
      <c r="AB286" s="240" t="e">
        <f t="array" ref="AB286">INDEX(Tabela.abordagens[],SMALL(IF(Tabela.abordagens[Mês]=$L$2,ROW(Tabela.abordagens[Idade])-2),ROW(A239)),5)</f>
        <v>#NUM!</v>
      </c>
    </row>
    <row r="287" spans="2:28" ht="15" x14ac:dyDescent="0.25">
      <c r="B287" s="223" t="e">
        <f t="array" ref="B287">INDEX(Tabela.frequencia[],SMALL(IF(Tabela.frequencia[Mês]=$L$2,ROW(Tabela.frequencia[id])-1),ROW(A240)),1)</f>
        <v>#NUM!</v>
      </c>
      <c r="C287" s="229" t="e">
        <f t="array" ref="C287">INDEX(Tabela.frequencia[],SMALL(IF(Tabela.frequencia[Mês]=$L$2,ROW(Tabela.frequencia[id])-1),ROW(A240)),4)</f>
        <v>#NUM!</v>
      </c>
      <c r="E287" s="176" t="str">
        <f>IFERROR(VLOOKUP(D287,Tabela.cadastro[[ID]:[Nome]],2,0),"")</f>
        <v/>
      </c>
      <c r="F287" s="177" t="str">
        <f>IFERROR(VLOOKUP(D287,Tabela66[#All],2,0),"")</f>
        <v/>
      </c>
      <c r="G287" s="177" t="str">
        <f>IFERROR(VLOOKUP(D287,Tabela.cadastro[[ID]:[CP ou M]],5,0),"")</f>
        <v/>
      </c>
      <c r="H287" s="177" t="str">
        <f>IFERROR(VLOOKUP(D287,Cadastros!A:F,6,0),"")</f>
        <v/>
      </c>
      <c r="I287" s="177" t="str">
        <f>IFERROR(VLOOKUP(D287,Cadastros!A:I,9,0),"")</f>
        <v/>
      </c>
      <c r="J287" s="177" t="str">
        <f>IFERROR(VLOOKUP(D287,Cadastros!A:J,10,0),"")</f>
        <v/>
      </c>
      <c r="K287" s="177" t="str">
        <f>IF(COUNTIF(Tabela66[id],D287)=0,"",COUNTIF(Tabela66[id],D287))</f>
        <v/>
      </c>
      <c r="L287" s="198"/>
      <c r="M287" s="227" t="str">
        <f t="shared" si="20"/>
        <v/>
      </c>
      <c r="P287" s="176" t="str">
        <f>IFERROR(VLOOKUP(O287,Cadastros!A:B,2),"")</f>
        <v/>
      </c>
      <c r="Q287" s="177" t="str">
        <f t="shared" si="16"/>
        <v/>
      </c>
      <c r="R287" s="177" t="str">
        <f>IFERROR(VLOOKUP(O287,Cadastros!A:E,5,0),"")</f>
        <v/>
      </c>
      <c r="S287" s="177" t="str">
        <f>IFERROR(VLOOKUP(O287,Cadastros!A:F,6,0),"")</f>
        <v/>
      </c>
      <c r="T287" s="177" t="str">
        <f>IFERROR(VLOOKUP(O287,Cadastros!A:I,9,0),"")</f>
        <v/>
      </c>
      <c r="U287" s="177" t="str">
        <f t="shared" si="17"/>
        <v/>
      </c>
      <c r="V287" s="177" t="str">
        <f t="shared" si="18"/>
        <v/>
      </c>
      <c r="W287" s="177" t="str">
        <f t="shared" si="19"/>
        <v/>
      </c>
      <c r="Y287" s="240" t="e">
        <f t="array" ref="Y287">INDEX(Tabela.abordagens[],SMALL(IF(Tabela.abordagens[Mês]=$L$2,ROW(Tabela.abordagens[id])-2),ROW(A240)),1)</f>
        <v>#NUM!</v>
      </c>
      <c r="Z287" s="240" t="e">
        <f t="array" ref="Z287">INDEX(Tabela.abordagens[],SMALL(IF(Tabela.abordagens[Mês]=$L$2,ROW(Tabela.abordagens[Idade])-2),ROW(A240)),6)</f>
        <v>#NUM!</v>
      </c>
      <c r="AA287" s="240" t="e">
        <f t="array" ref="AA287">INDEX(Tabela.abordagens[],SMALL(IF(Tabela.abordagens[Mês]=$L$2,ROW(Tabela.abordagens[Idade])-2),ROW(A240)),4)</f>
        <v>#NUM!</v>
      </c>
      <c r="AB287" s="240" t="e">
        <f t="array" ref="AB287">INDEX(Tabela.abordagens[],SMALL(IF(Tabela.abordagens[Mês]=$L$2,ROW(Tabela.abordagens[Idade])-2),ROW(A240)),5)</f>
        <v>#NUM!</v>
      </c>
    </row>
    <row r="288" spans="2:28" ht="15" x14ac:dyDescent="0.25">
      <c r="B288" s="223" t="e">
        <f t="array" ref="B288">INDEX(Tabela.frequencia[],SMALL(IF(Tabela.frequencia[Mês]=$L$2,ROW(Tabela.frequencia[id])-1),ROW(A241)),1)</f>
        <v>#NUM!</v>
      </c>
      <c r="C288" s="229" t="e">
        <f t="array" ref="C288">INDEX(Tabela.frequencia[],SMALL(IF(Tabela.frequencia[Mês]=$L$2,ROW(Tabela.frequencia[id])-1),ROW(A241)),4)</f>
        <v>#NUM!</v>
      </c>
      <c r="E288" s="176" t="str">
        <f>IFERROR(VLOOKUP(D288,Tabela.cadastro[[ID]:[Nome]],2,0),"")</f>
        <v/>
      </c>
      <c r="F288" s="177" t="str">
        <f>IFERROR(VLOOKUP(D288,Tabela66[#All],2,0),"")</f>
        <v/>
      </c>
      <c r="G288" s="177" t="str">
        <f>IFERROR(VLOOKUP(D288,Tabela.cadastro[[ID]:[CP ou M]],5,0),"")</f>
        <v/>
      </c>
      <c r="H288" s="177" t="str">
        <f>IFERROR(VLOOKUP(D288,Cadastros!A:F,6,0),"")</f>
        <v/>
      </c>
      <c r="I288" s="177" t="str">
        <f>IFERROR(VLOOKUP(D288,Cadastros!A:I,9,0),"")</f>
        <v/>
      </c>
      <c r="J288" s="177" t="str">
        <f>IFERROR(VLOOKUP(D288,Cadastros!A:J,10,0),"")</f>
        <v/>
      </c>
      <c r="K288" s="177" t="str">
        <f>IF(COUNTIF(Tabela66[id],D288)=0,"",COUNTIF(Tabela66[id],D288))</f>
        <v/>
      </c>
      <c r="L288" s="198"/>
      <c r="M288" s="227" t="str">
        <f t="shared" si="20"/>
        <v/>
      </c>
      <c r="P288" s="176" t="str">
        <f>IFERROR(VLOOKUP(O288,Cadastros!A:B,2),"")</f>
        <v/>
      </c>
      <c r="Q288" s="177" t="str">
        <f t="shared" si="16"/>
        <v/>
      </c>
      <c r="R288" s="177" t="str">
        <f>IFERROR(VLOOKUP(O288,Cadastros!A:E,5,0),"")</f>
        <v/>
      </c>
      <c r="S288" s="177" t="str">
        <f>IFERROR(VLOOKUP(O288,Cadastros!A:F,6,0),"")</f>
        <v/>
      </c>
      <c r="T288" s="177" t="str">
        <f>IFERROR(VLOOKUP(O288,Cadastros!A:I,9,0),"")</f>
        <v/>
      </c>
      <c r="U288" s="177" t="str">
        <f t="shared" si="17"/>
        <v/>
      </c>
      <c r="V288" s="177" t="str">
        <f t="shared" si="18"/>
        <v/>
      </c>
      <c r="W288" s="177" t="str">
        <f t="shared" si="19"/>
        <v/>
      </c>
      <c r="Y288" s="240" t="e">
        <f t="array" ref="Y288">INDEX(Tabela.abordagens[],SMALL(IF(Tabela.abordagens[Mês]=$L$2,ROW(Tabela.abordagens[id])-2),ROW(A241)),1)</f>
        <v>#NUM!</v>
      </c>
      <c r="Z288" s="240" t="e">
        <f t="array" ref="Z288">INDEX(Tabela.abordagens[],SMALL(IF(Tabela.abordagens[Mês]=$L$2,ROW(Tabela.abordagens[Idade])-2),ROW(A241)),6)</f>
        <v>#NUM!</v>
      </c>
      <c r="AA288" s="240" t="e">
        <f t="array" ref="AA288">INDEX(Tabela.abordagens[],SMALL(IF(Tabela.abordagens[Mês]=$L$2,ROW(Tabela.abordagens[Idade])-2),ROW(A241)),4)</f>
        <v>#NUM!</v>
      </c>
      <c r="AB288" s="240" t="e">
        <f t="array" ref="AB288">INDEX(Tabela.abordagens[],SMALL(IF(Tabela.abordagens[Mês]=$L$2,ROW(Tabela.abordagens[Idade])-2),ROW(A241)),5)</f>
        <v>#NUM!</v>
      </c>
    </row>
    <row r="289" spans="2:28" ht="15" x14ac:dyDescent="0.25">
      <c r="B289" s="223" t="e">
        <f t="array" ref="B289">INDEX(Tabela.frequencia[],SMALL(IF(Tabela.frequencia[Mês]=$L$2,ROW(Tabela.frequencia[id])-1),ROW(A242)),1)</f>
        <v>#NUM!</v>
      </c>
      <c r="C289" s="229" t="e">
        <f t="array" ref="C289">INDEX(Tabela.frequencia[],SMALL(IF(Tabela.frequencia[Mês]=$L$2,ROW(Tabela.frequencia[id])-1),ROW(A242)),4)</f>
        <v>#NUM!</v>
      </c>
      <c r="E289" s="176" t="str">
        <f>IFERROR(VLOOKUP(D289,Tabela.cadastro[[ID]:[Nome]],2,0),"")</f>
        <v/>
      </c>
      <c r="F289" s="177" t="str">
        <f>IFERROR(VLOOKUP(D289,Tabela66[#All],2,0),"")</f>
        <v/>
      </c>
      <c r="G289" s="177" t="str">
        <f>IFERROR(VLOOKUP(D289,Tabela.cadastro[[ID]:[CP ou M]],5,0),"")</f>
        <v/>
      </c>
      <c r="H289" s="177" t="str">
        <f>IFERROR(VLOOKUP(D289,Cadastros!A:F,6,0),"")</f>
        <v/>
      </c>
      <c r="I289" s="177" t="str">
        <f>IFERROR(VLOOKUP(D289,Cadastros!A:I,9,0),"")</f>
        <v/>
      </c>
      <c r="J289" s="177" t="str">
        <f>IFERROR(VLOOKUP(D289,Cadastros!A:J,10,0),"")</f>
        <v/>
      </c>
      <c r="K289" s="177" t="str">
        <f>IF(COUNTIF(Tabela66[id],D289)=0,"",COUNTIF(Tabela66[id],D289))</f>
        <v/>
      </c>
      <c r="L289" s="198"/>
      <c r="M289" s="227" t="str">
        <f t="shared" si="20"/>
        <v/>
      </c>
      <c r="P289" s="176" t="str">
        <f>IFERROR(VLOOKUP(O289,Cadastros!A:B,2),"")</f>
        <v/>
      </c>
      <c r="Q289" s="177" t="str">
        <f t="shared" si="16"/>
        <v/>
      </c>
      <c r="R289" s="177" t="str">
        <f>IFERROR(VLOOKUP(O289,Cadastros!A:E,5,0),"")</f>
        <v/>
      </c>
      <c r="S289" s="177" t="str">
        <f>IFERROR(VLOOKUP(O289,Cadastros!A:F,6,0),"")</f>
        <v/>
      </c>
      <c r="T289" s="177" t="str">
        <f>IFERROR(VLOOKUP(O289,Cadastros!A:I,9,0),"")</f>
        <v/>
      </c>
      <c r="U289" s="177" t="str">
        <f t="shared" si="17"/>
        <v/>
      </c>
      <c r="V289" s="177" t="str">
        <f t="shared" si="18"/>
        <v/>
      </c>
      <c r="W289" s="177" t="str">
        <f t="shared" si="19"/>
        <v/>
      </c>
      <c r="Y289" s="240" t="e">
        <f t="array" ref="Y289">INDEX(Tabela.abordagens[],SMALL(IF(Tabela.abordagens[Mês]=$L$2,ROW(Tabela.abordagens[id])-2),ROW(A242)),1)</f>
        <v>#NUM!</v>
      </c>
      <c r="Z289" s="240" t="e">
        <f t="array" ref="Z289">INDEX(Tabela.abordagens[],SMALL(IF(Tabela.abordagens[Mês]=$L$2,ROW(Tabela.abordagens[Idade])-2),ROW(A242)),6)</f>
        <v>#NUM!</v>
      </c>
      <c r="AA289" s="240" t="e">
        <f t="array" ref="AA289">INDEX(Tabela.abordagens[],SMALL(IF(Tabela.abordagens[Mês]=$L$2,ROW(Tabela.abordagens[Idade])-2),ROW(A242)),4)</f>
        <v>#NUM!</v>
      </c>
      <c r="AB289" s="240" t="e">
        <f t="array" ref="AB289">INDEX(Tabela.abordagens[],SMALL(IF(Tabela.abordagens[Mês]=$L$2,ROW(Tabela.abordagens[Idade])-2),ROW(A242)),5)</f>
        <v>#NUM!</v>
      </c>
    </row>
    <row r="290" spans="2:28" ht="15" x14ac:dyDescent="0.25">
      <c r="B290" s="223" t="e">
        <f t="array" ref="B290">INDEX(Tabela.frequencia[],SMALL(IF(Tabela.frequencia[Mês]=$L$2,ROW(Tabela.frequencia[id])-1),ROW(A243)),1)</f>
        <v>#NUM!</v>
      </c>
      <c r="C290" s="229" t="e">
        <f t="array" ref="C290">INDEX(Tabela.frequencia[],SMALL(IF(Tabela.frequencia[Mês]=$L$2,ROW(Tabela.frequencia[id])-1),ROW(A243)),4)</f>
        <v>#NUM!</v>
      </c>
      <c r="E290" s="176" t="str">
        <f>IFERROR(VLOOKUP(D290,Tabela.cadastro[[ID]:[Nome]],2,0),"")</f>
        <v/>
      </c>
      <c r="F290" s="177" t="str">
        <f>IFERROR(VLOOKUP(D290,Tabela66[#All],2,0),"")</f>
        <v/>
      </c>
      <c r="G290" s="177" t="str">
        <f>IFERROR(VLOOKUP(D290,Tabela.cadastro[[ID]:[CP ou M]],5,0),"")</f>
        <v/>
      </c>
      <c r="H290" s="177" t="str">
        <f>IFERROR(VLOOKUP(D290,Cadastros!A:F,6,0),"")</f>
        <v/>
      </c>
      <c r="I290" s="177" t="str">
        <f>IFERROR(VLOOKUP(D290,Cadastros!A:I,9,0),"")</f>
        <v/>
      </c>
      <c r="J290" s="177" t="str">
        <f>IFERROR(VLOOKUP(D290,Cadastros!A:J,10,0),"")</f>
        <v/>
      </c>
      <c r="K290" s="177" t="str">
        <f>IF(COUNTIF(Tabela66[id],D290)=0,"",COUNTIF(Tabela66[id],D290))</f>
        <v/>
      </c>
      <c r="L290" s="198"/>
      <c r="M290" s="227" t="str">
        <f t="shared" si="20"/>
        <v/>
      </c>
      <c r="P290" s="176" t="str">
        <f>IFERROR(VLOOKUP(O290,Cadastros!A:B,2),"")</f>
        <v/>
      </c>
      <c r="Q290" s="177" t="str">
        <f t="shared" ref="Q290:Q353" si="21">IFERROR(VLOOKUP(O290,$Y$33:$Z$866,2,0),"")</f>
        <v/>
      </c>
      <c r="R290" s="177" t="str">
        <f>IFERROR(VLOOKUP(O290,Cadastros!A:E,5,0),"")</f>
        <v/>
      </c>
      <c r="S290" s="177" t="str">
        <f>IFERROR(VLOOKUP(O290,Cadastros!A:F,6,0),"")</f>
        <v/>
      </c>
      <c r="T290" s="177" t="str">
        <f>IFERROR(VLOOKUP(O290,Cadastros!A:I,9,0),"")</f>
        <v/>
      </c>
      <c r="U290" s="177" t="str">
        <f t="shared" ref="U290:U353" si="22">IFERROR(VLOOKUP(O290,Y$33:AB$866,3,0),"")</f>
        <v/>
      </c>
      <c r="V290" s="177" t="str">
        <f t="shared" ref="V290:V353" si="23">IFERROR(VLOOKUP(O290,Y$33:AB$866,4,0),"")</f>
        <v/>
      </c>
      <c r="W290" s="177" t="str">
        <f t="shared" ref="W290:W353" si="24">IF(COUNTIF(Y$33:Y$866,O290)=0,"",COUNTIF(Y$33:Y$866,O290))</f>
        <v/>
      </c>
      <c r="Y290" s="240" t="e">
        <f t="array" ref="Y290">INDEX(Tabela.abordagens[],SMALL(IF(Tabela.abordagens[Mês]=$L$2,ROW(Tabela.abordagens[id])-2),ROW(A243)),1)</f>
        <v>#NUM!</v>
      </c>
      <c r="Z290" s="240" t="e">
        <f t="array" ref="Z290">INDEX(Tabela.abordagens[],SMALL(IF(Tabela.abordagens[Mês]=$L$2,ROW(Tabela.abordagens[Idade])-2),ROW(A243)),6)</f>
        <v>#NUM!</v>
      </c>
      <c r="AA290" s="240" t="e">
        <f t="array" ref="AA290">INDEX(Tabela.abordagens[],SMALL(IF(Tabela.abordagens[Mês]=$L$2,ROW(Tabela.abordagens[Idade])-2),ROW(A243)),4)</f>
        <v>#NUM!</v>
      </c>
      <c r="AB290" s="240" t="e">
        <f t="array" ref="AB290">INDEX(Tabela.abordagens[],SMALL(IF(Tabela.abordagens[Mês]=$L$2,ROW(Tabela.abordagens[Idade])-2),ROW(A243)),5)</f>
        <v>#NUM!</v>
      </c>
    </row>
    <row r="291" spans="2:28" ht="15" x14ac:dyDescent="0.25">
      <c r="B291" s="223" t="e">
        <f t="array" ref="B291">INDEX(Tabela.frequencia[],SMALL(IF(Tabela.frequencia[Mês]=$L$2,ROW(Tabela.frequencia[id])-1),ROW(A244)),1)</f>
        <v>#NUM!</v>
      </c>
      <c r="C291" s="229" t="e">
        <f t="array" ref="C291">INDEX(Tabela.frequencia[],SMALL(IF(Tabela.frequencia[Mês]=$L$2,ROW(Tabela.frequencia[id])-1),ROW(A244)),4)</f>
        <v>#NUM!</v>
      </c>
      <c r="E291" s="176" t="str">
        <f>IFERROR(VLOOKUP(D291,Tabela.cadastro[[ID]:[Nome]],2,0),"")</f>
        <v/>
      </c>
      <c r="F291" s="177" t="str">
        <f>IFERROR(VLOOKUP(D291,Tabela66[#All],2,0),"")</f>
        <v/>
      </c>
      <c r="G291" s="177" t="str">
        <f>IFERROR(VLOOKUP(D291,Tabela.cadastro[[ID]:[CP ou M]],5,0),"")</f>
        <v/>
      </c>
      <c r="H291" s="177" t="str">
        <f>IFERROR(VLOOKUP(D291,Cadastros!A:F,6,0),"")</f>
        <v/>
      </c>
      <c r="I291" s="177" t="str">
        <f>IFERROR(VLOOKUP(D291,Cadastros!A:I,9,0),"")</f>
        <v/>
      </c>
      <c r="J291" s="177" t="str">
        <f>IFERROR(VLOOKUP(D291,Cadastros!A:J,10,0),"")</f>
        <v/>
      </c>
      <c r="K291" s="177" t="str">
        <f>IF(COUNTIF(Tabela66[id],D291)=0,"",COUNTIF(Tabela66[id],D291))</f>
        <v/>
      </c>
      <c r="L291" s="198"/>
      <c r="M291" s="227" t="str">
        <f t="shared" si="20"/>
        <v/>
      </c>
      <c r="P291" s="176" t="str">
        <f>IFERROR(VLOOKUP(O291,Cadastros!A:B,2),"")</f>
        <v/>
      </c>
      <c r="Q291" s="177" t="str">
        <f t="shared" si="21"/>
        <v/>
      </c>
      <c r="R291" s="177" t="str">
        <f>IFERROR(VLOOKUP(O291,Cadastros!A:E,5,0),"")</f>
        <v/>
      </c>
      <c r="S291" s="177" t="str">
        <f>IFERROR(VLOOKUP(O291,Cadastros!A:F,6,0),"")</f>
        <v/>
      </c>
      <c r="T291" s="177" t="str">
        <f>IFERROR(VLOOKUP(O291,Cadastros!A:I,9,0),"")</f>
        <v/>
      </c>
      <c r="U291" s="177" t="str">
        <f t="shared" si="22"/>
        <v/>
      </c>
      <c r="V291" s="177" t="str">
        <f t="shared" si="23"/>
        <v/>
      </c>
      <c r="W291" s="177" t="str">
        <f t="shared" si="24"/>
        <v/>
      </c>
      <c r="Y291" s="240" t="e">
        <f t="array" ref="Y291">INDEX(Tabela.abordagens[],SMALL(IF(Tabela.abordagens[Mês]=$L$2,ROW(Tabela.abordagens[id])-2),ROW(A244)),1)</f>
        <v>#NUM!</v>
      </c>
      <c r="Z291" s="240" t="e">
        <f t="array" ref="Z291">INDEX(Tabela.abordagens[],SMALL(IF(Tabela.abordagens[Mês]=$L$2,ROW(Tabela.abordagens[Idade])-2),ROW(A244)),6)</f>
        <v>#NUM!</v>
      </c>
      <c r="AA291" s="240" t="e">
        <f t="array" ref="AA291">INDEX(Tabela.abordagens[],SMALL(IF(Tabela.abordagens[Mês]=$L$2,ROW(Tabela.abordagens[Idade])-2),ROW(A244)),4)</f>
        <v>#NUM!</v>
      </c>
      <c r="AB291" s="240" t="e">
        <f t="array" ref="AB291">INDEX(Tabela.abordagens[],SMALL(IF(Tabela.abordagens[Mês]=$L$2,ROW(Tabela.abordagens[Idade])-2),ROW(A244)),5)</f>
        <v>#NUM!</v>
      </c>
    </row>
    <row r="292" spans="2:28" ht="15" x14ac:dyDescent="0.25">
      <c r="B292" s="223" t="e">
        <f t="array" ref="B292">INDEX(Tabela.frequencia[],SMALL(IF(Tabela.frequencia[Mês]=$L$2,ROW(Tabela.frequencia[id])-1),ROW(A245)),1)</f>
        <v>#NUM!</v>
      </c>
      <c r="C292" s="229" t="e">
        <f t="array" ref="C292">INDEX(Tabela.frequencia[],SMALL(IF(Tabela.frequencia[Mês]=$L$2,ROW(Tabela.frequencia[id])-1),ROW(A245)),4)</f>
        <v>#NUM!</v>
      </c>
      <c r="E292" s="176" t="str">
        <f>IFERROR(VLOOKUP(D292,Tabela.cadastro[[ID]:[Nome]],2,0),"")</f>
        <v/>
      </c>
      <c r="F292" s="177" t="str">
        <f>IFERROR(VLOOKUP(D292,Tabela66[#All],2,0),"")</f>
        <v/>
      </c>
      <c r="G292" s="177" t="str">
        <f>IFERROR(VLOOKUP(D292,Tabela.cadastro[[ID]:[CP ou M]],5,0),"")</f>
        <v/>
      </c>
      <c r="H292" s="177" t="str">
        <f>IFERROR(VLOOKUP(D292,Cadastros!A:F,6,0),"")</f>
        <v/>
      </c>
      <c r="I292" s="177" t="str">
        <f>IFERROR(VLOOKUP(D292,Cadastros!A:I,9,0),"")</f>
        <v/>
      </c>
      <c r="J292" s="177" t="str">
        <f>IFERROR(VLOOKUP(D292,Cadastros!A:J,10,0),"")</f>
        <v/>
      </c>
      <c r="K292" s="177" t="str">
        <f>IF(COUNTIF(Tabela66[id],D292)=0,"",COUNTIF(Tabela66[id],D292))</f>
        <v/>
      </c>
      <c r="L292" s="198"/>
      <c r="M292" s="227" t="str">
        <f t="shared" si="20"/>
        <v/>
      </c>
      <c r="P292" s="176" t="str">
        <f>IFERROR(VLOOKUP(O292,Cadastros!A:B,2),"")</f>
        <v/>
      </c>
      <c r="Q292" s="177" t="str">
        <f t="shared" si="21"/>
        <v/>
      </c>
      <c r="R292" s="177" t="str">
        <f>IFERROR(VLOOKUP(O292,Cadastros!A:E,5,0),"")</f>
        <v/>
      </c>
      <c r="S292" s="177" t="str">
        <f>IFERROR(VLOOKUP(O292,Cadastros!A:F,6,0),"")</f>
        <v/>
      </c>
      <c r="T292" s="177" t="str">
        <f>IFERROR(VLOOKUP(O292,Cadastros!A:I,9,0),"")</f>
        <v/>
      </c>
      <c r="U292" s="177" t="str">
        <f t="shared" si="22"/>
        <v/>
      </c>
      <c r="V292" s="177" t="str">
        <f t="shared" si="23"/>
        <v/>
      </c>
      <c r="W292" s="177" t="str">
        <f t="shared" si="24"/>
        <v/>
      </c>
      <c r="Y292" s="240" t="e">
        <f t="array" ref="Y292">INDEX(Tabela.abordagens[],SMALL(IF(Tabela.abordagens[Mês]=$L$2,ROW(Tabela.abordagens[id])-2),ROW(A245)),1)</f>
        <v>#NUM!</v>
      </c>
      <c r="Z292" s="240" t="e">
        <f t="array" ref="Z292">INDEX(Tabela.abordagens[],SMALL(IF(Tabela.abordagens[Mês]=$L$2,ROW(Tabela.abordagens[Idade])-2),ROW(A245)),6)</f>
        <v>#NUM!</v>
      </c>
      <c r="AA292" s="240" t="e">
        <f t="array" ref="AA292">INDEX(Tabela.abordagens[],SMALL(IF(Tabela.abordagens[Mês]=$L$2,ROW(Tabela.abordagens[Idade])-2),ROW(A245)),4)</f>
        <v>#NUM!</v>
      </c>
      <c r="AB292" s="240" t="e">
        <f t="array" ref="AB292">INDEX(Tabela.abordagens[],SMALL(IF(Tabela.abordagens[Mês]=$L$2,ROW(Tabela.abordagens[Idade])-2),ROW(A245)),5)</f>
        <v>#NUM!</v>
      </c>
    </row>
    <row r="293" spans="2:28" ht="15" x14ac:dyDescent="0.25">
      <c r="B293" s="223" t="e">
        <f t="array" ref="B293">INDEX(Tabela.frequencia[],SMALL(IF(Tabela.frequencia[Mês]=$L$2,ROW(Tabela.frequencia[id])-1),ROW(A246)),1)</f>
        <v>#NUM!</v>
      </c>
      <c r="C293" s="229" t="e">
        <f t="array" ref="C293">INDEX(Tabela.frequencia[],SMALL(IF(Tabela.frequencia[Mês]=$L$2,ROW(Tabela.frequencia[id])-1),ROW(A246)),4)</f>
        <v>#NUM!</v>
      </c>
      <c r="E293" s="176" t="str">
        <f>IFERROR(VLOOKUP(D293,Tabela.cadastro[[ID]:[Nome]],2,0),"")</f>
        <v/>
      </c>
      <c r="F293" s="177" t="str">
        <f>IFERROR(VLOOKUP(D293,Tabela66[#All],2,0),"")</f>
        <v/>
      </c>
      <c r="G293" s="177" t="str">
        <f>IFERROR(VLOOKUP(D293,Tabela.cadastro[[ID]:[CP ou M]],5,0),"")</f>
        <v/>
      </c>
      <c r="H293" s="177" t="str">
        <f>IFERROR(VLOOKUP(D293,Cadastros!A:F,6,0),"")</f>
        <v/>
      </c>
      <c r="I293" s="177" t="str">
        <f>IFERROR(VLOOKUP(D293,Cadastros!A:I,9,0),"")</f>
        <v/>
      </c>
      <c r="J293" s="177" t="str">
        <f>IFERROR(VLOOKUP(D293,Cadastros!A:J,10,0),"")</f>
        <v/>
      </c>
      <c r="K293" s="177" t="str">
        <f>IF(COUNTIF(Tabela66[id],D293)=0,"",COUNTIF(Tabela66[id],D293))</f>
        <v/>
      </c>
      <c r="L293" s="198"/>
      <c r="M293" s="227" t="str">
        <f t="shared" si="20"/>
        <v/>
      </c>
      <c r="P293" s="176" t="str">
        <f>IFERROR(VLOOKUP(O293,Cadastros!A:B,2),"")</f>
        <v/>
      </c>
      <c r="Q293" s="177" t="str">
        <f t="shared" si="21"/>
        <v/>
      </c>
      <c r="R293" s="177" t="str">
        <f>IFERROR(VLOOKUP(O293,Cadastros!A:E,5,0),"")</f>
        <v/>
      </c>
      <c r="S293" s="177" t="str">
        <f>IFERROR(VLOOKUP(O293,Cadastros!A:F,6,0),"")</f>
        <v/>
      </c>
      <c r="T293" s="177" t="str">
        <f>IFERROR(VLOOKUP(O293,Cadastros!A:I,9,0),"")</f>
        <v/>
      </c>
      <c r="U293" s="177" t="str">
        <f t="shared" si="22"/>
        <v/>
      </c>
      <c r="V293" s="177" t="str">
        <f t="shared" si="23"/>
        <v/>
      </c>
      <c r="W293" s="177" t="str">
        <f t="shared" si="24"/>
        <v/>
      </c>
      <c r="Y293" s="240" t="e">
        <f t="array" ref="Y293">INDEX(Tabela.abordagens[],SMALL(IF(Tabela.abordagens[Mês]=$L$2,ROW(Tabela.abordagens[id])-2),ROW(A246)),1)</f>
        <v>#NUM!</v>
      </c>
      <c r="Z293" s="240" t="e">
        <f t="array" ref="Z293">INDEX(Tabela.abordagens[],SMALL(IF(Tabela.abordagens[Mês]=$L$2,ROW(Tabela.abordagens[Idade])-2),ROW(A246)),6)</f>
        <v>#NUM!</v>
      </c>
      <c r="AA293" s="240" t="e">
        <f t="array" ref="AA293">INDEX(Tabela.abordagens[],SMALL(IF(Tabela.abordagens[Mês]=$L$2,ROW(Tabela.abordagens[Idade])-2),ROW(A246)),4)</f>
        <v>#NUM!</v>
      </c>
      <c r="AB293" s="240" t="e">
        <f t="array" ref="AB293">INDEX(Tabela.abordagens[],SMALL(IF(Tabela.abordagens[Mês]=$L$2,ROW(Tabela.abordagens[Idade])-2),ROW(A246)),5)</f>
        <v>#NUM!</v>
      </c>
    </row>
    <row r="294" spans="2:28" ht="15" x14ac:dyDescent="0.25">
      <c r="B294" s="223" t="e">
        <f t="array" ref="B294">INDEX(Tabela.frequencia[],SMALL(IF(Tabela.frequencia[Mês]=$L$2,ROW(Tabela.frequencia[id])-1),ROW(A247)),1)</f>
        <v>#NUM!</v>
      </c>
      <c r="C294" s="229" t="e">
        <f t="array" ref="C294">INDEX(Tabela.frequencia[],SMALL(IF(Tabela.frequencia[Mês]=$L$2,ROW(Tabela.frequencia[id])-1),ROW(A247)),4)</f>
        <v>#NUM!</v>
      </c>
      <c r="E294" s="176" t="str">
        <f>IFERROR(VLOOKUP(D294,Tabela.cadastro[[ID]:[Nome]],2,0),"")</f>
        <v/>
      </c>
      <c r="F294" s="177" t="str">
        <f>IFERROR(VLOOKUP(D294,Tabela66[#All],2,0),"")</f>
        <v/>
      </c>
      <c r="G294" s="177" t="str">
        <f>IFERROR(VLOOKUP(D294,Tabela.cadastro[[ID]:[CP ou M]],5,0),"")</f>
        <v/>
      </c>
      <c r="H294" s="177" t="str">
        <f>IFERROR(VLOOKUP(D294,Cadastros!A:F,6,0),"")</f>
        <v/>
      </c>
      <c r="I294" s="177" t="str">
        <f>IFERROR(VLOOKUP(D294,Cadastros!A:I,9,0),"")</f>
        <v/>
      </c>
      <c r="J294" s="177" t="str">
        <f>IFERROR(VLOOKUP(D294,Cadastros!A:J,10,0),"")</f>
        <v/>
      </c>
      <c r="K294" s="177" t="str">
        <f>IF(COUNTIF(Tabela66[id],D294)=0,"",COUNTIF(Tabela66[id],D294))</f>
        <v/>
      </c>
      <c r="L294" s="198"/>
      <c r="M294" s="227" t="str">
        <f t="shared" si="20"/>
        <v/>
      </c>
      <c r="P294" s="176" t="str">
        <f>IFERROR(VLOOKUP(O294,Cadastros!A:B,2),"")</f>
        <v/>
      </c>
      <c r="Q294" s="177" t="str">
        <f t="shared" si="21"/>
        <v/>
      </c>
      <c r="R294" s="177" t="str">
        <f>IFERROR(VLOOKUP(O294,Cadastros!A:E,5,0),"")</f>
        <v/>
      </c>
      <c r="S294" s="177" t="str">
        <f>IFERROR(VLOOKUP(O294,Cadastros!A:F,6,0),"")</f>
        <v/>
      </c>
      <c r="T294" s="177" t="str">
        <f>IFERROR(VLOOKUP(O294,Cadastros!A:I,9,0),"")</f>
        <v/>
      </c>
      <c r="U294" s="177" t="str">
        <f t="shared" si="22"/>
        <v/>
      </c>
      <c r="V294" s="177" t="str">
        <f t="shared" si="23"/>
        <v/>
      </c>
      <c r="W294" s="177" t="str">
        <f t="shared" si="24"/>
        <v/>
      </c>
      <c r="Y294" s="240" t="e">
        <f t="array" ref="Y294">INDEX(Tabela.abordagens[],SMALL(IF(Tabela.abordagens[Mês]=$L$2,ROW(Tabela.abordagens[id])-2),ROW(A247)),1)</f>
        <v>#NUM!</v>
      </c>
      <c r="Z294" s="240" t="e">
        <f t="array" ref="Z294">INDEX(Tabela.abordagens[],SMALL(IF(Tabela.abordagens[Mês]=$L$2,ROW(Tabela.abordagens[Idade])-2),ROW(A247)),6)</f>
        <v>#NUM!</v>
      </c>
      <c r="AA294" s="240" t="e">
        <f t="array" ref="AA294">INDEX(Tabela.abordagens[],SMALL(IF(Tabela.abordagens[Mês]=$L$2,ROW(Tabela.abordagens[Idade])-2),ROW(A247)),4)</f>
        <v>#NUM!</v>
      </c>
      <c r="AB294" s="240" t="e">
        <f t="array" ref="AB294">INDEX(Tabela.abordagens[],SMALL(IF(Tabela.abordagens[Mês]=$L$2,ROW(Tabela.abordagens[Idade])-2),ROW(A247)),5)</f>
        <v>#NUM!</v>
      </c>
    </row>
    <row r="295" spans="2:28" ht="15" x14ac:dyDescent="0.25">
      <c r="B295" s="223" t="e">
        <f t="array" ref="B295">INDEX(Tabela.frequencia[],SMALL(IF(Tabela.frequencia[Mês]=$L$2,ROW(Tabela.frequencia[id])-1),ROW(A248)),1)</f>
        <v>#NUM!</v>
      </c>
      <c r="C295" s="229" t="e">
        <f t="array" ref="C295">INDEX(Tabela.frequencia[],SMALL(IF(Tabela.frequencia[Mês]=$L$2,ROW(Tabela.frequencia[id])-1),ROW(A248)),4)</f>
        <v>#NUM!</v>
      </c>
      <c r="E295" s="176" t="str">
        <f>IFERROR(VLOOKUP(D295,Tabela.cadastro[[ID]:[Nome]],2,0),"")</f>
        <v/>
      </c>
      <c r="F295" s="177" t="str">
        <f>IFERROR(VLOOKUP(D295,Tabela66[#All],2,0),"")</f>
        <v/>
      </c>
      <c r="G295" s="177" t="str">
        <f>IFERROR(VLOOKUP(D295,Tabela.cadastro[[ID]:[CP ou M]],5,0),"")</f>
        <v/>
      </c>
      <c r="H295" s="177" t="str">
        <f>IFERROR(VLOOKUP(D295,Cadastros!A:F,6,0),"")</f>
        <v/>
      </c>
      <c r="I295" s="177" t="str">
        <f>IFERROR(VLOOKUP(D295,Cadastros!A:I,9,0),"")</f>
        <v/>
      </c>
      <c r="J295" s="177" t="str">
        <f>IFERROR(VLOOKUP(D295,Cadastros!A:J,10,0),"")</f>
        <v/>
      </c>
      <c r="K295" s="177" t="str">
        <f>IF(COUNTIF(Tabela66[id],D295)=0,"",COUNTIF(Tabela66[id],D295))</f>
        <v/>
      </c>
      <c r="L295" s="198"/>
      <c r="M295" s="227" t="str">
        <f t="shared" si="20"/>
        <v/>
      </c>
      <c r="P295" s="176" t="str">
        <f>IFERROR(VLOOKUP(O295,Cadastros!A:B,2),"")</f>
        <v/>
      </c>
      <c r="Q295" s="177" t="str">
        <f t="shared" si="21"/>
        <v/>
      </c>
      <c r="R295" s="177" t="str">
        <f>IFERROR(VLOOKUP(O295,Cadastros!A:E,5,0),"")</f>
        <v/>
      </c>
      <c r="S295" s="177" t="str">
        <f>IFERROR(VLOOKUP(O295,Cadastros!A:F,6,0),"")</f>
        <v/>
      </c>
      <c r="T295" s="177" t="str">
        <f>IFERROR(VLOOKUP(O295,Cadastros!A:I,9,0),"")</f>
        <v/>
      </c>
      <c r="U295" s="177" t="str">
        <f t="shared" si="22"/>
        <v/>
      </c>
      <c r="V295" s="177" t="str">
        <f t="shared" si="23"/>
        <v/>
      </c>
      <c r="W295" s="177" t="str">
        <f t="shared" si="24"/>
        <v/>
      </c>
      <c r="Y295" s="240" t="e">
        <f t="array" ref="Y295">INDEX(Tabela.abordagens[],SMALL(IF(Tabela.abordagens[Mês]=$L$2,ROW(Tabela.abordagens[id])-2),ROW(A248)),1)</f>
        <v>#NUM!</v>
      </c>
      <c r="Z295" s="240" t="e">
        <f t="array" ref="Z295">INDEX(Tabela.abordagens[],SMALL(IF(Tabela.abordagens[Mês]=$L$2,ROW(Tabela.abordagens[Idade])-2),ROW(A248)),6)</f>
        <v>#NUM!</v>
      </c>
      <c r="AA295" s="240" t="e">
        <f t="array" ref="AA295">INDEX(Tabela.abordagens[],SMALL(IF(Tabela.abordagens[Mês]=$L$2,ROW(Tabela.abordagens[Idade])-2),ROW(A248)),4)</f>
        <v>#NUM!</v>
      </c>
      <c r="AB295" s="240" t="e">
        <f t="array" ref="AB295">INDEX(Tabela.abordagens[],SMALL(IF(Tabela.abordagens[Mês]=$L$2,ROW(Tabela.abordagens[Idade])-2),ROW(A248)),5)</f>
        <v>#NUM!</v>
      </c>
    </row>
    <row r="296" spans="2:28" ht="15" x14ac:dyDescent="0.25">
      <c r="B296" s="223" t="e">
        <f t="array" ref="B296">INDEX(Tabela.frequencia[],SMALL(IF(Tabela.frequencia[Mês]=$L$2,ROW(Tabela.frequencia[id])-1),ROW(A249)),1)</f>
        <v>#NUM!</v>
      </c>
      <c r="C296" s="229" t="e">
        <f t="array" ref="C296">INDEX(Tabela.frequencia[],SMALL(IF(Tabela.frequencia[Mês]=$L$2,ROW(Tabela.frequencia[id])-1),ROW(A249)),4)</f>
        <v>#NUM!</v>
      </c>
      <c r="E296" s="176" t="str">
        <f>IFERROR(VLOOKUP(D296,Tabela.cadastro[[ID]:[Nome]],2,0),"")</f>
        <v/>
      </c>
      <c r="F296" s="177" t="str">
        <f>IFERROR(VLOOKUP(D296,Tabela66[#All],2,0),"")</f>
        <v/>
      </c>
      <c r="G296" s="177" t="str">
        <f>IFERROR(VLOOKUP(D296,Tabela.cadastro[[ID]:[CP ou M]],5,0),"")</f>
        <v/>
      </c>
      <c r="H296" s="177" t="str">
        <f>IFERROR(VLOOKUP(D296,Cadastros!A:F,6,0),"")</f>
        <v/>
      </c>
      <c r="I296" s="177" t="str">
        <f>IFERROR(VLOOKUP(D296,Cadastros!A:I,9,0),"")</f>
        <v/>
      </c>
      <c r="J296" s="177" t="str">
        <f>IFERROR(VLOOKUP(D296,Cadastros!A:J,10,0),"")</f>
        <v/>
      </c>
      <c r="K296" s="177" t="str">
        <f>IF(COUNTIF(Tabela66[id],D296)=0,"",COUNTIF(Tabela66[id],D296))</f>
        <v/>
      </c>
      <c r="L296" s="198"/>
      <c r="M296" s="227" t="str">
        <f t="shared" si="20"/>
        <v/>
      </c>
      <c r="P296" s="176" t="str">
        <f>IFERROR(VLOOKUP(O296,Cadastros!A:B,2),"")</f>
        <v/>
      </c>
      <c r="Q296" s="177" t="str">
        <f t="shared" si="21"/>
        <v/>
      </c>
      <c r="R296" s="177" t="str">
        <f>IFERROR(VLOOKUP(O296,Cadastros!A:E,5,0),"")</f>
        <v/>
      </c>
      <c r="S296" s="177" t="str">
        <f>IFERROR(VLOOKUP(O296,Cadastros!A:F,6,0),"")</f>
        <v/>
      </c>
      <c r="T296" s="177" t="str">
        <f>IFERROR(VLOOKUP(O296,Cadastros!A:I,9,0),"")</f>
        <v/>
      </c>
      <c r="U296" s="177" t="str">
        <f t="shared" si="22"/>
        <v/>
      </c>
      <c r="V296" s="177" t="str">
        <f t="shared" si="23"/>
        <v/>
      </c>
      <c r="W296" s="177" t="str">
        <f t="shared" si="24"/>
        <v/>
      </c>
      <c r="Y296" s="240" t="e">
        <f t="array" ref="Y296">INDEX(Tabela.abordagens[],SMALL(IF(Tabela.abordagens[Mês]=$L$2,ROW(Tabela.abordagens[id])-2),ROW(A249)),1)</f>
        <v>#NUM!</v>
      </c>
      <c r="Z296" s="240" t="e">
        <f t="array" ref="Z296">INDEX(Tabela.abordagens[],SMALL(IF(Tabela.abordagens[Mês]=$L$2,ROW(Tabela.abordagens[Idade])-2),ROW(A249)),6)</f>
        <v>#NUM!</v>
      </c>
      <c r="AA296" s="240" t="e">
        <f t="array" ref="AA296">INDEX(Tabela.abordagens[],SMALL(IF(Tabela.abordagens[Mês]=$L$2,ROW(Tabela.abordagens[Idade])-2),ROW(A249)),4)</f>
        <v>#NUM!</v>
      </c>
      <c r="AB296" s="240" t="e">
        <f t="array" ref="AB296">INDEX(Tabela.abordagens[],SMALL(IF(Tabela.abordagens[Mês]=$L$2,ROW(Tabela.abordagens[Idade])-2),ROW(A249)),5)</f>
        <v>#NUM!</v>
      </c>
    </row>
    <row r="297" spans="2:28" ht="15" x14ac:dyDescent="0.25">
      <c r="B297" s="223" t="e">
        <f t="array" ref="B297">INDEX(Tabela.frequencia[],SMALL(IF(Tabela.frequencia[Mês]=$L$2,ROW(Tabela.frequencia[id])-1),ROW(A250)),1)</f>
        <v>#NUM!</v>
      </c>
      <c r="C297" s="229" t="e">
        <f t="array" ref="C297">INDEX(Tabela.frequencia[],SMALL(IF(Tabela.frequencia[Mês]=$L$2,ROW(Tabela.frequencia[id])-1),ROW(A250)),4)</f>
        <v>#NUM!</v>
      </c>
      <c r="E297" s="176" t="str">
        <f>IFERROR(VLOOKUP(D297,Tabela.cadastro[[ID]:[Nome]],2,0),"")</f>
        <v/>
      </c>
      <c r="F297" s="177" t="str">
        <f>IFERROR(VLOOKUP(D297,Tabela66[#All],2,0),"")</f>
        <v/>
      </c>
      <c r="G297" s="177" t="str">
        <f>IFERROR(VLOOKUP(D297,Tabela.cadastro[[ID]:[CP ou M]],5,0),"")</f>
        <v/>
      </c>
      <c r="H297" s="177" t="str">
        <f>IFERROR(VLOOKUP(D297,Cadastros!A:F,6,0),"")</f>
        <v/>
      </c>
      <c r="I297" s="177" t="str">
        <f>IFERROR(VLOOKUP(D297,Cadastros!A:I,9,0),"")</f>
        <v/>
      </c>
      <c r="J297" s="177" t="str">
        <f>IFERROR(VLOOKUP(D297,Cadastros!A:J,10,0),"")</f>
        <v/>
      </c>
      <c r="K297" s="177" t="str">
        <f>IF(COUNTIF(Tabela66[id],D297)=0,"",COUNTIF(Tabela66[id],D297))</f>
        <v/>
      </c>
      <c r="L297" s="198"/>
      <c r="M297" s="227" t="str">
        <f t="shared" si="20"/>
        <v/>
      </c>
      <c r="P297" s="176" t="str">
        <f>IFERROR(VLOOKUP(O297,Cadastros!A:B,2),"")</f>
        <v/>
      </c>
      <c r="Q297" s="177" t="str">
        <f t="shared" si="21"/>
        <v/>
      </c>
      <c r="R297" s="177" t="str">
        <f>IFERROR(VLOOKUP(O297,Cadastros!A:E,5,0),"")</f>
        <v/>
      </c>
      <c r="S297" s="177" t="str">
        <f>IFERROR(VLOOKUP(O297,Cadastros!A:F,6,0),"")</f>
        <v/>
      </c>
      <c r="T297" s="177" t="str">
        <f>IFERROR(VLOOKUP(O297,Cadastros!A:I,9,0),"")</f>
        <v/>
      </c>
      <c r="U297" s="177" t="str">
        <f t="shared" si="22"/>
        <v/>
      </c>
      <c r="V297" s="177" t="str">
        <f t="shared" si="23"/>
        <v/>
      </c>
      <c r="W297" s="177" t="str">
        <f t="shared" si="24"/>
        <v/>
      </c>
      <c r="Y297" s="240" t="e">
        <f t="array" ref="Y297">INDEX(Tabela.abordagens[],SMALL(IF(Tabela.abordagens[Mês]=$L$2,ROW(Tabela.abordagens[id])-2),ROW(A250)),1)</f>
        <v>#NUM!</v>
      </c>
      <c r="Z297" s="240" t="e">
        <f t="array" ref="Z297">INDEX(Tabela.abordagens[],SMALL(IF(Tabela.abordagens[Mês]=$L$2,ROW(Tabela.abordagens[Idade])-2),ROW(A250)),6)</f>
        <v>#NUM!</v>
      </c>
      <c r="AA297" s="240" t="e">
        <f t="array" ref="AA297">INDEX(Tabela.abordagens[],SMALL(IF(Tabela.abordagens[Mês]=$L$2,ROW(Tabela.abordagens[Idade])-2),ROW(A250)),4)</f>
        <v>#NUM!</v>
      </c>
      <c r="AB297" s="240" t="e">
        <f t="array" ref="AB297">INDEX(Tabela.abordagens[],SMALL(IF(Tabela.abordagens[Mês]=$L$2,ROW(Tabela.abordagens[Idade])-2),ROW(A250)),5)</f>
        <v>#NUM!</v>
      </c>
    </row>
    <row r="298" spans="2:28" ht="15" x14ac:dyDescent="0.25">
      <c r="B298" s="223" t="e">
        <f t="array" ref="B298">INDEX(Tabela.frequencia[],SMALL(IF(Tabela.frequencia[Mês]=$L$2,ROW(Tabela.frequencia[id])-1),ROW(A251)),1)</f>
        <v>#NUM!</v>
      </c>
      <c r="C298" s="229" t="e">
        <f t="array" ref="C298">INDEX(Tabela.frequencia[],SMALL(IF(Tabela.frequencia[Mês]=$L$2,ROW(Tabela.frequencia[id])-1),ROW(A251)),4)</f>
        <v>#NUM!</v>
      </c>
      <c r="E298" s="176" t="str">
        <f>IFERROR(VLOOKUP(D298,Tabela.cadastro[[ID]:[Nome]],2,0),"")</f>
        <v/>
      </c>
      <c r="F298" s="177" t="str">
        <f>IFERROR(VLOOKUP(D298,Tabela66[#All],2,0),"")</f>
        <v/>
      </c>
      <c r="G298" s="177" t="str">
        <f>IFERROR(VLOOKUP(D298,Tabela.cadastro[[ID]:[CP ou M]],5,0),"")</f>
        <v/>
      </c>
      <c r="H298" s="177" t="str">
        <f>IFERROR(VLOOKUP(D298,Cadastros!A:F,6,0),"")</f>
        <v/>
      </c>
      <c r="I298" s="177" t="str">
        <f>IFERROR(VLOOKUP(D298,Cadastros!A:I,9,0),"")</f>
        <v/>
      </c>
      <c r="J298" s="177" t="str">
        <f>IFERROR(VLOOKUP(D298,Cadastros!A:J,10,0),"")</f>
        <v/>
      </c>
      <c r="K298" s="177" t="str">
        <f>IF(COUNTIF(Tabela66[id],D298)=0,"",COUNTIF(Tabela66[id],D298))</f>
        <v/>
      </c>
      <c r="L298" s="198"/>
      <c r="M298" s="227" t="str">
        <f t="shared" ref="M298:M361" si="25">IF(AND(K298:K1129&gt;=5,L298:L1129="Não"),"*","")</f>
        <v/>
      </c>
      <c r="P298" s="176" t="str">
        <f>IFERROR(VLOOKUP(O298,Cadastros!A:B,2),"")</f>
        <v/>
      </c>
      <c r="Q298" s="177" t="str">
        <f t="shared" si="21"/>
        <v/>
      </c>
      <c r="R298" s="177" t="str">
        <f>IFERROR(VLOOKUP(O298,Cadastros!A:E,5,0),"")</f>
        <v/>
      </c>
      <c r="S298" s="177" t="str">
        <f>IFERROR(VLOOKUP(O298,Cadastros!A:F,6,0),"")</f>
        <v/>
      </c>
      <c r="T298" s="177" t="str">
        <f>IFERROR(VLOOKUP(O298,Cadastros!A:I,9,0),"")</f>
        <v/>
      </c>
      <c r="U298" s="177" t="str">
        <f t="shared" si="22"/>
        <v/>
      </c>
      <c r="V298" s="177" t="str">
        <f t="shared" si="23"/>
        <v/>
      </c>
      <c r="W298" s="177" t="str">
        <f t="shared" si="24"/>
        <v/>
      </c>
      <c r="Y298" s="240" t="e">
        <f t="array" ref="Y298">INDEX(Tabela.abordagens[],SMALL(IF(Tabela.abordagens[Mês]=$L$2,ROW(Tabela.abordagens[id])-2),ROW(A251)),1)</f>
        <v>#NUM!</v>
      </c>
      <c r="Z298" s="240" t="e">
        <f t="array" ref="Z298">INDEX(Tabela.abordagens[],SMALL(IF(Tabela.abordagens[Mês]=$L$2,ROW(Tabela.abordagens[Idade])-2),ROW(A251)),6)</f>
        <v>#NUM!</v>
      </c>
      <c r="AA298" s="240" t="e">
        <f t="array" ref="AA298">INDEX(Tabela.abordagens[],SMALL(IF(Tabela.abordagens[Mês]=$L$2,ROW(Tabela.abordagens[Idade])-2),ROW(A251)),4)</f>
        <v>#NUM!</v>
      </c>
      <c r="AB298" s="240" t="e">
        <f t="array" ref="AB298">INDEX(Tabela.abordagens[],SMALL(IF(Tabela.abordagens[Mês]=$L$2,ROW(Tabela.abordagens[Idade])-2),ROW(A251)),5)</f>
        <v>#NUM!</v>
      </c>
    </row>
    <row r="299" spans="2:28" ht="15" x14ac:dyDescent="0.25">
      <c r="B299" s="223" t="e">
        <f t="array" ref="B299">INDEX(Tabela.frequencia[],SMALL(IF(Tabela.frequencia[Mês]=$L$2,ROW(Tabela.frequencia[id])-1),ROW(A252)),1)</f>
        <v>#NUM!</v>
      </c>
      <c r="C299" s="229" t="e">
        <f t="array" ref="C299">INDEX(Tabela.frequencia[],SMALL(IF(Tabela.frequencia[Mês]=$L$2,ROW(Tabela.frequencia[id])-1),ROW(A252)),4)</f>
        <v>#NUM!</v>
      </c>
      <c r="E299" s="176" t="str">
        <f>IFERROR(VLOOKUP(D299,Tabela.cadastro[[ID]:[Nome]],2,0),"")</f>
        <v/>
      </c>
      <c r="F299" s="177" t="str">
        <f>IFERROR(VLOOKUP(D299,Tabela66[#All],2,0),"")</f>
        <v/>
      </c>
      <c r="G299" s="177" t="str">
        <f>IFERROR(VLOOKUP(D299,Tabela.cadastro[[ID]:[CP ou M]],5,0),"")</f>
        <v/>
      </c>
      <c r="H299" s="177" t="str">
        <f>IFERROR(VLOOKUP(D299,Cadastros!A:F,6,0),"")</f>
        <v/>
      </c>
      <c r="I299" s="177" t="str">
        <f>IFERROR(VLOOKUP(D299,Cadastros!A:I,9,0),"")</f>
        <v/>
      </c>
      <c r="J299" s="177" t="str">
        <f>IFERROR(VLOOKUP(D299,Cadastros!A:J,10,0),"")</f>
        <v/>
      </c>
      <c r="K299" s="177" t="str">
        <f>IF(COUNTIF(Tabela66[id],D299)=0,"",COUNTIF(Tabela66[id],D299))</f>
        <v/>
      </c>
      <c r="L299" s="198"/>
      <c r="M299" s="227" t="str">
        <f t="shared" si="25"/>
        <v/>
      </c>
      <c r="P299" s="176" t="str">
        <f>IFERROR(VLOOKUP(O299,Cadastros!A:B,2),"")</f>
        <v/>
      </c>
      <c r="Q299" s="177" t="str">
        <f t="shared" si="21"/>
        <v/>
      </c>
      <c r="R299" s="177" t="str">
        <f>IFERROR(VLOOKUP(O299,Cadastros!A:E,5,0),"")</f>
        <v/>
      </c>
      <c r="S299" s="177" t="str">
        <f>IFERROR(VLOOKUP(O299,Cadastros!A:F,6,0),"")</f>
        <v/>
      </c>
      <c r="T299" s="177" t="str">
        <f>IFERROR(VLOOKUP(O299,Cadastros!A:I,9,0),"")</f>
        <v/>
      </c>
      <c r="U299" s="177" t="str">
        <f t="shared" si="22"/>
        <v/>
      </c>
      <c r="V299" s="177" t="str">
        <f t="shared" si="23"/>
        <v/>
      </c>
      <c r="W299" s="177" t="str">
        <f t="shared" si="24"/>
        <v/>
      </c>
      <c r="Y299" s="240" t="e">
        <f t="array" ref="Y299">INDEX(Tabela.abordagens[],SMALL(IF(Tabela.abordagens[Mês]=$L$2,ROW(Tabela.abordagens[id])-2),ROW(A252)),1)</f>
        <v>#NUM!</v>
      </c>
      <c r="Z299" s="240" t="e">
        <f t="array" ref="Z299">INDEX(Tabela.abordagens[],SMALL(IF(Tabela.abordagens[Mês]=$L$2,ROW(Tabela.abordagens[Idade])-2),ROW(A252)),6)</f>
        <v>#NUM!</v>
      </c>
      <c r="AA299" s="240" t="e">
        <f t="array" ref="AA299">INDEX(Tabela.abordagens[],SMALL(IF(Tabela.abordagens[Mês]=$L$2,ROW(Tabela.abordagens[Idade])-2),ROW(A252)),4)</f>
        <v>#NUM!</v>
      </c>
      <c r="AB299" s="240" t="e">
        <f t="array" ref="AB299">INDEX(Tabela.abordagens[],SMALL(IF(Tabela.abordagens[Mês]=$L$2,ROW(Tabela.abordagens[Idade])-2),ROW(A252)),5)</f>
        <v>#NUM!</v>
      </c>
    </row>
    <row r="300" spans="2:28" ht="15" x14ac:dyDescent="0.25">
      <c r="B300" s="223" t="e">
        <f t="array" ref="B300">INDEX(Tabela.frequencia[],SMALL(IF(Tabela.frequencia[Mês]=$L$2,ROW(Tabela.frequencia[id])-1),ROW(A253)),1)</f>
        <v>#NUM!</v>
      </c>
      <c r="C300" s="229" t="e">
        <f t="array" ref="C300">INDEX(Tabela.frequencia[],SMALL(IF(Tabela.frequencia[Mês]=$L$2,ROW(Tabela.frequencia[id])-1),ROW(A253)),4)</f>
        <v>#NUM!</v>
      </c>
      <c r="E300" s="176" t="str">
        <f>IFERROR(VLOOKUP(D300,Tabela.cadastro[[ID]:[Nome]],2,0),"")</f>
        <v/>
      </c>
      <c r="F300" s="177" t="str">
        <f>IFERROR(VLOOKUP(D300,Tabela66[#All],2,0),"")</f>
        <v/>
      </c>
      <c r="G300" s="177" t="str">
        <f>IFERROR(VLOOKUP(D300,Tabela.cadastro[[ID]:[CP ou M]],5,0),"")</f>
        <v/>
      </c>
      <c r="H300" s="177" t="str">
        <f>IFERROR(VLOOKUP(D300,Cadastros!A:F,6,0),"")</f>
        <v/>
      </c>
      <c r="I300" s="177" t="str">
        <f>IFERROR(VLOOKUP(D300,Cadastros!A:I,9,0),"")</f>
        <v/>
      </c>
      <c r="J300" s="177" t="str">
        <f>IFERROR(VLOOKUP(D300,Cadastros!A:J,10,0),"")</f>
        <v/>
      </c>
      <c r="K300" s="177" t="str">
        <f>IF(COUNTIF(Tabela66[id],D300)=0,"",COUNTIF(Tabela66[id],D300))</f>
        <v/>
      </c>
      <c r="L300" s="198"/>
      <c r="M300" s="227" t="str">
        <f t="shared" si="25"/>
        <v/>
      </c>
      <c r="P300" s="176" t="str">
        <f>IFERROR(VLOOKUP(O300,Cadastros!A:B,2),"")</f>
        <v/>
      </c>
      <c r="Q300" s="177" t="str">
        <f t="shared" si="21"/>
        <v/>
      </c>
      <c r="R300" s="177" t="str">
        <f>IFERROR(VLOOKUP(O300,Cadastros!A:E,5,0),"")</f>
        <v/>
      </c>
      <c r="S300" s="177" t="str">
        <f>IFERROR(VLOOKUP(O300,Cadastros!A:F,6,0),"")</f>
        <v/>
      </c>
      <c r="T300" s="177" t="str">
        <f>IFERROR(VLOOKUP(O300,Cadastros!A:I,9,0),"")</f>
        <v/>
      </c>
      <c r="U300" s="177" t="str">
        <f t="shared" si="22"/>
        <v/>
      </c>
      <c r="V300" s="177" t="str">
        <f t="shared" si="23"/>
        <v/>
      </c>
      <c r="W300" s="177" t="str">
        <f t="shared" si="24"/>
        <v/>
      </c>
      <c r="Y300" s="240" t="e">
        <f t="array" ref="Y300">INDEX(Tabela.abordagens[],SMALL(IF(Tabela.abordagens[Mês]=$L$2,ROW(Tabela.abordagens[id])-2),ROW(A253)),1)</f>
        <v>#NUM!</v>
      </c>
      <c r="Z300" s="240" t="e">
        <f t="array" ref="Z300">INDEX(Tabela.abordagens[],SMALL(IF(Tabela.abordagens[Mês]=$L$2,ROW(Tabela.abordagens[Idade])-2),ROW(A253)),6)</f>
        <v>#NUM!</v>
      </c>
      <c r="AA300" s="240" t="e">
        <f t="array" ref="AA300">INDEX(Tabela.abordagens[],SMALL(IF(Tabela.abordagens[Mês]=$L$2,ROW(Tabela.abordagens[Idade])-2),ROW(A253)),4)</f>
        <v>#NUM!</v>
      </c>
      <c r="AB300" s="240" t="e">
        <f t="array" ref="AB300">INDEX(Tabela.abordagens[],SMALL(IF(Tabela.abordagens[Mês]=$L$2,ROW(Tabela.abordagens[Idade])-2),ROW(A253)),5)</f>
        <v>#NUM!</v>
      </c>
    </row>
    <row r="301" spans="2:28" ht="15" x14ac:dyDescent="0.25">
      <c r="B301" s="223" t="e">
        <f t="array" ref="B301">INDEX(Tabela.frequencia[],SMALL(IF(Tabela.frequencia[Mês]=$L$2,ROW(Tabela.frequencia[id])-1),ROW(A254)),1)</f>
        <v>#NUM!</v>
      </c>
      <c r="C301" s="229" t="e">
        <f t="array" ref="C301">INDEX(Tabela.frequencia[],SMALL(IF(Tabela.frequencia[Mês]=$L$2,ROW(Tabela.frequencia[id])-1),ROW(A254)),4)</f>
        <v>#NUM!</v>
      </c>
      <c r="E301" s="176" t="str">
        <f>IFERROR(VLOOKUP(D301,Tabela.cadastro[[ID]:[Nome]],2,0),"")</f>
        <v/>
      </c>
      <c r="F301" s="177" t="str">
        <f>IFERROR(VLOOKUP(D301,Tabela66[#All],2,0),"")</f>
        <v/>
      </c>
      <c r="G301" s="177" t="str">
        <f>IFERROR(VLOOKUP(D301,Tabela.cadastro[[ID]:[CP ou M]],5,0),"")</f>
        <v/>
      </c>
      <c r="H301" s="177" t="str">
        <f>IFERROR(VLOOKUP(D301,Cadastros!A:F,6,0),"")</f>
        <v/>
      </c>
      <c r="I301" s="177" t="str">
        <f>IFERROR(VLOOKUP(D301,Cadastros!A:I,9,0),"")</f>
        <v/>
      </c>
      <c r="J301" s="177" t="str">
        <f>IFERROR(VLOOKUP(D301,Cadastros!A:J,10,0),"")</f>
        <v/>
      </c>
      <c r="K301" s="177" t="str">
        <f>IF(COUNTIF(Tabela66[id],D301)=0,"",COUNTIF(Tabela66[id],D301))</f>
        <v/>
      </c>
      <c r="L301" s="198"/>
      <c r="M301" s="227" t="str">
        <f t="shared" si="25"/>
        <v/>
      </c>
      <c r="P301" s="176" t="str">
        <f>IFERROR(VLOOKUP(O301,Cadastros!A:B,2),"")</f>
        <v/>
      </c>
      <c r="Q301" s="177" t="str">
        <f t="shared" si="21"/>
        <v/>
      </c>
      <c r="R301" s="177" t="str">
        <f>IFERROR(VLOOKUP(O301,Cadastros!A:E,5,0),"")</f>
        <v/>
      </c>
      <c r="S301" s="177" t="str">
        <f>IFERROR(VLOOKUP(O301,Cadastros!A:F,6,0),"")</f>
        <v/>
      </c>
      <c r="T301" s="177" t="str">
        <f>IFERROR(VLOOKUP(O301,Cadastros!A:I,9,0),"")</f>
        <v/>
      </c>
      <c r="U301" s="177" t="str">
        <f t="shared" si="22"/>
        <v/>
      </c>
      <c r="V301" s="177" t="str">
        <f t="shared" si="23"/>
        <v/>
      </c>
      <c r="W301" s="177" t="str">
        <f t="shared" si="24"/>
        <v/>
      </c>
      <c r="Y301" s="240" t="e">
        <f t="array" ref="Y301">INDEX(Tabela.abordagens[],SMALL(IF(Tabela.abordagens[Mês]=$L$2,ROW(Tabela.abordagens[id])-2),ROW(A254)),1)</f>
        <v>#NUM!</v>
      </c>
      <c r="Z301" s="240" t="e">
        <f t="array" ref="Z301">INDEX(Tabela.abordagens[],SMALL(IF(Tabela.abordagens[Mês]=$L$2,ROW(Tabela.abordagens[Idade])-2),ROW(A254)),6)</f>
        <v>#NUM!</v>
      </c>
      <c r="AA301" s="240" t="e">
        <f t="array" ref="AA301">INDEX(Tabela.abordagens[],SMALL(IF(Tabela.abordagens[Mês]=$L$2,ROW(Tabela.abordagens[Idade])-2),ROW(A254)),4)</f>
        <v>#NUM!</v>
      </c>
      <c r="AB301" s="240" t="e">
        <f t="array" ref="AB301">INDEX(Tabela.abordagens[],SMALL(IF(Tabela.abordagens[Mês]=$L$2,ROW(Tabela.abordagens[Idade])-2),ROW(A254)),5)</f>
        <v>#NUM!</v>
      </c>
    </row>
    <row r="302" spans="2:28" ht="15" x14ac:dyDescent="0.25">
      <c r="B302" s="223" t="e">
        <f t="array" ref="B302">INDEX(Tabela.frequencia[],SMALL(IF(Tabela.frequencia[Mês]=$L$2,ROW(Tabela.frequencia[id])-1),ROW(A255)),1)</f>
        <v>#NUM!</v>
      </c>
      <c r="C302" s="229" t="e">
        <f t="array" ref="C302">INDEX(Tabela.frequencia[],SMALL(IF(Tabela.frequencia[Mês]=$L$2,ROW(Tabela.frequencia[id])-1),ROW(A255)),4)</f>
        <v>#NUM!</v>
      </c>
      <c r="E302" s="176" t="str">
        <f>IFERROR(VLOOKUP(D302,Tabela.cadastro[[ID]:[Nome]],2,0),"")</f>
        <v/>
      </c>
      <c r="F302" s="177" t="str">
        <f>IFERROR(VLOOKUP(D302,Tabela66[#All],2,0),"")</f>
        <v/>
      </c>
      <c r="G302" s="177" t="str">
        <f>IFERROR(VLOOKUP(D302,Tabela.cadastro[[ID]:[CP ou M]],5,0),"")</f>
        <v/>
      </c>
      <c r="H302" s="177" t="str">
        <f>IFERROR(VLOOKUP(D302,Cadastros!A:F,6,0),"")</f>
        <v/>
      </c>
      <c r="I302" s="177" t="str">
        <f>IFERROR(VLOOKUP(D302,Cadastros!A:I,9,0),"")</f>
        <v/>
      </c>
      <c r="J302" s="177" t="str">
        <f>IFERROR(VLOOKUP(D302,Cadastros!A:J,10,0),"")</f>
        <v/>
      </c>
      <c r="K302" s="177" t="str">
        <f>IF(COUNTIF(Tabela66[id],D302)=0,"",COUNTIF(Tabela66[id],D302))</f>
        <v/>
      </c>
      <c r="L302" s="198"/>
      <c r="M302" s="227" t="str">
        <f t="shared" si="25"/>
        <v/>
      </c>
      <c r="P302" s="176" t="str">
        <f>IFERROR(VLOOKUP(O302,Cadastros!A:B,2),"")</f>
        <v/>
      </c>
      <c r="Q302" s="177" t="str">
        <f t="shared" si="21"/>
        <v/>
      </c>
      <c r="R302" s="177" t="str">
        <f>IFERROR(VLOOKUP(O302,Cadastros!A:E,5,0),"")</f>
        <v/>
      </c>
      <c r="S302" s="177" t="str">
        <f>IFERROR(VLOOKUP(O302,Cadastros!A:F,6,0),"")</f>
        <v/>
      </c>
      <c r="T302" s="177" t="str">
        <f>IFERROR(VLOOKUP(O302,Cadastros!A:I,9,0),"")</f>
        <v/>
      </c>
      <c r="U302" s="177" t="str">
        <f t="shared" si="22"/>
        <v/>
      </c>
      <c r="V302" s="177" t="str">
        <f t="shared" si="23"/>
        <v/>
      </c>
      <c r="W302" s="177" t="str">
        <f t="shared" si="24"/>
        <v/>
      </c>
      <c r="Y302" s="240" t="e">
        <f t="array" ref="Y302">INDEX(Tabela.abordagens[],SMALL(IF(Tabela.abordagens[Mês]=$L$2,ROW(Tabela.abordagens[id])-2),ROW(A255)),1)</f>
        <v>#NUM!</v>
      </c>
      <c r="Z302" s="240" t="e">
        <f t="array" ref="Z302">INDEX(Tabela.abordagens[],SMALL(IF(Tabela.abordagens[Mês]=$L$2,ROW(Tabela.abordagens[Idade])-2),ROW(A255)),6)</f>
        <v>#NUM!</v>
      </c>
      <c r="AA302" s="240" t="e">
        <f t="array" ref="AA302">INDEX(Tabela.abordagens[],SMALL(IF(Tabela.abordagens[Mês]=$L$2,ROW(Tabela.abordagens[Idade])-2),ROW(A255)),4)</f>
        <v>#NUM!</v>
      </c>
      <c r="AB302" s="240" t="e">
        <f t="array" ref="AB302">INDEX(Tabela.abordagens[],SMALL(IF(Tabela.abordagens[Mês]=$L$2,ROW(Tabela.abordagens[Idade])-2),ROW(A255)),5)</f>
        <v>#NUM!</v>
      </c>
    </row>
    <row r="303" spans="2:28" ht="15" x14ac:dyDescent="0.25">
      <c r="B303" s="223" t="e">
        <f t="array" ref="B303">INDEX(Tabela.frequencia[],SMALL(IF(Tabela.frequencia[Mês]=$L$2,ROW(Tabela.frequencia[id])-1),ROW(A256)),1)</f>
        <v>#NUM!</v>
      </c>
      <c r="C303" s="229" t="e">
        <f t="array" ref="C303">INDEX(Tabela.frequencia[],SMALL(IF(Tabela.frequencia[Mês]=$L$2,ROW(Tabela.frequencia[id])-1),ROW(A256)),4)</f>
        <v>#NUM!</v>
      </c>
      <c r="E303" s="176" t="str">
        <f>IFERROR(VLOOKUP(D303,Tabela.cadastro[[ID]:[Nome]],2,0),"")</f>
        <v/>
      </c>
      <c r="F303" s="177" t="str">
        <f>IFERROR(VLOOKUP(D303,Tabela66[#All],2,0),"")</f>
        <v/>
      </c>
      <c r="G303" s="177" t="str">
        <f>IFERROR(VLOOKUP(D303,Tabela.cadastro[[ID]:[CP ou M]],5,0),"")</f>
        <v/>
      </c>
      <c r="H303" s="177" t="str">
        <f>IFERROR(VLOOKUP(D303,Cadastros!A:F,6,0),"")</f>
        <v/>
      </c>
      <c r="I303" s="177" t="str">
        <f>IFERROR(VLOOKUP(D303,Cadastros!A:I,9,0),"")</f>
        <v/>
      </c>
      <c r="J303" s="177" t="str">
        <f>IFERROR(VLOOKUP(D303,Cadastros!A:J,10,0),"")</f>
        <v/>
      </c>
      <c r="K303" s="177" t="str">
        <f>IF(COUNTIF(Tabela66[id],D303)=0,"",COUNTIF(Tabela66[id],D303))</f>
        <v/>
      </c>
      <c r="L303" s="198"/>
      <c r="M303" s="227" t="str">
        <f t="shared" si="25"/>
        <v/>
      </c>
      <c r="P303" s="176" t="str">
        <f>IFERROR(VLOOKUP(O303,Cadastros!A:B,2),"")</f>
        <v/>
      </c>
      <c r="Q303" s="177" t="str">
        <f t="shared" si="21"/>
        <v/>
      </c>
      <c r="R303" s="177" t="str">
        <f>IFERROR(VLOOKUP(O303,Cadastros!A:E,5,0),"")</f>
        <v/>
      </c>
      <c r="S303" s="177" t="str">
        <f>IFERROR(VLOOKUP(O303,Cadastros!A:F,6,0),"")</f>
        <v/>
      </c>
      <c r="T303" s="177" t="str">
        <f>IFERROR(VLOOKUP(O303,Cadastros!A:I,9,0),"")</f>
        <v/>
      </c>
      <c r="U303" s="177" t="str">
        <f t="shared" si="22"/>
        <v/>
      </c>
      <c r="V303" s="177" t="str">
        <f t="shared" si="23"/>
        <v/>
      </c>
      <c r="W303" s="177" t="str">
        <f t="shared" si="24"/>
        <v/>
      </c>
      <c r="Y303" s="240" t="e">
        <f t="array" ref="Y303">INDEX(Tabela.abordagens[],SMALL(IF(Tabela.abordagens[Mês]=$L$2,ROW(Tabela.abordagens[id])-2),ROW(A256)),1)</f>
        <v>#NUM!</v>
      </c>
      <c r="Z303" s="240" t="e">
        <f t="array" ref="Z303">INDEX(Tabela.abordagens[],SMALL(IF(Tabela.abordagens[Mês]=$L$2,ROW(Tabela.abordagens[Idade])-2),ROW(A256)),6)</f>
        <v>#NUM!</v>
      </c>
      <c r="AA303" s="240" t="e">
        <f t="array" ref="AA303">INDEX(Tabela.abordagens[],SMALL(IF(Tabela.abordagens[Mês]=$L$2,ROW(Tabela.abordagens[Idade])-2),ROW(A256)),4)</f>
        <v>#NUM!</v>
      </c>
      <c r="AB303" s="240" t="e">
        <f t="array" ref="AB303">INDEX(Tabela.abordagens[],SMALL(IF(Tabela.abordagens[Mês]=$L$2,ROW(Tabela.abordagens[Idade])-2),ROW(A256)),5)</f>
        <v>#NUM!</v>
      </c>
    </row>
    <row r="304" spans="2:28" ht="15" x14ac:dyDescent="0.25">
      <c r="B304" s="223" t="e">
        <f t="array" ref="B304">INDEX(Tabela.frequencia[],SMALL(IF(Tabela.frequencia[Mês]=$L$2,ROW(Tabela.frequencia[id])-1),ROW(A257)),1)</f>
        <v>#NUM!</v>
      </c>
      <c r="C304" s="229" t="e">
        <f t="array" ref="C304">INDEX(Tabela.frequencia[],SMALL(IF(Tabela.frequencia[Mês]=$L$2,ROW(Tabela.frequencia[id])-1),ROW(A257)),4)</f>
        <v>#NUM!</v>
      </c>
      <c r="E304" s="176" t="str">
        <f>IFERROR(VLOOKUP(D304,Tabela.cadastro[[ID]:[Nome]],2,0),"")</f>
        <v/>
      </c>
      <c r="F304" s="177" t="str">
        <f>IFERROR(VLOOKUP(D304,Tabela66[#All],2,0),"")</f>
        <v/>
      </c>
      <c r="G304" s="177" t="str">
        <f>IFERROR(VLOOKUP(D304,Tabela.cadastro[[ID]:[CP ou M]],5,0),"")</f>
        <v/>
      </c>
      <c r="H304" s="177" t="str">
        <f>IFERROR(VLOOKUP(D304,Cadastros!A:F,6,0),"")</f>
        <v/>
      </c>
      <c r="I304" s="177" t="str">
        <f>IFERROR(VLOOKUP(D304,Cadastros!A:I,9,0),"")</f>
        <v/>
      </c>
      <c r="J304" s="177" t="str">
        <f>IFERROR(VLOOKUP(D304,Cadastros!A:J,10,0),"")</f>
        <v/>
      </c>
      <c r="K304" s="177" t="str">
        <f>IF(COUNTIF(Tabela66[id],D304)=0,"",COUNTIF(Tabela66[id],D304))</f>
        <v/>
      </c>
      <c r="L304" s="198"/>
      <c r="M304" s="227" t="str">
        <f t="shared" si="25"/>
        <v/>
      </c>
      <c r="P304" s="176" t="str">
        <f>IFERROR(VLOOKUP(O304,Cadastros!A:B,2),"")</f>
        <v/>
      </c>
      <c r="Q304" s="177" t="str">
        <f t="shared" si="21"/>
        <v/>
      </c>
      <c r="R304" s="177" t="str">
        <f>IFERROR(VLOOKUP(O304,Cadastros!A:E,5,0),"")</f>
        <v/>
      </c>
      <c r="S304" s="177" t="str">
        <f>IFERROR(VLOOKUP(O304,Cadastros!A:F,6,0),"")</f>
        <v/>
      </c>
      <c r="T304" s="177" t="str">
        <f>IFERROR(VLOOKUP(O304,Cadastros!A:I,9,0),"")</f>
        <v/>
      </c>
      <c r="U304" s="177" t="str">
        <f t="shared" si="22"/>
        <v/>
      </c>
      <c r="V304" s="177" t="str">
        <f t="shared" si="23"/>
        <v/>
      </c>
      <c r="W304" s="177" t="str">
        <f t="shared" si="24"/>
        <v/>
      </c>
      <c r="Y304" s="240" t="e">
        <f t="array" ref="Y304">INDEX(Tabela.abordagens[],SMALL(IF(Tabela.abordagens[Mês]=$L$2,ROW(Tabela.abordagens[id])-2),ROW(A257)),1)</f>
        <v>#NUM!</v>
      </c>
      <c r="Z304" s="240" t="e">
        <f t="array" ref="Z304">INDEX(Tabela.abordagens[],SMALL(IF(Tabela.abordagens[Mês]=$L$2,ROW(Tabela.abordagens[Idade])-2),ROW(A257)),6)</f>
        <v>#NUM!</v>
      </c>
      <c r="AA304" s="240" t="e">
        <f t="array" ref="AA304">INDEX(Tabela.abordagens[],SMALL(IF(Tabela.abordagens[Mês]=$L$2,ROW(Tabela.abordagens[Idade])-2),ROW(A257)),4)</f>
        <v>#NUM!</v>
      </c>
      <c r="AB304" s="240" t="e">
        <f t="array" ref="AB304">INDEX(Tabela.abordagens[],SMALL(IF(Tabela.abordagens[Mês]=$L$2,ROW(Tabela.abordagens[Idade])-2),ROW(A257)),5)</f>
        <v>#NUM!</v>
      </c>
    </row>
    <row r="305" spans="2:28" ht="15" x14ac:dyDescent="0.25">
      <c r="B305" s="223" t="e">
        <f t="array" ref="B305">INDEX(Tabela.frequencia[],SMALL(IF(Tabela.frequencia[Mês]=$L$2,ROW(Tabela.frequencia[id])-1),ROW(A258)),1)</f>
        <v>#NUM!</v>
      </c>
      <c r="C305" s="229" t="e">
        <f t="array" ref="C305">INDEX(Tabela.frequencia[],SMALL(IF(Tabela.frequencia[Mês]=$L$2,ROW(Tabela.frequencia[id])-1),ROW(A258)),4)</f>
        <v>#NUM!</v>
      </c>
      <c r="E305" s="176" t="str">
        <f>IFERROR(VLOOKUP(D305,Tabela.cadastro[[ID]:[Nome]],2,0),"")</f>
        <v/>
      </c>
      <c r="F305" s="177" t="str">
        <f>IFERROR(VLOOKUP(D305,Tabela66[#All],2,0),"")</f>
        <v/>
      </c>
      <c r="G305" s="177" t="str">
        <f>IFERROR(VLOOKUP(D305,Tabela.cadastro[[ID]:[CP ou M]],5,0),"")</f>
        <v/>
      </c>
      <c r="H305" s="177" t="str">
        <f>IFERROR(VLOOKUP(D305,Cadastros!A:F,6,0),"")</f>
        <v/>
      </c>
      <c r="I305" s="177" t="str">
        <f>IFERROR(VLOOKUP(D305,Cadastros!A:I,9,0),"")</f>
        <v/>
      </c>
      <c r="J305" s="177" t="str">
        <f>IFERROR(VLOOKUP(D305,Cadastros!A:J,10,0),"")</f>
        <v/>
      </c>
      <c r="K305" s="177" t="str">
        <f>IF(COUNTIF(Tabela66[id],D305)=0,"",COUNTIF(Tabela66[id],D305))</f>
        <v/>
      </c>
      <c r="L305" s="198"/>
      <c r="M305" s="227" t="str">
        <f t="shared" si="25"/>
        <v/>
      </c>
      <c r="P305" s="176" t="str">
        <f>IFERROR(VLOOKUP(O305,Cadastros!A:B,2),"")</f>
        <v/>
      </c>
      <c r="Q305" s="177" t="str">
        <f t="shared" si="21"/>
        <v/>
      </c>
      <c r="R305" s="177" t="str">
        <f>IFERROR(VLOOKUP(O305,Cadastros!A:E,5,0),"")</f>
        <v/>
      </c>
      <c r="S305" s="177" t="str">
        <f>IFERROR(VLOOKUP(O305,Cadastros!A:F,6,0),"")</f>
        <v/>
      </c>
      <c r="T305" s="177" t="str">
        <f>IFERROR(VLOOKUP(O305,Cadastros!A:I,9,0),"")</f>
        <v/>
      </c>
      <c r="U305" s="177" t="str">
        <f t="shared" si="22"/>
        <v/>
      </c>
      <c r="V305" s="177" t="str">
        <f t="shared" si="23"/>
        <v/>
      </c>
      <c r="W305" s="177" t="str">
        <f t="shared" si="24"/>
        <v/>
      </c>
      <c r="Y305" s="240" t="e">
        <f t="array" ref="Y305">INDEX(Tabela.abordagens[],SMALL(IF(Tabela.abordagens[Mês]=$L$2,ROW(Tabela.abordagens[id])-2),ROW(A258)),1)</f>
        <v>#NUM!</v>
      </c>
      <c r="Z305" s="240" t="e">
        <f t="array" ref="Z305">INDEX(Tabela.abordagens[],SMALL(IF(Tabela.abordagens[Mês]=$L$2,ROW(Tabela.abordagens[Idade])-2),ROW(A258)),6)</f>
        <v>#NUM!</v>
      </c>
      <c r="AA305" s="240" t="e">
        <f t="array" ref="AA305">INDEX(Tabela.abordagens[],SMALL(IF(Tabela.abordagens[Mês]=$L$2,ROW(Tabela.abordagens[Idade])-2),ROW(A258)),4)</f>
        <v>#NUM!</v>
      </c>
      <c r="AB305" s="240" t="e">
        <f t="array" ref="AB305">INDEX(Tabela.abordagens[],SMALL(IF(Tabela.abordagens[Mês]=$L$2,ROW(Tabela.abordagens[Idade])-2),ROW(A258)),5)</f>
        <v>#NUM!</v>
      </c>
    </row>
    <row r="306" spans="2:28" ht="15" x14ac:dyDescent="0.25">
      <c r="B306" s="223" t="e">
        <f t="array" ref="B306">INDEX(Tabela.frequencia[],SMALL(IF(Tabela.frequencia[Mês]=$L$2,ROW(Tabela.frequencia[id])-1),ROW(A259)),1)</f>
        <v>#NUM!</v>
      </c>
      <c r="C306" s="229" t="e">
        <f t="array" ref="C306">INDEX(Tabela.frequencia[],SMALL(IF(Tabela.frequencia[Mês]=$L$2,ROW(Tabela.frequencia[id])-1),ROW(A259)),4)</f>
        <v>#NUM!</v>
      </c>
      <c r="E306" s="176" t="str">
        <f>IFERROR(VLOOKUP(D306,Tabela.cadastro[[ID]:[Nome]],2,0),"")</f>
        <v/>
      </c>
      <c r="F306" s="177" t="str">
        <f>IFERROR(VLOOKUP(D306,Tabela66[#All],2,0),"")</f>
        <v/>
      </c>
      <c r="G306" s="177" t="str">
        <f>IFERROR(VLOOKUP(D306,Tabela.cadastro[[ID]:[CP ou M]],5,0),"")</f>
        <v/>
      </c>
      <c r="H306" s="177" t="str">
        <f>IFERROR(VLOOKUP(D306,Cadastros!A:F,6,0),"")</f>
        <v/>
      </c>
      <c r="I306" s="177" t="str">
        <f>IFERROR(VLOOKUP(D306,Cadastros!A:I,9,0),"")</f>
        <v/>
      </c>
      <c r="J306" s="177" t="str">
        <f>IFERROR(VLOOKUP(D306,Cadastros!A:J,10,0),"")</f>
        <v/>
      </c>
      <c r="K306" s="177" t="str">
        <f>IF(COUNTIF(Tabela66[id],D306)=0,"",COUNTIF(Tabela66[id],D306))</f>
        <v/>
      </c>
      <c r="L306" s="198"/>
      <c r="M306" s="227" t="str">
        <f t="shared" si="25"/>
        <v/>
      </c>
      <c r="P306" s="176" t="str">
        <f>IFERROR(VLOOKUP(O306,Cadastros!A:B,2),"")</f>
        <v/>
      </c>
      <c r="Q306" s="177" t="str">
        <f t="shared" si="21"/>
        <v/>
      </c>
      <c r="R306" s="177" t="str">
        <f>IFERROR(VLOOKUP(O306,Cadastros!A:E,5,0),"")</f>
        <v/>
      </c>
      <c r="S306" s="177" t="str">
        <f>IFERROR(VLOOKUP(O306,Cadastros!A:F,6,0),"")</f>
        <v/>
      </c>
      <c r="T306" s="177" t="str">
        <f>IFERROR(VLOOKUP(O306,Cadastros!A:I,9,0),"")</f>
        <v/>
      </c>
      <c r="U306" s="177" t="str">
        <f t="shared" si="22"/>
        <v/>
      </c>
      <c r="V306" s="177" t="str">
        <f t="shared" si="23"/>
        <v/>
      </c>
      <c r="W306" s="177" t="str">
        <f t="shared" si="24"/>
        <v/>
      </c>
      <c r="Y306" s="240" t="e">
        <f t="array" ref="Y306">INDEX(Tabela.abordagens[],SMALL(IF(Tabela.abordagens[Mês]=$L$2,ROW(Tabela.abordagens[id])-2),ROW(A259)),1)</f>
        <v>#NUM!</v>
      </c>
      <c r="Z306" s="240" t="e">
        <f t="array" ref="Z306">INDEX(Tabela.abordagens[],SMALL(IF(Tabela.abordagens[Mês]=$L$2,ROW(Tabela.abordagens[Idade])-2),ROW(A259)),6)</f>
        <v>#NUM!</v>
      </c>
      <c r="AA306" s="240" t="e">
        <f t="array" ref="AA306">INDEX(Tabela.abordagens[],SMALL(IF(Tabela.abordagens[Mês]=$L$2,ROW(Tabela.abordagens[Idade])-2),ROW(A259)),4)</f>
        <v>#NUM!</v>
      </c>
      <c r="AB306" s="240" t="e">
        <f t="array" ref="AB306">INDEX(Tabela.abordagens[],SMALL(IF(Tabela.abordagens[Mês]=$L$2,ROW(Tabela.abordagens[Idade])-2),ROW(A259)),5)</f>
        <v>#NUM!</v>
      </c>
    </row>
    <row r="307" spans="2:28" ht="15" x14ac:dyDescent="0.25">
      <c r="B307" s="223" t="e">
        <f t="array" ref="B307">INDEX(Tabela.frequencia[],SMALL(IF(Tabela.frequencia[Mês]=$L$2,ROW(Tabela.frequencia[id])-1),ROW(A260)),1)</f>
        <v>#NUM!</v>
      </c>
      <c r="C307" s="229" t="e">
        <f t="array" ref="C307">INDEX(Tabela.frequencia[],SMALL(IF(Tabela.frequencia[Mês]=$L$2,ROW(Tabela.frequencia[id])-1),ROW(A260)),4)</f>
        <v>#NUM!</v>
      </c>
      <c r="E307" s="176" t="str">
        <f>IFERROR(VLOOKUP(D307,Tabela.cadastro[[ID]:[Nome]],2,0),"")</f>
        <v/>
      </c>
      <c r="F307" s="177" t="str">
        <f>IFERROR(VLOOKUP(D307,Tabela66[#All],2,0),"")</f>
        <v/>
      </c>
      <c r="G307" s="177" t="str">
        <f>IFERROR(VLOOKUP(D307,Tabela.cadastro[[ID]:[CP ou M]],5,0),"")</f>
        <v/>
      </c>
      <c r="H307" s="177" t="str">
        <f>IFERROR(VLOOKUP(D307,Cadastros!A:F,6,0),"")</f>
        <v/>
      </c>
      <c r="I307" s="177" t="str">
        <f>IFERROR(VLOOKUP(D307,Cadastros!A:I,9,0),"")</f>
        <v/>
      </c>
      <c r="J307" s="177" t="str">
        <f>IFERROR(VLOOKUP(D307,Cadastros!A:J,10,0),"")</f>
        <v/>
      </c>
      <c r="K307" s="177" t="str">
        <f>IF(COUNTIF(Tabela66[id],D307)=0,"",COUNTIF(Tabela66[id],D307))</f>
        <v/>
      </c>
      <c r="L307" s="198"/>
      <c r="M307" s="227" t="str">
        <f t="shared" si="25"/>
        <v/>
      </c>
      <c r="P307" s="176" t="str">
        <f>IFERROR(VLOOKUP(O307,Cadastros!A:B,2),"")</f>
        <v/>
      </c>
      <c r="Q307" s="177" t="str">
        <f t="shared" si="21"/>
        <v/>
      </c>
      <c r="R307" s="177" t="str">
        <f>IFERROR(VLOOKUP(O307,Cadastros!A:E,5,0),"")</f>
        <v/>
      </c>
      <c r="S307" s="177" t="str">
        <f>IFERROR(VLOOKUP(O307,Cadastros!A:F,6,0),"")</f>
        <v/>
      </c>
      <c r="T307" s="177" t="str">
        <f>IFERROR(VLOOKUP(O307,Cadastros!A:I,9,0),"")</f>
        <v/>
      </c>
      <c r="U307" s="177" t="str">
        <f t="shared" si="22"/>
        <v/>
      </c>
      <c r="V307" s="177" t="str">
        <f t="shared" si="23"/>
        <v/>
      </c>
      <c r="W307" s="177" t="str">
        <f t="shared" si="24"/>
        <v/>
      </c>
      <c r="Y307" s="240" t="e">
        <f t="array" ref="Y307">INDEX(Tabela.abordagens[],SMALL(IF(Tabela.abordagens[Mês]=$L$2,ROW(Tabela.abordagens[id])-2),ROW(A260)),1)</f>
        <v>#NUM!</v>
      </c>
      <c r="Z307" s="240" t="e">
        <f t="array" ref="Z307">INDEX(Tabela.abordagens[],SMALL(IF(Tabela.abordagens[Mês]=$L$2,ROW(Tabela.abordagens[Idade])-2),ROW(A260)),6)</f>
        <v>#NUM!</v>
      </c>
      <c r="AA307" s="240" t="e">
        <f t="array" ref="AA307">INDEX(Tabela.abordagens[],SMALL(IF(Tabela.abordagens[Mês]=$L$2,ROW(Tabela.abordagens[Idade])-2),ROW(A260)),4)</f>
        <v>#NUM!</v>
      </c>
      <c r="AB307" s="240" t="e">
        <f t="array" ref="AB307">INDEX(Tabela.abordagens[],SMALL(IF(Tabela.abordagens[Mês]=$L$2,ROW(Tabela.abordagens[Idade])-2),ROW(A260)),5)</f>
        <v>#NUM!</v>
      </c>
    </row>
    <row r="308" spans="2:28" ht="15" x14ac:dyDescent="0.25">
      <c r="B308" s="223" t="e">
        <f t="array" ref="B308">INDEX(Tabela.frequencia[],SMALL(IF(Tabela.frequencia[Mês]=$L$2,ROW(Tabela.frequencia[id])-1),ROW(A261)),1)</f>
        <v>#NUM!</v>
      </c>
      <c r="C308" s="229" t="e">
        <f t="array" ref="C308">INDEX(Tabela.frequencia[],SMALL(IF(Tabela.frequencia[Mês]=$L$2,ROW(Tabela.frequencia[id])-1),ROW(A261)),4)</f>
        <v>#NUM!</v>
      </c>
      <c r="E308" s="176" t="str">
        <f>IFERROR(VLOOKUP(D308,Tabela.cadastro[[ID]:[Nome]],2,0),"")</f>
        <v/>
      </c>
      <c r="F308" s="177" t="str">
        <f>IFERROR(VLOOKUP(D308,Tabela66[#All],2,0),"")</f>
        <v/>
      </c>
      <c r="G308" s="177" t="str">
        <f>IFERROR(VLOOKUP(D308,Tabela.cadastro[[ID]:[CP ou M]],5,0),"")</f>
        <v/>
      </c>
      <c r="H308" s="177" t="str">
        <f>IFERROR(VLOOKUP(D308,Cadastros!A:F,6,0),"")</f>
        <v/>
      </c>
      <c r="I308" s="177" t="str">
        <f>IFERROR(VLOOKUP(D308,Cadastros!A:I,9,0),"")</f>
        <v/>
      </c>
      <c r="J308" s="177" t="str">
        <f>IFERROR(VLOOKUP(D308,Cadastros!A:J,10,0),"")</f>
        <v/>
      </c>
      <c r="K308" s="177" t="str">
        <f>IF(COUNTIF(Tabela66[id],D308)=0,"",COUNTIF(Tabela66[id],D308))</f>
        <v/>
      </c>
      <c r="L308" s="198"/>
      <c r="M308" s="227" t="str">
        <f t="shared" si="25"/>
        <v/>
      </c>
      <c r="P308" s="176" t="str">
        <f>IFERROR(VLOOKUP(O308,Cadastros!A:B,2),"")</f>
        <v/>
      </c>
      <c r="Q308" s="177" t="str">
        <f t="shared" si="21"/>
        <v/>
      </c>
      <c r="R308" s="177" t="str">
        <f>IFERROR(VLOOKUP(O308,Cadastros!A:E,5,0),"")</f>
        <v/>
      </c>
      <c r="S308" s="177" t="str">
        <f>IFERROR(VLOOKUP(O308,Cadastros!A:F,6,0),"")</f>
        <v/>
      </c>
      <c r="T308" s="177" t="str">
        <f>IFERROR(VLOOKUP(O308,Cadastros!A:I,9,0),"")</f>
        <v/>
      </c>
      <c r="U308" s="177" t="str">
        <f t="shared" si="22"/>
        <v/>
      </c>
      <c r="V308" s="177" t="str">
        <f t="shared" si="23"/>
        <v/>
      </c>
      <c r="W308" s="177" t="str">
        <f t="shared" si="24"/>
        <v/>
      </c>
      <c r="Y308" s="240" t="e">
        <f t="array" ref="Y308">INDEX(Tabela.abordagens[],SMALL(IF(Tabela.abordagens[Mês]=$L$2,ROW(Tabela.abordagens[id])-2),ROW(A261)),1)</f>
        <v>#NUM!</v>
      </c>
      <c r="Z308" s="240" t="e">
        <f t="array" ref="Z308">INDEX(Tabela.abordagens[],SMALL(IF(Tabela.abordagens[Mês]=$L$2,ROW(Tabela.abordagens[Idade])-2),ROW(A261)),6)</f>
        <v>#NUM!</v>
      </c>
      <c r="AA308" s="240" t="e">
        <f t="array" ref="AA308">INDEX(Tabela.abordagens[],SMALL(IF(Tabela.abordagens[Mês]=$L$2,ROW(Tabela.abordagens[Idade])-2),ROW(A261)),4)</f>
        <v>#NUM!</v>
      </c>
      <c r="AB308" s="240" t="e">
        <f t="array" ref="AB308">INDEX(Tabela.abordagens[],SMALL(IF(Tabela.abordagens[Mês]=$L$2,ROW(Tabela.abordagens[Idade])-2),ROW(A261)),5)</f>
        <v>#NUM!</v>
      </c>
    </row>
    <row r="309" spans="2:28" ht="15" x14ac:dyDescent="0.25">
      <c r="B309" s="223" t="e">
        <f t="array" ref="B309">INDEX(Tabela.frequencia[],SMALL(IF(Tabela.frequencia[Mês]=$L$2,ROW(Tabela.frequencia[id])-1),ROW(A262)),1)</f>
        <v>#NUM!</v>
      </c>
      <c r="C309" s="229" t="e">
        <f t="array" ref="C309">INDEX(Tabela.frequencia[],SMALL(IF(Tabela.frequencia[Mês]=$L$2,ROW(Tabela.frequencia[id])-1),ROW(A262)),4)</f>
        <v>#NUM!</v>
      </c>
      <c r="E309" s="176" t="str">
        <f>IFERROR(VLOOKUP(D309,Tabela.cadastro[[ID]:[Nome]],2,0),"")</f>
        <v/>
      </c>
      <c r="F309" s="177" t="str">
        <f>IFERROR(VLOOKUP(D309,Tabela66[#All],2,0),"")</f>
        <v/>
      </c>
      <c r="G309" s="177" t="str">
        <f>IFERROR(VLOOKUP(D309,Tabela.cadastro[[ID]:[CP ou M]],5,0),"")</f>
        <v/>
      </c>
      <c r="H309" s="177" t="str">
        <f>IFERROR(VLOOKUP(D309,Cadastros!A:F,6,0),"")</f>
        <v/>
      </c>
      <c r="I309" s="177" t="str">
        <f>IFERROR(VLOOKUP(D309,Cadastros!A:I,9,0),"")</f>
        <v/>
      </c>
      <c r="J309" s="177" t="str">
        <f>IFERROR(VLOOKUP(D309,Cadastros!A:J,10,0),"")</f>
        <v/>
      </c>
      <c r="K309" s="177" t="str">
        <f>IF(COUNTIF(Tabela66[id],D309)=0,"",COUNTIF(Tabela66[id],D309))</f>
        <v/>
      </c>
      <c r="L309" s="198"/>
      <c r="M309" s="227" t="str">
        <f t="shared" si="25"/>
        <v/>
      </c>
      <c r="P309" s="176" t="str">
        <f>IFERROR(VLOOKUP(O309,Cadastros!A:B,2),"")</f>
        <v/>
      </c>
      <c r="Q309" s="177" t="str">
        <f t="shared" si="21"/>
        <v/>
      </c>
      <c r="R309" s="177" t="str">
        <f>IFERROR(VLOOKUP(O309,Cadastros!A:E,5,0),"")</f>
        <v/>
      </c>
      <c r="S309" s="177" t="str">
        <f>IFERROR(VLOOKUP(O309,Cadastros!A:F,6,0),"")</f>
        <v/>
      </c>
      <c r="T309" s="177" t="str">
        <f>IFERROR(VLOOKUP(O309,Cadastros!A:I,9,0),"")</f>
        <v/>
      </c>
      <c r="U309" s="177" t="str">
        <f t="shared" si="22"/>
        <v/>
      </c>
      <c r="V309" s="177" t="str">
        <f t="shared" si="23"/>
        <v/>
      </c>
      <c r="W309" s="177" t="str">
        <f t="shared" si="24"/>
        <v/>
      </c>
      <c r="Y309" s="240" t="e">
        <f t="array" ref="Y309">INDEX(Tabela.abordagens[],SMALL(IF(Tabela.abordagens[Mês]=$L$2,ROW(Tabela.abordagens[id])-2),ROW(A262)),1)</f>
        <v>#NUM!</v>
      </c>
      <c r="Z309" s="240" t="e">
        <f t="array" ref="Z309">INDEX(Tabela.abordagens[],SMALL(IF(Tabela.abordagens[Mês]=$L$2,ROW(Tabela.abordagens[Idade])-2),ROW(A262)),6)</f>
        <v>#NUM!</v>
      </c>
      <c r="AA309" s="240" t="e">
        <f t="array" ref="AA309">INDEX(Tabela.abordagens[],SMALL(IF(Tabela.abordagens[Mês]=$L$2,ROW(Tabela.abordagens[Idade])-2),ROW(A262)),4)</f>
        <v>#NUM!</v>
      </c>
      <c r="AB309" s="240" t="e">
        <f t="array" ref="AB309">INDEX(Tabela.abordagens[],SMALL(IF(Tabela.abordagens[Mês]=$L$2,ROW(Tabela.abordagens[Idade])-2),ROW(A262)),5)</f>
        <v>#NUM!</v>
      </c>
    </row>
    <row r="310" spans="2:28" ht="15" x14ac:dyDescent="0.25">
      <c r="B310" s="223" t="e">
        <f t="array" ref="B310">INDEX(Tabela.frequencia[],SMALL(IF(Tabela.frequencia[Mês]=$L$2,ROW(Tabela.frequencia[id])-1),ROW(A263)),1)</f>
        <v>#NUM!</v>
      </c>
      <c r="C310" s="229" t="e">
        <f t="array" ref="C310">INDEX(Tabela.frequencia[],SMALL(IF(Tabela.frequencia[Mês]=$L$2,ROW(Tabela.frequencia[id])-1),ROW(A263)),4)</f>
        <v>#NUM!</v>
      </c>
      <c r="E310" s="176" t="str">
        <f>IFERROR(VLOOKUP(D310,Tabela.cadastro[[ID]:[Nome]],2,0),"")</f>
        <v/>
      </c>
      <c r="F310" s="177" t="str">
        <f>IFERROR(VLOOKUP(D310,Tabela66[#All],2,0),"")</f>
        <v/>
      </c>
      <c r="G310" s="177" t="str">
        <f>IFERROR(VLOOKUP(D310,Tabela.cadastro[[ID]:[CP ou M]],5,0),"")</f>
        <v/>
      </c>
      <c r="H310" s="177" t="str">
        <f>IFERROR(VLOOKUP(D310,Cadastros!A:F,6,0),"")</f>
        <v/>
      </c>
      <c r="I310" s="177" t="str">
        <f>IFERROR(VLOOKUP(D310,Cadastros!A:I,9,0),"")</f>
        <v/>
      </c>
      <c r="J310" s="177" t="str">
        <f>IFERROR(VLOOKUP(D310,Cadastros!A:J,10,0),"")</f>
        <v/>
      </c>
      <c r="K310" s="177" t="str">
        <f>IF(COUNTIF(Tabela66[id],D310)=0,"",COUNTIF(Tabela66[id],D310))</f>
        <v/>
      </c>
      <c r="L310" s="198"/>
      <c r="M310" s="227" t="str">
        <f t="shared" si="25"/>
        <v/>
      </c>
      <c r="P310" s="176" t="str">
        <f>IFERROR(VLOOKUP(O310,Cadastros!A:B,2),"")</f>
        <v/>
      </c>
      <c r="Q310" s="177" t="str">
        <f t="shared" si="21"/>
        <v/>
      </c>
      <c r="R310" s="177" t="str">
        <f>IFERROR(VLOOKUP(O310,Cadastros!A:E,5,0),"")</f>
        <v/>
      </c>
      <c r="S310" s="177" t="str">
        <f>IFERROR(VLOOKUP(O310,Cadastros!A:F,6,0),"")</f>
        <v/>
      </c>
      <c r="T310" s="177" t="str">
        <f>IFERROR(VLOOKUP(O310,Cadastros!A:I,9,0),"")</f>
        <v/>
      </c>
      <c r="U310" s="177" t="str">
        <f t="shared" si="22"/>
        <v/>
      </c>
      <c r="V310" s="177" t="str">
        <f t="shared" si="23"/>
        <v/>
      </c>
      <c r="W310" s="177" t="str">
        <f t="shared" si="24"/>
        <v/>
      </c>
      <c r="Y310" s="240" t="e">
        <f t="array" ref="Y310">INDEX(Tabela.abordagens[],SMALL(IF(Tabela.abordagens[Mês]=$L$2,ROW(Tabela.abordagens[id])-2),ROW(A263)),1)</f>
        <v>#NUM!</v>
      </c>
      <c r="Z310" s="240" t="e">
        <f t="array" ref="Z310">INDEX(Tabela.abordagens[],SMALL(IF(Tabela.abordagens[Mês]=$L$2,ROW(Tabela.abordagens[Idade])-2),ROW(A263)),6)</f>
        <v>#NUM!</v>
      </c>
      <c r="AA310" s="240" t="e">
        <f t="array" ref="AA310">INDEX(Tabela.abordagens[],SMALL(IF(Tabela.abordagens[Mês]=$L$2,ROW(Tabela.abordagens[Idade])-2),ROW(A263)),4)</f>
        <v>#NUM!</v>
      </c>
      <c r="AB310" s="240" t="e">
        <f t="array" ref="AB310">INDEX(Tabela.abordagens[],SMALL(IF(Tabela.abordagens[Mês]=$L$2,ROW(Tabela.abordagens[Idade])-2),ROW(A263)),5)</f>
        <v>#NUM!</v>
      </c>
    </row>
    <row r="311" spans="2:28" ht="15" x14ac:dyDescent="0.25">
      <c r="B311" s="223" t="e">
        <f t="array" ref="B311">INDEX(Tabela.frequencia[],SMALL(IF(Tabela.frequencia[Mês]=$L$2,ROW(Tabela.frequencia[id])-1),ROW(A264)),1)</f>
        <v>#NUM!</v>
      </c>
      <c r="C311" s="229" t="e">
        <f t="array" ref="C311">INDEX(Tabela.frequencia[],SMALL(IF(Tabela.frequencia[Mês]=$L$2,ROW(Tabela.frequencia[id])-1),ROW(A264)),4)</f>
        <v>#NUM!</v>
      </c>
      <c r="E311" s="176" t="str">
        <f>IFERROR(VLOOKUP(D311,Tabela.cadastro[[ID]:[Nome]],2,0),"")</f>
        <v/>
      </c>
      <c r="F311" s="177" t="str">
        <f>IFERROR(VLOOKUP(D311,Tabela66[#All],2,0),"")</f>
        <v/>
      </c>
      <c r="G311" s="177" t="str">
        <f>IFERROR(VLOOKUP(D311,Tabela.cadastro[[ID]:[CP ou M]],5,0),"")</f>
        <v/>
      </c>
      <c r="H311" s="177" t="str">
        <f>IFERROR(VLOOKUP(D311,Cadastros!A:F,6,0),"")</f>
        <v/>
      </c>
      <c r="I311" s="177" t="str">
        <f>IFERROR(VLOOKUP(D311,Cadastros!A:I,9,0),"")</f>
        <v/>
      </c>
      <c r="J311" s="177" t="str">
        <f>IFERROR(VLOOKUP(D311,Cadastros!A:J,10,0),"")</f>
        <v/>
      </c>
      <c r="K311" s="177" t="str">
        <f>IF(COUNTIF(Tabela66[id],D311)=0,"",COUNTIF(Tabela66[id],D311))</f>
        <v/>
      </c>
      <c r="L311" s="198"/>
      <c r="M311" s="227" t="str">
        <f t="shared" si="25"/>
        <v/>
      </c>
      <c r="P311" s="176" t="str">
        <f>IFERROR(VLOOKUP(O311,Cadastros!A:B,2),"")</f>
        <v/>
      </c>
      <c r="Q311" s="177" t="str">
        <f t="shared" si="21"/>
        <v/>
      </c>
      <c r="R311" s="177" t="str">
        <f>IFERROR(VLOOKUP(O311,Cadastros!A:E,5,0),"")</f>
        <v/>
      </c>
      <c r="S311" s="177" t="str">
        <f>IFERROR(VLOOKUP(O311,Cadastros!A:F,6,0),"")</f>
        <v/>
      </c>
      <c r="T311" s="177" t="str">
        <f>IFERROR(VLOOKUP(O311,Cadastros!A:I,9,0),"")</f>
        <v/>
      </c>
      <c r="U311" s="177" t="str">
        <f t="shared" si="22"/>
        <v/>
      </c>
      <c r="V311" s="177" t="str">
        <f t="shared" si="23"/>
        <v/>
      </c>
      <c r="W311" s="177" t="str">
        <f t="shared" si="24"/>
        <v/>
      </c>
      <c r="Y311" s="240" t="e">
        <f t="array" ref="Y311">INDEX(Tabela.abordagens[],SMALL(IF(Tabela.abordagens[Mês]=$L$2,ROW(Tabela.abordagens[id])-2),ROW(A264)),1)</f>
        <v>#NUM!</v>
      </c>
      <c r="Z311" s="240" t="e">
        <f t="array" ref="Z311">INDEX(Tabela.abordagens[],SMALL(IF(Tabela.abordagens[Mês]=$L$2,ROW(Tabela.abordagens[Idade])-2),ROW(A264)),6)</f>
        <v>#NUM!</v>
      </c>
      <c r="AA311" s="240" t="e">
        <f t="array" ref="AA311">INDEX(Tabela.abordagens[],SMALL(IF(Tabela.abordagens[Mês]=$L$2,ROW(Tabela.abordagens[Idade])-2),ROW(A264)),4)</f>
        <v>#NUM!</v>
      </c>
      <c r="AB311" s="240" t="e">
        <f t="array" ref="AB311">INDEX(Tabela.abordagens[],SMALL(IF(Tabela.abordagens[Mês]=$L$2,ROW(Tabela.abordagens[Idade])-2),ROW(A264)),5)</f>
        <v>#NUM!</v>
      </c>
    </row>
    <row r="312" spans="2:28" ht="15" x14ac:dyDescent="0.25">
      <c r="B312" s="223" t="e">
        <f t="array" ref="B312">INDEX(Tabela.frequencia[],SMALL(IF(Tabela.frequencia[Mês]=$L$2,ROW(Tabela.frequencia[id])-1),ROW(A265)),1)</f>
        <v>#NUM!</v>
      </c>
      <c r="C312" s="229" t="e">
        <f t="array" ref="C312">INDEX(Tabela.frequencia[],SMALL(IF(Tabela.frequencia[Mês]=$L$2,ROW(Tabela.frequencia[id])-1),ROW(A265)),4)</f>
        <v>#NUM!</v>
      </c>
      <c r="E312" s="176" t="str">
        <f>IFERROR(VLOOKUP(D312,Tabela.cadastro[[ID]:[Nome]],2,0),"")</f>
        <v/>
      </c>
      <c r="F312" s="177" t="str">
        <f>IFERROR(VLOOKUP(D312,Tabela66[#All],2,0),"")</f>
        <v/>
      </c>
      <c r="G312" s="177" t="str">
        <f>IFERROR(VLOOKUP(D312,Tabela.cadastro[[ID]:[CP ou M]],5,0),"")</f>
        <v/>
      </c>
      <c r="H312" s="177" t="str">
        <f>IFERROR(VLOOKUP(D312,Cadastros!A:F,6,0),"")</f>
        <v/>
      </c>
      <c r="I312" s="177" t="str">
        <f>IFERROR(VLOOKUP(D312,Cadastros!A:I,9,0),"")</f>
        <v/>
      </c>
      <c r="J312" s="177" t="str">
        <f>IFERROR(VLOOKUP(D312,Cadastros!A:J,10,0),"")</f>
        <v/>
      </c>
      <c r="K312" s="177" t="str">
        <f>IF(COUNTIF(Tabela66[id],D312)=0,"",COUNTIF(Tabela66[id],D312))</f>
        <v/>
      </c>
      <c r="L312" s="198"/>
      <c r="M312" s="227" t="str">
        <f t="shared" si="25"/>
        <v/>
      </c>
      <c r="P312" s="176" t="str">
        <f>IFERROR(VLOOKUP(O312,Cadastros!A:B,2),"")</f>
        <v/>
      </c>
      <c r="Q312" s="177" t="str">
        <f t="shared" si="21"/>
        <v/>
      </c>
      <c r="R312" s="177" t="str">
        <f>IFERROR(VLOOKUP(O312,Cadastros!A:E,5,0),"")</f>
        <v/>
      </c>
      <c r="S312" s="177" t="str">
        <f>IFERROR(VLOOKUP(O312,Cadastros!A:F,6,0),"")</f>
        <v/>
      </c>
      <c r="T312" s="177" t="str">
        <f>IFERROR(VLOOKUP(O312,Cadastros!A:I,9,0),"")</f>
        <v/>
      </c>
      <c r="U312" s="177" t="str">
        <f t="shared" si="22"/>
        <v/>
      </c>
      <c r="V312" s="177" t="str">
        <f t="shared" si="23"/>
        <v/>
      </c>
      <c r="W312" s="177" t="str">
        <f t="shared" si="24"/>
        <v/>
      </c>
      <c r="Y312" s="240" t="e">
        <f t="array" ref="Y312">INDEX(Tabela.abordagens[],SMALL(IF(Tabela.abordagens[Mês]=$L$2,ROW(Tabela.abordagens[id])-2),ROW(A265)),1)</f>
        <v>#NUM!</v>
      </c>
      <c r="Z312" s="240" t="e">
        <f t="array" ref="Z312">INDEX(Tabela.abordagens[],SMALL(IF(Tabela.abordagens[Mês]=$L$2,ROW(Tabela.abordagens[Idade])-2),ROW(A265)),6)</f>
        <v>#NUM!</v>
      </c>
      <c r="AA312" s="240" t="e">
        <f t="array" ref="AA312">INDEX(Tabela.abordagens[],SMALL(IF(Tabela.abordagens[Mês]=$L$2,ROW(Tabela.abordagens[Idade])-2),ROW(A265)),4)</f>
        <v>#NUM!</v>
      </c>
      <c r="AB312" s="240" t="e">
        <f t="array" ref="AB312">INDEX(Tabela.abordagens[],SMALL(IF(Tabela.abordagens[Mês]=$L$2,ROW(Tabela.abordagens[Idade])-2),ROW(A265)),5)</f>
        <v>#NUM!</v>
      </c>
    </row>
    <row r="313" spans="2:28" ht="15" x14ac:dyDescent="0.25">
      <c r="B313" s="223" t="e">
        <f t="array" ref="B313">INDEX(Tabela.frequencia[],SMALL(IF(Tabela.frequencia[Mês]=$L$2,ROW(Tabela.frequencia[id])-1),ROW(A266)),1)</f>
        <v>#NUM!</v>
      </c>
      <c r="C313" s="229" t="e">
        <f t="array" ref="C313">INDEX(Tabela.frequencia[],SMALL(IF(Tabela.frequencia[Mês]=$L$2,ROW(Tabela.frequencia[id])-1),ROW(A266)),4)</f>
        <v>#NUM!</v>
      </c>
      <c r="E313" s="176" t="str">
        <f>IFERROR(VLOOKUP(D313,Tabela.cadastro[[ID]:[Nome]],2,0),"")</f>
        <v/>
      </c>
      <c r="F313" s="177" t="str">
        <f>IFERROR(VLOOKUP(D313,Tabela66[#All],2,0),"")</f>
        <v/>
      </c>
      <c r="G313" s="177" t="str">
        <f>IFERROR(VLOOKUP(D313,Tabela.cadastro[[ID]:[CP ou M]],5,0),"")</f>
        <v/>
      </c>
      <c r="H313" s="177" t="str">
        <f>IFERROR(VLOOKUP(D313,Cadastros!A:F,6,0),"")</f>
        <v/>
      </c>
      <c r="I313" s="177" t="str">
        <f>IFERROR(VLOOKUP(D313,Cadastros!A:I,9,0),"")</f>
        <v/>
      </c>
      <c r="J313" s="177" t="str">
        <f>IFERROR(VLOOKUP(D313,Cadastros!A:J,10,0),"")</f>
        <v/>
      </c>
      <c r="K313" s="177" t="str">
        <f>IF(COUNTIF(Tabela66[id],D313)=0,"",COUNTIF(Tabela66[id],D313))</f>
        <v/>
      </c>
      <c r="L313" s="198"/>
      <c r="M313" s="227" t="str">
        <f t="shared" si="25"/>
        <v/>
      </c>
      <c r="P313" s="176" t="str">
        <f>IFERROR(VLOOKUP(O313,Cadastros!A:B,2),"")</f>
        <v/>
      </c>
      <c r="Q313" s="177" t="str">
        <f t="shared" si="21"/>
        <v/>
      </c>
      <c r="R313" s="177" t="str">
        <f>IFERROR(VLOOKUP(O313,Cadastros!A:E,5,0),"")</f>
        <v/>
      </c>
      <c r="S313" s="177" t="str">
        <f>IFERROR(VLOOKUP(O313,Cadastros!A:F,6,0),"")</f>
        <v/>
      </c>
      <c r="T313" s="177" t="str">
        <f>IFERROR(VLOOKUP(O313,Cadastros!A:I,9,0),"")</f>
        <v/>
      </c>
      <c r="U313" s="177" t="str">
        <f t="shared" si="22"/>
        <v/>
      </c>
      <c r="V313" s="177" t="str">
        <f t="shared" si="23"/>
        <v/>
      </c>
      <c r="W313" s="177" t="str">
        <f t="shared" si="24"/>
        <v/>
      </c>
      <c r="Y313" s="240" t="e">
        <f t="array" ref="Y313">INDEX(Tabela.abordagens[],SMALL(IF(Tabela.abordagens[Mês]=$L$2,ROW(Tabela.abordagens[id])-2),ROW(A266)),1)</f>
        <v>#NUM!</v>
      </c>
      <c r="Z313" s="240" t="e">
        <f t="array" ref="Z313">INDEX(Tabela.abordagens[],SMALL(IF(Tabela.abordagens[Mês]=$L$2,ROW(Tabela.abordagens[Idade])-2),ROW(A266)),6)</f>
        <v>#NUM!</v>
      </c>
      <c r="AA313" s="240" t="e">
        <f t="array" ref="AA313">INDEX(Tabela.abordagens[],SMALL(IF(Tabela.abordagens[Mês]=$L$2,ROW(Tabela.abordagens[Idade])-2),ROW(A266)),4)</f>
        <v>#NUM!</v>
      </c>
      <c r="AB313" s="240" t="e">
        <f t="array" ref="AB313">INDEX(Tabela.abordagens[],SMALL(IF(Tabela.abordagens[Mês]=$L$2,ROW(Tabela.abordagens[Idade])-2),ROW(A266)),5)</f>
        <v>#NUM!</v>
      </c>
    </row>
    <row r="314" spans="2:28" ht="15" x14ac:dyDescent="0.25">
      <c r="B314" s="223" t="e">
        <f t="array" ref="B314">INDEX(Tabela.frequencia[],SMALL(IF(Tabela.frequencia[Mês]=$L$2,ROW(Tabela.frequencia[id])-1),ROW(A267)),1)</f>
        <v>#NUM!</v>
      </c>
      <c r="C314" s="229" t="e">
        <f t="array" ref="C314">INDEX(Tabela.frequencia[],SMALL(IF(Tabela.frequencia[Mês]=$L$2,ROW(Tabela.frequencia[id])-1),ROW(A267)),4)</f>
        <v>#NUM!</v>
      </c>
      <c r="E314" s="176" t="str">
        <f>IFERROR(VLOOKUP(D314,Tabela.cadastro[[ID]:[Nome]],2,0),"")</f>
        <v/>
      </c>
      <c r="F314" s="177" t="str">
        <f>IFERROR(VLOOKUP(D314,Tabela66[#All],2,0),"")</f>
        <v/>
      </c>
      <c r="G314" s="177" t="str">
        <f>IFERROR(VLOOKUP(D314,Tabela.cadastro[[ID]:[CP ou M]],5,0),"")</f>
        <v/>
      </c>
      <c r="H314" s="177" t="str">
        <f>IFERROR(VLOOKUP(D314,Cadastros!A:F,6,0),"")</f>
        <v/>
      </c>
      <c r="I314" s="177" t="str">
        <f>IFERROR(VLOOKUP(D314,Cadastros!A:I,9,0),"")</f>
        <v/>
      </c>
      <c r="J314" s="177" t="str">
        <f>IFERROR(VLOOKUP(D314,Cadastros!A:J,10,0),"")</f>
        <v/>
      </c>
      <c r="K314" s="177" t="str">
        <f>IF(COUNTIF(Tabela66[id],D314)=0,"",COUNTIF(Tabela66[id],D314))</f>
        <v/>
      </c>
      <c r="L314" s="198"/>
      <c r="M314" s="227" t="str">
        <f t="shared" si="25"/>
        <v/>
      </c>
      <c r="P314" s="176" t="str">
        <f>IFERROR(VLOOKUP(O314,Cadastros!A:B,2),"")</f>
        <v/>
      </c>
      <c r="Q314" s="177" t="str">
        <f t="shared" si="21"/>
        <v/>
      </c>
      <c r="R314" s="177" t="str">
        <f>IFERROR(VLOOKUP(O314,Cadastros!A:E,5,0),"")</f>
        <v/>
      </c>
      <c r="S314" s="177" t="str">
        <f>IFERROR(VLOOKUP(O314,Cadastros!A:F,6,0),"")</f>
        <v/>
      </c>
      <c r="T314" s="177" t="str">
        <f>IFERROR(VLOOKUP(O314,Cadastros!A:I,9,0),"")</f>
        <v/>
      </c>
      <c r="U314" s="177" t="str">
        <f t="shared" si="22"/>
        <v/>
      </c>
      <c r="V314" s="177" t="str">
        <f t="shared" si="23"/>
        <v/>
      </c>
      <c r="W314" s="177" t="str">
        <f t="shared" si="24"/>
        <v/>
      </c>
      <c r="Y314" s="240" t="e">
        <f t="array" ref="Y314">INDEX(Tabela.abordagens[],SMALL(IF(Tabela.abordagens[Mês]=$L$2,ROW(Tabela.abordagens[id])-2),ROW(A267)),1)</f>
        <v>#NUM!</v>
      </c>
      <c r="Z314" s="240" t="e">
        <f t="array" ref="Z314">INDEX(Tabela.abordagens[],SMALL(IF(Tabela.abordagens[Mês]=$L$2,ROW(Tabela.abordagens[Idade])-2),ROW(A267)),6)</f>
        <v>#NUM!</v>
      </c>
      <c r="AA314" s="240" t="e">
        <f t="array" ref="AA314">INDEX(Tabela.abordagens[],SMALL(IF(Tabela.abordagens[Mês]=$L$2,ROW(Tabela.abordagens[Idade])-2),ROW(A267)),4)</f>
        <v>#NUM!</v>
      </c>
      <c r="AB314" s="240" t="e">
        <f t="array" ref="AB314">INDEX(Tabela.abordagens[],SMALL(IF(Tabela.abordagens[Mês]=$L$2,ROW(Tabela.abordagens[Idade])-2),ROW(A267)),5)</f>
        <v>#NUM!</v>
      </c>
    </row>
    <row r="315" spans="2:28" ht="15" x14ac:dyDescent="0.25">
      <c r="B315" s="223" t="e">
        <f t="array" ref="B315">INDEX(Tabela.frequencia[],SMALL(IF(Tabela.frequencia[Mês]=$L$2,ROW(Tabela.frequencia[id])-1),ROW(A268)),1)</f>
        <v>#NUM!</v>
      </c>
      <c r="C315" s="229" t="e">
        <f t="array" ref="C315">INDEX(Tabela.frequencia[],SMALL(IF(Tabela.frequencia[Mês]=$L$2,ROW(Tabela.frequencia[id])-1),ROW(A268)),4)</f>
        <v>#NUM!</v>
      </c>
      <c r="E315" s="176" t="str">
        <f>IFERROR(VLOOKUP(D315,Tabela.cadastro[[ID]:[Nome]],2,0),"")</f>
        <v/>
      </c>
      <c r="F315" s="177" t="str">
        <f>IFERROR(VLOOKUP(D315,Tabela66[#All],2,0),"")</f>
        <v/>
      </c>
      <c r="G315" s="177" t="str">
        <f>IFERROR(VLOOKUP(D315,Tabela.cadastro[[ID]:[CP ou M]],5,0),"")</f>
        <v/>
      </c>
      <c r="H315" s="177" t="str">
        <f>IFERROR(VLOOKUP(D315,Cadastros!A:F,6,0),"")</f>
        <v/>
      </c>
      <c r="I315" s="177" t="str">
        <f>IFERROR(VLOOKUP(D315,Cadastros!A:I,9,0),"")</f>
        <v/>
      </c>
      <c r="J315" s="177" t="str">
        <f>IFERROR(VLOOKUP(D315,Cadastros!A:J,10,0),"")</f>
        <v/>
      </c>
      <c r="K315" s="177" t="str">
        <f>IF(COUNTIF(Tabela66[id],D315)=0,"",COUNTIF(Tabela66[id],D315))</f>
        <v/>
      </c>
      <c r="L315" s="198"/>
      <c r="M315" s="227" t="str">
        <f t="shared" si="25"/>
        <v/>
      </c>
      <c r="P315" s="176" t="str">
        <f>IFERROR(VLOOKUP(O315,Cadastros!A:B,2),"")</f>
        <v/>
      </c>
      <c r="Q315" s="177" t="str">
        <f t="shared" si="21"/>
        <v/>
      </c>
      <c r="R315" s="177" t="str">
        <f>IFERROR(VLOOKUP(O315,Cadastros!A:E,5,0),"")</f>
        <v/>
      </c>
      <c r="S315" s="177" t="str">
        <f>IFERROR(VLOOKUP(O315,Cadastros!A:F,6,0),"")</f>
        <v/>
      </c>
      <c r="T315" s="177" t="str">
        <f>IFERROR(VLOOKUP(O315,Cadastros!A:I,9,0),"")</f>
        <v/>
      </c>
      <c r="U315" s="177" t="str">
        <f t="shared" si="22"/>
        <v/>
      </c>
      <c r="V315" s="177" t="str">
        <f t="shared" si="23"/>
        <v/>
      </c>
      <c r="W315" s="177" t="str">
        <f t="shared" si="24"/>
        <v/>
      </c>
      <c r="Y315" s="240" t="e">
        <f t="array" ref="Y315">INDEX(Tabela.abordagens[],SMALL(IF(Tabela.abordagens[Mês]=$L$2,ROW(Tabela.abordagens[id])-2),ROW(A268)),1)</f>
        <v>#NUM!</v>
      </c>
      <c r="Z315" s="240" t="e">
        <f t="array" ref="Z315">INDEX(Tabela.abordagens[],SMALL(IF(Tabela.abordagens[Mês]=$L$2,ROW(Tabela.abordagens[Idade])-2),ROW(A268)),6)</f>
        <v>#NUM!</v>
      </c>
      <c r="AA315" s="240" t="e">
        <f t="array" ref="AA315">INDEX(Tabela.abordagens[],SMALL(IF(Tabela.abordagens[Mês]=$L$2,ROW(Tabela.abordagens[Idade])-2),ROW(A268)),4)</f>
        <v>#NUM!</v>
      </c>
      <c r="AB315" s="240" t="e">
        <f t="array" ref="AB315">INDEX(Tabela.abordagens[],SMALL(IF(Tabela.abordagens[Mês]=$L$2,ROW(Tabela.abordagens[Idade])-2),ROW(A268)),5)</f>
        <v>#NUM!</v>
      </c>
    </row>
    <row r="316" spans="2:28" ht="15" x14ac:dyDescent="0.25">
      <c r="B316" s="223" t="e">
        <f t="array" ref="B316">INDEX(Tabela.frequencia[],SMALL(IF(Tabela.frequencia[Mês]=$L$2,ROW(Tabela.frequencia[id])-1),ROW(A269)),1)</f>
        <v>#NUM!</v>
      </c>
      <c r="C316" s="229" t="e">
        <f t="array" ref="C316">INDEX(Tabela.frequencia[],SMALL(IF(Tabela.frequencia[Mês]=$L$2,ROW(Tabela.frequencia[id])-1),ROW(A269)),4)</f>
        <v>#NUM!</v>
      </c>
      <c r="E316" s="176" t="str">
        <f>IFERROR(VLOOKUP(D316,Tabela.cadastro[[ID]:[Nome]],2,0),"")</f>
        <v/>
      </c>
      <c r="F316" s="177" t="str">
        <f>IFERROR(VLOOKUP(D316,Tabela66[#All],2,0),"")</f>
        <v/>
      </c>
      <c r="G316" s="177" t="str">
        <f>IFERROR(VLOOKUP(D316,Tabela.cadastro[[ID]:[CP ou M]],5,0),"")</f>
        <v/>
      </c>
      <c r="H316" s="177" t="str">
        <f>IFERROR(VLOOKUP(D316,Cadastros!A:F,6,0),"")</f>
        <v/>
      </c>
      <c r="I316" s="177" t="str">
        <f>IFERROR(VLOOKUP(D316,Cadastros!A:I,9,0),"")</f>
        <v/>
      </c>
      <c r="J316" s="177" t="str">
        <f>IFERROR(VLOOKUP(D316,Cadastros!A:J,10,0),"")</f>
        <v/>
      </c>
      <c r="K316" s="177" t="str">
        <f>IF(COUNTIF(Tabela66[id],D316)=0,"",COUNTIF(Tabela66[id],D316))</f>
        <v/>
      </c>
      <c r="L316" s="198"/>
      <c r="M316" s="227" t="str">
        <f t="shared" si="25"/>
        <v/>
      </c>
      <c r="P316" s="176" t="str">
        <f>IFERROR(VLOOKUP(O316,Cadastros!A:B,2),"")</f>
        <v/>
      </c>
      <c r="Q316" s="177" t="str">
        <f t="shared" si="21"/>
        <v/>
      </c>
      <c r="R316" s="177" t="str">
        <f>IFERROR(VLOOKUP(O316,Cadastros!A:E,5,0),"")</f>
        <v/>
      </c>
      <c r="S316" s="177" t="str">
        <f>IFERROR(VLOOKUP(O316,Cadastros!A:F,6,0),"")</f>
        <v/>
      </c>
      <c r="T316" s="177" t="str">
        <f>IFERROR(VLOOKUP(O316,Cadastros!A:I,9,0),"")</f>
        <v/>
      </c>
      <c r="U316" s="177" t="str">
        <f t="shared" si="22"/>
        <v/>
      </c>
      <c r="V316" s="177" t="str">
        <f t="shared" si="23"/>
        <v/>
      </c>
      <c r="W316" s="177" t="str">
        <f t="shared" si="24"/>
        <v/>
      </c>
      <c r="Y316" s="240" t="e">
        <f t="array" ref="Y316">INDEX(Tabela.abordagens[],SMALL(IF(Tabela.abordagens[Mês]=$L$2,ROW(Tabela.abordagens[id])-2),ROW(A269)),1)</f>
        <v>#NUM!</v>
      </c>
      <c r="Z316" s="240" t="e">
        <f t="array" ref="Z316">INDEX(Tabela.abordagens[],SMALL(IF(Tabela.abordagens[Mês]=$L$2,ROW(Tabela.abordagens[Idade])-2),ROW(A269)),6)</f>
        <v>#NUM!</v>
      </c>
      <c r="AA316" s="240" t="e">
        <f t="array" ref="AA316">INDEX(Tabela.abordagens[],SMALL(IF(Tabela.abordagens[Mês]=$L$2,ROW(Tabela.abordagens[Idade])-2),ROW(A269)),4)</f>
        <v>#NUM!</v>
      </c>
      <c r="AB316" s="240" t="e">
        <f t="array" ref="AB316">INDEX(Tabela.abordagens[],SMALL(IF(Tabela.abordagens[Mês]=$L$2,ROW(Tabela.abordagens[Idade])-2),ROW(A269)),5)</f>
        <v>#NUM!</v>
      </c>
    </row>
    <row r="317" spans="2:28" ht="15" x14ac:dyDescent="0.25">
      <c r="B317" s="223" t="e">
        <f t="array" ref="B317">INDEX(Tabela.frequencia[],SMALL(IF(Tabela.frequencia[Mês]=$L$2,ROW(Tabela.frequencia[id])-1),ROW(A270)),1)</f>
        <v>#NUM!</v>
      </c>
      <c r="C317" s="229" t="e">
        <f t="array" ref="C317">INDEX(Tabela.frequencia[],SMALL(IF(Tabela.frequencia[Mês]=$L$2,ROW(Tabela.frequencia[id])-1),ROW(A270)),4)</f>
        <v>#NUM!</v>
      </c>
      <c r="E317" s="176" t="str">
        <f>IFERROR(VLOOKUP(D317,Tabela.cadastro[[ID]:[Nome]],2,0),"")</f>
        <v/>
      </c>
      <c r="F317" s="177" t="str">
        <f>IFERROR(VLOOKUP(D317,Tabela66[#All],2,0),"")</f>
        <v/>
      </c>
      <c r="G317" s="177" t="str">
        <f>IFERROR(VLOOKUP(D317,Tabela.cadastro[[ID]:[CP ou M]],5,0),"")</f>
        <v/>
      </c>
      <c r="H317" s="177" t="str">
        <f>IFERROR(VLOOKUP(D317,Cadastros!A:F,6,0),"")</f>
        <v/>
      </c>
      <c r="I317" s="177" t="str">
        <f>IFERROR(VLOOKUP(D317,Cadastros!A:I,9,0),"")</f>
        <v/>
      </c>
      <c r="J317" s="177" t="str">
        <f>IFERROR(VLOOKUP(D317,Cadastros!A:J,10,0),"")</f>
        <v/>
      </c>
      <c r="K317" s="177" t="str">
        <f>IF(COUNTIF(Tabela66[id],D317)=0,"",COUNTIF(Tabela66[id],D317))</f>
        <v/>
      </c>
      <c r="L317" s="198"/>
      <c r="M317" s="227" t="str">
        <f t="shared" si="25"/>
        <v/>
      </c>
      <c r="P317" s="176" t="str">
        <f>IFERROR(VLOOKUP(O317,Cadastros!A:B,2),"")</f>
        <v/>
      </c>
      <c r="Q317" s="177" t="str">
        <f t="shared" si="21"/>
        <v/>
      </c>
      <c r="R317" s="177" t="str">
        <f>IFERROR(VLOOKUP(O317,Cadastros!A:E,5,0),"")</f>
        <v/>
      </c>
      <c r="S317" s="177" t="str">
        <f>IFERROR(VLOOKUP(O317,Cadastros!A:F,6,0),"")</f>
        <v/>
      </c>
      <c r="T317" s="177" t="str">
        <f>IFERROR(VLOOKUP(O317,Cadastros!A:I,9,0),"")</f>
        <v/>
      </c>
      <c r="U317" s="177" t="str">
        <f t="shared" si="22"/>
        <v/>
      </c>
      <c r="V317" s="177" t="str">
        <f t="shared" si="23"/>
        <v/>
      </c>
      <c r="W317" s="177" t="str">
        <f t="shared" si="24"/>
        <v/>
      </c>
      <c r="Y317" s="240" t="e">
        <f t="array" ref="Y317">INDEX(Tabela.abordagens[],SMALL(IF(Tabela.abordagens[Mês]=$L$2,ROW(Tabela.abordagens[id])-2),ROW(A270)),1)</f>
        <v>#NUM!</v>
      </c>
      <c r="Z317" s="240" t="e">
        <f t="array" ref="Z317">INDEX(Tabela.abordagens[],SMALL(IF(Tabela.abordagens[Mês]=$L$2,ROW(Tabela.abordagens[Idade])-2),ROW(A270)),6)</f>
        <v>#NUM!</v>
      </c>
      <c r="AA317" s="240" t="e">
        <f t="array" ref="AA317">INDEX(Tabela.abordagens[],SMALL(IF(Tabela.abordagens[Mês]=$L$2,ROW(Tabela.abordagens[Idade])-2),ROW(A270)),4)</f>
        <v>#NUM!</v>
      </c>
      <c r="AB317" s="240" t="e">
        <f t="array" ref="AB317">INDEX(Tabela.abordagens[],SMALL(IF(Tabela.abordagens[Mês]=$L$2,ROW(Tabela.abordagens[Idade])-2),ROW(A270)),5)</f>
        <v>#NUM!</v>
      </c>
    </row>
    <row r="318" spans="2:28" ht="15" x14ac:dyDescent="0.25">
      <c r="B318" s="223" t="e">
        <f t="array" ref="B318">INDEX(Tabela.frequencia[],SMALL(IF(Tabela.frequencia[Mês]=$L$2,ROW(Tabela.frequencia[id])-1),ROW(A271)),1)</f>
        <v>#NUM!</v>
      </c>
      <c r="C318" s="229" t="e">
        <f t="array" ref="C318">INDEX(Tabela.frequencia[],SMALL(IF(Tabela.frequencia[Mês]=$L$2,ROW(Tabela.frequencia[id])-1),ROW(A271)),4)</f>
        <v>#NUM!</v>
      </c>
      <c r="E318" s="176" t="str">
        <f>IFERROR(VLOOKUP(D318,Tabela.cadastro[[ID]:[Nome]],2,0),"")</f>
        <v/>
      </c>
      <c r="F318" s="177" t="str">
        <f>IFERROR(VLOOKUP(D318,Tabela66[#All],2,0),"")</f>
        <v/>
      </c>
      <c r="G318" s="177" t="str">
        <f>IFERROR(VLOOKUP(D318,Tabela.cadastro[[ID]:[CP ou M]],5,0),"")</f>
        <v/>
      </c>
      <c r="H318" s="177" t="str">
        <f>IFERROR(VLOOKUP(D318,Cadastros!A:F,6,0),"")</f>
        <v/>
      </c>
      <c r="I318" s="177" t="str">
        <f>IFERROR(VLOOKUP(D318,Cadastros!A:I,9,0),"")</f>
        <v/>
      </c>
      <c r="J318" s="177" t="str">
        <f>IFERROR(VLOOKUP(D318,Cadastros!A:J,10,0),"")</f>
        <v/>
      </c>
      <c r="K318" s="177" t="str">
        <f>IF(COUNTIF(Tabela66[id],D318)=0,"",COUNTIF(Tabela66[id],D318))</f>
        <v/>
      </c>
      <c r="L318" s="198"/>
      <c r="M318" s="227" t="str">
        <f t="shared" si="25"/>
        <v/>
      </c>
      <c r="P318" s="176" t="str">
        <f>IFERROR(VLOOKUP(O318,Cadastros!A:B,2),"")</f>
        <v/>
      </c>
      <c r="Q318" s="177" t="str">
        <f t="shared" si="21"/>
        <v/>
      </c>
      <c r="R318" s="177" t="str">
        <f>IFERROR(VLOOKUP(O318,Cadastros!A:E,5,0),"")</f>
        <v/>
      </c>
      <c r="S318" s="177" t="str">
        <f>IFERROR(VLOOKUP(O318,Cadastros!A:F,6,0),"")</f>
        <v/>
      </c>
      <c r="T318" s="177" t="str">
        <f>IFERROR(VLOOKUP(O318,Cadastros!A:I,9,0),"")</f>
        <v/>
      </c>
      <c r="U318" s="177" t="str">
        <f t="shared" si="22"/>
        <v/>
      </c>
      <c r="V318" s="177" t="str">
        <f t="shared" si="23"/>
        <v/>
      </c>
      <c r="W318" s="177" t="str">
        <f t="shared" si="24"/>
        <v/>
      </c>
      <c r="Y318" s="240" t="e">
        <f t="array" ref="Y318">INDEX(Tabela.abordagens[],SMALL(IF(Tabela.abordagens[Mês]=$L$2,ROW(Tabela.abordagens[id])-2),ROW(A271)),1)</f>
        <v>#NUM!</v>
      </c>
      <c r="Z318" s="240" t="e">
        <f t="array" ref="Z318">INDEX(Tabela.abordagens[],SMALL(IF(Tabela.abordagens[Mês]=$L$2,ROW(Tabela.abordagens[Idade])-2),ROW(A271)),6)</f>
        <v>#NUM!</v>
      </c>
      <c r="AA318" s="240" t="e">
        <f t="array" ref="AA318">INDEX(Tabela.abordagens[],SMALL(IF(Tabela.abordagens[Mês]=$L$2,ROW(Tabela.abordagens[Idade])-2),ROW(A271)),4)</f>
        <v>#NUM!</v>
      </c>
      <c r="AB318" s="240" t="e">
        <f t="array" ref="AB318">INDEX(Tabela.abordagens[],SMALL(IF(Tabela.abordagens[Mês]=$L$2,ROW(Tabela.abordagens[Idade])-2),ROW(A271)),5)</f>
        <v>#NUM!</v>
      </c>
    </row>
    <row r="319" spans="2:28" ht="15" x14ac:dyDescent="0.25">
      <c r="B319" s="223" t="e">
        <f t="array" ref="B319">INDEX(Tabela.frequencia[],SMALL(IF(Tabela.frequencia[Mês]=$L$2,ROW(Tabela.frequencia[id])-1),ROW(A272)),1)</f>
        <v>#NUM!</v>
      </c>
      <c r="C319" s="229" t="e">
        <f t="array" ref="C319">INDEX(Tabela.frequencia[],SMALL(IF(Tabela.frequencia[Mês]=$L$2,ROW(Tabela.frequencia[id])-1),ROW(A272)),4)</f>
        <v>#NUM!</v>
      </c>
      <c r="E319" s="176" t="str">
        <f>IFERROR(VLOOKUP(D319,Tabela.cadastro[[ID]:[Nome]],2,0),"")</f>
        <v/>
      </c>
      <c r="F319" s="177" t="str">
        <f>IFERROR(VLOOKUP(D319,Tabela66[#All],2,0),"")</f>
        <v/>
      </c>
      <c r="G319" s="177" t="str">
        <f>IFERROR(VLOOKUP(D319,Tabela.cadastro[[ID]:[CP ou M]],5,0),"")</f>
        <v/>
      </c>
      <c r="H319" s="177" t="str">
        <f>IFERROR(VLOOKUP(D319,Cadastros!A:F,6,0),"")</f>
        <v/>
      </c>
      <c r="I319" s="177" t="str">
        <f>IFERROR(VLOOKUP(D319,Cadastros!A:I,9,0),"")</f>
        <v/>
      </c>
      <c r="J319" s="177" t="str">
        <f>IFERROR(VLOOKUP(D319,Cadastros!A:J,10,0),"")</f>
        <v/>
      </c>
      <c r="K319" s="177" t="str">
        <f>IF(COUNTIF(Tabela66[id],D319)=0,"",COUNTIF(Tabela66[id],D319))</f>
        <v/>
      </c>
      <c r="L319" s="198"/>
      <c r="M319" s="227" t="str">
        <f t="shared" si="25"/>
        <v/>
      </c>
      <c r="P319" s="176" t="str">
        <f>IFERROR(VLOOKUP(O319,Cadastros!A:B,2),"")</f>
        <v/>
      </c>
      <c r="Q319" s="177" t="str">
        <f t="shared" si="21"/>
        <v/>
      </c>
      <c r="R319" s="177" t="str">
        <f>IFERROR(VLOOKUP(O319,Cadastros!A:E,5,0),"")</f>
        <v/>
      </c>
      <c r="S319" s="177" t="str">
        <f>IFERROR(VLOOKUP(O319,Cadastros!A:F,6,0),"")</f>
        <v/>
      </c>
      <c r="T319" s="177" t="str">
        <f>IFERROR(VLOOKUP(O319,Cadastros!A:I,9,0),"")</f>
        <v/>
      </c>
      <c r="U319" s="177" t="str">
        <f t="shared" si="22"/>
        <v/>
      </c>
      <c r="V319" s="177" t="str">
        <f t="shared" si="23"/>
        <v/>
      </c>
      <c r="W319" s="177" t="str">
        <f t="shared" si="24"/>
        <v/>
      </c>
      <c r="Y319" s="240" t="e">
        <f t="array" ref="Y319">INDEX(Tabela.abordagens[],SMALL(IF(Tabela.abordagens[Mês]=$L$2,ROW(Tabela.abordagens[id])-2),ROW(A272)),1)</f>
        <v>#NUM!</v>
      </c>
      <c r="Z319" s="240" t="e">
        <f t="array" ref="Z319">INDEX(Tabela.abordagens[],SMALL(IF(Tabela.abordagens[Mês]=$L$2,ROW(Tabela.abordagens[Idade])-2),ROW(A272)),6)</f>
        <v>#NUM!</v>
      </c>
      <c r="AA319" s="240" t="e">
        <f t="array" ref="AA319">INDEX(Tabela.abordagens[],SMALL(IF(Tabela.abordagens[Mês]=$L$2,ROW(Tabela.abordagens[Idade])-2),ROW(A272)),4)</f>
        <v>#NUM!</v>
      </c>
      <c r="AB319" s="240" t="e">
        <f t="array" ref="AB319">INDEX(Tabela.abordagens[],SMALL(IF(Tabela.abordagens[Mês]=$L$2,ROW(Tabela.abordagens[Idade])-2),ROW(A272)),5)</f>
        <v>#NUM!</v>
      </c>
    </row>
    <row r="320" spans="2:28" ht="15" x14ac:dyDescent="0.25">
      <c r="B320" s="223" t="e">
        <f t="array" ref="B320">INDEX(Tabela.frequencia[],SMALL(IF(Tabela.frequencia[Mês]=$L$2,ROW(Tabela.frequencia[id])-1),ROW(A273)),1)</f>
        <v>#NUM!</v>
      </c>
      <c r="C320" s="229" t="e">
        <f t="array" ref="C320">INDEX(Tabela.frequencia[],SMALL(IF(Tabela.frequencia[Mês]=$L$2,ROW(Tabela.frequencia[id])-1),ROW(A273)),4)</f>
        <v>#NUM!</v>
      </c>
      <c r="E320" s="176" t="str">
        <f>IFERROR(VLOOKUP(D320,Tabela.cadastro[[ID]:[Nome]],2,0),"")</f>
        <v/>
      </c>
      <c r="F320" s="177" t="str">
        <f>IFERROR(VLOOKUP(D320,Tabela66[#All],2,0),"")</f>
        <v/>
      </c>
      <c r="G320" s="177" t="str">
        <f>IFERROR(VLOOKUP(D320,Tabela.cadastro[[ID]:[CP ou M]],5,0),"")</f>
        <v/>
      </c>
      <c r="H320" s="177" t="str">
        <f>IFERROR(VLOOKUP(D320,Cadastros!A:F,6,0),"")</f>
        <v/>
      </c>
      <c r="I320" s="177" t="str">
        <f>IFERROR(VLOOKUP(D320,Cadastros!A:I,9,0),"")</f>
        <v/>
      </c>
      <c r="J320" s="177" t="str">
        <f>IFERROR(VLOOKUP(D320,Cadastros!A:J,10,0),"")</f>
        <v/>
      </c>
      <c r="K320" s="177" t="str">
        <f>IF(COUNTIF(Tabela66[id],D320)=0,"",COUNTIF(Tabela66[id],D320))</f>
        <v/>
      </c>
      <c r="L320" s="198"/>
      <c r="M320" s="227" t="str">
        <f t="shared" si="25"/>
        <v/>
      </c>
      <c r="P320" s="176" t="str">
        <f>IFERROR(VLOOKUP(O320,Cadastros!A:B,2),"")</f>
        <v/>
      </c>
      <c r="Q320" s="177" t="str">
        <f t="shared" si="21"/>
        <v/>
      </c>
      <c r="R320" s="177" t="str">
        <f>IFERROR(VLOOKUP(O320,Cadastros!A:E,5,0),"")</f>
        <v/>
      </c>
      <c r="S320" s="177" t="str">
        <f>IFERROR(VLOOKUP(O320,Cadastros!A:F,6,0),"")</f>
        <v/>
      </c>
      <c r="T320" s="177" t="str">
        <f>IFERROR(VLOOKUP(O320,Cadastros!A:I,9,0),"")</f>
        <v/>
      </c>
      <c r="U320" s="177" t="str">
        <f t="shared" si="22"/>
        <v/>
      </c>
      <c r="V320" s="177" t="str">
        <f t="shared" si="23"/>
        <v/>
      </c>
      <c r="W320" s="177" t="str">
        <f t="shared" si="24"/>
        <v/>
      </c>
      <c r="Y320" s="240" t="e">
        <f t="array" ref="Y320">INDEX(Tabela.abordagens[],SMALL(IF(Tabela.abordagens[Mês]=$L$2,ROW(Tabela.abordagens[id])-2),ROW(A273)),1)</f>
        <v>#NUM!</v>
      </c>
      <c r="Z320" s="240" t="e">
        <f t="array" ref="Z320">INDEX(Tabela.abordagens[],SMALL(IF(Tabela.abordagens[Mês]=$L$2,ROW(Tabela.abordagens[Idade])-2),ROW(A273)),6)</f>
        <v>#NUM!</v>
      </c>
      <c r="AA320" s="240" t="e">
        <f t="array" ref="AA320">INDEX(Tabela.abordagens[],SMALL(IF(Tabela.abordagens[Mês]=$L$2,ROW(Tabela.abordagens[Idade])-2),ROW(A273)),4)</f>
        <v>#NUM!</v>
      </c>
      <c r="AB320" s="240" t="e">
        <f t="array" ref="AB320">INDEX(Tabela.abordagens[],SMALL(IF(Tabela.abordagens[Mês]=$L$2,ROW(Tabela.abordagens[Idade])-2),ROW(A273)),5)</f>
        <v>#NUM!</v>
      </c>
    </row>
    <row r="321" spans="2:28" ht="15" x14ac:dyDescent="0.25">
      <c r="B321" s="223" t="e">
        <f t="array" ref="B321">INDEX(Tabela.frequencia[],SMALL(IF(Tabela.frequencia[Mês]=$L$2,ROW(Tabela.frequencia[id])-1),ROW(A274)),1)</f>
        <v>#NUM!</v>
      </c>
      <c r="C321" s="229" t="e">
        <f t="array" ref="C321">INDEX(Tabela.frequencia[],SMALL(IF(Tabela.frequencia[Mês]=$L$2,ROW(Tabela.frequencia[id])-1),ROW(A274)),4)</f>
        <v>#NUM!</v>
      </c>
      <c r="E321" s="176" t="str">
        <f>IFERROR(VLOOKUP(D321,Tabela.cadastro[[ID]:[Nome]],2,0),"")</f>
        <v/>
      </c>
      <c r="F321" s="177" t="str">
        <f>IFERROR(VLOOKUP(D321,Tabela66[#All],2,0),"")</f>
        <v/>
      </c>
      <c r="G321" s="177" t="str">
        <f>IFERROR(VLOOKUP(D321,Tabela.cadastro[[ID]:[CP ou M]],5,0),"")</f>
        <v/>
      </c>
      <c r="H321" s="177" t="str">
        <f>IFERROR(VLOOKUP(D321,Cadastros!A:F,6,0),"")</f>
        <v/>
      </c>
      <c r="I321" s="177" t="str">
        <f>IFERROR(VLOOKUP(D321,Cadastros!A:I,9,0),"")</f>
        <v/>
      </c>
      <c r="J321" s="177" t="str">
        <f>IFERROR(VLOOKUP(D321,Cadastros!A:J,10,0),"")</f>
        <v/>
      </c>
      <c r="K321" s="177" t="str">
        <f>IF(COUNTIF(Tabela66[id],D321)=0,"",COUNTIF(Tabela66[id],D321))</f>
        <v/>
      </c>
      <c r="L321" s="198"/>
      <c r="M321" s="227" t="str">
        <f t="shared" si="25"/>
        <v/>
      </c>
      <c r="P321" s="176" t="str">
        <f>IFERROR(VLOOKUP(O321,Cadastros!A:B,2),"")</f>
        <v/>
      </c>
      <c r="Q321" s="177" t="str">
        <f t="shared" si="21"/>
        <v/>
      </c>
      <c r="R321" s="177" t="str">
        <f>IFERROR(VLOOKUP(O321,Cadastros!A:E,5,0),"")</f>
        <v/>
      </c>
      <c r="S321" s="177" t="str">
        <f>IFERROR(VLOOKUP(O321,Cadastros!A:F,6,0),"")</f>
        <v/>
      </c>
      <c r="T321" s="177" t="str">
        <f>IFERROR(VLOOKUP(O321,Cadastros!A:I,9,0),"")</f>
        <v/>
      </c>
      <c r="U321" s="177" t="str">
        <f t="shared" si="22"/>
        <v/>
      </c>
      <c r="V321" s="177" t="str">
        <f t="shared" si="23"/>
        <v/>
      </c>
      <c r="W321" s="177" t="str">
        <f t="shared" si="24"/>
        <v/>
      </c>
      <c r="Y321" s="240" t="e">
        <f t="array" ref="Y321">INDEX(Tabela.abordagens[],SMALL(IF(Tabela.abordagens[Mês]=$L$2,ROW(Tabela.abordagens[id])-2),ROW(A274)),1)</f>
        <v>#NUM!</v>
      </c>
      <c r="Z321" s="240" t="e">
        <f t="array" ref="Z321">INDEX(Tabela.abordagens[],SMALL(IF(Tabela.abordagens[Mês]=$L$2,ROW(Tabela.abordagens[Idade])-2),ROW(A274)),6)</f>
        <v>#NUM!</v>
      </c>
      <c r="AA321" s="240" t="e">
        <f t="array" ref="AA321">INDEX(Tabela.abordagens[],SMALL(IF(Tabela.abordagens[Mês]=$L$2,ROW(Tabela.abordagens[Idade])-2),ROW(A274)),4)</f>
        <v>#NUM!</v>
      </c>
      <c r="AB321" s="240" t="e">
        <f t="array" ref="AB321">INDEX(Tabela.abordagens[],SMALL(IF(Tabela.abordagens[Mês]=$L$2,ROW(Tabela.abordagens[Idade])-2),ROW(A274)),5)</f>
        <v>#NUM!</v>
      </c>
    </row>
    <row r="322" spans="2:28" ht="15" x14ac:dyDescent="0.25">
      <c r="B322" s="223" t="e">
        <f t="array" ref="B322">INDEX(Tabela.frequencia[],SMALL(IF(Tabela.frequencia[Mês]=$L$2,ROW(Tabela.frequencia[id])-1),ROW(A275)),1)</f>
        <v>#NUM!</v>
      </c>
      <c r="C322" s="229" t="e">
        <f t="array" ref="C322">INDEX(Tabela.frequencia[],SMALL(IF(Tabela.frequencia[Mês]=$L$2,ROW(Tabela.frequencia[id])-1),ROW(A275)),4)</f>
        <v>#NUM!</v>
      </c>
      <c r="E322" s="176" t="str">
        <f>IFERROR(VLOOKUP(D322,Tabela.cadastro[[ID]:[Nome]],2,0),"")</f>
        <v/>
      </c>
      <c r="F322" s="177" t="str">
        <f>IFERROR(VLOOKUP(D322,Tabela66[#All],2,0),"")</f>
        <v/>
      </c>
      <c r="G322" s="177" t="str">
        <f>IFERROR(VLOOKUP(D322,Tabela.cadastro[[ID]:[CP ou M]],5,0),"")</f>
        <v/>
      </c>
      <c r="H322" s="177" t="str">
        <f>IFERROR(VLOOKUP(D322,Cadastros!A:F,6,0),"")</f>
        <v/>
      </c>
      <c r="I322" s="177" t="str">
        <f>IFERROR(VLOOKUP(D322,Cadastros!A:I,9,0),"")</f>
        <v/>
      </c>
      <c r="J322" s="177" t="str">
        <f>IFERROR(VLOOKUP(D322,Cadastros!A:J,10,0),"")</f>
        <v/>
      </c>
      <c r="K322" s="177" t="str">
        <f>IF(COUNTIF(Tabela66[id],D322)=0,"",COUNTIF(Tabela66[id],D322))</f>
        <v/>
      </c>
      <c r="L322" s="198"/>
      <c r="M322" s="227" t="str">
        <f t="shared" si="25"/>
        <v/>
      </c>
      <c r="P322" s="176" t="str">
        <f>IFERROR(VLOOKUP(O322,Cadastros!A:B,2),"")</f>
        <v/>
      </c>
      <c r="Q322" s="177" t="str">
        <f t="shared" si="21"/>
        <v/>
      </c>
      <c r="R322" s="177" t="str">
        <f>IFERROR(VLOOKUP(O322,Cadastros!A:E,5,0),"")</f>
        <v/>
      </c>
      <c r="S322" s="177" t="str">
        <f>IFERROR(VLOOKUP(O322,Cadastros!A:F,6,0),"")</f>
        <v/>
      </c>
      <c r="T322" s="177" t="str">
        <f>IFERROR(VLOOKUP(O322,Cadastros!A:I,9,0),"")</f>
        <v/>
      </c>
      <c r="U322" s="177" t="str">
        <f t="shared" si="22"/>
        <v/>
      </c>
      <c r="V322" s="177" t="str">
        <f t="shared" si="23"/>
        <v/>
      </c>
      <c r="W322" s="177" t="str">
        <f t="shared" si="24"/>
        <v/>
      </c>
      <c r="Y322" s="240" t="e">
        <f t="array" ref="Y322">INDEX(Tabela.abordagens[],SMALL(IF(Tabela.abordagens[Mês]=$L$2,ROW(Tabela.abordagens[id])-2),ROW(A275)),1)</f>
        <v>#NUM!</v>
      </c>
      <c r="Z322" s="240" t="e">
        <f t="array" ref="Z322">INDEX(Tabela.abordagens[],SMALL(IF(Tabela.abordagens[Mês]=$L$2,ROW(Tabela.abordagens[Idade])-2),ROW(A275)),6)</f>
        <v>#NUM!</v>
      </c>
      <c r="AA322" s="240" t="e">
        <f t="array" ref="AA322">INDEX(Tabela.abordagens[],SMALL(IF(Tabela.abordagens[Mês]=$L$2,ROW(Tabela.abordagens[Idade])-2),ROW(A275)),4)</f>
        <v>#NUM!</v>
      </c>
      <c r="AB322" s="240" t="e">
        <f t="array" ref="AB322">INDEX(Tabela.abordagens[],SMALL(IF(Tabela.abordagens[Mês]=$L$2,ROW(Tabela.abordagens[Idade])-2),ROW(A275)),5)</f>
        <v>#NUM!</v>
      </c>
    </row>
    <row r="323" spans="2:28" ht="15" x14ac:dyDescent="0.25">
      <c r="B323" s="223" t="e">
        <f t="array" ref="B323">INDEX(Tabela.frequencia[],SMALL(IF(Tabela.frequencia[Mês]=$L$2,ROW(Tabela.frequencia[id])-1),ROW(A276)),1)</f>
        <v>#NUM!</v>
      </c>
      <c r="C323" s="229" t="e">
        <f t="array" ref="C323">INDEX(Tabela.frequencia[],SMALL(IF(Tabela.frequencia[Mês]=$L$2,ROW(Tabela.frequencia[id])-1),ROW(A276)),4)</f>
        <v>#NUM!</v>
      </c>
      <c r="E323" s="176" t="str">
        <f>IFERROR(VLOOKUP(D323,Tabela.cadastro[[ID]:[Nome]],2,0),"")</f>
        <v/>
      </c>
      <c r="F323" s="177" t="str">
        <f>IFERROR(VLOOKUP(D323,Tabela66[#All],2,0),"")</f>
        <v/>
      </c>
      <c r="G323" s="177" t="str">
        <f>IFERROR(VLOOKUP(D323,Tabela.cadastro[[ID]:[CP ou M]],5,0),"")</f>
        <v/>
      </c>
      <c r="H323" s="177" t="str">
        <f>IFERROR(VLOOKUP(D323,Cadastros!A:F,6,0),"")</f>
        <v/>
      </c>
      <c r="I323" s="177" t="str">
        <f>IFERROR(VLOOKUP(D323,Cadastros!A:I,9,0),"")</f>
        <v/>
      </c>
      <c r="J323" s="177" t="str">
        <f>IFERROR(VLOOKUP(D323,Cadastros!A:J,10,0),"")</f>
        <v/>
      </c>
      <c r="K323" s="177" t="str">
        <f>IF(COUNTIF(Tabela66[id],D323)=0,"",COUNTIF(Tabela66[id],D323))</f>
        <v/>
      </c>
      <c r="L323" s="198"/>
      <c r="M323" s="227" t="str">
        <f t="shared" si="25"/>
        <v/>
      </c>
      <c r="P323" s="176" t="str">
        <f>IFERROR(VLOOKUP(O323,Cadastros!A:B,2),"")</f>
        <v/>
      </c>
      <c r="Q323" s="177" t="str">
        <f t="shared" si="21"/>
        <v/>
      </c>
      <c r="R323" s="177" t="str">
        <f>IFERROR(VLOOKUP(O323,Cadastros!A:E,5,0),"")</f>
        <v/>
      </c>
      <c r="S323" s="177" t="str">
        <f>IFERROR(VLOOKUP(O323,Cadastros!A:F,6,0),"")</f>
        <v/>
      </c>
      <c r="T323" s="177" t="str">
        <f>IFERROR(VLOOKUP(O323,Cadastros!A:I,9,0),"")</f>
        <v/>
      </c>
      <c r="U323" s="177" t="str">
        <f t="shared" si="22"/>
        <v/>
      </c>
      <c r="V323" s="177" t="str">
        <f t="shared" si="23"/>
        <v/>
      </c>
      <c r="W323" s="177" t="str">
        <f t="shared" si="24"/>
        <v/>
      </c>
      <c r="Y323" s="240" t="e">
        <f t="array" ref="Y323">INDEX(Tabela.abordagens[],SMALL(IF(Tabela.abordagens[Mês]=$L$2,ROW(Tabela.abordagens[id])-2),ROW(A276)),1)</f>
        <v>#NUM!</v>
      </c>
      <c r="Z323" s="240" t="e">
        <f t="array" ref="Z323">INDEX(Tabela.abordagens[],SMALL(IF(Tabela.abordagens[Mês]=$L$2,ROW(Tabela.abordagens[Idade])-2),ROW(A276)),6)</f>
        <v>#NUM!</v>
      </c>
      <c r="AA323" s="240" t="e">
        <f t="array" ref="AA323">INDEX(Tabela.abordagens[],SMALL(IF(Tabela.abordagens[Mês]=$L$2,ROW(Tabela.abordagens[Idade])-2),ROW(A276)),4)</f>
        <v>#NUM!</v>
      </c>
      <c r="AB323" s="240" t="e">
        <f t="array" ref="AB323">INDEX(Tabela.abordagens[],SMALL(IF(Tabela.abordagens[Mês]=$L$2,ROW(Tabela.abordagens[Idade])-2),ROW(A276)),5)</f>
        <v>#NUM!</v>
      </c>
    </row>
    <row r="324" spans="2:28" ht="15" x14ac:dyDescent="0.25">
      <c r="B324" s="223" t="e">
        <f t="array" ref="B324">INDEX(Tabela.frequencia[],SMALL(IF(Tabela.frequencia[Mês]=$L$2,ROW(Tabela.frequencia[id])-1),ROW(A277)),1)</f>
        <v>#NUM!</v>
      </c>
      <c r="C324" s="229" t="e">
        <f t="array" ref="C324">INDEX(Tabela.frequencia[],SMALL(IF(Tabela.frequencia[Mês]=$L$2,ROW(Tabela.frequencia[id])-1),ROW(A277)),4)</f>
        <v>#NUM!</v>
      </c>
      <c r="E324" s="176" t="str">
        <f>IFERROR(VLOOKUP(D324,Tabela.cadastro[[ID]:[Nome]],2,0),"")</f>
        <v/>
      </c>
      <c r="F324" s="177" t="str">
        <f>IFERROR(VLOOKUP(D324,Tabela66[#All],2,0),"")</f>
        <v/>
      </c>
      <c r="G324" s="177" t="str">
        <f>IFERROR(VLOOKUP(D324,Tabela.cadastro[[ID]:[CP ou M]],5,0),"")</f>
        <v/>
      </c>
      <c r="H324" s="177" t="str">
        <f>IFERROR(VLOOKUP(D324,Cadastros!A:F,6,0),"")</f>
        <v/>
      </c>
      <c r="I324" s="177" t="str">
        <f>IFERROR(VLOOKUP(D324,Cadastros!A:I,9,0),"")</f>
        <v/>
      </c>
      <c r="J324" s="177" t="str">
        <f>IFERROR(VLOOKUP(D324,Cadastros!A:J,10,0),"")</f>
        <v/>
      </c>
      <c r="K324" s="177" t="str">
        <f>IF(COUNTIF(Tabela66[id],D324)=0,"",COUNTIF(Tabela66[id],D324))</f>
        <v/>
      </c>
      <c r="L324" s="198"/>
      <c r="M324" s="227" t="str">
        <f t="shared" si="25"/>
        <v/>
      </c>
      <c r="P324" s="176" t="str">
        <f>IFERROR(VLOOKUP(O324,Cadastros!A:B,2),"")</f>
        <v/>
      </c>
      <c r="Q324" s="177" t="str">
        <f t="shared" si="21"/>
        <v/>
      </c>
      <c r="R324" s="177" t="str">
        <f>IFERROR(VLOOKUP(O324,Cadastros!A:E,5,0),"")</f>
        <v/>
      </c>
      <c r="S324" s="177" t="str">
        <f>IFERROR(VLOOKUP(O324,Cadastros!A:F,6,0),"")</f>
        <v/>
      </c>
      <c r="T324" s="177" t="str">
        <f>IFERROR(VLOOKUP(O324,Cadastros!A:I,9,0),"")</f>
        <v/>
      </c>
      <c r="U324" s="177" t="str">
        <f t="shared" si="22"/>
        <v/>
      </c>
      <c r="V324" s="177" t="str">
        <f t="shared" si="23"/>
        <v/>
      </c>
      <c r="W324" s="177" t="str">
        <f t="shared" si="24"/>
        <v/>
      </c>
      <c r="Y324" s="240" t="e">
        <f t="array" ref="Y324">INDEX(Tabela.abordagens[],SMALL(IF(Tabela.abordagens[Mês]=$L$2,ROW(Tabela.abordagens[id])-2),ROW(A277)),1)</f>
        <v>#NUM!</v>
      </c>
      <c r="Z324" s="240" t="e">
        <f t="array" ref="Z324">INDEX(Tabela.abordagens[],SMALL(IF(Tabela.abordagens[Mês]=$L$2,ROW(Tabela.abordagens[Idade])-2),ROW(A277)),6)</f>
        <v>#NUM!</v>
      </c>
      <c r="AA324" s="240" t="e">
        <f t="array" ref="AA324">INDEX(Tabela.abordagens[],SMALL(IF(Tabela.abordagens[Mês]=$L$2,ROW(Tabela.abordagens[Idade])-2),ROW(A277)),4)</f>
        <v>#NUM!</v>
      </c>
      <c r="AB324" s="240" t="e">
        <f t="array" ref="AB324">INDEX(Tabela.abordagens[],SMALL(IF(Tabela.abordagens[Mês]=$L$2,ROW(Tabela.abordagens[Idade])-2),ROW(A277)),5)</f>
        <v>#NUM!</v>
      </c>
    </row>
    <row r="325" spans="2:28" ht="15" x14ac:dyDescent="0.25">
      <c r="B325" s="223" t="e">
        <f t="array" ref="B325">INDEX(Tabela.frequencia[],SMALL(IF(Tabela.frequencia[Mês]=$L$2,ROW(Tabela.frequencia[id])-1),ROW(A278)),1)</f>
        <v>#NUM!</v>
      </c>
      <c r="C325" s="229" t="e">
        <f t="array" ref="C325">INDEX(Tabela.frequencia[],SMALL(IF(Tabela.frequencia[Mês]=$L$2,ROW(Tabela.frequencia[id])-1),ROW(A278)),4)</f>
        <v>#NUM!</v>
      </c>
      <c r="E325" s="176" t="str">
        <f>IFERROR(VLOOKUP(D325,Tabela.cadastro[[ID]:[Nome]],2,0),"")</f>
        <v/>
      </c>
      <c r="F325" s="177" t="str">
        <f>IFERROR(VLOOKUP(D325,Tabela66[#All],2,0),"")</f>
        <v/>
      </c>
      <c r="G325" s="177" t="str">
        <f>IFERROR(VLOOKUP(D325,Tabela.cadastro[[ID]:[CP ou M]],5,0),"")</f>
        <v/>
      </c>
      <c r="H325" s="177" t="str">
        <f>IFERROR(VLOOKUP(D325,Cadastros!A:F,6,0),"")</f>
        <v/>
      </c>
      <c r="I325" s="177" t="str">
        <f>IFERROR(VLOOKUP(D325,Cadastros!A:I,9,0),"")</f>
        <v/>
      </c>
      <c r="J325" s="177" t="str">
        <f>IFERROR(VLOOKUP(D325,Cadastros!A:J,10,0),"")</f>
        <v/>
      </c>
      <c r="K325" s="177" t="str">
        <f>IF(COUNTIF(Tabela66[id],D325)=0,"",COUNTIF(Tabela66[id],D325))</f>
        <v/>
      </c>
      <c r="L325" s="198"/>
      <c r="M325" s="227" t="str">
        <f t="shared" si="25"/>
        <v/>
      </c>
      <c r="P325" s="176" t="str">
        <f>IFERROR(VLOOKUP(O325,Cadastros!A:B,2),"")</f>
        <v/>
      </c>
      <c r="Q325" s="177" t="str">
        <f t="shared" si="21"/>
        <v/>
      </c>
      <c r="R325" s="177" t="str">
        <f>IFERROR(VLOOKUP(O325,Cadastros!A:E,5,0),"")</f>
        <v/>
      </c>
      <c r="S325" s="177" t="str">
        <f>IFERROR(VLOOKUP(O325,Cadastros!A:F,6,0),"")</f>
        <v/>
      </c>
      <c r="T325" s="177" t="str">
        <f>IFERROR(VLOOKUP(O325,Cadastros!A:I,9,0),"")</f>
        <v/>
      </c>
      <c r="U325" s="177" t="str">
        <f t="shared" si="22"/>
        <v/>
      </c>
      <c r="V325" s="177" t="str">
        <f t="shared" si="23"/>
        <v/>
      </c>
      <c r="W325" s="177" t="str">
        <f t="shared" si="24"/>
        <v/>
      </c>
      <c r="Y325" s="240" t="e">
        <f t="array" ref="Y325">INDEX(Tabela.abordagens[],SMALL(IF(Tabela.abordagens[Mês]=$L$2,ROW(Tabela.abordagens[id])-2),ROW(A278)),1)</f>
        <v>#NUM!</v>
      </c>
      <c r="Z325" s="240" t="e">
        <f t="array" ref="Z325">INDEX(Tabela.abordagens[],SMALL(IF(Tabela.abordagens[Mês]=$L$2,ROW(Tabela.abordagens[Idade])-2),ROW(A278)),6)</f>
        <v>#NUM!</v>
      </c>
      <c r="AA325" s="240" t="e">
        <f t="array" ref="AA325">INDEX(Tabela.abordagens[],SMALL(IF(Tabela.abordagens[Mês]=$L$2,ROW(Tabela.abordagens[Idade])-2),ROW(A278)),4)</f>
        <v>#NUM!</v>
      </c>
      <c r="AB325" s="240" t="e">
        <f t="array" ref="AB325">INDEX(Tabela.abordagens[],SMALL(IF(Tabela.abordagens[Mês]=$L$2,ROW(Tabela.abordagens[Idade])-2),ROW(A278)),5)</f>
        <v>#NUM!</v>
      </c>
    </row>
    <row r="326" spans="2:28" ht="15" x14ac:dyDescent="0.25">
      <c r="B326" s="223" t="e">
        <f t="array" ref="B326">INDEX(Tabela.frequencia[],SMALL(IF(Tabela.frequencia[Mês]=$L$2,ROW(Tabela.frequencia[id])-1),ROW(A279)),1)</f>
        <v>#NUM!</v>
      </c>
      <c r="C326" s="229" t="e">
        <f t="array" ref="C326">INDEX(Tabela.frequencia[],SMALL(IF(Tabela.frequencia[Mês]=$L$2,ROW(Tabela.frequencia[id])-1),ROW(A279)),4)</f>
        <v>#NUM!</v>
      </c>
      <c r="E326" s="176" t="str">
        <f>IFERROR(VLOOKUP(D326,Tabela.cadastro[[ID]:[Nome]],2,0),"")</f>
        <v/>
      </c>
      <c r="F326" s="177" t="str">
        <f>IFERROR(VLOOKUP(D326,Tabela66[#All],2,0),"")</f>
        <v/>
      </c>
      <c r="G326" s="177" t="str">
        <f>IFERROR(VLOOKUP(D326,Tabela.cadastro[[ID]:[CP ou M]],5,0),"")</f>
        <v/>
      </c>
      <c r="H326" s="177" t="str">
        <f>IFERROR(VLOOKUP(D326,Cadastros!A:F,6,0),"")</f>
        <v/>
      </c>
      <c r="I326" s="177" t="str">
        <f>IFERROR(VLOOKUP(D326,Cadastros!A:I,9,0),"")</f>
        <v/>
      </c>
      <c r="J326" s="177" t="str">
        <f>IFERROR(VLOOKUP(D326,Cadastros!A:J,10,0),"")</f>
        <v/>
      </c>
      <c r="K326" s="177" t="str">
        <f>IF(COUNTIF(Tabela66[id],D326)=0,"",COUNTIF(Tabela66[id],D326))</f>
        <v/>
      </c>
      <c r="L326" s="198"/>
      <c r="M326" s="227" t="str">
        <f t="shared" si="25"/>
        <v/>
      </c>
      <c r="P326" s="176" t="str">
        <f>IFERROR(VLOOKUP(O326,Cadastros!A:B,2),"")</f>
        <v/>
      </c>
      <c r="Q326" s="177" t="str">
        <f t="shared" si="21"/>
        <v/>
      </c>
      <c r="R326" s="177" t="str">
        <f>IFERROR(VLOOKUP(O326,Cadastros!A:E,5,0),"")</f>
        <v/>
      </c>
      <c r="S326" s="177" t="str">
        <f>IFERROR(VLOOKUP(O326,Cadastros!A:F,6,0),"")</f>
        <v/>
      </c>
      <c r="T326" s="177" t="str">
        <f>IFERROR(VLOOKUP(O326,Cadastros!A:I,9,0),"")</f>
        <v/>
      </c>
      <c r="U326" s="177" t="str">
        <f t="shared" si="22"/>
        <v/>
      </c>
      <c r="V326" s="177" t="str">
        <f t="shared" si="23"/>
        <v/>
      </c>
      <c r="W326" s="177" t="str">
        <f t="shared" si="24"/>
        <v/>
      </c>
      <c r="Y326" s="240" t="e">
        <f t="array" ref="Y326">INDEX(Tabela.abordagens[],SMALL(IF(Tabela.abordagens[Mês]=$L$2,ROW(Tabela.abordagens[id])-2),ROW(A279)),1)</f>
        <v>#NUM!</v>
      </c>
      <c r="Z326" s="240" t="e">
        <f t="array" ref="Z326">INDEX(Tabela.abordagens[],SMALL(IF(Tabela.abordagens[Mês]=$L$2,ROW(Tabela.abordagens[Idade])-2),ROW(A279)),6)</f>
        <v>#NUM!</v>
      </c>
      <c r="AA326" s="240" t="e">
        <f t="array" ref="AA326">INDEX(Tabela.abordagens[],SMALL(IF(Tabela.abordagens[Mês]=$L$2,ROW(Tabela.abordagens[Idade])-2),ROW(A279)),4)</f>
        <v>#NUM!</v>
      </c>
      <c r="AB326" s="240" t="e">
        <f t="array" ref="AB326">INDEX(Tabela.abordagens[],SMALL(IF(Tabela.abordagens[Mês]=$L$2,ROW(Tabela.abordagens[Idade])-2),ROW(A279)),5)</f>
        <v>#NUM!</v>
      </c>
    </row>
    <row r="327" spans="2:28" ht="15" x14ac:dyDescent="0.25">
      <c r="B327" s="223" t="e">
        <f t="array" ref="B327">INDEX(Tabela.frequencia[],SMALL(IF(Tabela.frequencia[Mês]=$L$2,ROW(Tabela.frequencia[id])-1),ROW(A280)),1)</f>
        <v>#NUM!</v>
      </c>
      <c r="C327" s="229" t="e">
        <f t="array" ref="C327">INDEX(Tabela.frequencia[],SMALL(IF(Tabela.frequencia[Mês]=$L$2,ROW(Tabela.frequencia[id])-1),ROW(A280)),4)</f>
        <v>#NUM!</v>
      </c>
      <c r="E327" s="176" t="str">
        <f>IFERROR(VLOOKUP(D327,Tabela.cadastro[[ID]:[Nome]],2,0),"")</f>
        <v/>
      </c>
      <c r="F327" s="177" t="str">
        <f>IFERROR(VLOOKUP(D327,Tabela66[#All],2,0),"")</f>
        <v/>
      </c>
      <c r="G327" s="177" t="str">
        <f>IFERROR(VLOOKUP(D327,Tabela.cadastro[[ID]:[CP ou M]],5,0),"")</f>
        <v/>
      </c>
      <c r="H327" s="177" t="str">
        <f>IFERROR(VLOOKUP(D327,Cadastros!A:F,6,0),"")</f>
        <v/>
      </c>
      <c r="I327" s="177" t="str">
        <f>IFERROR(VLOOKUP(D327,Cadastros!A:I,9,0),"")</f>
        <v/>
      </c>
      <c r="J327" s="177" t="str">
        <f>IFERROR(VLOOKUP(D327,Cadastros!A:J,10,0),"")</f>
        <v/>
      </c>
      <c r="K327" s="177" t="str">
        <f>IF(COUNTIF(Tabela66[id],D327)=0,"",COUNTIF(Tabela66[id],D327))</f>
        <v/>
      </c>
      <c r="L327" s="198"/>
      <c r="M327" s="227" t="str">
        <f t="shared" si="25"/>
        <v/>
      </c>
      <c r="P327" s="176" t="str">
        <f>IFERROR(VLOOKUP(O327,Cadastros!A:B,2),"")</f>
        <v/>
      </c>
      <c r="Q327" s="177" t="str">
        <f t="shared" si="21"/>
        <v/>
      </c>
      <c r="R327" s="177" t="str">
        <f>IFERROR(VLOOKUP(O327,Cadastros!A:E,5,0),"")</f>
        <v/>
      </c>
      <c r="S327" s="177" t="str">
        <f>IFERROR(VLOOKUP(O327,Cadastros!A:F,6,0),"")</f>
        <v/>
      </c>
      <c r="T327" s="177" t="str">
        <f>IFERROR(VLOOKUP(O327,Cadastros!A:I,9,0),"")</f>
        <v/>
      </c>
      <c r="U327" s="177" t="str">
        <f t="shared" si="22"/>
        <v/>
      </c>
      <c r="V327" s="177" t="str">
        <f t="shared" si="23"/>
        <v/>
      </c>
      <c r="W327" s="177" t="str">
        <f t="shared" si="24"/>
        <v/>
      </c>
      <c r="Y327" s="240" t="e">
        <f t="array" ref="Y327">INDEX(Tabela.abordagens[],SMALL(IF(Tabela.abordagens[Mês]=$L$2,ROW(Tabela.abordagens[id])-2),ROW(A280)),1)</f>
        <v>#NUM!</v>
      </c>
      <c r="Z327" s="240" t="e">
        <f t="array" ref="Z327">INDEX(Tabela.abordagens[],SMALL(IF(Tabela.abordagens[Mês]=$L$2,ROW(Tabela.abordagens[Idade])-2),ROW(A280)),6)</f>
        <v>#NUM!</v>
      </c>
      <c r="AA327" s="240" t="e">
        <f t="array" ref="AA327">INDEX(Tabela.abordagens[],SMALL(IF(Tabela.abordagens[Mês]=$L$2,ROW(Tabela.abordagens[Idade])-2),ROW(A280)),4)</f>
        <v>#NUM!</v>
      </c>
      <c r="AB327" s="240" t="e">
        <f t="array" ref="AB327">INDEX(Tabela.abordagens[],SMALL(IF(Tabela.abordagens[Mês]=$L$2,ROW(Tabela.abordagens[Idade])-2),ROW(A280)),5)</f>
        <v>#NUM!</v>
      </c>
    </row>
    <row r="328" spans="2:28" ht="15" x14ac:dyDescent="0.25">
      <c r="B328" s="223" t="e">
        <f t="array" ref="B328">INDEX(Tabela.frequencia[],SMALL(IF(Tabela.frequencia[Mês]=$L$2,ROW(Tabela.frequencia[id])-1),ROW(A281)),1)</f>
        <v>#NUM!</v>
      </c>
      <c r="C328" s="229" t="e">
        <f t="array" ref="C328">INDEX(Tabela.frequencia[],SMALL(IF(Tabela.frequencia[Mês]=$L$2,ROW(Tabela.frequencia[id])-1),ROW(A281)),4)</f>
        <v>#NUM!</v>
      </c>
      <c r="E328" s="176" t="str">
        <f>IFERROR(VLOOKUP(D328,Tabela.cadastro[[ID]:[Nome]],2,0),"")</f>
        <v/>
      </c>
      <c r="F328" s="177" t="str">
        <f>IFERROR(VLOOKUP(D328,Tabela66[#All],2,0),"")</f>
        <v/>
      </c>
      <c r="G328" s="177" t="str">
        <f>IFERROR(VLOOKUP(D328,Tabela.cadastro[[ID]:[CP ou M]],5,0),"")</f>
        <v/>
      </c>
      <c r="H328" s="177" t="str">
        <f>IFERROR(VLOOKUP(D328,Cadastros!A:F,6,0),"")</f>
        <v/>
      </c>
      <c r="I328" s="177" t="str">
        <f>IFERROR(VLOOKUP(D328,Cadastros!A:I,9,0),"")</f>
        <v/>
      </c>
      <c r="J328" s="177" t="str">
        <f>IFERROR(VLOOKUP(D328,Cadastros!A:J,10,0),"")</f>
        <v/>
      </c>
      <c r="K328" s="177" t="str">
        <f>IF(COUNTIF(Tabela66[id],D328)=0,"",COUNTIF(Tabela66[id],D328))</f>
        <v/>
      </c>
      <c r="L328" s="198"/>
      <c r="M328" s="227" t="str">
        <f t="shared" si="25"/>
        <v/>
      </c>
      <c r="P328" s="176" t="str">
        <f>IFERROR(VLOOKUP(O328,Cadastros!A:B,2),"")</f>
        <v/>
      </c>
      <c r="Q328" s="177" t="str">
        <f t="shared" si="21"/>
        <v/>
      </c>
      <c r="R328" s="177" t="str">
        <f>IFERROR(VLOOKUP(O328,Cadastros!A:E,5,0),"")</f>
        <v/>
      </c>
      <c r="S328" s="177" t="str">
        <f>IFERROR(VLOOKUP(O328,Cadastros!A:F,6,0),"")</f>
        <v/>
      </c>
      <c r="T328" s="177" t="str">
        <f>IFERROR(VLOOKUP(O328,Cadastros!A:I,9,0),"")</f>
        <v/>
      </c>
      <c r="U328" s="177" t="str">
        <f t="shared" si="22"/>
        <v/>
      </c>
      <c r="V328" s="177" t="str">
        <f t="shared" si="23"/>
        <v/>
      </c>
      <c r="W328" s="177" t="str">
        <f t="shared" si="24"/>
        <v/>
      </c>
      <c r="Y328" s="240" t="e">
        <f t="array" ref="Y328">INDEX(Tabela.abordagens[],SMALL(IF(Tabela.abordagens[Mês]=$L$2,ROW(Tabela.abordagens[id])-2),ROW(A281)),1)</f>
        <v>#NUM!</v>
      </c>
      <c r="Z328" s="240" t="e">
        <f t="array" ref="Z328">INDEX(Tabela.abordagens[],SMALL(IF(Tabela.abordagens[Mês]=$L$2,ROW(Tabela.abordagens[Idade])-2),ROW(A281)),6)</f>
        <v>#NUM!</v>
      </c>
      <c r="AA328" s="240" t="e">
        <f t="array" ref="AA328">INDEX(Tabela.abordagens[],SMALL(IF(Tabela.abordagens[Mês]=$L$2,ROW(Tabela.abordagens[Idade])-2),ROW(A281)),4)</f>
        <v>#NUM!</v>
      </c>
      <c r="AB328" s="240" t="e">
        <f t="array" ref="AB328">INDEX(Tabela.abordagens[],SMALL(IF(Tabela.abordagens[Mês]=$L$2,ROW(Tabela.abordagens[Idade])-2),ROW(A281)),5)</f>
        <v>#NUM!</v>
      </c>
    </row>
    <row r="329" spans="2:28" ht="15" x14ac:dyDescent="0.25">
      <c r="B329" s="223" t="e">
        <f t="array" ref="B329">INDEX(Tabela.frequencia[],SMALL(IF(Tabela.frequencia[Mês]=$L$2,ROW(Tabela.frequencia[id])-1),ROW(A282)),1)</f>
        <v>#NUM!</v>
      </c>
      <c r="C329" s="229" t="e">
        <f t="array" ref="C329">INDEX(Tabela.frequencia[],SMALL(IF(Tabela.frequencia[Mês]=$L$2,ROW(Tabela.frequencia[id])-1),ROW(A282)),4)</f>
        <v>#NUM!</v>
      </c>
      <c r="E329" s="176" t="str">
        <f>IFERROR(VLOOKUP(D329,Tabela.cadastro[[ID]:[Nome]],2,0),"")</f>
        <v/>
      </c>
      <c r="F329" s="177" t="str">
        <f>IFERROR(VLOOKUP(D329,Tabela66[#All],2,0),"")</f>
        <v/>
      </c>
      <c r="G329" s="177" t="str">
        <f>IFERROR(VLOOKUP(D329,Tabela.cadastro[[ID]:[CP ou M]],5,0),"")</f>
        <v/>
      </c>
      <c r="H329" s="177" t="str">
        <f>IFERROR(VLOOKUP(D329,Cadastros!A:F,6,0),"")</f>
        <v/>
      </c>
      <c r="I329" s="177" t="str">
        <f>IFERROR(VLOOKUP(D329,Cadastros!A:I,9,0),"")</f>
        <v/>
      </c>
      <c r="J329" s="177" t="str">
        <f>IFERROR(VLOOKUP(D329,Cadastros!A:J,10,0),"")</f>
        <v/>
      </c>
      <c r="K329" s="177" t="str">
        <f>IF(COUNTIF(Tabela66[id],D329)=0,"",COUNTIF(Tabela66[id],D329))</f>
        <v/>
      </c>
      <c r="L329" s="198"/>
      <c r="M329" s="227" t="str">
        <f t="shared" si="25"/>
        <v/>
      </c>
      <c r="P329" s="176" t="str">
        <f>IFERROR(VLOOKUP(O329,Cadastros!A:B,2),"")</f>
        <v/>
      </c>
      <c r="Q329" s="177" t="str">
        <f t="shared" si="21"/>
        <v/>
      </c>
      <c r="R329" s="177" t="str">
        <f>IFERROR(VLOOKUP(O329,Cadastros!A:E,5,0),"")</f>
        <v/>
      </c>
      <c r="S329" s="177" t="str">
        <f>IFERROR(VLOOKUP(O329,Cadastros!A:F,6,0),"")</f>
        <v/>
      </c>
      <c r="T329" s="177" t="str">
        <f>IFERROR(VLOOKUP(O329,Cadastros!A:I,9,0),"")</f>
        <v/>
      </c>
      <c r="U329" s="177" t="str">
        <f t="shared" si="22"/>
        <v/>
      </c>
      <c r="V329" s="177" t="str">
        <f t="shared" si="23"/>
        <v/>
      </c>
      <c r="W329" s="177" t="str">
        <f t="shared" si="24"/>
        <v/>
      </c>
      <c r="Y329" s="240" t="e">
        <f t="array" ref="Y329">INDEX(Tabela.abordagens[],SMALL(IF(Tabela.abordagens[Mês]=$L$2,ROW(Tabela.abordagens[id])-2),ROW(A282)),1)</f>
        <v>#NUM!</v>
      </c>
      <c r="Z329" s="240" t="e">
        <f t="array" ref="Z329">INDEX(Tabela.abordagens[],SMALL(IF(Tabela.abordagens[Mês]=$L$2,ROW(Tabela.abordagens[Idade])-2),ROW(A282)),6)</f>
        <v>#NUM!</v>
      </c>
      <c r="AA329" s="240" t="e">
        <f t="array" ref="AA329">INDEX(Tabela.abordagens[],SMALL(IF(Tabela.abordagens[Mês]=$L$2,ROW(Tabela.abordagens[Idade])-2),ROW(A282)),4)</f>
        <v>#NUM!</v>
      </c>
      <c r="AB329" s="240" t="e">
        <f t="array" ref="AB329">INDEX(Tabela.abordagens[],SMALL(IF(Tabela.abordagens[Mês]=$L$2,ROW(Tabela.abordagens[Idade])-2),ROW(A282)),5)</f>
        <v>#NUM!</v>
      </c>
    </row>
    <row r="330" spans="2:28" ht="15" x14ac:dyDescent="0.25">
      <c r="B330" s="223" t="e">
        <f t="array" ref="B330">INDEX(Tabela.frequencia[],SMALL(IF(Tabela.frequencia[Mês]=$L$2,ROW(Tabela.frequencia[id])-1),ROW(A283)),1)</f>
        <v>#NUM!</v>
      </c>
      <c r="C330" s="229" t="e">
        <f t="array" ref="C330">INDEX(Tabela.frequencia[],SMALL(IF(Tabela.frequencia[Mês]=$L$2,ROW(Tabela.frequencia[id])-1),ROW(A283)),4)</f>
        <v>#NUM!</v>
      </c>
      <c r="E330" s="176" t="str">
        <f>IFERROR(VLOOKUP(D330,Tabela.cadastro[[ID]:[Nome]],2,0),"")</f>
        <v/>
      </c>
      <c r="F330" s="177" t="str">
        <f>IFERROR(VLOOKUP(D330,Tabela66[#All],2,0),"")</f>
        <v/>
      </c>
      <c r="G330" s="177" t="str">
        <f>IFERROR(VLOOKUP(D330,Tabela.cadastro[[ID]:[CP ou M]],5,0),"")</f>
        <v/>
      </c>
      <c r="H330" s="177" t="str">
        <f>IFERROR(VLOOKUP(D330,Cadastros!A:F,6,0),"")</f>
        <v/>
      </c>
      <c r="I330" s="177" t="str">
        <f>IFERROR(VLOOKUP(D330,Cadastros!A:I,9,0),"")</f>
        <v/>
      </c>
      <c r="J330" s="177" t="str">
        <f>IFERROR(VLOOKUP(D330,Cadastros!A:J,10,0),"")</f>
        <v/>
      </c>
      <c r="K330" s="177" t="str">
        <f>IF(COUNTIF(Tabela66[id],D330)=0,"",COUNTIF(Tabela66[id],D330))</f>
        <v/>
      </c>
      <c r="L330" s="198"/>
      <c r="M330" s="227" t="str">
        <f t="shared" si="25"/>
        <v/>
      </c>
      <c r="P330" s="176" t="str">
        <f>IFERROR(VLOOKUP(O330,Cadastros!A:B,2),"")</f>
        <v/>
      </c>
      <c r="Q330" s="177" t="str">
        <f t="shared" si="21"/>
        <v/>
      </c>
      <c r="R330" s="177" t="str">
        <f>IFERROR(VLOOKUP(O330,Cadastros!A:E,5,0),"")</f>
        <v/>
      </c>
      <c r="S330" s="177" t="str">
        <f>IFERROR(VLOOKUP(O330,Cadastros!A:F,6,0),"")</f>
        <v/>
      </c>
      <c r="T330" s="177" t="str">
        <f>IFERROR(VLOOKUP(O330,Cadastros!A:I,9,0),"")</f>
        <v/>
      </c>
      <c r="U330" s="177" t="str">
        <f t="shared" si="22"/>
        <v/>
      </c>
      <c r="V330" s="177" t="str">
        <f t="shared" si="23"/>
        <v/>
      </c>
      <c r="W330" s="177" t="str">
        <f t="shared" si="24"/>
        <v/>
      </c>
      <c r="Y330" s="240" t="e">
        <f t="array" ref="Y330">INDEX(Tabela.abordagens[],SMALL(IF(Tabela.abordagens[Mês]=$L$2,ROW(Tabela.abordagens[id])-2),ROW(A283)),1)</f>
        <v>#NUM!</v>
      </c>
      <c r="Z330" s="240" t="e">
        <f t="array" ref="Z330">INDEX(Tabela.abordagens[],SMALL(IF(Tabela.abordagens[Mês]=$L$2,ROW(Tabela.abordagens[Idade])-2),ROW(A283)),6)</f>
        <v>#NUM!</v>
      </c>
      <c r="AA330" s="240" t="e">
        <f t="array" ref="AA330">INDEX(Tabela.abordagens[],SMALL(IF(Tabela.abordagens[Mês]=$L$2,ROW(Tabela.abordagens[Idade])-2),ROW(A283)),4)</f>
        <v>#NUM!</v>
      </c>
      <c r="AB330" s="240" t="e">
        <f t="array" ref="AB330">INDEX(Tabela.abordagens[],SMALL(IF(Tabela.abordagens[Mês]=$L$2,ROW(Tabela.abordagens[Idade])-2),ROW(A283)),5)</f>
        <v>#NUM!</v>
      </c>
    </row>
    <row r="331" spans="2:28" ht="15" x14ac:dyDescent="0.25">
      <c r="B331" s="223" t="e">
        <f t="array" ref="B331">INDEX(Tabela.frequencia[],SMALL(IF(Tabela.frequencia[Mês]=$L$2,ROW(Tabela.frequencia[id])-1),ROW(A284)),1)</f>
        <v>#NUM!</v>
      </c>
      <c r="C331" s="229" t="e">
        <f t="array" ref="C331">INDEX(Tabela.frequencia[],SMALL(IF(Tabela.frequencia[Mês]=$L$2,ROW(Tabela.frequencia[id])-1),ROW(A284)),4)</f>
        <v>#NUM!</v>
      </c>
      <c r="E331" s="176" t="str">
        <f>IFERROR(VLOOKUP(D331,Tabela.cadastro[[ID]:[Nome]],2,0),"")</f>
        <v/>
      </c>
      <c r="F331" s="177" t="str">
        <f>IFERROR(VLOOKUP(D331,Tabela66[#All],2,0),"")</f>
        <v/>
      </c>
      <c r="G331" s="177" t="str">
        <f>IFERROR(VLOOKUP(D331,Tabela.cadastro[[ID]:[CP ou M]],5,0),"")</f>
        <v/>
      </c>
      <c r="H331" s="177" t="str">
        <f>IFERROR(VLOOKUP(D331,Cadastros!A:F,6,0),"")</f>
        <v/>
      </c>
      <c r="I331" s="177" t="str">
        <f>IFERROR(VLOOKUP(D331,Cadastros!A:I,9,0),"")</f>
        <v/>
      </c>
      <c r="J331" s="177" t="str">
        <f>IFERROR(VLOOKUP(D331,Cadastros!A:J,10,0),"")</f>
        <v/>
      </c>
      <c r="K331" s="177" t="str">
        <f>IF(COUNTIF(Tabela66[id],D331)=0,"",COUNTIF(Tabela66[id],D331))</f>
        <v/>
      </c>
      <c r="L331" s="198"/>
      <c r="M331" s="227" t="str">
        <f t="shared" si="25"/>
        <v/>
      </c>
      <c r="P331" s="176" t="str">
        <f>IFERROR(VLOOKUP(O331,Cadastros!A:B,2),"")</f>
        <v/>
      </c>
      <c r="Q331" s="177" t="str">
        <f t="shared" si="21"/>
        <v/>
      </c>
      <c r="R331" s="177" t="str">
        <f>IFERROR(VLOOKUP(O331,Cadastros!A:E,5,0),"")</f>
        <v/>
      </c>
      <c r="S331" s="177" t="str">
        <f>IFERROR(VLOOKUP(O331,Cadastros!A:F,6,0),"")</f>
        <v/>
      </c>
      <c r="T331" s="177" t="str">
        <f>IFERROR(VLOOKUP(O331,Cadastros!A:I,9,0),"")</f>
        <v/>
      </c>
      <c r="U331" s="177" t="str">
        <f t="shared" si="22"/>
        <v/>
      </c>
      <c r="V331" s="177" t="str">
        <f t="shared" si="23"/>
        <v/>
      </c>
      <c r="W331" s="177" t="str">
        <f t="shared" si="24"/>
        <v/>
      </c>
      <c r="Y331" s="240" t="e">
        <f t="array" ref="Y331">INDEX(Tabela.abordagens[],SMALL(IF(Tabela.abordagens[Mês]=$L$2,ROW(Tabela.abordagens[id])-2),ROW(A284)),1)</f>
        <v>#NUM!</v>
      </c>
      <c r="Z331" s="240" t="e">
        <f t="array" ref="Z331">INDEX(Tabela.abordagens[],SMALL(IF(Tabela.abordagens[Mês]=$L$2,ROW(Tabela.abordagens[Idade])-2),ROW(A284)),6)</f>
        <v>#NUM!</v>
      </c>
      <c r="AA331" s="240" t="e">
        <f t="array" ref="AA331">INDEX(Tabela.abordagens[],SMALL(IF(Tabela.abordagens[Mês]=$L$2,ROW(Tabela.abordagens[Idade])-2),ROW(A284)),4)</f>
        <v>#NUM!</v>
      </c>
      <c r="AB331" s="240" t="e">
        <f t="array" ref="AB331">INDEX(Tabela.abordagens[],SMALL(IF(Tabela.abordagens[Mês]=$L$2,ROW(Tabela.abordagens[Idade])-2),ROW(A284)),5)</f>
        <v>#NUM!</v>
      </c>
    </row>
    <row r="332" spans="2:28" ht="15" x14ac:dyDescent="0.25">
      <c r="B332" s="223" t="e">
        <f t="array" ref="B332">INDEX(Tabela.frequencia[],SMALL(IF(Tabela.frequencia[Mês]=$L$2,ROW(Tabela.frequencia[id])-1),ROW(A285)),1)</f>
        <v>#NUM!</v>
      </c>
      <c r="C332" s="229" t="e">
        <f t="array" ref="C332">INDEX(Tabela.frequencia[],SMALL(IF(Tabela.frequencia[Mês]=$L$2,ROW(Tabela.frequencia[id])-1),ROW(A285)),4)</f>
        <v>#NUM!</v>
      </c>
      <c r="E332" s="176" t="str">
        <f>IFERROR(VLOOKUP(D332,Tabela.cadastro[[ID]:[Nome]],2,0),"")</f>
        <v/>
      </c>
      <c r="F332" s="177" t="str">
        <f>IFERROR(VLOOKUP(D332,Tabela66[#All],2,0),"")</f>
        <v/>
      </c>
      <c r="G332" s="177" t="str">
        <f>IFERROR(VLOOKUP(D332,Tabela.cadastro[[ID]:[CP ou M]],5,0),"")</f>
        <v/>
      </c>
      <c r="H332" s="177" t="str">
        <f>IFERROR(VLOOKUP(D332,Cadastros!A:F,6,0),"")</f>
        <v/>
      </c>
      <c r="I332" s="177" t="str">
        <f>IFERROR(VLOOKUP(D332,Cadastros!A:I,9,0),"")</f>
        <v/>
      </c>
      <c r="J332" s="177" t="str">
        <f>IFERROR(VLOOKUP(D332,Cadastros!A:J,10,0),"")</f>
        <v/>
      </c>
      <c r="K332" s="177" t="str">
        <f>IF(COUNTIF(Tabela66[id],D332)=0,"",COUNTIF(Tabela66[id],D332))</f>
        <v/>
      </c>
      <c r="L332" s="198"/>
      <c r="M332" s="227" t="str">
        <f t="shared" si="25"/>
        <v/>
      </c>
      <c r="P332" s="176" t="str">
        <f>IFERROR(VLOOKUP(O332,Cadastros!A:B,2),"")</f>
        <v/>
      </c>
      <c r="Q332" s="177" t="str">
        <f t="shared" si="21"/>
        <v/>
      </c>
      <c r="R332" s="177" t="str">
        <f>IFERROR(VLOOKUP(O332,Cadastros!A:E,5,0),"")</f>
        <v/>
      </c>
      <c r="S332" s="177" t="str">
        <f>IFERROR(VLOOKUP(O332,Cadastros!A:F,6,0),"")</f>
        <v/>
      </c>
      <c r="T332" s="177" t="str">
        <f>IFERROR(VLOOKUP(O332,Cadastros!A:I,9,0),"")</f>
        <v/>
      </c>
      <c r="U332" s="177" t="str">
        <f t="shared" si="22"/>
        <v/>
      </c>
      <c r="V332" s="177" t="str">
        <f t="shared" si="23"/>
        <v/>
      </c>
      <c r="W332" s="177" t="str">
        <f t="shared" si="24"/>
        <v/>
      </c>
      <c r="Y332" s="240" t="e">
        <f t="array" ref="Y332">INDEX(Tabela.abordagens[],SMALL(IF(Tabela.abordagens[Mês]=$L$2,ROW(Tabela.abordagens[id])-2),ROW(A285)),1)</f>
        <v>#NUM!</v>
      </c>
      <c r="Z332" s="240" t="e">
        <f t="array" ref="Z332">INDEX(Tabela.abordagens[],SMALL(IF(Tabela.abordagens[Mês]=$L$2,ROW(Tabela.abordagens[Idade])-2),ROW(A285)),6)</f>
        <v>#NUM!</v>
      </c>
      <c r="AA332" s="240" t="e">
        <f t="array" ref="AA332">INDEX(Tabela.abordagens[],SMALL(IF(Tabela.abordagens[Mês]=$L$2,ROW(Tabela.abordagens[Idade])-2),ROW(A285)),4)</f>
        <v>#NUM!</v>
      </c>
      <c r="AB332" s="240" t="e">
        <f t="array" ref="AB332">INDEX(Tabela.abordagens[],SMALL(IF(Tabela.abordagens[Mês]=$L$2,ROW(Tabela.abordagens[Idade])-2),ROW(A285)),5)</f>
        <v>#NUM!</v>
      </c>
    </row>
    <row r="333" spans="2:28" ht="15" x14ac:dyDescent="0.25">
      <c r="B333" s="223" t="e">
        <f t="array" ref="B333">INDEX(Tabela.frequencia[],SMALL(IF(Tabela.frequencia[Mês]=$L$2,ROW(Tabela.frequencia[id])-1),ROW(A286)),1)</f>
        <v>#NUM!</v>
      </c>
      <c r="C333" s="229" t="e">
        <f t="array" ref="C333">INDEX(Tabela.frequencia[],SMALL(IF(Tabela.frequencia[Mês]=$L$2,ROW(Tabela.frequencia[id])-1),ROW(A286)),4)</f>
        <v>#NUM!</v>
      </c>
      <c r="E333" s="176" t="str">
        <f>IFERROR(VLOOKUP(D333,Tabela.cadastro[[ID]:[Nome]],2,0),"")</f>
        <v/>
      </c>
      <c r="F333" s="177" t="str">
        <f>IFERROR(VLOOKUP(D333,Tabela66[#All],2,0),"")</f>
        <v/>
      </c>
      <c r="G333" s="177" t="str">
        <f>IFERROR(VLOOKUP(D333,Tabela.cadastro[[ID]:[CP ou M]],5,0),"")</f>
        <v/>
      </c>
      <c r="H333" s="177" t="str">
        <f>IFERROR(VLOOKUP(D333,Cadastros!A:F,6,0),"")</f>
        <v/>
      </c>
      <c r="I333" s="177" t="str">
        <f>IFERROR(VLOOKUP(D333,Cadastros!A:I,9,0),"")</f>
        <v/>
      </c>
      <c r="J333" s="177" t="str">
        <f>IFERROR(VLOOKUP(D333,Cadastros!A:J,10,0),"")</f>
        <v/>
      </c>
      <c r="K333" s="177" t="str">
        <f>IF(COUNTIF(Tabela66[id],D333)=0,"",COUNTIF(Tabela66[id],D333))</f>
        <v/>
      </c>
      <c r="L333" s="198"/>
      <c r="M333" s="227" t="str">
        <f t="shared" si="25"/>
        <v/>
      </c>
      <c r="P333" s="176" t="str">
        <f>IFERROR(VLOOKUP(O333,Cadastros!A:B,2),"")</f>
        <v/>
      </c>
      <c r="Q333" s="177" t="str">
        <f t="shared" si="21"/>
        <v/>
      </c>
      <c r="R333" s="177" t="str">
        <f>IFERROR(VLOOKUP(O333,Cadastros!A:E,5,0),"")</f>
        <v/>
      </c>
      <c r="S333" s="177" t="str">
        <f>IFERROR(VLOOKUP(O333,Cadastros!A:F,6,0),"")</f>
        <v/>
      </c>
      <c r="T333" s="177" t="str">
        <f>IFERROR(VLOOKUP(O333,Cadastros!A:I,9,0),"")</f>
        <v/>
      </c>
      <c r="U333" s="177" t="str">
        <f t="shared" si="22"/>
        <v/>
      </c>
      <c r="V333" s="177" t="str">
        <f t="shared" si="23"/>
        <v/>
      </c>
      <c r="W333" s="177" t="str">
        <f t="shared" si="24"/>
        <v/>
      </c>
      <c r="Y333" s="240" t="e">
        <f t="array" ref="Y333">INDEX(Tabela.abordagens[],SMALL(IF(Tabela.abordagens[Mês]=$L$2,ROW(Tabela.abordagens[id])-2),ROW(A286)),1)</f>
        <v>#NUM!</v>
      </c>
      <c r="Z333" s="240" t="e">
        <f t="array" ref="Z333">INDEX(Tabela.abordagens[],SMALL(IF(Tabela.abordagens[Mês]=$L$2,ROW(Tabela.abordagens[Idade])-2),ROW(A286)),6)</f>
        <v>#NUM!</v>
      </c>
      <c r="AA333" s="240" t="e">
        <f t="array" ref="AA333">INDEX(Tabela.abordagens[],SMALL(IF(Tabela.abordagens[Mês]=$L$2,ROW(Tabela.abordagens[Idade])-2),ROW(A286)),4)</f>
        <v>#NUM!</v>
      </c>
      <c r="AB333" s="240" t="e">
        <f t="array" ref="AB333">INDEX(Tabela.abordagens[],SMALL(IF(Tabela.abordagens[Mês]=$L$2,ROW(Tabela.abordagens[Idade])-2),ROW(A286)),5)</f>
        <v>#NUM!</v>
      </c>
    </row>
    <row r="334" spans="2:28" ht="15" x14ac:dyDescent="0.25">
      <c r="B334" s="223" t="e">
        <f t="array" ref="B334">INDEX(Tabela.frequencia[],SMALL(IF(Tabela.frequencia[Mês]=$L$2,ROW(Tabela.frequencia[id])-1),ROW(A287)),1)</f>
        <v>#NUM!</v>
      </c>
      <c r="C334" s="229" t="e">
        <f t="array" ref="C334">INDEX(Tabela.frequencia[],SMALL(IF(Tabela.frequencia[Mês]=$L$2,ROW(Tabela.frequencia[id])-1),ROW(A287)),4)</f>
        <v>#NUM!</v>
      </c>
      <c r="E334" s="176" t="str">
        <f>IFERROR(VLOOKUP(D334,Tabela.cadastro[[ID]:[Nome]],2,0),"")</f>
        <v/>
      </c>
      <c r="F334" s="177" t="str">
        <f>IFERROR(VLOOKUP(D334,Tabela66[#All],2,0),"")</f>
        <v/>
      </c>
      <c r="G334" s="177" t="str">
        <f>IFERROR(VLOOKUP(D334,Tabela.cadastro[[ID]:[CP ou M]],5,0),"")</f>
        <v/>
      </c>
      <c r="H334" s="177" t="str">
        <f>IFERROR(VLOOKUP(D334,Cadastros!A:F,6,0),"")</f>
        <v/>
      </c>
      <c r="I334" s="177" t="str">
        <f>IFERROR(VLOOKUP(D334,Cadastros!A:I,9,0),"")</f>
        <v/>
      </c>
      <c r="J334" s="177" t="str">
        <f>IFERROR(VLOOKUP(D334,Cadastros!A:J,10,0),"")</f>
        <v/>
      </c>
      <c r="K334" s="177" t="str">
        <f>IF(COUNTIF(Tabela66[id],D334)=0,"",COUNTIF(Tabela66[id],D334))</f>
        <v/>
      </c>
      <c r="L334" s="198"/>
      <c r="M334" s="227" t="str">
        <f t="shared" si="25"/>
        <v/>
      </c>
      <c r="P334" s="176" t="str">
        <f>IFERROR(VLOOKUP(O334,Cadastros!A:B,2),"")</f>
        <v/>
      </c>
      <c r="Q334" s="177" t="str">
        <f t="shared" si="21"/>
        <v/>
      </c>
      <c r="R334" s="177" t="str">
        <f>IFERROR(VLOOKUP(O334,Cadastros!A:E,5,0),"")</f>
        <v/>
      </c>
      <c r="S334" s="177" t="str">
        <f>IFERROR(VLOOKUP(O334,Cadastros!A:F,6,0),"")</f>
        <v/>
      </c>
      <c r="T334" s="177" t="str">
        <f>IFERROR(VLOOKUP(O334,Cadastros!A:I,9,0),"")</f>
        <v/>
      </c>
      <c r="U334" s="177" t="str">
        <f t="shared" si="22"/>
        <v/>
      </c>
      <c r="V334" s="177" t="str">
        <f t="shared" si="23"/>
        <v/>
      </c>
      <c r="W334" s="177" t="str">
        <f t="shared" si="24"/>
        <v/>
      </c>
      <c r="Y334" s="240" t="e">
        <f t="array" ref="Y334">INDEX(Tabela.abordagens[],SMALL(IF(Tabela.abordagens[Mês]=$L$2,ROW(Tabela.abordagens[id])-2),ROW(A287)),1)</f>
        <v>#NUM!</v>
      </c>
      <c r="Z334" s="240" t="e">
        <f t="array" ref="Z334">INDEX(Tabela.abordagens[],SMALL(IF(Tabela.abordagens[Mês]=$L$2,ROW(Tabela.abordagens[Idade])-2),ROW(A287)),6)</f>
        <v>#NUM!</v>
      </c>
      <c r="AA334" s="240" t="e">
        <f t="array" ref="AA334">INDEX(Tabela.abordagens[],SMALL(IF(Tabela.abordagens[Mês]=$L$2,ROW(Tabela.abordagens[Idade])-2),ROW(A287)),4)</f>
        <v>#NUM!</v>
      </c>
      <c r="AB334" s="240" t="e">
        <f t="array" ref="AB334">INDEX(Tabela.abordagens[],SMALL(IF(Tabela.abordagens[Mês]=$L$2,ROW(Tabela.abordagens[Idade])-2),ROW(A287)),5)</f>
        <v>#NUM!</v>
      </c>
    </row>
    <row r="335" spans="2:28" ht="15" x14ac:dyDescent="0.25">
      <c r="B335" s="223" t="e">
        <f t="array" ref="B335">INDEX(Tabela.frequencia[],SMALL(IF(Tabela.frequencia[Mês]=$L$2,ROW(Tabela.frequencia[id])-1),ROW(A288)),1)</f>
        <v>#NUM!</v>
      </c>
      <c r="C335" s="229" t="e">
        <f t="array" ref="C335">INDEX(Tabela.frequencia[],SMALL(IF(Tabela.frequencia[Mês]=$L$2,ROW(Tabela.frequencia[id])-1),ROW(A288)),4)</f>
        <v>#NUM!</v>
      </c>
      <c r="E335" s="176" t="str">
        <f>IFERROR(VLOOKUP(D335,Tabela.cadastro[[ID]:[Nome]],2,0),"")</f>
        <v/>
      </c>
      <c r="F335" s="177" t="str">
        <f>IFERROR(VLOOKUP(D335,Tabela66[#All],2,0),"")</f>
        <v/>
      </c>
      <c r="G335" s="177" t="str">
        <f>IFERROR(VLOOKUP(D335,Tabela.cadastro[[ID]:[CP ou M]],5,0),"")</f>
        <v/>
      </c>
      <c r="H335" s="177" t="str">
        <f>IFERROR(VLOOKUP(D335,Cadastros!A:F,6,0),"")</f>
        <v/>
      </c>
      <c r="I335" s="177" t="str">
        <f>IFERROR(VLOOKUP(D335,Cadastros!A:I,9,0),"")</f>
        <v/>
      </c>
      <c r="J335" s="177" t="str">
        <f>IFERROR(VLOOKUP(D335,Cadastros!A:J,10,0),"")</f>
        <v/>
      </c>
      <c r="K335" s="177" t="str">
        <f>IF(COUNTIF(Tabela66[id],D335)=0,"",COUNTIF(Tabela66[id],D335))</f>
        <v/>
      </c>
      <c r="L335" s="198"/>
      <c r="M335" s="227" t="str">
        <f t="shared" si="25"/>
        <v/>
      </c>
      <c r="P335" s="176" t="str">
        <f>IFERROR(VLOOKUP(O335,Cadastros!A:B,2),"")</f>
        <v/>
      </c>
      <c r="Q335" s="177" t="str">
        <f t="shared" si="21"/>
        <v/>
      </c>
      <c r="R335" s="177" t="str">
        <f>IFERROR(VLOOKUP(O335,Cadastros!A:E,5,0),"")</f>
        <v/>
      </c>
      <c r="S335" s="177" t="str">
        <f>IFERROR(VLOOKUP(O335,Cadastros!A:F,6,0),"")</f>
        <v/>
      </c>
      <c r="T335" s="177" t="str">
        <f>IFERROR(VLOOKUP(O335,Cadastros!A:I,9,0),"")</f>
        <v/>
      </c>
      <c r="U335" s="177" t="str">
        <f t="shared" si="22"/>
        <v/>
      </c>
      <c r="V335" s="177" t="str">
        <f t="shared" si="23"/>
        <v/>
      </c>
      <c r="W335" s="177" t="str">
        <f t="shared" si="24"/>
        <v/>
      </c>
      <c r="Y335" s="240" t="e">
        <f t="array" ref="Y335">INDEX(Tabela.abordagens[],SMALL(IF(Tabela.abordagens[Mês]=$L$2,ROW(Tabela.abordagens[id])-2),ROW(A288)),1)</f>
        <v>#NUM!</v>
      </c>
      <c r="Z335" s="240" t="e">
        <f t="array" ref="Z335">INDEX(Tabela.abordagens[],SMALL(IF(Tabela.abordagens[Mês]=$L$2,ROW(Tabela.abordagens[Idade])-2),ROW(A288)),6)</f>
        <v>#NUM!</v>
      </c>
      <c r="AA335" s="240" t="e">
        <f t="array" ref="AA335">INDEX(Tabela.abordagens[],SMALL(IF(Tabela.abordagens[Mês]=$L$2,ROW(Tabela.abordagens[Idade])-2),ROW(A288)),4)</f>
        <v>#NUM!</v>
      </c>
      <c r="AB335" s="240" t="e">
        <f t="array" ref="AB335">INDEX(Tabela.abordagens[],SMALL(IF(Tabela.abordagens[Mês]=$L$2,ROW(Tabela.abordagens[Idade])-2),ROW(A288)),5)</f>
        <v>#NUM!</v>
      </c>
    </row>
    <row r="336" spans="2:28" ht="15" x14ac:dyDescent="0.25">
      <c r="B336" s="223" t="e">
        <f t="array" ref="B336">INDEX(Tabela.frequencia[],SMALL(IF(Tabela.frequencia[Mês]=$L$2,ROW(Tabela.frequencia[id])-1),ROW(A289)),1)</f>
        <v>#NUM!</v>
      </c>
      <c r="C336" s="229" t="e">
        <f t="array" ref="C336">INDEX(Tabela.frequencia[],SMALL(IF(Tabela.frequencia[Mês]=$L$2,ROW(Tabela.frequencia[id])-1),ROW(A289)),4)</f>
        <v>#NUM!</v>
      </c>
      <c r="E336" s="176" t="str">
        <f>IFERROR(VLOOKUP(D336,Tabela.cadastro[[ID]:[Nome]],2,0),"")</f>
        <v/>
      </c>
      <c r="F336" s="177" t="str">
        <f>IFERROR(VLOOKUP(D336,Tabela66[#All],2,0),"")</f>
        <v/>
      </c>
      <c r="G336" s="177" t="str">
        <f>IFERROR(VLOOKUP(D336,Tabela.cadastro[[ID]:[CP ou M]],5,0),"")</f>
        <v/>
      </c>
      <c r="H336" s="177" t="str">
        <f>IFERROR(VLOOKUP(D336,Cadastros!A:F,6,0),"")</f>
        <v/>
      </c>
      <c r="I336" s="177" t="str">
        <f>IFERROR(VLOOKUP(D336,Cadastros!A:I,9,0),"")</f>
        <v/>
      </c>
      <c r="J336" s="177" t="str">
        <f>IFERROR(VLOOKUP(D336,Cadastros!A:J,10,0),"")</f>
        <v/>
      </c>
      <c r="K336" s="177" t="str">
        <f>IF(COUNTIF(Tabela66[id],D336)=0,"",COUNTIF(Tabela66[id],D336))</f>
        <v/>
      </c>
      <c r="L336" s="198"/>
      <c r="M336" s="227" t="str">
        <f t="shared" si="25"/>
        <v/>
      </c>
      <c r="P336" s="176" t="str">
        <f>IFERROR(VLOOKUP(O336,Cadastros!A:B,2),"")</f>
        <v/>
      </c>
      <c r="Q336" s="177" t="str">
        <f t="shared" si="21"/>
        <v/>
      </c>
      <c r="R336" s="177" t="str">
        <f>IFERROR(VLOOKUP(O336,Cadastros!A:E,5,0),"")</f>
        <v/>
      </c>
      <c r="S336" s="177" t="str">
        <f>IFERROR(VLOOKUP(O336,Cadastros!A:F,6,0),"")</f>
        <v/>
      </c>
      <c r="T336" s="177" t="str">
        <f>IFERROR(VLOOKUP(O336,Cadastros!A:I,9,0),"")</f>
        <v/>
      </c>
      <c r="U336" s="177" t="str">
        <f t="shared" si="22"/>
        <v/>
      </c>
      <c r="V336" s="177" t="str">
        <f t="shared" si="23"/>
        <v/>
      </c>
      <c r="W336" s="177" t="str">
        <f t="shared" si="24"/>
        <v/>
      </c>
      <c r="Y336" s="240" t="e">
        <f t="array" ref="Y336">INDEX(Tabela.abordagens[],SMALL(IF(Tabela.abordagens[Mês]=$L$2,ROW(Tabela.abordagens[id])-2),ROW(A289)),1)</f>
        <v>#NUM!</v>
      </c>
      <c r="Z336" s="240" t="e">
        <f t="array" ref="Z336">INDEX(Tabela.abordagens[],SMALL(IF(Tabela.abordagens[Mês]=$L$2,ROW(Tabela.abordagens[Idade])-2),ROW(A289)),6)</f>
        <v>#NUM!</v>
      </c>
      <c r="AA336" s="240" t="e">
        <f t="array" ref="AA336">INDEX(Tabela.abordagens[],SMALL(IF(Tabela.abordagens[Mês]=$L$2,ROW(Tabela.abordagens[Idade])-2),ROW(A289)),4)</f>
        <v>#NUM!</v>
      </c>
      <c r="AB336" s="240" t="e">
        <f t="array" ref="AB336">INDEX(Tabela.abordagens[],SMALL(IF(Tabela.abordagens[Mês]=$L$2,ROW(Tabela.abordagens[Idade])-2),ROW(A289)),5)</f>
        <v>#NUM!</v>
      </c>
    </row>
    <row r="337" spans="2:28" ht="15" x14ac:dyDescent="0.25">
      <c r="B337" s="223" t="e">
        <f t="array" ref="B337">INDEX(Tabela.frequencia[],SMALL(IF(Tabela.frequencia[Mês]=$L$2,ROW(Tabela.frequencia[id])-1),ROW(A290)),1)</f>
        <v>#NUM!</v>
      </c>
      <c r="C337" s="229" t="e">
        <f t="array" ref="C337">INDEX(Tabela.frequencia[],SMALL(IF(Tabela.frequencia[Mês]=$L$2,ROW(Tabela.frequencia[id])-1),ROW(A290)),4)</f>
        <v>#NUM!</v>
      </c>
      <c r="E337" s="176" t="str">
        <f>IFERROR(VLOOKUP(D337,Tabela.cadastro[[ID]:[Nome]],2,0),"")</f>
        <v/>
      </c>
      <c r="F337" s="177" t="str">
        <f>IFERROR(VLOOKUP(D337,Tabela66[#All],2,0),"")</f>
        <v/>
      </c>
      <c r="G337" s="177" t="str">
        <f>IFERROR(VLOOKUP(D337,Tabela.cadastro[[ID]:[CP ou M]],5,0),"")</f>
        <v/>
      </c>
      <c r="H337" s="177" t="str">
        <f>IFERROR(VLOOKUP(D337,Cadastros!A:F,6,0),"")</f>
        <v/>
      </c>
      <c r="I337" s="177" t="str">
        <f>IFERROR(VLOOKUP(D337,Cadastros!A:I,9,0),"")</f>
        <v/>
      </c>
      <c r="J337" s="177" t="str">
        <f>IFERROR(VLOOKUP(D337,Cadastros!A:J,10,0),"")</f>
        <v/>
      </c>
      <c r="K337" s="177" t="str">
        <f>IF(COUNTIF(Tabela66[id],D337)=0,"",COUNTIF(Tabela66[id],D337))</f>
        <v/>
      </c>
      <c r="L337" s="198"/>
      <c r="M337" s="227" t="str">
        <f t="shared" si="25"/>
        <v/>
      </c>
      <c r="P337" s="176" t="str">
        <f>IFERROR(VLOOKUP(O337,Cadastros!A:B,2),"")</f>
        <v/>
      </c>
      <c r="Q337" s="177" t="str">
        <f t="shared" si="21"/>
        <v/>
      </c>
      <c r="R337" s="177" t="str">
        <f>IFERROR(VLOOKUP(O337,Cadastros!A:E,5,0),"")</f>
        <v/>
      </c>
      <c r="S337" s="177" t="str">
        <f>IFERROR(VLOOKUP(O337,Cadastros!A:F,6,0),"")</f>
        <v/>
      </c>
      <c r="T337" s="177" t="str">
        <f>IFERROR(VLOOKUP(O337,Cadastros!A:I,9,0),"")</f>
        <v/>
      </c>
      <c r="U337" s="177" t="str">
        <f t="shared" si="22"/>
        <v/>
      </c>
      <c r="V337" s="177" t="str">
        <f t="shared" si="23"/>
        <v/>
      </c>
      <c r="W337" s="177" t="str">
        <f t="shared" si="24"/>
        <v/>
      </c>
      <c r="Y337" s="240" t="e">
        <f t="array" ref="Y337">INDEX(Tabela.abordagens[],SMALL(IF(Tabela.abordagens[Mês]=$L$2,ROW(Tabela.abordagens[id])-2),ROW(A290)),1)</f>
        <v>#NUM!</v>
      </c>
      <c r="Z337" s="240" t="e">
        <f t="array" ref="Z337">INDEX(Tabela.abordagens[],SMALL(IF(Tabela.abordagens[Mês]=$L$2,ROW(Tabela.abordagens[Idade])-2),ROW(A290)),6)</f>
        <v>#NUM!</v>
      </c>
      <c r="AA337" s="240" t="e">
        <f t="array" ref="AA337">INDEX(Tabela.abordagens[],SMALL(IF(Tabela.abordagens[Mês]=$L$2,ROW(Tabela.abordagens[Idade])-2),ROW(A290)),4)</f>
        <v>#NUM!</v>
      </c>
      <c r="AB337" s="240" t="e">
        <f t="array" ref="AB337">INDEX(Tabela.abordagens[],SMALL(IF(Tabela.abordagens[Mês]=$L$2,ROW(Tabela.abordagens[Idade])-2),ROW(A290)),5)</f>
        <v>#NUM!</v>
      </c>
    </row>
    <row r="338" spans="2:28" ht="15" x14ac:dyDescent="0.25">
      <c r="B338" s="223" t="e">
        <f t="array" ref="B338">INDEX(Tabela.frequencia[],SMALL(IF(Tabela.frequencia[Mês]=$L$2,ROW(Tabela.frequencia[id])-1),ROW(A291)),1)</f>
        <v>#NUM!</v>
      </c>
      <c r="C338" s="229" t="e">
        <f t="array" ref="C338">INDEX(Tabela.frequencia[],SMALL(IF(Tabela.frequencia[Mês]=$L$2,ROW(Tabela.frequencia[id])-1),ROW(A291)),4)</f>
        <v>#NUM!</v>
      </c>
      <c r="E338" s="176" t="str">
        <f>IFERROR(VLOOKUP(D338,Tabela.cadastro[[ID]:[Nome]],2,0),"")</f>
        <v/>
      </c>
      <c r="F338" s="177" t="str">
        <f>IFERROR(VLOOKUP(D338,Tabela66[#All],2,0),"")</f>
        <v/>
      </c>
      <c r="G338" s="177" t="str">
        <f>IFERROR(VLOOKUP(D338,Tabela.cadastro[[ID]:[CP ou M]],5,0),"")</f>
        <v/>
      </c>
      <c r="H338" s="177" t="str">
        <f>IFERROR(VLOOKUP(D338,Cadastros!A:F,6,0),"")</f>
        <v/>
      </c>
      <c r="I338" s="177" t="str">
        <f>IFERROR(VLOOKUP(D338,Cadastros!A:I,9,0),"")</f>
        <v/>
      </c>
      <c r="J338" s="177" t="str">
        <f>IFERROR(VLOOKUP(D338,Cadastros!A:J,10,0),"")</f>
        <v/>
      </c>
      <c r="K338" s="177" t="str">
        <f>IF(COUNTIF(Tabela66[id],D338)=0,"",COUNTIF(Tabela66[id],D338))</f>
        <v/>
      </c>
      <c r="L338" s="198"/>
      <c r="M338" s="227" t="str">
        <f t="shared" si="25"/>
        <v/>
      </c>
      <c r="P338" s="176" t="str">
        <f>IFERROR(VLOOKUP(O338,Cadastros!A:B,2),"")</f>
        <v/>
      </c>
      <c r="Q338" s="177" t="str">
        <f t="shared" si="21"/>
        <v/>
      </c>
      <c r="R338" s="177" t="str">
        <f>IFERROR(VLOOKUP(O338,Cadastros!A:E,5,0),"")</f>
        <v/>
      </c>
      <c r="S338" s="177" t="str">
        <f>IFERROR(VLOOKUP(O338,Cadastros!A:F,6,0),"")</f>
        <v/>
      </c>
      <c r="T338" s="177" t="str">
        <f>IFERROR(VLOOKUP(O338,Cadastros!A:I,9,0),"")</f>
        <v/>
      </c>
      <c r="U338" s="177" t="str">
        <f t="shared" si="22"/>
        <v/>
      </c>
      <c r="V338" s="177" t="str">
        <f t="shared" si="23"/>
        <v/>
      </c>
      <c r="W338" s="177" t="str">
        <f t="shared" si="24"/>
        <v/>
      </c>
      <c r="Y338" s="240" t="e">
        <f t="array" ref="Y338">INDEX(Tabela.abordagens[],SMALL(IF(Tabela.abordagens[Mês]=$L$2,ROW(Tabela.abordagens[id])-2),ROW(A291)),1)</f>
        <v>#NUM!</v>
      </c>
      <c r="Z338" s="240" t="e">
        <f t="array" ref="Z338">INDEX(Tabela.abordagens[],SMALL(IF(Tabela.abordagens[Mês]=$L$2,ROW(Tabela.abordagens[Idade])-2),ROW(A291)),6)</f>
        <v>#NUM!</v>
      </c>
      <c r="AA338" s="240" t="e">
        <f t="array" ref="AA338">INDEX(Tabela.abordagens[],SMALL(IF(Tabela.abordagens[Mês]=$L$2,ROW(Tabela.abordagens[Idade])-2),ROW(A291)),4)</f>
        <v>#NUM!</v>
      </c>
      <c r="AB338" s="240" t="e">
        <f t="array" ref="AB338">INDEX(Tabela.abordagens[],SMALL(IF(Tabela.abordagens[Mês]=$L$2,ROW(Tabela.abordagens[Idade])-2),ROW(A291)),5)</f>
        <v>#NUM!</v>
      </c>
    </row>
    <row r="339" spans="2:28" ht="15" x14ac:dyDescent="0.25">
      <c r="B339" s="223" t="e">
        <f t="array" ref="B339">INDEX(Tabela.frequencia[],SMALL(IF(Tabela.frequencia[Mês]=$L$2,ROW(Tabela.frequencia[id])-1),ROW(A292)),1)</f>
        <v>#NUM!</v>
      </c>
      <c r="C339" s="229" t="e">
        <f t="array" ref="C339">INDEX(Tabela.frequencia[],SMALL(IF(Tabela.frequencia[Mês]=$L$2,ROW(Tabela.frequencia[id])-1),ROW(A292)),4)</f>
        <v>#NUM!</v>
      </c>
      <c r="E339" s="176" t="str">
        <f>IFERROR(VLOOKUP(D339,Tabela.cadastro[[ID]:[Nome]],2,0),"")</f>
        <v/>
      </c>
      <c r="F339" s="177" t="str">
        <f>IFERROR(VLOOKUP(D339,Tabela66[#All],2,0),"")</f>
        <v/>
      </c>
      <c r="G339" s="177" t="str">
        <f>IFERROR(VLOOKUP(D339,Tabela.cadastro[[ID]:[CP ou M]],5,0),"")</f>
        <v/>
      </c>
      <c r="H339" s="177" t="str">
        <f>IFERROR(VLOOKUP(D339,Cadastros!A:F,6,0),"")</f>
        <v/>
      </c>
      <c r="I339" s="177" t="str">
        <f>IFERROR(VLOOKUP(D339,Cadastros!A:I,9,0),"")</f>
        <v/>
      </c>
      <c r="J339" s="177" t="str">
        <f>IFERROR(VLOOKUP(D339,Cadastros!A:J,10,0),"")</f>
        <v/>
      </c>
      <c r="K339" s="177" t="str">
        <f>IF(COUNTIF(Tabela66[id],D339)=0,"",COUNTIF(Tabela66[id],D339))</f>
        <v/>
      </c>
      <c r="L339" s="198"/>
      <c r="M339" s="227" t="str">
        <f t="shared" si="25"/>
        <v/>
      </c>
      <c r="P339" s="176" t="str">
        <f>IFERROR(VLOOKUP(O339,Cadastros!A:B,2),"")</f>
        <v/>
      </c>
      <c r="Q339" s="177" t="str">
        <f t="shared" si="21"/>
        <v/>
      </c>
      <c r="R339" s="177" t="str">
        <f>IFERROR(VLOOKUP(O339,Cadastros!A:E,5,0),"")</f>
        <v/>
      </c>
      <c r="S339" s="177" t="str">
        <f>IFERROR(VLOOKUP(O339,Cadastros!A:F,6,0),"")</f>
        <v/>
      </c>
      <c r="T339" s="177" t="str">
        <f>IFERROR(VLOOKUP(O339,Cadastros!A:I,9,0),"")</f>
        <v/>
      </c>
      <c r="U339" s="177" t="str">
        <f t="shared" si="22"/>
        <v/>
      </c>
      <c r="V339" s="177" t="str">
        <f t="shared" si="23"/>
        <v/>
      </c>
      <c r="W339" s="177" t="str">
        <f t="shared" si="24"/>
        <v/>
      </c>
      <c r="Y339" s="240" t="e">
        <f t="array" ref="Y339">INDEX(Tabela.abordagens[],SMALL(IF(Tabela.abordagens[Mês]=$L$2,ROW(Tabela.abordagens[id])-2),ROW(A292)),1)</f>
        <v>#NUM!</v>
      </c>
      <c r="Z339" s="240" t="e">
        <f t="array" ref="Z339">INDEX(Tabela.abordagens[],SMALL(IF(Tabela.abordagens[Mês]=$L$2,ROW(Tabela.abordagens[Idade])-2),ROW(A292)),6)</f>
        <v>#NUM!</v>
      </c>
      <c r="AA339" s="240" t="e">
        <f t="array" ref="AA339">INDEX(Tabela.abordagens[],SMALL(IF(Tabela.abordagens[Mês]=$L$2,ROW(Tabela.abordagens[Idade])-2),ROW(A292)),4)</f>
        <v>#NUM!</v>
      </c>
      <c r="AB339" s="240" t="e">
        <f t="array" ref="AB339">INDEX(Tabela.abordagens[],SMALL(IF(Tabela.abordagens[Mês]=$L$2,ROW(Tabela.abordagens[Idade])-2),ROW(A292)),5)</f>
        <v>#NUM!</v>
      </c>
    </row>
    <row r="340" spans="2:28" ht="15" x14ac:dyDescent="0.25">
      <c r="B340" s="223" t="e">
        <f t="array" ref="B340">INDEX(Tabela.frequencia[],SMALL(IF(Tabela.frequencia[Mês]=$L$2,ROW(Tabela.frequencia[id])-1),ROW(A293)),1)</f>
        <v>#NUM!</v>
      </c>
      <c r="C340" s="229" t="e">
        <f t="array" ref="C340">INDEX(Tabela.frequencia[],SMALL(IF(Tabela.frequencia[Mês]=$L$2,ROW(Tabela.frequencia[id])-1),ROW(A293)),4)</f>
        <v>#NUM!</v>
      </c>
      <c r="E340" s="176" t="str">
        <f>IFERROR(VLOOKUP(D340,Tabela.cadastro[[ID]:[Nome]],2,0),"")</f>
        <v/>
      </c>
      <c r="F340" s="177" t="str">
        <f>IFERROR(VLOOKUP(D340,Tabela66[#All],2,0),"")</f>
        <v/>
      </c>
      <c r="G340" s="177" t="str">
        <f>IFERROR(VLOOKUP(D340,Tabela.cadastro[[ID]:[CP ou M]],5,0),"")</f>
        <v/>
      </c>
      <c r="H340" s="177" t="str">
        <f>IFERROR(VLOOKUP(D340,Cadastros!A:F,6,0),"")</f>
        <v/>
      </c>
      <c r="I340" s="177" t="str">
        <f>IFERROR(VLOOKUP(D340,Cadastros!A:I,9,0),"")</f>
        <v/>
      </c>
      <c r="J340" s="177" t="str">
        <f>IFERROR(VLOOKUP(D340,Cadastros!A:J,10,0),"")</f>
        <v/>
      </c>
      <c r="K340" s="177" t="str">
        <f>IF(COUNTIF(Tabela66[id],D340)=0,"",COUNTIF(Tabela66[id],D340))</f>
        <v/>
      </c>
      <c r="L340" s="198"/>
      <c r="M340" s="227" t="str">
        <f t="shared" si="25"/>
        <v/>
      </c>
      <c r="P340" s="176" t="str">
        <f>IFERROR(VLOOKUP(O340,Cadastros!A:B,2),"")</f>
        <v/>
      </c>
      <c r="Q340" s="177" t="str">
        <f t="shared" si="21"/>
        <v/>
      </c>
      <c r="R340" s="177" t="str">
        <f>IFERROR(VLOOKUP(O340,Cadastros!A:E,5,0),"")</f>
        <v/>
      </c>
      <c r="S340" s="177" t="str">
        <f>IFERROR(VLOOKUP(O340,Cadastros!A:F,6,0),"")</f>
        <v/>
      </c>
      <c r="T340" s="177" t="str">
        <f>IFERROR(VLOOKUP(O340,Cadastros!A:I,9,0),"")</f>
        <v/>
      </c>
      <c r="U340" s="177" t="str">
        <f t="shared" si="22"/>
        <v/>
      </c>
      <c r="V340" s="177" t="str">
        <f t="shared" si="23"/>
        <v/>
      </c>
      <c r="W340" s="177" t="str">
        <f t="shared" si="24"/>
        <v/>
      </c>
      <c r="Y340" s="240" t="e">
        <f t="array" ref="Y340">INDEX(Tabela.abordagens[],SMALL(IF(Tabela.abordagens[Mês]=$L$2,ROW(Tabela.abordagens[id])-2),ROW(A293)),1)</f>
        <v>#NUM!</v>
      </c>
      <c r="Z340" s="240" t="e">
        <f t="array" ref="Z340">INDEX(Tabela.abordagens[],SMALL(IF(Tabela.abordagens[Mês]=$L$2,ROW(Tabela.abordagens[Idade])-2),ROW(A293)),6)</f>
        <v>#NUM!</v>
      </c>
      <c r="AA340" s="240" t="e">
        <f t="array" ref="AA340">INDEX(Tabela.abordagens[],SMALL(IF(Tabela.abordagens[Mês]=$L$2,ROW(Tabela.abordagens[Idade])-2),ROW(A293)),4)</f>
        <v>#NUM!</v>
      </c>
      <c r="AB340" s="240" t="e">
        <f t="array" ref="AB340">INDEX(Tabela.abordagens[],SMALL(IF(Tabela.abordagens[Mês]=$L$2,ROW(Tabela.abordagens[Idade])-2),ROW(A293)),5)</f>
        <v>#NUM!</v>
      </c>
    </row>
    <row r="341" spans="2:28" ht="15" x14ac:dyDescent="0.25">
      <c r="B341" s="223" t="e">
        <f t="array" ref="B341">INDEX(Tabela.frequencia[],SMALL(IF(Tabela.frequencia[Mês]=$L$2,ROW(Tabela.frequencia[id])-1),ROW(A294)),1)</f>
        <v>#NUM!</v>
      </c>
      <c r="C341" s="229" t="e">
        <f t="array" ref="C341">INDEX(Tabela.frequencia[],SMALL(IF(Tabela.frequencia[Mês]=$L$2,ROW(Tabela.frequencia[id])-1),ROW(A294)),4)</f>
        <v>#NUM!</v>
      </c>
      <c r="E341" s="176" t="str">
        <f>IFERROR(VLOOKUP(D341,Tabela.cadastro[[ID]:[Nome]],2,0),"")</f>
        <v/>
      </c>
      <c r="F341" s="177" t="str">
        <f>IFERROR(VLOOKUP(D341,Tabela66[#All],2,0),"")</f>
        <v/>
      </c>
      <c r="G341" s="177" t="str">
        <f>IFERROR(VLOOKUP(D341,Tabela.cadastro[[ID]:[CP ou M]],5,0),"")</f>
        <v/>
      </c>
      <c r="H341" s="177" t="str">
        <f>IFERROR(VLOOKUP(D341,Cadastros!A:F,6,0),"")</f>
        <v/>
      </c>
      <c r="I341" s="177" t="str">
        <f>IFERROR(VLOOKUP(D341,Cadastros!A:I,9,0),"")</f>
        <v/>
      </c>
      <c r="J341" s="177" t="str">
        <f>IFERROR(VLOOKUP(D341,Cadastros!A:J,10,0),"")</f>
        <v/>
      </c>
      <c r="K341" s="177" t="str">
        <f>IF(COUNTIF(Tabela66[id],D341)=0,"",COUNTIF(Tabela66[id],D341))</f>
        <v/>
      </c>
      <c r="L341" s="198"/>
      <c r="M341" s="227" t="str">
        <f t="shared" si="25"/>
        <v/>
      </c>
      <c r="P341" s="176" t="str">
        <f>IFERROR(VLOOKUP(O341,Cadastros!A:B,2),"")</f>
        <v/>
      </c>
      <c r="Q341" s="177" t="str">
        <f t="shared" si="21"/>
        <v/>
      </c>
      <c r="R341" s="177" t="str">
        <f>IFERROR(VLOOKUP(O341,Cadastros!A:E,5,0),"")</f>
        <v/>
      </c>
      <c r="S341" s="177" t="str">
        <f>IFERROR(VLOOKUP(O341,Cadastros!A:F,6,0),"")</f>
        <v/>
      </c>
      <c r="T341" s="177" t="str">
        <f>IFERROR(VLOOKUP(O341,Cadastros!A:I,9,0),"")</f>
        <v/>
      </c>
      <c r="U341" s="177" t="str">
        <f t="shared" si="22"/>
        <v/>
      </c>
      <c r="V341" s="177" t="str">
        <f t="shared" si="23"/>
        <v/>
      </c>
      <c r="W341" s="177" t="str">
        <f t="shared" si="24"/>
        <v/>
      </c>
      <c r="Y341" s="240" t="e">
        <f t="array" ref="Y341">INDEX(Tabela.abordagens[],SMALL(IF(Tabela.abordagens[Mês]=$L$2,ROW(Tabela.abordagens[id])-2),ROW(A294)),1)</f>
        <v>#NUM!</v>
      </c>
      <c r="Z341" s="240" t="e">
        <f t="array" ref="Z341">INDEX(Tabela.abordagens[],SMALL(IF(Tabela.abordagens[Mês]=$L$2,ROW(Tabela.abordagens[Idade])-2),ROW(A294)),6)</f>
        <v>#NUM!</v>
      </c>
      <c r="AA341" s="240" t="e">
        <f t="array" ref="AA341">INDEX(Tabela.abordagens[],SMALL(IF(Tabela.abordagens[Mês]=$L$2,ROW(Tabela.abordagens[Idade])-2),ROW(A294)),4)</f>
        <v>#NUM!</v>
      </c>
      <c r="AB341" s="240" t="e">
        <f t="array" ref="AB341">INDEX(Tabela.abordagens[],SMALL(IF(Tabela.abordagens[Mês]=$L$2,ROW(Tabela.abordagens[Idade])-2),ROW(A294)),5)</f>
        <v>#NUM!</v>
      </c>
    </row>
    <row r="342" spans="2:28" ht="15" x14ac:dyDescent="0.25">
      <c r="B342" s="223" t="e">
        <f t="array" ref="B342">INDEX(Tabela.frequencia[],SMALL(IF(Tabela.frequencia[Mês]=$L$2,ROW(Tabela.frequencia[id])-1),ROW(A295)),1)</f>
        <v>#NUM!</v>
      </c>
      <c r="C342" s="229" t="e">
        <f t="array" ref="C342">INDEX(Tabela.frequencia[],SMALL(IF(Tabela.frequencia[Mês]=$L$2,ROW(Tabela.frequencia[id])-1),ROW(A295)),4)</f>
        <v>#NUM!</v>
      </c>
      <c r="E342" s="176" t="str">
        <f>IFERROR(VLOOKUP(D342,Tabela.cadastro[[ID]:[Nome]],2,0),"")</f>
        <v/>
      </c>
      <c r="F342" s="177" t="str">
        <f>IFERROR(VLOOKUP(D342,Tabela66[#All],2,0),"")</f>
        <v/>
      </c>
      <c r="G342" s="177" t="str">
        <f>IFERROR(VLOOKUP(D342,Tabela.cadastro[[ID]:[CP ou M]],5,0),"")</f>
        <v/>
      </c>
      <c r="H342" s="177" t="str">
        <f>IFERROR(VLOOKUP(D342,Cadastros!A:F,6,0),"")</f>
        <v/>
      </c>
      <c r="I342" s="177" t="str">
        <f>IFERROR(VLOOKUP(D342,Cadastros!A:I,9,0),"")</f>
        <v/>
      </c>
      <c r="J342" s="177" t="str">
        <f>IFERROR(VLOOKUP(D342,Cadastros!A:J,10,0),"")</f>
        <v/>
      </c>
      <c r="K342" s="177" t="str">
        <f>IF(COUNTIF(Tabela66[id],D342)=0,"",COUNTIF(Tabela66[id],D342))</f>
        <v/>
      </c>
      <c r="L342" s="198"/>
      <c r="M342" s="227" t="str">
        <f t="shared" si="25"/>
        <v/>
      </c>
      <c r="P342" s="176" t="str">
        <f>IFERROR(VLOOKUP(O342,Cadastros!A:B,2),"")</f>
        <v/>
      </c>
      <c r="Q342" s="177" t="str">
        <f t="shared" si="21"/>
        <v/>
      </c>
      <c r="R342" s="177" t="str">
        <f>IFERROR(VLOOKUP(O342,Cadastros!A:E,5,0),"")</f>
        <v/>
      </c>
      <c r="S342" s="177" t="str">
        <f>IFERROR(VLOOKUP(O342,Cadastros!A:F,6,0),"")</f>
        <v/>
      </c>
      <c r="T342" s="177" t="str">
        <f>IFERROR(VLOOKUP(O342,Cadastros!A:I,9,0),"")</f>
        <v/>
      </c>
      <c r="U342" s="177" t="str">
        <f t="shared" si="22"/>
        <v/>
      </c>
      <c r="V342" s="177" t="str">
        <f t="shared" si="23"/>
        <v/>
      </c>
      <c r="W342" s="177" t="str">
        <f t="shared" si="24"/>
        <v/>
      </c>
      <c r="Y342" s="240" t="e">
        <f t="array" ref="Y342">INDEX(Tabela.abordagens[],SMALL(IF(Tabela.abordagens[Mês]=$L$2,ROW(Tabela.abordagens[id])-2),ROW(A295)),1)</f>
        <v>#NUM!</v>
      </c>
      <c r="Z342" s="240" t="e">
        <f t="array" ref="Z342">INDEX(Tabela.abordagens[],SMALL(IF(Tabela.abordagens[Mês]=$L$2,ROW(Tabela.abordagens[Idade])-2),ROW(A295)),6)</f>
        <v>#NUM!</v>
      </c>
      <c r="AA342" s="240" t="e">
        <f t="array" ref="AA342">INDEX(Tabela.abordagens[],SMALL(IF(Tabela.abordagens[Mês]=$L$2,ROW(Tabela.abordagens[Idade])-2),ROW(A295)),4)</f>
        <v>#NUM!</v>
      </c>
      <c r="AB342" s="240" t="e">
        <f t="array" ref="AB342">INDEX(Tabela.abordagens[],SMALL(IF(Tabela.abordagens[Mês]=$L$2,ROW(Tabela.abordagens[Idade])-2),ROW(A295)),5)</f>
        <v>#NUM!</v>
      </c>
    </row>
    <row r="343" spans="2:28" ht="15" x14ac:dyDescent="0.25">
      <c r="B343" s="223" t="e">
        <f t="array" ref="B343">INDEX(Tabela.frequencia[],SMALL(IF(Tabela.frequencia[Mês]=$L$2,ROW(Tabela.frequencia[id])-1),ROW(A296)),1)</f>
        <v>#NUM!</v>
      </c>
      <c r="C343" s="229" t="e">
        <f t="array" ref="C343">INDEX(Tabela.frequencia[],SMALL(IF(Tabela.frequencia[Mês]=$L$2,ROW(Tabela.frequencia[id])-1),ROW(A296)),4)</f>
        <v>#NUM!</v>
      </c>
      <c r="E343" s="176" t="str">
        <f>IFERROR(VLOOKUP(D343,Tabela.cadastro[[ID]:[Nome]],2,0),"")</f>
        <v/>
      </c>
      <c r="F343" s="177" t="str">
        <f>IFERROR(VLOOKUP(D343,Tabela66[#All],2,0),"")</f>
        <v/>
      </c>
      <c r="G343" s="177" t="str">
        <f>IFERROR(VLOOKUP(D343,Tabela.cadastro[[ID]:[CP ou M]],5,0),"")</f>
        <v/>
      </c>
      <c r="H343" s="177" t="str">
        <f>IFERROR(VLOOKUP(D343,Cadastros!A:F,6,0),"")</f>
        <v/>
      </c>
      <c r="I343" s="177" t="str">
        <f>IFERROR(VLOOKUP(D343,Cadastros!A:I,9,0),"")</f>
        <v/>
      </c>
      <c r="J343" s="177" t="str">
        <f>IFERROR(VLOOKUP(D343,Cadastros!A:J,10,0),"")</f>
        <v/>
      </c>
      <c r="K343" s="177" t="str">
        <f>IF(COUNTIF(Tabela66[id],D343)=0,"",COUNTIF(Tabela66[id],D343))</f>
        <v/>
      </c>
      <c r="L343" s="198"/>
      <c r="M343" s="227" t="str">
        <f t="shared" si="25"/>
        <v/>
      </c>
      <c r="P343" s="176" t="str">
        <f>IFERROR(VLOOKUP(O343,Cadastros!A:B,2),"")</f>
        <v/>
      </c>
      <c r="Q343" s="177" t="str">
        <f t="shared" si="21"/>
        <v/>
      </c>
      <c r="R343" s="177" t="str">
        <f>IFERROR(VLOOKUP(O343,Cadastros!A:E,5,0),"")</f>
        <v/>
      </c>
      <c r="S343" s="177" t="str">
        <f>IFERROR(VLOOKUP(O343,Cadastros!A:F,6,0),"")</f>
        <v/>
      </c>
      <c r="T343" s="177" t="str">
        <f>IFERROR(VLOOKUP(O343,Cadastros!A:I,9,0),"")</f>
        <v/>
      </c>
      <c r="U343" s="177" t="str">
        <f t="shared" si="22"/>
        <v/>
      </c>
      <c r="V343" s="177" t="str">
        <f t="shared" si="23"/>
        <v/>
      </c>
      <c r="W343" s="177" t="str">
        <f t="shared" si="24"/>
        <v/>
      </c>
      <c r="Y343" s="240" t="e">
        <f t="array" ref="Y343">INDEX(Tabela.abordagens[],SMALL(IF(Tabela.abordagens[Mês]=$L$2,ROW(Tabela.abordagens[id])-2),ROW(A296)),1)</f>
        <v>#NUM!</v>
      </c>
      <c r="Z343" s="240" t="e">
        <f t="array" ref="Z343">INDEX(Tabela.abordagens[],SMALL(IF(Tabela.abordagens[Mês]=$L$2,ROW(Tabela.abordagens[Idade])-2),ROW(A296)),6)</f>
        <v>#NUM!</v>
      </c>
      <c r="AA343" s="240" t="e">
        <f t="array" ref="AA343">INDEX(Tabela.abordagens[],SMALL(IF(Tabela.abordagens[Mês]=$L$2,ROW(Tabela.abordagens[Idade])-2),ROW(A296)),4)</f>
        <v>#NUM!</v>
      </c>
      <c r="AB343" s="240" t="e">
        <f t="array" ref="AB343">INDEX(Tabela.abordagens[],SMALL(IF(Tabela.abordagens[Mês]=$L$2,ROW(Tabela.abordagens[Idade])-2),ROW(A296)),5)</f>
        <v>#NUM!</v>
      </c>
    </row>
    <row r="344" spans="2:28" ht="15" x14ac:dyDescent="0.25">
      <c r="B344" s="223" t="e">
        <f t="array" ref="B344">INDEX(Tabela.frequencia[],SMALL(IF(Tabela.frequencia[Mês]=$L$2,ROW(Tabela.frequencia[id])-1),ROW(A297)),1)</f>
        <v>#NUM!</v>
      </c>
      <c r="C344" s="229" t="e">
        <f t="array" ref="C344">INDEX(Tabela.frequencia[],SMALL(IF(Tabela.frequencia[Mês]=$L$2,ROW(Tabela.frequencia[id])-1),ROW(A297)),4)</f>
        <v>#NUM!</v>
      </c>
      <c r="E344" s="176" t="str">
        <f>IFERROR(VLOOKUP(D344,Tabela.cadastro[[ID]:[Nome]],2,0),"")</f>
        <v/>
      </c>
      <c r="F344" s="177" t="str">
        <f>IFERROR(VLOOKUP(D344,Tabela66[#All],2,0),"")</f>
        <v/>
      </c>
      <c r="G344" s="177" t="str">
        <f>IFERROR(VLOOKUP(D344,Tabela.cadastro[[ID]:[CP ou M]],5,0),"")</f>
        <v/>
      </c>
      <c r="H344" s="177" t="str">
        <f>IFERROR(VLOOKUP(D344,Cadastros!A:F,6,0),"")</f>
        <v/>
      </c>
      <c r="I344" s="177" t="str">
        <f>IFERROR(VLOOKUP(D344,Cadastros!A:I,9,0),"")</f>
        <v/>
      </c>
      <c r="J344" s="177" t="str">
        <f>IFERROR(VLOOKUP(D344,Cadastros!A:J,10,0),"")</f>
        <v/>
      </c>
      <c r="K344" s="177" t="str">
        <f>IF(COUNTIF(Tabela66[id],D344)=0,"",COUNTIF(Tabela66[id],D344))</f>
        <v/>
      </c>
      <c r="L344" s="198"/>
      <c r="M344" s="227" t="str">
        <f t="shared" si="25"/>
        <v/>
      </c>
      <c r="P344" s="176" t="str">
        <f>IFERROR(VLOOKUP(O344,Cadastros!A:B,2),"")</f>
        <v/>
      </c>
      <c r="Q344" s="177" t="str">
        <f t="shared" si="21"/>
        <v/>
      </c>
      <c r="R344" s="177" t="str">
        <f>IFERROR(VLOOKUP(O344,Cadastros!A:E,5,0),"")</f>
        <v/>
      </c>
      <c r="S344" s="177" t="str">
        <f>IFERROR(VLOOKUP(O344,Cadastros!A:F,6,0),"")</f>
        <v/>
      </c>
      <c r="T344" s="177" t="str">
        <f>IFERROR(VLOOKUP(O344,Cadastros!A:I,9,0),"")</f>
        <v/>
      </c>
      <c r="U344" s="177" t="str">
        <f t="shared" si="22"/>
        <v/>
      </c>
      <c r="V344" s="177" t="str">
        <f t="shared" si="23"/>
        <v/>
      </c>
      <c r="W344" s="177" t="str">
        <f t="shared" si="24"/>
        <v/>
      </c>
      <c r="Y344" s="240" t="e">
        <f t="array" ref="Y344">INDEX(Tabela.abordagens[],SMALL(IF(Tabela.abordagens[Mês]=$L$2,ROW(Tabela.abordagens[id])-2),ROW(A297)),1)</f>
        <v>#NUM!</v>
      </c>
      <c r="Z344" s="240" t="e">
        <f t="array" ref="Z344">INDEX(Tabela.abordagens[],SMALL(IF(Tabela.abordagens[Mês]=$L$2,ROW(Tabela.abordagens[Idade])-2),ROW(A297)),6)</f>
        <v>#NUM!</v>
      </c>
      <c r="AA344" s="240" t="e">
        <f t="array" ref="AA344">INDEX(Tabela.abordagens[],SMALL(IF(Tabela.abordagens[Mês]=$L$2,ROW(Tabela.abordagens[Idade])-2),ROW(A297)),4)</f>
        <v>#NUM!</v>
      </c>
      <c r="AB344" s="240" t="e">
        <f t="array" ref="AB344">INDEX(Tabela.abordagens[],SMALL(IF(Tabela.abordagens[Mês]=$L$2,ROW(Tabela.abordagens[Idade])-2),ROW(A297)),5)</f>
        <v>#NUM!</v>
      </c>
    </row>
    <row r="345" spans="2:28" ht="15" x14ac:dyDescent="0.25">
      <c r="B345" s="223" t="e">
        <f t="array" ref="B345">INDEX(Tabela.frequencia[],SMALL(IF(Tabela.frequencia[Mês]=$L$2,ROW(Tabela.frequencia[id])-1),ROW(A298)),1)</f>
        <v>#NUM!</v>
      </c>
      <c r="C345" s="229" t="e">
        <f t="array" ref="C345">INDEX(Tabela.frequencia[],SMALL(IF(Tabela.frequencia[Mês]=$L$2,ROW(Tabela.frequencia[id])-1),ROW(A298)),4)</f>
        <v>#NUM!</v>
      </c>
      <c r="E345" s="176" t="str">
        <f>IFERROR(VLOOKUP(D345,Tabela.cadastro[[ID]:[Nome]],2,0),"")</f>
        <v/>
      </c>
      <c r="F345" s="177" t="str">
        <f>IFERROR(VLOOKUP(D345,Tabela66[#All],2,0),"")</f>
        <v/>
      </c>
      <c r="G345" s="177" t="str">
        <f>IFERROR(VLOOKUP(D345,Tabela.cadastro[[ID]:[CP ou M]],5,0),"")</f>
        <v/>
      </c>
      <c r="H345" s="177" t="str">
        <f>IFERROR(VLOOKUP(D345,Cadastros!A:F,6,0),"")</f>
        <v/>
      </c>
      <c r="I345" s="177" t="str">
        <f>IFERROR(VLOOKUP(D345,Cadastros!A:I,9,0),"")</f>
        <v/>
      </c>
      <c r="J345" s="177" t="str">
        <f>IFERROR(VLOOKUP(D345,Cadastros!A:J,10,0),"")</f>
        <v/>
      </c>
      <c r="K345" s="177" t="str">
        <f>IF(COUNTIF(Tabela66[id],D345)=0,"",COUNTIF(Tabela66[id],D345))</f>
        <v/>
      </c>
      <c r="L345" s="198"/>
      <c r="M345" s="227" t="str">
        <f t="shared" si="25"/>
        <v/>
      </c>
      <c r="P345" s="176" t="str">
        <f>IFERROR(VLOOKUP(O345,Cadastros!A:B,2),"")</f>
        <v/>
      </c>
      <c r="Q345" s="177" t="str">
        <f t="shared" si="21"/>
        <v/>
      </c>
      <c r="R345" s="177" t="str">
        <f>IFERROR(VLOOKUP(O345,Cadastros!A:E,5,0),"")</f>
        <v/>
      </c>
      <c r="S345" s="177" t="str">
        <f>IFERROR(VLOOKUP(O345,Cadastros!A:F,6,0),"")</f>
        <v/>
      </c>
      <c r="T345" s="177" t="str">
        <f>IFERROR(VLOOKUP(O345,Cadastros!A:I,9,0),"")</f>
        <v/>
      </c>
      <c r="U345" s="177" t="str">
        <f t="shared" si="22"/>
        <v/>
      </c>
      <c r="V345" s="177" t="str">
        <f t="shared" si="23"/>
        <v/>
      </c>
      <c r="W345" s="177" t="str">
        <f t="shared" si="24"/>
        <v/>
      </c>
      <c r="Y345" s="240" t="e">
        <f t="array" ref="Y345">INDEX(Tabela.abordagens[],SMALL(IF(Tabela.abordagens[Mês]=$L$2,ROW(Tabela.abordagens[id])-2),ROW(A298)),1)</f>
        <v>#NUM!</v>
      </c>
      <c r="Z345" s="240" t="e">
        <f t="array" ref="Z345">INDEX(Tabela.abordagens[],SMALL(IF(Tabela.abordagens[Mês]=$L$2,ROW(Tabela.abordagens[Idade])-2),ROW(A298)),6)</f>
        <v>#NUM!</v>
      </c>
      <c r="AA345" s="240" t="e">
        <f t="array" ref="AA345">INDEX(Tabela.abordagens[],SMALL(IF(Tabela.abordagens[Mês]=$L$2,ROW(Tabela.abordagens[Idade])-2),ROW(A298)),4)</f>
        <v>#NUM!</v>
      </c>
      <c r="AB345" s="240" t="e">
        <f t="array" ref="AB345">INDEX(Tabela.abordagens[],SMALL(IF(Tabela.abordagens[Mês]=$L$2,ROW(Tabela.abordagens[Idade])-2),ROW(A298)),5)</f>
        <v>#NUM!</v>
      </c>
    </row>
    <row r="346" spans="2:28" ht="15" x14ac:dyDescent="0.25">
      <c r="B346" s="223" t="e">
        <f t="array" ref="B346">INDEX(Tabela.frequencia[],SMALL(IF(Tabela.frequencia[Mês]=$L$2,ROW(Tabela.frequencia[id])-1),ROW(A299)),1)</f>
        <v>#NUM!</v>
      </c>
      <c r="C346" s="229" t="e">
        <f t="array" ref="C346">INDEX(Tabela.frequencia[],SMALL(IF(Tabela.frequencia[Mês]=$L$2,ROW(Tabela.frequencia[id])-1),ROW(A299)),4)</f>
        <v>#NUM!</v>
      </c>
      <c r="E346" s="176" t="str">
        <f>IFERROR(VLOOKUP(D346,Tabela.cadastro[[ID]:[Nome]],2,0),"")</f>
        <v/>
      </c>
      <c r="F346" s="177" t="str">
        <f>IFERROR(VLOOKUP(D346,Tabela66[#All],2,0),"")</f>
        <v/>
      </c>
      <c r="G346" s="177" t="str">
        <f>IFERROR(VLOOKUP(D346,Tabela.cadastro[[ID]:[CP ou M]],5,0),"")</f>
        <v/>
      </c>
      <c r="H346" s="177" t="str">
        <f>IFERROR(VLOOKUP(D346,Cadastros!A:F,6,0),"")</f>
        <v/>
      </c>
      <c r="I346" s="177" t="str">
        <f>IFERROR(VLOOKUP(D346,Cadastros!A:I,9,0),"")</f>
        <v/>
      </c>
      <c r="J346" s="177" t="str">
        <f>IFERROR(VLOOKUP(D346,Cadastros!A:J,10,0),"")</f>
        <v/>
      </c>
      <c r="K346" s="177" t="str">
        <f>IF(COUNTIF(Tabela66[id],D346)=0,"",COUNTIF(Tabela66[id],D346))</f>
        <v/>
      </c>
      <c r="L346" s="198"/>
      <c r="M346" s="227" t="str">
        <f t="shared" si="25"/>
        <v/>
      </c>
      <c r="P346" s="176" t="str">
        <f>IFERROR(VLOOKUP(O346,Cadastros!A:B,2),"")</f>
        <v/>
      </c>
      <c r="Q346" s="177" t="str">
        <f t="shared" si="21"/>
        <v/>
      </c>
      <c r="R346" s="177" t="str">
        <f>IFERROR(VLOOKUP(O346,Cadastros!A:E,5,0),"")</f>
        <v/>
      </c>
      <c r="S346" s="177" t="str">
        <f>IFERROR(VLOOKUP(O346,Cadastros!A:F,6,0),"")</f>
        <v/>
      </c>
      <c r="T346" s="177" t="str">
        <f>IFERROR(VLOOKUP(O346,Cadastros!A:I,9,0),"")</f>
        <v/>
      </c>
      <c r="U346" s="177" t="str">
        <f t="shared" si="22"/>
        <v/>
      </c>
      <c r="V346" s="177" t="str">
        <f t="shared" si="23"/>
        <v/>
      </c>
      <c r="W346" s="177" t="str">
        <f t="shared" si="24"/>
        <v/>
      </c>
      <c r="Y346" s="240" t="e">
        <f t="array" ref="Y346">INDEX(Tabela.abordagens[],SMALL(IF(Tabela.abordagens[Mês]=$L$2,ROW(Tabela.abordagens[id])-2),ROW(A299)),1)</f>
        <v>#NUM!</v>
      </c>
      <c r="Z346" s="240" t="e">
        <f t="array" ref="Z346">INDEX(Tabela.abordagens[],SMALL(IF(Tabela.abordagens[Mês]=$L$2,ROW(Tabela.abordagens[Idade])-2),ROW(A299)),6)</f>
        <v>#NUM!</v>
      </c>
      <c r="AA346" s="240" t="e">
        <f t="array" ref="AA346">INDEX(Tabela.abordagens[],SMALL(IF(Tabela.abordagens[Mês]=$L$2,ROW(Tabela.abordagens[Idade])-2),ROW(A299)),4)</f>
        <v>#NUM!</v>
      </c>
      <c r="AB346" s="240" t="e">
        <f t="array" ref="AB346">INDEX(Tabela.abordagens[],SMALL(IF(Tabela.abordagens[Mês]=$L$2,ROW(Tabela.abordagens[Idade])-2),ROW(A299)),5)</f>
        <v>#NUM!</v>
      </c>
    </row>
    <row r="347" spans="2:28" ht="15" x14ac:dyDescent="0.25">
      <c r="B347" s="223" t="e">
        <f t="array" ref="B347">INDEX(Tabela.frequencia[],SMALL(IF(Tabela.frequencia[Mês]=$L$2,ROW(Tabela.frequencia[id])-1),ROW(A300)),1)</f>
        <v>#NUM!</v>
      </c>
      <c r="C347" s="229" t="e">
        <f t="array" ref="C347">INDEX(Tabela.frequencia[],SMALL(IF(Tabela.frequencia[Mês]=$L$2,ROW(Tabela.frequencia[id])-1),ROW(A300)),4)</f>
        <v>#NUM!</v>
      </c>
      <c r="E347" s="176" t="str">
        <f>IFERROR(VLOOKUP(D347,Tabela.cadastro[[ID]:[Nome]],2,0),"")</f>
        <v/>
      </c>
      <c r="F347" s="177" t="str">
        <f>IFERROR(VLOOKUP(D347,Tabela66[#All],2,0),"")</f>
        <v/>
      </c>
      <c r="G347" s="177" t="str">
        <f>IFERROR(VLOOKUP(D347,Tabela.cadastro[[ID]:[CP ou M]],5,0),"")</f>
        <v/>
      </c>
      <c r="H347" s="177" t="str">
        <f>IFERROR(VLOOKUP(D347,Cadastros!A:F,6,0),"")</f>
        <v/>
      </c>
      <c r="I347" s="177" t="str">
        <f>IFERROR(VLOOKUP(D347,Cadastros!A:I,9,0),"")</f>
        <v/>
      </c>
      <c r="J347" s="177" t="str">
        <f>IFERROR(VLOOKUP(D347,Cadastros!A:J,10,0),"")</f>
        <v/>
      </c>
      <c r="K347" s="177" t="str">
        <f>IF(COUNTIF(Tabela66[id],D347)=0,"",COUNTIF(Tabela66[id],D347))</f>
        <v/>
      </c>
      <c r="L347" s="198"/>
      <c r="M347" s="227" t="str">
        <f t="shared" si="25"/>
        <v/>
      </c>
      <c r="P347" s="176" t="str">
        <f>IFERROR(VLOOKUP(O347,Cadastros!A:B,2),"")</f>
        <v/>
      </c>
      <c r="Q347" s="177" t="str">
        <f t="shared" si="21"/>
        <v/>
      </c>
      <c r="R347" s="177" t="str">
        <f>IFERROR(VLOOKUP(O347,Cadastros!A:E,5,0),"")</f>
        <v/>
      </c>
      <c r="S347" s="177" t="str">
        <f>IFERROR(VLOOKUP(O347,Cadastros!A:F,6,0),"")</f>
        <v/>
      </c>
      <c r="T347" s="177" t="str">
        <f>IFERROR(VLOOKUP(O347,Cadastros!A:I,9,0),"")</f>
        <v/>
      </c>
      <c r="U347" s="177" t="str">
        <f t="shared" si="22"/>
        <v/>
      </c>
      <c r="V347" s="177" t="str">
        <f t="shared" si="23"/>
        <v/>
      </c>
      <c r="W347" s="177" t="str">
        <f t="shared" si="24"/>
        <v/>
      </c>
      <c r="Y347" s="240" t="e">
        <f t="array" ref="Y347">INDEX(Tabela.abordagens[],SMALL(IF(Tabela.abordagens[Mês]=$L$2,ROW(Tabela.abordagens[id])-2),ROW(A300)),1)</f>
        <v>#NUM!</v>
      </c>
      <c r="Z347" s="240" t="e">
        <f t="array" ref="Z347">INDEX(Tabela.abordagens[],SMALL(IF(Tabela.abordagens[Mês]=$L$2,ROW(Tabela.abordagens[Idade])-2),ROW(A300)),6)</f>
        <v>#NUM!</v>
      </c>
      <c r="AA347" s="240" t="e">
        <f t="array" ref="AA347">INDEX(Tabela.abordagens[],SMALL(IF(Tabela.abordagens[Mês]=$L$2,ROW(Tabela.abordagens[Idade])-2),ROW(A300)),4)</f>
        <v>#NUM!</v>
      </c>
      <c r="AB347" s="240" t="e">
        <f t="array" ref="AB347">INDEX(Tabela.abordagens[],SMALL(IF(Tabela.abordagens[Mês]=$L$2,ROW(Tabela.abordagens[Idade])-2),ROW(A300)),5)</f>
        <v>#NUM!</v>
      </c>
    </row>
    <row r="348" spans="2:28" ht="15" x14ac:dyDescent="0.25">
      <c r="B348" s="223" t="e">
        <f t="array" ref="B348">INDEX(Tabela.frequencia[],SMALL(IF(Tabela.frequencia[Mês]=$L$2,ROW(Tabela.frequencia[id])-1),ROW(A301)),1)</f>
        <v>#NUM!</v>
      </c>
      <c r="C348" s="229" t="e">
        <f t="array" ref="C348">INDEX(Tabela.frequencia[],SMALL(IF(Tabela.frequencia[Mês]=$L$2,ROW(Tabela.frequencia[id])-1),ROW(A301)),4)</f>
        <v>#NUM!</v>
      </c>
      <c r="E348" s="176" t="str">
        <f>IFERROR(VLOOKUP(D348,Tabela.cadastro[[ID]:[Nome]],2,0),"")</f>
        <v/>
      </c>
      <c r="F348" s="177" t="str">
        <f>IFERROR(VLOOKUP(D348,Tabela66[#All],2,0),"")</f>
        <v/>
      </c>
      <c r="G348" s="177" t="str">
        <f>IFERROR(VLOOKUP(D348,Tabela.cadastro[[ID]:[CP ou M]],5,0),"")</f>
        <v/>
      </c>
      <c r="H348" s="177" t="str">
        <f>IFERROR(VLOOKUP(D348,Cadastros!A:F,6,0),"")</f>
        <v/>
      </c>
      <c r="I348" s="177" t="str">
        <f>IFERROR(VLOOKUP(D348,Cadastros!A:I,9,0),"")</f>
        <v/>
      </c>
      <c r="J348" s="177" t="str">
        <f>IFERROR(VLOOKUP(D348,Cadastros!A:J,10,0),"")</f>
        <v/>
      </c>
      <c r="K348" s="177" t="str">
        <f>IF(COUNTIF(Tabela66[id],D348)=0,"",COUNTIF(Tabela66[id],D348))</f>
        <v/>
      </c>
      <c r="L348" s="198"/>
      <c r="M348" s="227" t="str">
        <f t="shared" si="25"/>
        <v/>
      </c>
      <c r="P348" s="176" t="str">
        <f>IFERROR(VLOOKUP(O348,Cadastros!A:B,2),"")</f>
        <v/>
      </c>
      <c r="Q348" s="177" t="str">
        <f t="shared" si="21"/>
        <v/>
      </c>
      <c r="R348" s="177" t="str">
        <f>IFERROR(VLOOKUP(O348,Cadastros!A:E,5,0),"")</f>
        <v/>
      </c>
      <c r="S348" s="177" t="str">
        <f>IFERROR(VLOOKUP(O348,Cadastros!A:F,6,0),"")</f>
        <v/>
      </c>
      <c r="T348" s="177" t="str">
        <f>IFERROR(VLOOKUP(O348,Cadastros!A:I,9,0),"")</f>
        <v/>
      </c>
      <c r="U348" s="177" t="str">
        <f t="shared" si="22"/>
        <v/>
      </c>
      <c r="V348" s="177" t="str">
        <f t="shared" si="23"/>
        <v/>
      </c>
      <c r="W348" s="177" t="str">
        <f t="shared" si="24"/>
        <v/>
      </c>
      <c r="Y348" s="240" t="e">
        <f t="array" ref="Y348">INDEX(Tabela.abordagens[],SMALL(IF(Tabela.abordagens[Mês]=$L$2,ROW(Tabela.abordagens[id])-2),ROW(A301)),1)</f>
        <v>#NUM!</v>
      </c>
      <c r="Z348" s="240" t="e">
        <f t="array" ref="Z348">INDEX(Tabela.abordagens[],SMALL(IF(Tabela.abordagens[Mês]=$L$2,ROW(Tabela.abordagens[Idade])-2),ROW(A301)),6)</f>
        <v>#NUM!</v>
      </c>
      <c r="AA348" s="240" t="e">
        <f t="array" ref="AA348">INDEX(Tabela.abordagens[],SMALL(IF(Tabela.abordagens[Mês]=$L$2,ROW(Tabela.abordagens[Idade])-2),ROW(A301)),4)</f>
        <v>#NUM!</v>
      </c>
      <c r="AB348" s="240" t="e">
        <f t="array" ref="AB348">INDEX(Tabela.abordagens[],SMALL(IF(Tabela.abordagens[Mês]=$L$2,ROW(Tabela.abordagens[Idade])-2),ROW(A301)),5)</f>
        <v>#NUM!</v>
      </c>
    </row>
    <row r="349" spans="2:28" ht="15" x14ac:dyDescent="0.25">
      <c r="B349" s="223" t="e">
        <f t="array" ref="B349">INDEX(Tabela.frequencia[],SMALL(IF(Tabela.frequencia[Mês]=$L$2,ROW(Tabela.frequencia[id])-1),ROW(A302)),1)</f>
        <v>#NUM!</v>
      </c>
      <c r="C349" s="229" t="e">
        <f t="array" ref="C349">INDEX(Tabela.frequencia[],SMALL(IF(Tabela.frequencia[Mês]=$L$2,ROW(Tabela.frequencia[id])-1),ROW(A302)),4)</f>
        <v>#NUM!</v>
      </c>
      <c r="E349" s="176" t="str">
        <f>IFERROR(VLOOKUP(D349,Tabela.cadastro[[ID]:[Nome]],2,0),"")</f>
        <v/>
      </c>
      <c r="F349" s="177" t="str">
        <f>IFERROR(VLOOKUP(D349,Tabela66[#All],2,0),"")</f>
        <v/>
      </c>
      <c r="G349" s="177" t="str">
        <f>IFERROR(VLOOKUP(D349,Tabela.cadastro[[ID]:[CP ou M]],5,0),"")</f>
        <v/>
      </c>
      <c r="H349" s="177" t="str">
        <f>IFERROR(VLOOKUP(D349,Cadastros!A:F,6,0),"")</f>
        <v/>
      </c>
      <c r="I349" s="177" t="str">
        <f>IFERROR(VLOOKUP(D349,Cadastros!A:I,9,0),"")</f>
        <v/>
      </c>
      <c r="J349" s="177" t="str">
        <f>IFERROR(VLOOKUP(D349,Cadastros!A:J,10,0),"")</f>
        <v/>
      </c>
      <c r="K349" s="177" t="str">
        <f>IF(COUNTIF(Tabela66[id],D349)=0,"",COUNTIF(Tabela66[id],D349))</f>
        <v/>
      </c>
      <c r="L349" s="198"/>
      <c r="M349" s="227" t="str">
        <f t="shared" si="25"/>
        <v/>
      </c>
      <c r="P349" s="176" t="str">
        <f>IFERROR(VLOOKUP(O349,Cadastros!A:B,2),"")</f>
        <v/>
      </c>
      <c r="Q349" s="177" t="str">
        <f t="shared" si="21"/>
        <v/>
      </c>
      <c r="R349" s="177" t="str">
        <f>IFERROR(VLOOKUP(O349,Cadastros!A:E,5,0),"")</f>
        <v/>
      </c>
      <c r="S349" s="177" t="str">
        <f>IFERROR(VLOOKUP(O349,Cadastros!A:F,6,0),"")</f>
        <v/>
      </c>
      <c r="T349" s="177" t="str">
        <f>IFERROR(VLOOKUP(O349,Cadastros!A:I,9,0),"")</f>
        <v/>
      </c>
      <c r="U349" s="177" t="str">
        <f t="shared" si="22"/>
        <v/>
      </c>
      <c r="V349" s="177" t="str">
        <f t="shared" si="23"/>
        <v/>
      </c>
      <c r="W349" s="177" t="str">
        <f t="shared" si="24"/>
        <v/>
      </c>
      <c r="Y349" s="240" t="e">
        <f t="array" ref="Y349">INDEX(Tabela.abordagens[],SMALL(IF(Tabela.abordagens[Mês]=$L$2,ROW(Tabela.abordagens[id])-2),ROW(A302)),1)</f>
        <v>#NUM!</v>
      </c>
      <c r="Z349" s="240" t="e">
        <f t="array" ref="Z349">INDEX(Tabela.abordagens[],SMALL(IF(Tabela.abordagens[Mês]=$L$2,ROW(Tabela.abordagens[Idade])-2),ROW(A302)),6)</f>
        <v>#NUM!</v>
      </c>
      <c r="AA349" s="240" t="e">
        <f t="array" ref="AA349">INDEX(Tabela.abordagens[],SMALL(IF(Tabela.abordagens[Mês]=$L$2,ROW(Tabela.abordagens[Idade])-2),ROW(A302)),4)</f>
        <v>#NUM!</v>
      </c>
      <c r="AB349" s="240" t="e">
        <f t="array" ref="AB349">INDEX(Tabela.abordagens[],SMALL(IF(Tabela.abordagens[Mês]=$L$2,ROW(Tabela.abordagens[Idade])-2),ROW(A302)),5)</f>
        <v>#NUM!</v>
      </c>
    </row>
    <row r="350" spans="2:28" ht="15" x14ac:dyDescent="0.25">
      <c r="B350" s="223" t="e">
        <f t="array" ref="B350">INDEX(Tabela.frequencia[],SMALL(IF(Tabela.frequencia[Mês]=$L$2,ROW(Tabela.frequencia[id])-1),ROW(A303)),1)</f>
        <v>#NUM!</v>
      </c>
      <c r="C350" s="229" t="e">
        <f t="array" ref="C350">INDEX(Tabela.frequencia[],SMALL(IF(Tabela.frequencia[Mês]=$L$2,ROW(Tabela.frequencia[id])-1),ROW(A303)),4)</f>
        <v>#NUM!</v>
      </c>
      <c r="E350" s="176" t="str">
        <f>IFERROR(VLOOKUP(D350,Tabela.cadastro[[ID]:[Nome]],2,0),"")</f>
        <v/>
      </c>
      <c r="F350" s="177" t="str">
        <f>IFERROR(VLOOKUP(D350,Tabela66[#All],2,0),"")</f>
        <v/>
      </c>
      <c r="G350" s="177" t="str">
        <f>IFERROR(VLOOKUP(D350,Tabela.cadastro[[ID]:[CP ou M]],5,0),"")</f>
        <v/>
      </c>
      <c r="H350" s="177" t="str">
        <f>IFERROR(VLOOKUP(D350,Cadastros!A:F,6,0),"")</f>
        <v/>
      </c>
      <c r="I350" s="177" t="str">
        <f>IFERROR(VLOOKUP(D350,Cadastros!A:I,9,0),"")</f>
        <v/>
      </c>
      <c r="J350" s="177" t="str">
        <f>IFERROR(VLOOKUP(D350,Cadastros!A:J,10,0),"")</f>
        <v/>
      </c>
      <c r="K350" s="177" t="str">
        <f>IF(COUNTIF(Tabela66[id],D350)=0,"",COUNTIF(Tabela66[id],D350))</f>
        <v/>
      </c>
      <c r="L350" s="198"/>
      <c r="M350" s="227" t="str">
        <f t="shared" si="25"/>
        <v/>
      </c>
      <c r="P350" s="176" t="str">
        <f>IFERROR(VLOOKUP(O350,Cadastros!A:B,2),"")</f>
        <v/>
      </c>
      <c r="Q350" s="177" t="str">
        <f t="shared" si="21"/>
        <v/>
      </c>
      <c r="R350" s="177" t="str">
        <f>IFERROR(VLOOKUP(O350,Cadastros!A:E,5,0),"")</f>
        <v/>
      </c>
      <c r="S350" s="177" t="str">
        <f>IFERROR(VLOOKUP(O350,Cadastros!A:F,6,0),"")</f>
        <v/>
      </c>
      <c r="T350" s="177" t="str">
        <f>IFERROR(VLOOKUP(O350,Cadastros!A:I,9,0),"")</f>
        <v/>
      </c>
      <c r="U350" s="177" t="str">
        <f t="shared" si="22"/>
        <v/>
      </c>
      <c r="V350" s="177" t="str">
        <f t="shared" si="23"/>
        <v/>
      </c>
      <c r="W350" s="177" t="str">
        <f t="shared" si="24"/>
        <v/>
      </c>
      <c r="Y350" s="240" t="e">
        <f t="array" ref="Y350">INDEX(Tabela.abordagens[],SMALL(IF(Tabela.abordagens[Mês]=$L$2,ROW(Tabela.abordagens[id])-2),ROW(A303)),1)</f>
        <v>#NUM!</v>
      </c>
      <c r="Z350" s="240" t="e">
        <f t="array" ref="Z350">INDEX(Tabela.abordagens[],SMALL(IF(Tabela.abordagens[Mês]=$L$2,ROW(Tabela.abordagens[Idade])-2),ROW(A303)),6)</f>
        <v>#NUM!</v>
      </c>
      <c r="AA350" s="240" t="e">
        <f t="array" ref="AA350">INDEX(Tabela.abordagens[],SMALL(IF(Tabela.abordagens[Mês]=$L$2,ROW(Tabela.abordagens[Idade])-2),ROW(A303)),4)</f>
        <v>#NUM!</v>
      </c>
      <c r="AB350" s="240" t="e">
        <f t="array" ref="AB350">INDEX(Tabela.abordagens[],SMALL(IF(Tabela.abordagens[Mês]=$L$2,ROW(Tabela.abordagens[Idade])-2),ROW(A303)),5)</f>
        <v>#NUM!</v>
      </c>
    </row>
    <row r="351" spans="2:28" ht="15" x14ac:dyDescent="0.25">
      <c r="B351" s="223" t="e">
        <f t="array" ref="B351">INDEX(Tabela.frequencia[],SMALL(IF(Tabela.frequencia[Mês]=$L$2,ROW(Tabela.frequencia[id])-1),ROW(A304)),1)</f>
        <v>#NUM!</v>
      </c>
      <c r="C351" s="229" t="e">
        <f t="array" ref="C351">INDEX(Tabela.frequencia[],SMALL(IF(Tabela.frequencia[Mês]=$L$2,ROW(Tabela.frequencia[id])-1),ROW(A304)),4)</f>
        <v>#NUM!</v>
      </c>
      <c r="E351" s="176" t="str">
        <f>IFERROR(VLOOKUP(D351,Tabela.cadastro[[ID]:[Nome]],2,0),"")</f>
        <v/>
      </c>
      <c r="F351" s="177" t="str">
        <f>IFERROR(VLOOKUP(D351,Tabela66[#All],2,0),"")</f>
        <v/>
      </c>
      <c r="G351" s="177" t="str">
        <f>IFERROR(VLOOKUP(D351,Tabela.cadastro[[ID]:[CP ou M]],5,0),"")</f>
        <v/>
      </c>
      <c r="H351" s="177" t="str">
        <f>IFERROR(VLOOKUP(D351,Cadastros!A:F,6,0),"")</f>
        <v/>
      </c>
      <c r="I351" s="177" t="str">
        <f>IFERROR(VLOOKUP(D351,Cadastros!A:I,9,0),"")</f>
        <v/>
      </c>
      <c r="J351" s="177" t="str">
        <f>IFERROR(VLOOKUP(D351,Cadastros!A:J,10,0),"")</f>
        <v/>
      </c>
      <c r="K351" s="177" t="str">
        <f>IF(COUNTIF(Tabela66[id],D351)=0,"",COUNTIF(Tabela66[id],D351))</f>
        <v/>
      </c>
      <c r="L351" s="198"/>
      <c r="M351" s="227" t="str">
        <f t="shared" si="25"/>
        <v/>
      </c>
      <c r="P351" s="176" t="str">
        <f>IFERROR(VLOOKUP(O351,Cadastros!A:B,2),"")</f>
        <v/>
      </c>
      <c r="Q351" s="177" t="str">
        <f t="shared" si="21"/>
        <v/>
      </c>
      <c r="R351" s="177" t="str">
        <f>IFERROR(VLOOKUP(O351,Cadastros!A:E,5,0),"")</f>
        <v/>
      </c>
      <c r="S351" s="177" t="str">
        <f>IFERROR(VLOOKUP(O351,Cadastros!A:F,6,0),"")</f>
        <v/>
      </c>
      <c r="T351" s="177" t="str">
        <f>IFERROR(VLOOKUP(O351,Cadastros!A:I,9,0),"")</f>
        <v/>
      </c>
      <c r="U351" s="177" t="str">
        <f t="shared" si="22"/>
        <v/>
      </c>
      <c r="V351" s="177" t="str">
        <f t="shared" si="23"/>
        <v/>
      </c>
      <c r="W351" s="177" t="str">
        <f t="shared" si="24"/>
        <v/>
      </c>
      <c r="Y351" s="240" t="e">
        <f t="array" ref="Y351">INDEX(Tabela.abordagens[],SMALL(IF(Tabela.abordagens[Mês]=$L$2,ROW(Tabela.abordagens[id])-2),ROW(A304)),1)</f>
        <v>#NUM!</v>
      </c>
      <c r="Z351" s="240" t="e">
        <f t="array" ref="Z351">INDEX(Tabela.abordagens[],SMALL(IF(Tabela.abordagens[Mês]=$L$2,ROW(Tabela.abordagens[Idade])-2),ROW(A304)),6)</f>
        <v>#NUM!</v>
      </c>
      <c r="AA351" s="240" t="e">
        <f t="array" ref="AA351">INDEX(Tabela.abordagens[],SMALL(IF(Tabela.abordagens[Mês]=$L$2,ROW(Tabela.abordagens[Idade])-2),ROW(A304)),4)</f>
        <v>#NUM!</v>
      </c>
      <c r="AB351" s="240" t="e">
        <f t="array" ref="AB351">INDEX(Tabela.abordagens[],SMALL(IF(Tabela.abordagens[Mês]=$L$2,ROW(Tabela.abordagens[Idade])-2),ROW(A304)),5)</f>
        <v>#NUM!</v>
      </c>
    </row>
    <row r="352" spans="2:28" ht="15" x14ac:dyDescent="0.25">
      <c r="B352" s="223" t="e">
        <f t="array" ref="B352">INDEX(Tabela.frequencia[],SMALL(IF(Tabela.frequencia[Mês]=$L$2,ROW(Tabela.frequencia[id])-1),ROW(A305)),1)</f>
        <v>#NUM!</v>
      </c>
      <c r="C352" s="229" t="e">
        <f t="array" ref="C352">INDEX(Tabela.frequencia[],SMALL(IF(Tabela.frequencia[Mês]=$L$2,ROW(Tabela.frequencia[id])-1),ROW(A305)),4)</f>
        <v>#NUM!</v>
      </c>
      <c r="E352" s="176" t="str">
        <f>IFERROR(VLOOKUP(D352,Tabela.cadastro[[ID]:[Nome]],2,0),"")</f>
        <v/>
      </c>
      <c r="F352" s="177" t="str">
        <f>IFERROR(VLOOKUP(D352,Tabela66[#All],2,0),"")</f>
        <v/>
      </c>
      <c r="G352" s="177" t="str">
        <f>IFERROR(VLOOKUP(D352,Tabela.cadastro[[ID]:[CP ou M]],5,0),"")</f>
        <v/>
      </c>
      <c r="H352" s="177" t="str">
        <f>IFERROR(VLOOKUP(D352,Cadastros!A:F,6,0),"")</f>
        <v/>
      </c>
      <c r="I352" s="177" t="str">
        <f>IFERROR(VLOOKUP(D352,Cadastros!A:I,9,0),"")</f>
        <v/>
      </c>
      <c r="J352" s="177" t="str">
        <f>IFERROR(VLOOKUP(D352,Cadastros!A:J,10,0),"")</f>
        <v/>
      </c>
      <c r="K352" s="177" t="str">
        <f>IF(COUNTIF(Tabela66[id],D352)=0,"",COUNTIF(Tabela66[id],D352))</f>
        <v/>
      </c>
      <c r="L352" s="198"/>
      <c r="M352" s="227" t="str">
        <f t="shared" si="25"/>
        <v/>
      </c>
      <c r="P352" s="176" t="str">
        <f>IFERROR(VLOOKUP(O352,Cadastros!A:B,2),"")</f>
        <v/>
      </c>
      <c r="Q352" s="177" t="str">
        <f t="shared" si="21"/>
        <v/>
      </c>
      <c r="R352" s="177" t="str">
        <f>IFERROR(VLOOKUP(O352,Cadastros!A:E,5,0),"")</f>
        <v/>
      </c>
      <c r="S352" s="177" t="str">
        <f>IFERROR(VLOOKUP(O352,Cadastros!A:F,6,0),"")</f>
        <v/>
      </c>
      <c r="T352" s="177" t="str">
        <f>IFERROR(VLOOKUP(O352,Cadastros!A:I,9,0),"")</f>
        <v/>
      </c>
      <c r="U352" s="177" t="str">
        <f t="shared" si="22"/>
        <v/>
      </c>
      <c r="V352" s="177" t="str">
        <f t="shared" si="23"/>
        <v/>
      </c>
      <c r="W352" s="177" t="str">
        <f t="shared" si="24"/>
        <v/>
      </c>
      <c r="Y352" s="240" t="e">
        <f t="array" ref="Y352">INDEX(Tabela.abordagens[],SMALL(IF(Tabela.abordagens[Mês]=$L$2,ROW(Tabela.abordagens[id])-2),ROW(A305)),1)</f>
        <v>#NUM!</v>
      </c>
      <c r="Z352" s="240" t="e">
        <f t="array" ref="Z352">INDEX(Tabela.abordagens[],SMALL(IF(Tabela.abordagens[Mês]=$L$2,ROW(Tabela.abordagens[Idade])-2),ROW(A305)),6)</f>
        <v>#NUM!</v>
      </c>
      <c r="AA352" s="240" t="e">
        <f t="array" ref="AA352">INDEX(Tabela.abordagens[],SMALL(IF(Tabela.abordagens[Mês]=$L$2,ROW(Tabela.abordagens[Idade])-2),ROW(A305)),4)</f>
        <v>#NUM!</v>
      </c>
      <c r="AB352" s="240" t="e">
        <f t="array" ref="AB352">INDEX(Tabela.abordagens[],SMALL(IF(Tabela.abordagens[Mês]=$L$2,ROW(Tabela.abordagens[Idade])-2),ROW(A305)),5)</f>
        <v>#NUM!</v>
      </c>
    </row>
    <row r="353" spans="2:28" ht="15" x14ac:dyDescent="0.25">
      <c r="B353" s="223" t="e">
        <f t="array" ref="B353">INDEX(Tabela.frequencia[],SMALL(IF(Tabela.frequencia[Mês]=$L$2,ROW(Tabela.frequencia[id])-1),ROW(A306)),1)</f>
        <v>#NUM!</v>
      </c>
      <c r="C353" s="229" t="e">
        <f t="array" ref="C353">INDEX(Tabela.frequencia[],SMALL(IF(Tabela.frequencia[Mês]=$L$2,ROW(Tabela.frequencia[id])-1),ROW(A306)),4)</f>
        <v>#NUM!</v>
      </c>
      <c r="E353" s="176" t="str">
        <f>IFERROR(VLOOKUP(D353,Tabela.cadastro[[ID]:[Nome]],2,0),"")</f>
        <v/>
      </c>
      <c r="F353" s="177" t="str">
        <f>IFERROR(VLOOKUP(D353,Tabela66[#All],2,0),"")</f>
        <v/>
      </c>
      <c r="G353" s="177" t="str">
        <f>IFERROR(VLOOKUP(D353,Tabela.cadastro[[ID]:[CP ou M]],5,0),"")</f>
        <v/>
      </c>
      <c r="H353" s="177" t="str">
        <f>IFERROR(VLOOKUP(D353,Cadastros!A:F,6,0),"")</f>
        <v/>
      </c>
      <c r="I353" s="177" t="str">
        <f>IFERROR(VLOOKUP(D353,Cadastros!A:I,9,0),"")</f>
        <v/>
      </c>
      <c r="J353" s="177" t="str">
        <f>IFERROR(VLOOKUP(D353,Cadastros!A:J,10,0),"")</f>
        <v/>
      </c>
      <c r="K353" s="177" t="str">
        <f>IF(COUNTIF(Tabela66[id],D353)=0,"",COUNTIF(Tabela66[id],D353))</f>
        <v/>
      </c>
      <c r="L353" s="198"/>
      <c r="M353" s="227" t="str">
        <f t="shared" si="25"/>
        <v/>
      </c>
      <c r="P353" s="176" t="str">
        <f>IFERROR(VLOOKUP(O353,Cadastros!A:B,2),"")</f>
        <v/>
      </c>
      <c r="Q353" s="177" t="str">
        <f t="shared" si="21"/>
        <v/>
      </c>
      <c r="R353" s="177" t="str">
        <f>IFERROR(VLOOKUP(O353,Cadastros!A:E,5,0),"")</f>
        <v/>
      </c>
      <c r="S353" s="177" t="str">
        <f>IFERROR(VLOOKUP(O353,Cadastros!A:F,6,0),"")</f>
        <v/>
      </c>
      <c r="T353" s="177" t="str">
        <f>IFERROR(VLOOKUP(O353,Cadastros!A:I,9,0),"")</f>
        <v/>
      </c>
      <c r="U353" s="177" t="str">
        <f t="shared" si="22"/>
        <v/>
      </c>
      <c r="V353" s="177" t="str">
        <f t="shared" si="23"/>
        <v/>
      </c>
      <c r="W353" s="177" t="str">
        <f t="shared" si="24"/>
        <v/>
      </c>
      <c r="Y353" s="240" t="e">
        <f t="array" ref="Y353">INDEX(Tabela.abordagens[],SMALL(IF(Tabela.abordagens[Mês]=$L$2,ROW(Tabela.abordagens[id])-2),ROW(A306)),1)</f>
        <v>#NUM!</v>
      </c>
      <c r="Z353" s="240" t="e">
        <f t="array" ref="Z353">INDEX(Tabela.abordagens[],SMALL(IF(Tabela.abordagens[Mês]=$L$2,ROW(Tabela.abordagens[Idade])-2),ROW(A306)),6)</f>
        <v>#NUM!</v>
      </c>
      <c r="AA353" s="240" t="e">
        <f t="array" ref="AA353">INDEX(Tabela.abordagens[],SMALL(IF(Tabela.abordagens[Mês]=$L$2,ROW(Tabela.abordagens[Idade])-2),ROW(A306)),4)</f>
        <v>#NUM!</v>
      </c>
      <c r="AB353" s="240" t="e">
        <f t="array" ref="AB353">INDEX(Tabela.abordagens[],SMALL(IF(Tabela.abordagens[Mês]=$L$2,ROW(Tabela.abordagens[Idade])-2),ROW(A306)),5)</f>
        <v>#NUM!</v>
      </c>
    </row>
    <row r="354" spans="2:28" ht="15" x14ac:dyDescent="0.25">
      <c r="B354" s="223" t="e">
        <f t="array" ref="B354">INDEX(Tabela.frequencia[],SMALL(IF(Tabela.frequencia[Mês]=$L$2,ROW(Tabela.frequencia[id])-1),ROW(A307)),1)</f>
        <v>#NUM!</v>
      </c>
      <c r="C354" s="229" t="e">
        <f t="array" ref="C354">INDEX(Tabela.frequencia[],SMALL(IF(Tabela.frequencia[Mês]=$L$2,ROW(Tabela.frequencia[id])-1),ROW(A307)),4)</f>
        <v>#NUM!</v>
      </c>
      <c r="E354" s="176" t="str">
        <f>IFERROR(VLOOKUP(D354,Tabela.cadastro[[ID]:[Nome]],2,0),"")</f>
        <v/>
      </c>
      <c r="F354" s="177" t="str">
        <f>IFERROR(VLOOKUP(D354,Tabela66[#All],2,0),"")</f>
        <v/>
      </c>
      <c r="G354" s="177" t="str">
        <f>IFERROR(VLOOKUP(D354,Tabela.cadastro[[ID]:[CP ou M]],5,0),"")</f>
        <v/>
      </c>
      <c r="H354" s="177" t="str">
        <f>IFERROR(VLOOKUP(D354,Cadastros!A:F,6,0),"")</f>
        <v/>
      </c>
      <c r="I354" s="177" t="str">
        <f>IFERROR(VLOOKUP(D354,Cadastros!A:I,9,0),"")</f>
        <v/>
      </c>
      <c r="J354" s="177" t="str">
        <f>IFERROR(VLOOKUP(D354,Cadastros!A:J,10,0),"")</f>
        <v/>
      </c>
      <c r="K354" s="177" t="str">
        <f>IF(COUNTIF(Tabela66[id],D354)=0,"",COUNTIF(Tabela66[id],D354))</f>
        <v/>
      </c>
      <c r="L354" s="198"/>
      <c r="M354" s="227" t="str">
        <f t="shared" si="25"/>
        <v/>
      </c>
      <c r="P354" s="176" t="str">
        <f>IFERROR(VLOOKUP(O354,Cadastros!A:B,2),"")</f>
        <v/>
      </c>
      <c r="Q354" s="177" t="str">
        <f t="shared" ref="Q354:Q417" si="26">IFERROR(VLOOKUP(O354,$Y$33:$Z$866,2,0),"")</f>
        <v/>
      </c>
      <c r="R354" s="177" t="str">
        <f>IFERROR(VLOOKUP(O354,Cadastros!A:E,5,0),"")</f>
        <v/>
      </c>
      <c r="S354" s="177" t="str">
        <f>IFERROR(VLOOKUP(O354,Cadastros!A:F,6,0),"")</f>
        <v/>
      </c>
      <c r="T354" s="177" t="str">
        <f>IFERROR(VLOOKUP(O354,Cadastros!A:I,9,0),"")</f>
        <v/>
      </c>
      <c r="U354" s="177" t="str">
        <f t="shared" ref="U354:U417" si="27">IFERROR(VLOOKUP(O354,Y$33:AB$866,3,0),"")</f>
        <v/>
      </c>
      <c r="V354" s="177" t="str">
        <f t="shared" ref="V354:V417" si="28">IFERROR(VLOOKUP(O354,Y$33:AB$866,4,0),"")</f>
        <v/>
      </c>
      <c r="W354" s="177" t="str">
        <f t="shared" ref="W354:W417" si="29">IF(COUNTIF(Y$33:Y$866,O354)=0,"",COUNTIF(Y$33:Y$866,O354))</f>
        <v/>
      </c>
      <c r="Y354" s="240" t="e">
        <f t="array" ref="Y354">INDEX(Tabela.abordagens[],SMALL(IF(Tabela.abordagens[Mês]=$L$2,ROW(Tabela.abordagens[id])-2),ROW(A307)),1)</f>
        <v>#NUM!</v>
      </c>
      <c r="Z354" s="240" t="e">
        <f t="array" ref="Z354">INDEX(Tabela.abordagens[],SMALL(IF(Tabela.abordagens[Mês]=$L$2,ROW(Tabela.abordagens[Idade])-2),ROW(A307)),6)</f>
        <v>#NUM!</v>
      </c>
      <c r="AA354" s="240" t="e">
        <f t="array" ref="AA354">INDEX(Tabela.abordagens[],SMALL(IF(Tabela.abordagens[Mês]=$L$2,ROW(Tabela.abordagens[Idade])-2),ROW(A307)),4)</f>
        <v>#NUM!</v>
      </c>
      <c r="AB354" s="240" t="e">
        <f t="array" ref="AB354">INDEX(Tabela.abordagens[],SMALL(IF(Tabela.abordagens[Mês]=$L$2,ROW(Tabela.abordagens[Idade])-2),ROW(A307)),5)</f>
        <v>#NUM!</v>
      </c>
    </row>
    <row r="355" spans="2:28" ht="15" x14ac:dyDescent="0.25">
      <c r="B355" s="223" t="e">
        <f t="array" ref="B355">INDEX(Tabela.frequencia[],SMALL(IF(Tabela.frequencia[Mês]=$L$2,ROW(Tabela.frequencia[id])-1),ROW(A308)),1)</f>
        <v>#NUM!</v>
      </c>
      <c r="C355" s="229" t="e">
        <f t="array" ref="C355">INDEX(Tabela.frequencia[],SMALL(IF(Tabela.frequencia[Mês]=$L$2,ROW(Tabela.frequencia[id])-1),ROW(A308)),4)</f>
        <v>#NUM!</v>
      </c>
      <c r="E355" s="176" t="str">
        <f>IFERROR(VLOOKUP(D355,Tabela.cadastro[[ID]:[Nome]],2,0),"")</f>
        <v/>
      </c>
      <c r="F355" s="177" t="str">
        <f>IFERROR(VLOOKUP(D355,Tabela66[#All],2,0),"")</f>
        <v/>
      </c>
      <c r="G355" s="177" t="str">
        <f>IFERROR(VLOOKUP(D355,Tabela.cadastro[[ID]:[CP ou M]],5,0),"")</f>
        <v/>
      </c>
      <c r="H355" s="177" t="str">
        <f>IFERROR(VLOOKUP(D355,Cadastros!A:F,6,0),"")</f>
        <v/>
      </c>
      <c r="I355" s="177" t="str">
        <f>IFERROR(VLOOKUP(D355,Cadastros!A:I,9,0),"")</f>
        <v/>
      </c>
      <c r="J355" s="177" t="str">
        <f>IFERROR(VLOOKUP(D355,Cadastros!A:J,10,0),"")</f>
        <v/>
      </c>
      <c r="K355" s="177" t="str">
        <f>IF(COUNTIF(Tabela66[id],D355)=0,"",COUNTIF(Tabela66[id],D355))</f>
        <v/>
      </c>
      <c r="L355" s="198"/>
      <c r="M355" s="227" t="str">
        <f t="shared" si="25"/>
        <v/>
      </c>
      <c r="P355" s="176" t="str">
        <f>IFERROR(VLOOKUP(O355,Cadastros!A:B,2),"")</f>
        <v/>
      </c>
      <c r="Q355" s="177" t="str">
        <f t="shared" si="26"/>
        <v/>
      </c>
      <c r="R355" s="177" t="str">
        <f>IFERROR(VLOOKUP(O355,Cadastros!A:E,5,0),"")</f>
        <v/>
      </c>
      <c r="S355" s="177" t="str">
        <f>IFERROR(VLOOKUP(O355,Cadastros!A:F,6,0),"")</f>
        <v/>
      </c>
      <c r="T355" s="177" t="str">
        <f>IFERROR(VLOOKUP(O355,Cadastros!A:I,9,0),"")</f>
        <v/>
      </c>
      <c r="U355" s="177" t="str">
        <f t="shared" si="27"/>
        <v/>
      </c>
      <c r="V355" s="177" t="str">
        <f t="shared" si="28"/>
        <v/>
      </c>
      <c r="W355" s="177" t="str">
        <f t="shared" si="29"/>
        <v/>
      </c>
      <c r="Y355" s="240" t="e">
        <f t="array" ref="Y355">INDEX(Tabela.abordagens[],SMALL(IF(Tabela.abordagens[Mês]=$L$2,ROW(Tabela.abordagens[id])-2),ROW(A308)),1)</f>
        <v>#NUM!</v>
      </c>
      <c r="Z355" s="240" t="e">
        <f t="array" ref="Z355">INDEX(Tabela.abordagens[],SMALL(IF(Tabela.abordagens[Mês]=$L$2,ROW(Tabela.abordagens[Idade])-2),ROW(A308)),6)</f>
        <v>#NUM!</v>
      </c>
      <c r="AA355" s="240" t="e">
        <f t="array" ref="AA355">INDEX(Tabela.abordagens[],SMALL(IF(Tabela.abordagens[Mês]=$L$2,ROW(Tabela.abordagens[Idade])-2),ROW(A308)),4)</f>
        <v>#NUM!</v>
      </c>
      <c r="AB355" s="240" t="e">
        <f t="array" ref="AB355">INDEX(Tabela.abordagens[],SMALL(IF(Tabela.abordagens[Mês]=$L$2,ROW(Tabela.abordagens[Idade])-2),ROW(A308)),5)</f>
        <v>#NUM!</v>
      </c>
    </row>
    <row r="356" spans="2:28" ht="15" x14ac:dyDescent="0.25">
      <c r="B356" s="223" t="e">
        <f t="array" ref="B356">INDEX(Tabela.frequencia[],SMALL(IF(Tabela.frequencia[Mês]=$L$2,ROW(Tabela.frequencia[id])-1),ROW(A309)),1)</f>
        <v>#NUM!</v>
      </c>
      <c r="C356" s="229" t="e">
        <f t="array" ref="C356">INDEX(Tabela.frequencia[],SMALL(IF(Tabela.frequencia[Mês]=$L$2,ROW(Tabela.frequencia[id])-1),ROW(A309)),4)</f>
        <v>#NUM!</v>
      </c>
      <c r="E356" s="176" t="str">
        <f>IFERROR(VLOOKUP(D356,Tabela.cadastro[[ID]:[Nome]],2,0),"")</f>
        <v/>
      </c>
      <c r="F356" s="177" t="str">
        <f>IFERROR(VLOOKUP(D356,Tabela66[#All],2,0),"")</f>
        <v/>
      </c>
      <c r="G356" s="177" t="str">
        <f>IFERROR(VLOOKUP(D356,Tabela.cadastro[[ID]:[CP ou M]],5,0),"")</f>
        <v/>
      </c>
      <c r="H356" s="177" t="str">
        <f>IFERROR(VLOOKUP(D356,Cadastros!A:F,6,0),"")</f>
        <v/>
      </c>
      <c r="I356" s="177" t="str">
        <f>IFERROR(VLOOKUP(D356,Cadastros!A:I,9,0),"")</f>
        <v/>
      </c>
      <c r="J356" s="177" t="str">
        <f>IFERROR(VLOOKUP(D356,Cadastros!A:J,10,0),"")</f>
        <v/>
      </c>
      <c r="K356" s="177" t="str">
        <f>IF(COUNTIF(Tabela66[id],D356)=0,"",COUNTIF(Tabela66[id],D356))</f>
        <v/>
      </c>
      <c r="L356" s="198"/>
      <c r="M356" s="227" t="str">
        <f t="shared" si="25"/>
        <v/>
      </c>
      <c r="P356" s="176" t="str">
        <f>IFERROR(VLOOKUP(O356,Cadastros!A:B,2),"")</f>
        <v/>
      </c>
      <c r="Q356" s="177" t="str">
        <f t="shared" si="26"/>
        <v/>
      </c>
      <c r="R356" s="177" t="str">
        <f>IFERROR(VLOOKUP(O356,Cadastros!A:E,5,0),"")</f>
        <v/>
      </c>
      <c r="S356" s="177" t="str">
        <f>IFERROR(VLOOKUP(O356,Cadastros!A:F,6,0),"")</f>
        <v/>
      </c>
      <c r="T356" s="177" t="str">
        <f>IFERROR(VLOOKUP(O356,Cadastros!A:I,9,0),"")</f>
        <v/>
      </c>
      <c r="U356" s="177" t="str">
        <f t="shared" si="27"/>
        <v/>
      </c>
      <c r="V356" s="177" t="str">
        <f t="shared" si="28"/>
        <v/>
      </c>
      <c r="W356" s="177" t="str">
        <f t="shared" si="29"/>
        <v/>
      </c>
      <c r="Y356" s="240" t="e">
        <f t="array" ref="Y356">INDEX(Tabela.abordagens[],SMALL(IF(Tabela.abordagens[Mês]=$L$2,ROW(Tabela.abordagens[id])-2),ROW(A309)),1)</f>
        <v>#NUM!</v>
      </c>
      <c r="Z356" s="240" t="e">
        <f t="array" ref="Z356">INDEX(Tabela.abordagens[],SMALL(IF(Tabela.abordagens[Mês]=$L$2,ROW(Tabela.abordagens[Idade])-2),ROW(A309)),6)</f>
        <v>#NUM!</v>
      </c>
      <c r="AA356" s="240" t="e">
        <f t="array" ref="AA356">INDEX(Tabela.abordagens[],SMALL(IF(Tabela.abordagens[Mês]=$L$2,ROW(Tabela.abordagens[Idade])-2),ROW(A309)),4)</f>
        <v>#NUM!</v>
      </c>
      <c r="AB356" s="240" t="e">
        <f t="array" ref="AB356">INDEX(Tabela.abordagens[],SMALL(IF(Tabela.abordagens[Mês]=$L$2,ROW(Tabela.abordagens[Idade])-2),ROW(A309)),5)</f>
        <v>#NUM!</v>
      </c>
    </row>
    <row r="357" spans="2:28" ht="15" x14ac:dyDescent="0.25">
      <c r="B357" s="223" t="e">
        <f t="array" ref="B357">INDEX(Tabela.frequencia[],SMALL(IF(Tabela.frequencia[Mês]=$L$2,ROW(Tabela.frequencia[id])-1),ROW(A310)),1)</f>
        <v>#NUM!</v>
      </c>
      <c r="C357" s="229" t="e">
        <f t="array" ref="C357">INDEX(Tabela.frequencia[],SMALL(IF(Tabela.frequencia[Mês]=$L$2,ROW(Tabela.frequencia[id])-1),ROW(A310)),4)</f>
        <v>#NUM!</v>
      </c>
      <c r="E357" s="176" t="str">
        <f>IFERROR(VLOOKUP(D357,Tabela.cadastro[[ID]:[Nome]],2,0),"")</f>
        <v/>
      </c>
      <c r="F357" s="177" t="str">
        <f>IFERROR(VLOOKUP(D357,Tabela66[#All],2,0),"")</f>
        <v/>
      </c>
      <c r="G357" s="177" t="str">
        <f>IFERROR(VLOOKUP(D357,Tabela.cadastro[[ID]:[CP ou M]],5,0),"")</f>
        <v/>
      </c>
      <c r="H357" s="177" t="str">
        <f>IFERROR(VLOOKUP(D357,Cadastros!A:F,6,0),"")</f>
        <v/>
      </c>
      <c r="I357" s="177" t="str">
        <f>IFERROR(VLOOKUP(D357,Cadastros!A:I,9,0),"")</f>
        <v/>
      </c>
      <c r="J357" s="177" t="str">
        <f>IFERROR(VLOOKUP(D357,Cadastros!A:J,10,0),"")</f>
        <v/>
      </c>
      <c r="K357" s="177" t="str">
        <f>IF(COUNTIF(Tabela66[id],D357)=0,"",COUNTIF(Tabela66[id],D357))</f>
        <v/>
      </c>
      <c r="L357" s="198"/>
      <c r="M357" s="227" t="str">
        <f t="shared" si="25"/>
        <v/>
      </c>
      <c r="P357" s="176" t="str">
        <f>IFERROR(VLOOKUP(O357,Cadastros!A:B,2),"")</f>
        <v/>
      </c>
      <c r="Q357" s="177" t="str">
        <f t="shared" si="26"/>
        <v/>
      </c>
      <c r="R357" s="177" t="str">
        <f>IFERROR(VLOOKUP(O357,Cadastros!A:E,5,0),"")</f>
        <v/>
      </c>
      <c r="S357" s="177" t="str">
        <f>IFERROR(VLOOKUP(O357,Cadastros!A:F,6,0),"")</f>
        <v/>
      </c>
      <c r="T357" s="177" t="str">
        <f>IFERROR(VLOOKUP(O357,Cadastros!A:I,9,0),"")</f>
        <v/>
      </c>
      <c r="U357" s="177" t="str">
        <f t="shared" si="27"/>
        <v/>
      </c>
      <c r="V357" s="177" t="str">
        <f t="shared" si="28"/>
        <v/>
      </c>
      <c r="W357" s="177" t="str">
        <f t="shared" si="29"/>
        <v/>
      </c>
      <c r="Y357" s="240" t="e">
        <f t="array" ref="Y357">INDEX(Tabela.abordagens[],SMALL(IF(Tabela.abordagens[Mês]=$L$2,ROW(Tabela.abordagens[id])-2),ROW(A310)),1)</f>
        <v>#NUM!</v>
      </c>
      <c r="Z357" s="240" t="e">
        <f t="array" ref="Z357">INDEX(Tabela.abordagens[],SMALL(IF(Tabela.abordagens[Mês]=$L$2,ROW(Tabela.abordagens[Idade])-2),ROW(A310)),6)</f>
        <v>#NUM!</v>
      </c>
      <c r="AA357" s="240" t="e">
        <f t="array" ref="AA357">INDEX(Tabela.abordagens[],SMALL(IF(Tabela.abordagens[Mês]=$L$2,ROW(Tabela.abordagens[Idade])-2),ROW(A310)),4)</f>
        <v>#NUM!</v>
      </c>
      <c r="AB357" s="240" t="e">
        <f t="array" ref="AB357">INDEX(Tabela.abordagens[],SMALL(IF(Tabela.abordagens[Mês]=$L$2,ROW(Tabela.abordagens[Idade])-2),ROW(A310)),5)</f>
        <v>#NUM!</v>
      </c>
    </row>
    <row r="358" spans="2:28" ht="15" x14ac:dyDescent="0.25">
      <c r="B358" s="223" t="e">
        <f t="array" ref="B358">INDEX(Tabela.frequencia[],SMALL(IF(Tabela.frequencia[Mês]=$L$2,ROW(Tabela.frequencia[id])-1),ROW(A311)),1)</f>
        <v>#NUM!</v>
      </c>
      <c r="C358" s="229" t="e">
        <f t="array" ref="C358">INDEX(Tabela.frequencia[],SMALL(IF(Tabela.frequencia[Mês]=$L$2,ROW(Tabela.frequencia[id])-1),ROW(A311)),4)</f>
        <v>#NUM!</v>
      </c>
      <c r="E358" s="176" t="str">
        <f>IFERROR(VLOOKUP(D358,Tabela.cadastro[[ID]:[Nome]],2,0),"")</f>
        <v/>
      </c>
      <c r="F358" s="177" t="str">
        <f>IFERROR(VLOOKUP(D358,Tabela66[#All],2,0),"")</f>
        <v/>
      </c>
      <c r="G358" s="177" t="str">
        <f>IFERROR(VLOOKUP(D358,Tabela.cadastro[[ID]:[CP ou M]],5,0),"")</f>
        <v/>
      </c>
      <c r="H358" s="177" t="str">
        <f>IFERROR(VLOOKUP(D358,Cadastros!A:F,6,0),"")</f>
        <v/>
      </c>
      <c r="I358" s="177" t="str">
        <f>IFERROR(VLOOKUP(D358,Cadastros!A:I,9,0),"")</f>
        <v/>
      </c>
      <c r="J358" s="177" t="str">
        <f>IFERROR(VLOOKUP(D358,Cadastros!A:J,10,0),"")</f>
        <v/>
      </c>
      <c r="K358" s="177" t="str">
        <f>IF(COUNTIF(Tabela66[id],D358)=0,"",COUNTIF(Tabela66[id],D358))</f>
        <v/>
      </c>
      <c r="L358" s="198"/>
      <c r="M358" s="227" t="str">
        <f t="shared" si="25"/>
        <v/>
      </c>
      <c r="P358" s="176" t="str">
        <f>IFERROR(VLOOKUP(O358,Cadastros!A:B,2),"")</f>
        <v/>
      </c>
      <c r="Q358" s="177" t="str">
        <f t="shared" si="26"/>
        <v/>
      </c>
      <c r="R358" s="177" t="str">
        <f>IFERROR(VLOOKUP(O358,Cadastros!A:E,5,0),"")</f>
        <v/>
      </c>
      <c r="S358" s="177" t="str">
        <f>IFERROR(VLOOKUP(O358,Cadastros!A:F,6,0),"")</f>
        <v/>
      </c>
      <c r="T358" s="177" t="str">
        <f>IFERROR(VLOOKUP(O358,Cadastros!A:I,9,0),"")</f>
        <v/>
      </c>
      <c r="U358" s="177" t="str">
        <f t="shared" si="27"/>
        <v/>
      </c>
      <c r="V358" s="177" t="str">
        <f t="shared" si="28"/>
        <v/>
      </c>
      <c r="W358" s="177" t="str">
        <f t="shared" si="29"/>
        <v/>
      </c>
      <c r="Y358" s="240" t="e">
        <f t="array" ref="Y358">INDEX(Tabela.abordagens[],SMALL(IF(Tabela.abordagens[Mês]=$L$2,ROW(Tabela.abordagens[id])-2),ROW(A311)),1)</f>
        <v>#NUM!</v>
      </c>
      <c r="Z358" s="240" t="e">
        <f t="array" ref="Z358">INDEX(Tabela.abordagens[],SMALL(IF(Tabela.abordagens[Mês]=$L$2,ROW(Tabela.abordagens[Idade])-2),ROW(A311)),6)</f>
        <v>#NUM!</v>
      </c>
      <c r="AA358" s="240" t="e">
        <f t="array" ref="AA358">INDEX(Tabela.abordagens[],SMALL(IF(Tabela.abordagens[Mês]=$L$2,ROW(Tabela.abordagens[Idade])-2),ROW(A311)),4)</f>
        <v>#NUM!</v>
      </c>
      <c r="AB358" s="240" t="e">
        <f t="array" ref="AB358">INDEX(Tabela.abordagens[],SMALL(IF(Tabela.abordagens[Mês]=$L$2,ROW(Tabela.abordagens[Idade])-2),ROW(A311)),5)</f>
        <v>#NUM!</v>
      </c>
    </row>
    <row r="359" spans="2:28" ht="15" x14ac:dyDescent="0.25">
      <c r="B359" s="223" t="e">
        <f t="array" ref="B359">INDEX(Tabela.frequencia[],SMALL(IF(Tabela.frequencia[Mês]=$L$2,ROW(Tabela.frequencia[id])-1),ROW(A312)),1)</f>
        <v>#NUM!</v>
      </c>
      <c r="C359" s="229" t="e">
        <f t="array" ref="C359">INDEX(Tabela.frequencia[],SMALL(IF(Tabela.frequencia[Mês]=$L$2,ROW(Tabela.frequencia[id])-1),ROW(A312)),4)</f>
        <v>#NUM!</v>
      </c>
      <c r="E359" s="176" t="str">
        <f>IFERROR(VLOOKUP(D359,Tabela.cadastro[[ID]:[Nome]],2,0),"")</f>
        <v/>
      </c>
      <c r="F359" s="177" t="str">
        <f>IFERROR(VLOOKUP(D359,Tabela66[#All],2,0),"")</f>
        <v/>
      </c>
      <c r="G359" s="177" t="str">
        <f>IFERROR(VLOOKUP(D359,Tabela.cadastro[[ID]:[CP ou M]],5,0),"")</f>
        <v/>
      </c>
      <c r="H359" s="177" t="str">
        <f>IFERROR(VLOOKUP(D359,Cadastros!A:F,6,0),"")</f>
        <v/>
      </c>
      <c r="I359" s="177" t="str">
        <f>IFERROR(VLOOKUP(D359,Cadastros!A:I,9,0),"")</f>
        <v/>
      </c>
      <c r="J359" s="177" t="str">
        <f>IFERROR(VLOOKUP(D359,Cadastros!A:J,10,0),"")</f>
        <v/>
      </c>
      <c r="K359" s="177" t="str">
        <f>IF(COUNTIF(Tabela66[id],D359)=0,"",COUNTIF(Tabela66[id],D359))</f>
        <v/>
      </c>
      <c r="L359" s="198"/>
      <c r="M359" s="227" t="str">
        <f t="shared" si="25"/>
        <v/>
      </c>
      <c r="P359" s="176" t="str">
        <f>IFERROR(VLOOKUP(O359,Cadastros!A:B,2),"")</f>
        <v/>
      </c>
      <c r="Q359" s="177" t="str">
        <f t="shared" si="26"/>
        <v/>
      </c>
      <c r="R359" s="177" t="str">
        <f>IFERROR(VLOOKUP(O359,Cadastros!A:E,5,0),"")</f>
        <v/>
      </c>
      <c r="S359" s="177" t="str">
        <f>IFERROR(VLOOKUP(O359,Cadastros!A:F,6,0),"")</f>
        <v/>
      </c>
      <c r="T359" s="177" t="str">
        <f>IFERROR(VLOOKUP(O359,Cadastros!A:I,9,0),"")</f>
        <v/>
      </c>
      <c r="U359" s="177" t="str">
        <f t="shared" si="27"/>
        <v/>
      </c>
      <c r="V359" s="177" t="str">
        <f t="shared" si="28"/>
        <v/>
      </c>
      <c r="W359" s="177" t="str">
        <f t="shared" si="29"/>
        <v/>
      </c>
      <c r="Y359" s="240" t="e">
        <f t="array" ref="Y359">INDEX(Tabela.abordagens[],SMALL(IF(Tabela.abordagens[Mês]=$L$2,ROW(Tabela.abordagens[id])-2),ROW(A312)),1)</f>
        <v>#NUM!</v>
      </c>
      <c r="Z359" s="240" t="e">
        <f t="array" ref="Z359">INDEX(Tabela.abordagens[],SMALL(IF(Tabela.abordagens[Mês]=$L$2,ROW(Tabela.abordagens[Idade])-2),ROW(A312)),6)</f>
        <v>#NUM!</v>
      </c>
      <c r="AA359" s="240" t="e">
        <f t="array" ref="AA359">INDEX(Tabela.abordagens[],SMALL(IF(Tabela.abordagens[Mês]=$L$2,ROW(Tabela.abordagens[Idade])-2),ROW(A312)),4)</f>
        <v>#NUM!</v>
      </c>
      <c r="AB359" s="240" t="e">
        <f t="array" ref="AB359">INDEX(Tabela.abordagens[],SMALL(IF(Tabela.abordagens[Mês]=$L$2,ROW(Tabela.abordagens[Idade])-2),ROW(A312)),5)</f>
        <v>#NUM!</v>
      </c>
    </row>
    <row r="360" spans="2:28" ht="15" x14ac:dyDescent="0.25">
      <c r="B360" s="223" t="e">
        <f t="array" ref="B360">INDEX(Tabela.frequencia[],SMALL(IF(Tabela.frequencia[Mês]=$L$2,ROW(Tabela.frequencia[id])-1),ROW(A313)),1)</f>
        <v>#NUM!</v>
      </c>
      <c r="C360" s="229" t="e">
        <f t="array" ref="C360">INDEX(Tabela.frequencia[],SMALL(IF(Tabela.frequencia[Mês]=$L$2,ROW(Tabela.frequencia[id])-1),ROW(A313)),4)</f>
        <v>#NUM!</v>
      </c>
      <c r="E360" s="176" t="str">
        <f>IFERROR(VLOOKUP(D360,Tabela.cadastro[[ID]:[Nome]],2,0),"")</f>
        <v/>
      </c>
      <c r="F360" s="177" t="str">
        <f>IFERROR(VLOOKUP(D360,Tabela66[#All],2,0),"")</f>
        <v/>
      </c>
      <c r="G360" s="177" t="str">
        <f>IFERROR(VLOOKUP(D360,Tabela.cadastro[[ID]:[CP ou M]],5,0),"")</f>
        <v/>
      </c>
      <c r="H360" s="177" t="str">
        <f>IFERROR(VLOOKUP(D360,Cadastros!A:F,6,0),"")</f>
        <v/>
      </c>
      <c r="I360" s="177" t="str">
        <f>IFERROR(VLOOKUP(D360,Cadastros!A:I,9,0),"")</f>
        <v/>
      </c>
      <c r="J360" s="177" t="str">
        <f>IFERROR(VLOOKUP(D360,Cadastros!A:J,10,0),"")</f>
        <v/>
      </c>
      <c r="K360" s="177" t="str">
        <f>IF(COUNTIF(Tabela66[id],D360)=0,"",COUNTIF(Tabela66[id],D360))</f>
        <v/>
      </c>
      <c r="L360" s="198"/>
      <c r="M360" s="227" t="str">
        <f t="shared" si="25"/>
        <v/>
      </c>
      <c r="P360" s="176" t="str">
        <f>IFERROR(VLOOKUP(O360,Cadastros!A:B,2),"")</f>
        <v/>
      </c>
      <c r="Q360" s="177" t="str">
        <f t="shared" si="26"/>
        <v/>
      </c>
      <c r="R360" s="177" t="str">
        <f>IFERROR(VLOOKUP(O360,Cadastros!A:E,5,0),"")</f>
        <v/>
      </c>
      <c r="S360" s="177" t="str">
        <f>IFERROR(VLOOKUP(O360,Cadastros!A:F,6,0),"")</f>
        <v/>
      </c>
      <c r="T360" s="177" t="str">
        <f>IFERROR(VLOOKUP(O360,Cadastros!A:I,9,0),"")</f>
        <v/>
      </c>
      <c r="U360" s="177" t="str">
        <f t="shared" si="27"/>
        <v/>
      </c>
      <c r="V360" s="177" t="str">
        <f t="shared" si="28"/>
        <v/>
      </c>
      <c r="W360" s="177" t="str">
        <f t="shared" si="29"/>
        <v/>
      </c>
      <c r="Y360" s="240" t="e">
        <f t="array" ref="Y360">INDEX(Tabela.abordagens[],SMALL(IF(Tabela.abordagens[Mês]=$L$2,ROW(Tabela.abordagens[id])-2),ROW(A313)),1)</f>
        <v>#NUM!</v>
      </c>
      <c r="Z360" s="240" t="e">
        <f t="array" ref="Z360">INDEX(Tabela.abordagens[],SMALL(IF(Tabela.abordagens[Mês]=$L$2,ROW(Tabela.abordagens[Idade])-2),ROW(A313)),6)</f>
        <v>#NUM!</v>
      </c>
      <c r="AA360" s="240" t="e">
        <f t="array" ref="AA360">INDEX(Tabela.abordagens[],SMALL(IF(Tabela.abordagens[Mês]=$L$2,ROW(Tabela.abordagens[Idade])-2),ROW(A313)),4)</f>
        <v>#NUM!</v>
      </c>
      <c r="AB360" s="240" t="e">
        <f t="array" ref="AB360">INDEX(Tabela.abordagens[],SMALL(IF(Tabela.abordagens[Mês]=$L$2,ROW(Tabela.abordagens[Idade])-2),ROW(A313)),5)</f>
        <v>#NUM!</v>
      </c>
    </row>
    <row r="361" spans="2:28" ht="15" x14ac:dyDescent="0.25">
      <c r="B361" s="223" t="e">
        <f t="array" ref="B361">INDEX(Tabela.frequencia[],SMALL(IF(Tabela.frequencia[Mês]=$L$2,ROW(Tabela.frequencia[id])-1),ROW(A314)),1)</f>
        <v>#NUM!</v>
      </c>
      <c r="C361" s="229" t="e">
        <f t="array" ref="C361">INDEX(Tabela.frequencia[],SMALL(IF(Tabela.frequencia[Mês]=$L$2,ROW(Tabela.frequencia[id])-1),ROW(A314)),4)</f>
        <v>#NUM!</v>
      </c>
      <c r="E361" s="176" t="str">
        <f>IFERROR(VLOOKUP(D361,Tabela.cadastro[[ID]:[Nome]],2,0),"")</f>
        <v/>
      </c>
      <c r="F361" s="177" t="str">
        <f>IFERROR(VLOOKUP(D361,Tabela66[#All],2,0),"")</f>
        <v/>
      </c>
      <c r="G361" s="177" t="str">
        <f>IFERROR(VLOOKUP(D361,Tabela.cadastro[[ID]:[CP ou M]],5,0),"")</f>
        <v/>
      </c>
      <c r="H361" s="177" t="str">
        <f>IFERROR(VLOOKUP(D361,Cadastros!A:F,6,0),"")</f>
        <v/>
      </c>
      <c r="I361" s="177" t="str">
        <f>IFERROR(VLOOKUP(D361,Cadastros!A:I,9,0),"")</f>
        <v/>
      </c>
      <c r="J361" s="177" t="str">
        <f>IFERROR(VLOOKUP(D361,Cadastros!A:J,10,0),"")</f>
        <v/>
      </c>
      <c r="K361" s="177" t="str">
        <f>IF(COUNTIF(Tabela66[id],D361)=0,"",COUNTIF(Tabela66[id],D361))</f>
        <v/>
      </c>
      <c r="L361" s="198"/>
      <c r="M361" s="227" t="str">
        <f t="shared" si="25"/>
        <v/>
      </c>
      <c r="P361" s="176" t="str">
        <f>IFERROR(VLOOKUP(O361,Cadastros!A:B,2),"")</f>
        <v/>
      </c>
      <c r="Q361" s="177" t="str">
        <f t="shared" si="26"/>
        <v/>
      </c>
      <c r="R361" s="177" t="str">
        <f>IFERROR(VLOOKUP(O361,Cadastros!A:E,5,0),"")</f>
        <v/>
      </c>
      <c r="S361" s="177" t="str">
        <f>IFERROR(VLOOKUP(O361,Cadastros!A:F,6,0),"")</f>
        <v/>
      </c>
      <c r="T361" s="177" t="str">
        <f>IFERROR(VLOOKUP(O361,Cadastros!A:I,9,0),"")</f>
        <v/>
      </c>
      <c r="U361" s="177" t="str">
        <f t="shared" si="27"/>
        <v/>
      </c>
      <c r="V361" s="177" t="str">
        <f t="shared" si="28"/>
        <v/>
      </c>
      <c r="W361" s="177" t="str">
        <f t="shared" si="29"/>
        <v/>
      </c>
      <c r="Y361" s="240" t="e">
        <f t="array" ref="Y361">INDEX(Tabela.abordagens[],SMALL(IF(Tabela.abordagens[Mês]=$L$2,ROW(Tabela.abordagens[id])-2),ROW(A314)),1)</f>
        <v>#NUM!</v>
      </c>
      <c r="Z361" s="240" t="e">
        <f t="array" ref="Z361">INDEX(Tabela.abordagens[],SMALL(IF(Tabela.abordagens[Mês]=$L$2,ROW(Tabela.abordagens[Idade])-2),ROW(A314)),6)</f>
        <v>#NUM!</v>
      </c>
      <c r="AA361" s="240" t="e">
        <f t="array" ref="AA361">INDEX(Tabela.abordagens[],SMALL(IF(Tabela.abordagens[Mês]=$L$2,ROW(Tabela.abordagens[Idade])-2),ROW(A314)),4)</f>
        <v>#NUM!</v>
      </c>
      <c r="AB361" s="240" t="e">
        <f t="array" ref="AB361">INDEX(Tabela.abordagens[],SMALL(IF(Tabela.abordagens[Mês]=$L$2,ROW(Tabela.abordagens[Idade])-2),ROW(A314)),5)</f>
        <v>#NUM!</v>
      </c>
    </row>
    <row r="362" spans="2:28" ht="15" x14ac:dyDescent="0.25">
      <c r="B362" s="223" t="e">
        <f t="array" ref="B362">INDEX(Tabela.frequencia[],SMALL(IF(Tabela.frequencia[Mês]=$L$2,ROW(Tabela.frequencia[id])-1),ROW(A315)),1)</f>
        <v>#NUM!</v>
      </c>
      <c r="C362" s="229" t="e">
        <f t="array" ref="C362">INDEX(Tabela.frequencia[],SMALL(IF(Tabela.frequencia[Mês]=$L$2,ROW(Tabela.frequencia[id])-1),ROW(A315)),4)</f>
        <v>#NUM!</v>
      </c>
      <c r="E362" s="176" t="str">
        <f>IFERROR(VLOOKUP(D362,Tabela.cadastro[[ID]:[Nome]],2,0),"")</f>
        <v/>
      </c>
      <c r="F362" s="177" t="str">
        <f>IFERROR(VLOOKUP(D362,Tabela66[#All],2,0),"")</f>
        <v/>
      </c>
      <c r="G362" s="177" t="str">
        <f>IFERROR(VLOOKUP(D362,Tabela.cadastro[[ID]:[CP ou M]],5,0),"")</f>
        <v/>
      </c>
      <c r="H362" s="177" t="str">
        <f>IFERROR(VLOOKUP(D362,Cadastros!A:F,6,0),"")</f>
        <v/>
      </c>
      <c r="I362" s="177" t="str">
        <f>IFERROR(VLOOKUP(D362,Cadastros!A:I,9,0),"")</f>
        <v/>
      </c>
      <c r="J362" s="177" t="str">
        <f>IFERROR(VLOOKUP(D362,Cadastros!A:J,10,0),"")</f>
        <v/>
      </c>
      <c r="K362" s="177" t="str">
        <f>IF(COUNTIF(Tabela66[id],D362)=0,"",COUNTIF(Tabela66[id],D362))</f>
        <v/>
      </c>
      <c r="L362" s="198"/>
      <c r="M362" s="227" t="str">
        <f t="shared" ref="M362:M425" si="30">IF(AND(K362:K1193&gt;=5,L362:L1193="Não"),"*","")</f>
        <v/>
      </c>
      <c r="P362" s="176" t="str">
        <f>IFERROR(VLOOKUP(O362,Cadastros!A:B,2),"")</f>
        <v/>
      </c>
      <c r="Q362" s="177" t="str">
        <f t="shared" si="26"/>
        <v/>
      </c>
      <c r="R362" s="177" t="str">
        <f>IFERROR(VLOOKUP(O362,Cadastros!A:E,5,0),"")</f>
        <v/>
      </c>
      <c r="S362" s="177" t="str">
        <f>IFERROR(VLOOKUP(O362,Cadastros!A:F,6,0),"")</f>
        <v/>
      </c>
      <c r="T362" s="177" t="str">
        <f>IFERROR(VLOOKUP(O362,Cadastros!A:I,9,0),"")</f>
        <v/>
      </c>
      <c r="U362" s="177" t="str">
        <f t="shared" si="27"/>
        <v/>
      </c>
      <c r="V362" s="177" t="str">
        <f t="shared" si="28"/>
        <v/>
      </c>
      <c r="W362" s="177" t="str">
        <f t="shared" si="29"/>
        <v/>
      </c>
      <c r="Y362" s="240" t="e">
        <f t="array" ref="Y362">INDEX(Tabela.abordagens[],SMALL(IF(Tabela.abordagens[Mês]=$L$2,ROW(Tabela.abordagens[id])-2),ROW(A315)),1)</f>
        <v>#NUM!</v>
      </c>
      <c r="Z362" s="240" t="e">
        <f t="array" ref="Z362">INDEX(Tabela.abordagens[],SMALL(IF(Tabela.abordagens[Mês]=$L$2,ROW(Tabela.abordagens[Idade])-2),ROW(A315)),6)</f>
        <v>#NUM!</v>
      </c>
      <c r="AA362" s="240" t="e">
        <f t="array" ref="AA362">INDEX(Tabela.abordagens[],SMALL(IF(Tabela.abordagens[Mês]=$L$2,ROW(Tabela.abordagens[Idade])-2),ROW(A315)),4)</f>
        <v>#NUM!</v>
      </c>
      <c r="AB362" s="240" t="e">
        <f t="array" ref="AB362">INDEX(Tabela.abordagens[],SMALL(IF(Tabela.abordagens[Mês]=$L$2,ROW(Tabela.abordagens[Idade])-2),ROW(A315)),5)</f>
        <v>#NUM!</v>
      </c>
    </row>
    <row r="363" spans="2:28" ht="15" x14ac:dyDescent="0.25">
      <c r="B363" s="223" t="e">
        <f t="array" ref="B363">INDEX(Tabela.frequencia[],SMALL(IF(Tabela.frequencia[Mês]=$L$2,ROW(Tabela.frequencia[id])-1),ROW(A316)),1)</f>
        <v>#NUM!</v>
      </c>
      <c r="C363" s="229" t="e">
        <f t="array" ref="C363">INDEX(Tabela.frequencia[],SMALL(IF(Tabela.frequencia[Mês]=$L$2,ROW(Tabela.frequencia[id])-1),ROW(A316)),4)</f>
        <v>#NUM!</v>
      </c>
      <c r="E363" s="176" t="str">
        <f>IFERROR(VLOOKUP(D363,Tabela.cadastro[[ID]:[Nome]],2,0),"")</f>
        <v/>
      </c>
      <c r="F363" s="177" t="str">
        <f>IFERROR(VLOOKUP(D363,Tabela66[#All],2,0),"")</f>
        <v/>
      </c>
      <c r="G363" s="177" t="str">
        <f>IFERROR(VLOOKUP(D363,Tabela.cadastro[[ID]:[CP ou M]],5,0),"")</f>
        <v/>
      </c>
      <c r="H363" s="177" t="str">
        <f>IFERROR(VLOOKUP(D363,Cadastros!A:F,6,0),"")</f>
        <v/>
      </c>
      <c r="I363" s="177" t="str">
        <f>IFERROR(VLOOKUP(D363,Cadastros!A:I,9,0),"")</f>
        <v/>
      </c>
      <c r="J363" s="177" t="str">
        <f>IFERROR(VLOOKUP(D363,Cadastros!A:J,10,0),"")</f>
        <v/>
      </c>
      <c r="K363" s="177" t="str">
        <f>IF(COUNTIF(Tabela66[id],D363)=0,"",COUNTIF(Tabela66[id],D363))</f>
        <v/>
      </c>
      <c r="L363" s="198"/>
      <c r="M363" s="227" t="str">
        <f t="shared" si="30"/>
        <v/>
      </c>
      <c r="P363" s="176" t="str">
        <f>IFERROR(VLOOKUP(O363,Cadastros!A:B,2),"")</f>
        <v/>
      </c>
      <c r="Q363" s="177" t="str">
        <f t="shared" si="26"/>
        <v/>
      </c>
      <c r="R363" s="177" t="str">
        <f>IFERROR(VLOOKUP(O363,Cadastros!A:E,5,0),"")</f>
        <v/>
      </c>
      <c r="S363" s="177" t="str">
        <f>IFERROR(VLOOKUP(O363,Cadastros!A:F,6,0),"")</f>
        <v/>
      </c>
      <c r="T363" s="177" t="str">
        <f>IFERROR(VLOOKUP(O363,Cadastros!A:I,9,0),"")</f>
        <v/>
      </c>
      <c r="U363" s="177" t="str">
        <f t="shared" si="27"/>
        <v/>
      </c>
      <c r="V363" s="177" t="str">
        <f t="shared" si="28"/>
        <v/>
      </c>
      <c r="W363" s="177" t="str">
        <f t="shared" si="29"/>
        <v/>
      </c>
      <c r="Y363" s="240" t="e">
        <f t="array" ref="Y363">INDEX(Tabela.abordagens[],SMALL(IF(Tabela.abordagens[Mês]=$L$2,ROW(Tabela.abordagens[id])-2),ROW(A316)),1)</f>
        <v>#NUM!</v>
      </c>
      <c r="Z363" s="240" t="e">
        <f t="array" ref="Z363">INDEX(Tabela.abordagens[],SMALL(IF(Tabela.abordagens[Mês]=$L$2,ROW(Tabela.abordagens[Idade])-2),ROW(A316)),6)</f>
        <v>#NUM!</v>
      </c>
      <c r="AA363" s="240" t="e">
        <f t="array" ref="AA363">INDEX(Tabela.abordagens[],SMALL(IF(Tabela.abordagens[Mês]=$L$2,ROW(Tabela.abordagens[Idade])-2),ROW(A316)),4)</f>
        <v>#NUM!</v>
      </c>
      <c r="AB363" s="240" t="e">
        <f t="array" ref="AB363">INDEX(Tabela.abordagens[],SMALL(IF(Tabela.abordagens[Mês]=$L$2,ROW(Tabela.abordagens[Idade])-2),ROW(A316)),5)</f>
        <v>#NUM!</v>
      </c>
    </row>
    <row r="364" spans="2:28" ht="15" x14ac:dyDescent="0.25">
      <c r="B364" s="223" t="e">
        <f t="array" ref="B364">INDEX(Tabela.frequencia[],SMALL(IF(Tabela.frequencia[Mês]=$L$2,ROW(Tabela.frequencia[id])-1),ROW(A317)),1)</f>
        <v>#NUM!</v>
      </c>
      <c r="C364" s="229" t="e">
        <f t="array" ref="C364">INDEX(Tabela.frequencia[],SMALL(IF(Tabela.frequencia[Mês]=$L$2,ROW(Tabela.frequencia[id])-1),ROW(A317)),4)</f>
        <v>#NUM!</v>
      </c>
      <c r="E364" s="176" t="str">
        <f>IFERROR(VLOOKUP(D364,Tabela.cadastro[[ID]:[Nome]],2,0),"")</f>
        <v/>
      </c>
      <c r="F364" s="177" t="str">
        <f>IFERROR(VLOOKUP(D364,Tabela66[#All],2,0),"")</f>
        <v/>
      </c>
      <c r="G364" s="177" t="str">
        <f>IFERROR(VLOOKUP(D364,Tabela.cadastro[[ID]:[CP ou M]],5,0),"")</f>
        <v/>
      </c>
      <c r="H364" s="177" t="str">
        <f>IFERROR(VLOOKUP(D364,Cadastros!A:F,6,0),"")</f>
        <v/>
      </c>
      <c r="I364" s="177" t="str">
        <f>IFERROR(VLOOKUP(D364,Cadastros!A:I,9,0),"")</f>
        <v/>
      </c>
      <c r="J364" s="177" t="str">
        <f>IFERROR(VLOOKUP(D364,Cadastros!A:J,10,0),"")</f>
        <v/>
      </c>
      <c r="K364" s="177" t="str">
        <f>IF(COUNTIF(Tabela66[id],D364)=0,"",COUNTIF(Tabela66[id],D364))</f>
        <v/>
      </c>
      <c r="L364" s="198"/>
      <c r="M364" s="227" t="str">
        <f t="shared" si="30"/>
        <v/>
      </c>
      <c r="P364" s="176" t="str">
        <f>IFERROR(VLOOKUP(O364,Cadastros!A:B,2),"")</f>
        <v/>
      </c>
      <c r="Q364" s="177" t="str">
        <f t="shared" si="26"/>
        <v/>
      </c>
      <c r="R364" s="177" t="str">
        <f>IFERROR(VLOOKUP(O364,Cadastros!A:E,5,0),"")</f>
        <v/>
      </c>
      <c r="S364" s="177" t="str">
        <f>IFERROR(VLOOKUP(O364,Cadastros!A:F,6,0),"")</f>
        <v/>
      </c>
      <c r="T364" s="177" t="str">
        <f>IFERROR(VLOOKUP(O364,Cadastros!A:I,9,0),"")</f>
        <v/>
      </c>
      <c r="U364" s="177" t="str">
        <f t="shared" si="27"/>
        <v/>
      </c>
      <c r="V364" s="177" t="str">
        <f t="shared" si="28"/>
        <v/>
      </c>
      <c r="W364" s="177" t="str">
        <f t="shared" si="29"/>
        <v/>
      </c>
      <c r="Y364" s="240" t="e">
        <f t="array" ref="Y364">INDEX(Tabela.abordagens[],SMALL(IF(Tabela.abordagens[Mês]=$L$2,ROW(Tabela.abordagens[id])-2),ROW(A317)),1)</f>
        <v>#NUM!</v>
      </c>
      <c r="Z364" s="240" t="e">
        <f t="array" ref="Z364">INDEX(Tabela.abordagens[],SMALL(IF(Tabela.abordagens[Mês]=$L$2,ROW(Tabela.abordagens[Idade])-2),ROW(A317)),6)</f>
        <v>#NUM!</v>
      </c>
      <c r="AA364" s="240" t="e">
        <f t="array" ref="AA364">INDEX(Tabela.abordagens[],SMALL(IF(Tabela.abordagens[Mês]=$L$2,ROW(Tabela.abordagens[Idade])-2),ROW(A317)),4)</f>
        <v>#NUM!</v>
      </c>
      <c r="AB364" s="240" t="e">
        <f t="array" ref="AB364">INDEX(Tabela.abordagens[],SMALL(IF(Tabela.abordagens[Mês]=$L$2,ROW(Tabela.abordagens[Idade])-2),ROW(A317)),5)</f>
        <v>#NUM!</v>
      </c>
    </row>
    <row r="365" spans="2:28" ht="15" x14ac:dyDescent="0.25">
      <c r="B365" s="223" t="e">
        <f t="array" ref="B365">INDEX(Tabela.frequencia[],SMALL(IF(Tabela.frequencia[Mês]=$L$2,ROW(Tabela.frequencia[id])-1),ROW(A318)),1)</f>
        <v>#NUM!</v>
      </c>
      <c r="C365" s="229" t="e">
        <f t="array" ref="C365">INDEX(Tabela.frequencia[],SMALL(IF(Tabela.frequencia[Mês]=$L$2,ROW(Tabela.frequencia[id])-1),ROW(A318)),4)</f>
        <v>#NUM!</v>
      </c>
      <c r="E365" s="176" t="str">
        <f>IFERROR(VLOOKUP(D365,Tabela.cadastro[[ID]:[Nome]],2,0),"")</f>
        <v/>
      </c>
      <c r="F365" s="177" t="str">
        <f>IFERROR(VLOOKUP(D365,Tabela66[#All],2,0),"")</f>
        <v/>
      </c>
      <c r="G365" s="177" t="str">
        <f>IFERROR(VLOOKUP(D365,Tabela.cadastro[[ID]:[CP ou M]],5,0),"")</f>
        <v/>
      </c>
      <c r="H365" s="177" t="str">
        <f>IFERROR(VLOOKUP(D365,Cadastros!A:F,6,0),"")</f>
        <v/>
      </c>
      <c r="I365" s="177" t="str">
        <f>IFERROR(VLOOKUP(D365,Cadastros!A:I,9,0),"")</f>
        <v/>
      </c>
      <c r="J365" s="177" t="str">
        <f>IFERROR(VLOOKUP(D365,Cadastros!A:J,10,0),"")</f>
        <v/>
      </c>
      <c r="K365" s="177" t="str">
        <f>IF(COUNTIF(Tabela66[id],D365)=0,"",COUNTIF(Tabela66[id],D365))</f>
        <v/>
      </c>
      <c r="L365" s="198"/>
      <c r="M365" s="227" t="str">
        <f t="shared" si="30"/>
        <v/>
      </c>
      <c r="P365" s="176" t="str">
        <f>IFERROR(VLOOKUP(O365,Cadastros!A:B,2),"")</f>
        <v/>
      </c>
      <c r="Q365" s="177" t="str">
        <f t="shared" si="26"/>
        <v/>
      </c>
      <c r="R365" s="177" t="str">
        <f>IFERROR(VLOOKUP(O365,Cadastros!A:E,5,0),"")</f>
        <v/>
      </c>
      <c r="S365" s="177" t="str">
        <f>IFERROR(VLOOKUP(O365,Cadastros!A:F,6,0),"")</f>
        <v/>
      </c>
      <c r="T365" s="177" t="str">
        <f>IFERROR(VLOOKUP(O365,Cadastros!A:I,9,0),"")</f>
        <v/>
      </c>
      <c r="U365" s="177" t="str">
        <f t="shared" si="27"/>
        <v/>
      </c>
      <c r="V365" s="177" t="str">
        <f t="shared" si="28"/>
        <v/>
      </c>
      <c r="W365" s="177" t="str">
        <f t="shared" si="29"/>
        <v/>
      </c>
      <c r="Y365" s="240" t="e">
        <f t="array" ref="Y365">INDEX(Tabela.abordagens[],SMALL(IF(Tabela.abordagens[Mês]=$L$2,ROW(Tabela.abordagens[id])-2),ROW(A318)),1)</f>
        <v>#NUM!</v>
      </c>
      <c r="Z365" s="240" t="e">
        <f t="array" ref="Z365">INDEX(Tabela.abordagens[],SMALL(IF(Tabela.abordagens[Mês]=$L$2,ROW(Tabela.abordagens[Idade])-2),ROW(A318)),6)</f>
        <v>#NUM!</v>
      </c>
      <c r="AA365" s="240" t="e">
        <f t="array" ref="AA365">INDEX(Tabela.abordagens[],SMALL(IF(Tabela.abordagens[Mês]=$L$2,ROW(Tabela.abordagens[Idade])-2),ROW(A318)),4)</f>
        <v>#NUM!</v>
      </c>
      <c r="AB365" s="240" t="e">
        <f t="array" ref="AB365">INDEX(Tabela.abordagens[],SMALL(IF(Tabela.abordagens[Mês]=$L$2,ROW(Tabela.abordagens[Idade])-2),ROW(A318)),5)</f>
        <v>#NUM!</v>
      </c>
    </row>
    <row r="366" spans="2:28" ht="15" x14ac:dyDescent="0.25">
      <c r="B366" s="223" t="e">
        <f t="array" ref="B366">INDEX(Tabela.frequencia[],SMALL(IF(Tabela.frequencia[Mês]=$L$2,ROW(Tabela.frequencia[id])-1),ROW(A319)),1)</f>
        <v>#NUM!</v>
      </c>
      <c r="C366" s="229" t="e">
        <f t="array" ref="C366">INDEX(Tabela.frequencia[],SMALL(IF(Tabela.frequencia[Mês]=$L$2,ROW(Tabela.frequencia[id])-1),ROW(A319)),4)</f>
        <v>#NUM!</v>
      </c>
      <c r="E366" s="176" t="str">
        <f>IFERROR(VLOOKUP(D366,Tabela.cadastro[[ID]:[Nome]],2,0),"")</f>
        <v/>
      </c>
      <c r="F366" s="177" t="str">
        <f>IFERROR(VLOOKUP(D366,Tabela66[#All],2,0),"")</f>
        <v/>
      </c>
      <c r="G366" s="177" t="str">
        <f>IFERROR(VLOOKUP(D366,Tabela.cadastro[[ID]:[CP ou M]],5,0),"")</f>
        <v/>
      </c>
      <c r="H366" s="177" t="str">
        <f>IFERROR(VLOOKUP(D366,Cadastros!A:F,6,0),"")</f>
        <v/>
      </c>
      <c r="I366" s="177" t="str">
        <f>IFERROR(VLOOKUP(D366,Cadastros!A:I,9,0),"")</f>
        <v/>
      </c>
      <c r="J366" s="177" t="str">
        <f>IFERROR(VLOOKUP(D366,Cadastros!A:J,10,0),"")</f>
        <v/>
      </c>
      <c r="K366" s="177" t="str">
        <f>IF(COUNTIF(Tabela66[id],D366)=0,"",COUNTIF(Tabela66[id],D366))</f>
        <v/>
      </c>
      <c r="L366" s="198"/>
      <c r="M366" s="227" t="str">
        <f t="shared" si="30"/>
        <v/>
      </c>
      <c r="P366" s="176" t="str">
        <f>IFERROR(VLOOKUP(O366,Cadastros!A:B,2),"")</f>
        <v/>
      </c>
      <c r="Q366" s="177" t="str">
        <f t="shared" si="26"/>
        <v/>
      </c>
      <c r="R366" s="177" t="str">
        <f>IFERROR(VLOOKUP(O366,Cadastros!A:E,5,0),"")</f>
        <v/>
      </c>
      <c r="S366" s="177" t="str">
        <f>IFERROR(VLOOKUP(O366,Cadastros!A:F,6,0),"")</f>
        <v/>
      </c>
      <c r="T366" s="177" t="str">
        <f>IFERROR(VLOOKUP(O366,Cadastros!A:I,9,0),"")</f>
        <v/>
      </c>
      <c r="U366" s="177" t="str">
        <f t="shared" si="27"/>
        <v/>
      </c>
      <c r="V366" s="177" t="str">
        <f t="shared" si="28"/>
        <v/>
      </c>
      <c r="W366" s="177" t="str">
        <f t="shared" si="29"/>
        <v/>
      </c>
      <c r="Y366" s="240" t="e">
        <f t="array" ref="Y366">INDEX(Tabela.abordagens[],SMALL(IF(Tabela.abordagens[Mês]=$L$2,ROW(Tabela.abordagens[id])-2),ROW(A319)),1)</f>
        <v>#NUM!</v>
      </c>
      <c r="Z366" s="240" t="e">
        <f t="array" ref="Z366">INDEX(Tabela.abordagens[],SMALL(IF(Tabela.abordagens[Mês]=$L$2,ROW(Tabela.abordagens[Idade])-2),ROW(A319)),6)</f>
        <v>#NUM!</v>
      </c>
      <c r="AA366" s="240" t="e">
        <f t="array" ref="AA366">INDEX(Tabela.abordagens[],SMALL(IF(Tabela.abordagens[Mês]=$L$2,ROW(Tabela.abordagens[Idade])-2),ROW(A319)),4)</f>
        <v>#NUM!</v>
      </c>
      <c r="AB366" s="240" t="e">
        <f t="array" ref="AB366">INDEX(Tabela.abordagens[],SMALL(IF(Tabela.abordagens[Mês]=$L$2,ROW(Tabela.abordagens[Idade])-2),ROW(A319)),5)</f>
        <v>#NUM!</v>
      </c>
    </row>
    <row r="367" spans="2:28" ht="15" x14ac:dyDescent="0.25">
      <c r="B367" s="223" t="e">
        <f t="array" ref="B367">INDEX(Tabela.frequencia[],SMALL(IF(Tabela.frequencia[Mês]=$L$2,ROW(Tabela.frequencia[id])-1),ROW(A320)),1)</f>
        <v>#NUM!</v>
      </c>
      <c r="C367" s="229" t="e">
        <f t="array" ref="C367">INDEX(Tabela.frequencia[],SMALL(IF(Tabela.frequencia[Mês]=$L$2,ROW(Tabela.frequencia[id])-1),ROW(A320)),4)</f>
        <v>#NUM!</v>
      </c>
      <c r="E367" s="176" t="str">
        <f>IFERROR(VLOOKUP(D367,Tabela.cadastro[[ID]:[Nome]],2,0),"")</f>
        <v/>
      </c>
      <c r="F367" s="177" t="str">
        <f>IFERROR(VLOOKUP(D367,Tabela66[#All],2,0),"")</f>
        <v/>
      </c>
      <c r="G367" s="177" t="str">
        <f>IFERROR(VLOOKUP(D367,Tabela.cadastro[[ID]:[CP ou M]],5,0),"")</f>
        <v/>
      </c>
      <c r="H367" s="177" t="str">
        <f>IFERROR(VLOOKUP(D367,Cadastros!A:F,6,0),"")</f>
        <v/>
      </c>
      <c r="I367" s="177" t="str">
        <f>IFERROR(VLOOKUP(D367,Cadastros!A:I,9,0),"")</f>
        <v/>
      </c>
      <c r="J367" s="177" t="str">
        <f>IFERROR(VLOOKUP(D367,Cadastros!A:J,10,0),"")</f>
        <v/>
      </c>
      <c r="K367" s="177" t="str">
        <f>IF(COUNTIF(Tabela66[id],D367)=0,"",COUNTIF(Tabela66[id],D367))</f>
        <v/>
      </c>
      <c r="L367" s="198"/>
      <c r="M367" s="227" t="str">
        <f t="shared" si="30"/>
        <v/>
      </c>
      <c r="P367" s="176" t="str">
        <f>IFERROR(VLOOKUP(O367,Cadastros!A:B,2),"")</f>
        <v/>
      </c>
      <c r="Q367" s="177" t="str">
        <f t="shared" si="26"/>
        <v/>
      </c>
      <c r="R367" s="177" t="str">
        <f>IFERROR(VLOOKUP(O367,Cadastros!A:E,5,0),"")</f>
        <v/>
      </c>
      <c r="S367" s="177" t="str">
        <f>IFERROR(VLOOKUP(O367,Cadastros!A:F,6,0),"")</f>
        <v/>
      </c>
      <c r="T367" s="177" t="str">
        <f>IFERROR(VLOOKUP(O367,Cadastros!A:I,9,0),"")</f>
        <v/>
      </c>
      <c r="U367" s="177" t="str">
        <f t="shared" si="27"/>
        <v/>
      </c>
      <c r="V367" s="177" t="str">
        <f t="shared" si="28"/>
        <v/>
      </c>
      <c r="W367" s="177" t="str">
        <f t="shared" si="29"/>
        <v/>
      </c>
      <c r="Y367" s="240" t="e">
        <f t="array" ref="Y367">INDEX(Tabela.abordagens[],SMALL(IF(Tabela.abordagens[Mês]=$L$2,ROW(Tabela.abordagens[id])-2),ROW(A320)),1)</f>
        <v>#NUM!</v>
      </c>
      <c r="Z367" s="240" t="e">
        <f t="array" ref="Z367">INDEX(Tabela.abordagens[],SMALL(IF(Tabela.abordagens[Mês]=$L$2,ROW(Tabela.abordagens[Idade])-2),ROW(A320)),6)</f>
        <v>#NUM!</v>
      </c>
      <c r="AA367" s="240" t="e">
        <f t="array" ref="AA367">INDEX(Tabela.abordagens[],SMALL(IF(Tabela.abordagens[Mês]=$L$2,ROW(Tabela.abordagens[Idade])-2),ROW(A320)),4)</f>
        <v>#NUM!</v>
      </c>
      <c r="AB367" s="240" t="e">
        <f t="array" ref="AB367">INDEX(Tabela.abordagens[],SMALL(IF(Tabela.abordagens[Mês]=$L$2,ROW(Tabela.abordagens[Idade])-2),ROW(A320)),5)</f>
        <v>#NUM!</v>
      </c>
    </row>
    <row r="368" spans="2:28" ht="15" x14ac:dyDescent="0.25">
      <c r="B368" s="223" t="e">
        <f t="array" ref="B368">INDEX(Tabela.frequencia[],SMALL(IF(Tabela.frequencia[Mês]=$L$2,ROW(Tabela.frequencia[id])-1),ROW(A321)),1)</f>
        <v>#NUM!</v>
      </c>
      <c r="C368" s="229" t="e">
        <f t="array" ref="C368">INDEX(Tabela.frequencia[],SMALL(IF(Tabela.frequencia[Mês]=$L$2,ROW(Tabela.frequencia[id])-1),ROW(A321)),4)</f>
        <v>#NUM!</v>
      </c>
      <c r="E368" s="176" t="str">
        <f>IFERROR(VLOOKUP(D368,Tabela.cadastro[[ID]:[Nome]],2,0),"")</f>
        <v/>
      </c>
      <c r="F368" s="177" t="str">
        <f>IFERROR(VLOOKUP(D368,Tabela66[#All],2,0),"")</f>
        <v/>
      </c>
      <c r="G368" s="177" t="str">
        <f>IFERROR(VLOOKUP(D368,Tabela.cadastro[[ID]:[CP ou M]],5,0),"")</f>
        <v/>
      </c>
      <c r="H368" s="177" t="str">
        <f>IFERROR(VLOOKUP(D368,Cadastros!A:F,6,0),"")</f>
        <v/>
      </c>
      <c r="I368" s="177" t="str">
        <f>IFERROR(VLOOKUP(D368,Cadastros!A:I,9,0),"")</f>
        <v/>
      </c>
      <c r="J368" s="177" t="str">
        <f>IFERROR(VLOOKUP(D368,Cadastros!A:J,10,0),"")</f>
        <v/>
      </c>
      <c r="K368" s="177" t="str">
        <f>IF(COUNTIF(Tabela66[id],D368)=0,"",COUNTIF(Tabela66[id],D368))</f>
        <v/>
      </c>
      <c r="L368" s="198"/>
      <c r="M368" s="227" t="str">
        <f t="shared" si="30"/>
        <v/>
      </c>
      <c r="P368" s="176" t="str">
        <f>IFERROR(VLOOKUP(O368,Cadastros!A:B,2),"")</f>
        <v/>
      </c>
      <c r="Q368" s="177" t="str">
        <f t="shared" si="26"/>
        <v/>
      </c>
      <c r="R368" s="177" t="str">
        <f>IFERROR(VLOOKUP(O368,Cadastros!A:E,5,0),"")</f>
        <v/>
      </c>
      <c r="S368" s="177" t="str">
        <f>IFERROR(VLOOKUP(O368,Cadastros!A:F,6,0),"")</f>
        <v/>
      </c>
      <c r="T368" s="177" t="str">
        <f>IFERROR(VLOOKUP(O368,Cadastros!A:I,9,0),"")</f>
        <v/>
      </c>
      <c r="U368" s="177" t="str">
        <f t="shared" si="27"/>
        <v/>
      </c>
      <c r="V368" s="177" t="str">
        <f t="shared" si="28"/>
        <v/>
      </c>
      <c r="W368" s="177" t="str">
        <f t="shared" si="29"/>
        <v/>
      </c>
      <c r="Y368" s="240" t="e">
        <f t="array" ref="Y368">INDEX(Tabela.abordagens[],SMALL(IF(Tabela.abordagens[Mês]=$L$2,ROW(Tabela.abordagens[id])-2),ROW(A321)),1)</f>
        <v>#NUM!</v>
      </c>
      <c r="Z368" s="240" t="e">
        <f t="array" ref="Z368">INDEX(Tabela.abordagens[],SMALL(IF(Tabela.abordagens[Mês]=$L$2,ROW(Tabela.abordagens[Idade])-2),ROW(A321)),6)</f>
        <v>#NUM!</v>
      </c>
      <c r="AA368" s="240" t="e">
        <f t="array" ref="AA368">INDEX(Tabela.abordagens[],SMALL(IF(Tabela.abordagens[Mês]=$L$2,ROW(Tabela.abordagens[Idade])-2),ROW(A321)),4)</f>
        <v>#NUM!</v>
      </c>
      <c r="AB368" s="240" t="e">
        <f t="array" ref="AB368">INDEX(Tabela.abordagens[],SMALL(IF(Tabela.abordagens[Mês]=$L$2,ROW(Tabela.abordagens[Idade])-2),ROW(A321)),5)</f>
        <v>#NUM!</v>
      </c>
    </row>
    <row r="369" spans="2:28" ht="15" x14ac:dyDescent="0.25">
      <c r="B369" s="223" t="e">
        <f t="array" ref="B369">INDEX(Tabela.frequencia[],SMALL(IF(Tabela.frequencia[Mês]=$L$2,ROW(Tabela.frequencia[id])-1),ROW(A322)),1)</f>
        <v>#NUM!</v>
      </c>
      <c r="C369" s="229" t="e">
        <f t="array" ref="C369">INDEX(Tabela.frequencia[],SMALL(IF(Tabela.frequencia[Mês]=$L$2,ROW(Tabela.frequencia[id])-1),ROW(A322)),4)</f>
        <v>#NUM!</v>
      </c>
      <c r="E369" s="176" t="str">
        <f>IFERROR(VLOOKUP(D369,Tabela.cadastro[[ID]:[Nome]],2,0),"")</f>
        <v/>
      </c>
      <c r="F369" s="177" t="str">
        <f>IFERROR(VLOOKUP(D369,Tabela66[#All],2,0),"")</f>
        <v/>
      </c>
      <c r="G369" s="177" t="str">
        <f>IFERROR(VLOOKUP(D369,Tabela.cadastro[[ID]:[CP ou M]],5,0),"")</f>
        <v/>
      </c>
      <c r="H369" s="177" t="str">
        <f>IFERROR(VLOOKUP(D369,Cadastros!A:F,6,0),"")</f>
        <v/>
      </c>
      <c r="I369" s="177" t="str">
        <f>IFERROR(VLOOKUP(D369,Cadastros!A:I,9,0),"")</f>
        <v/>
      </c>
      <c r="J369" s="177" t="str">
        <f>IFERROR(VLOOKUP(D369,Cadastros!A:J,10,0),"")</f>
        <v/>
      </c>
      <c r="K369" s="177" t="str">
        <f>IF(COUNTIF(Tabela66[id],D369)=0,"",COUNTIF(Tabela66[id],D369))</f>
        <v/>
      </c>
      <c r="L369" s="198"/>
      <c r="M369" s="227" t="str">
        <f t="shared" si="30"/>
        <v/>
      </c>
      <c r="P369" s="176" t="str">
        <f>IFERROR(VLOOKUP(O369,Cadastros!A:B,2),"")</f>
        <v/>
      </c>
      <c r="Q369" s="177" t="str">
        <f t="shared" si="26"/>
        <v/>
      </c>
      <c r="R369" s="177" t="str">
        <f>IFERROR(VLOOKUP(O369,Cadastros!A:E,5,0),"")</f>
        <v/>
      </c>
      <c r="S369" s="177" t="str">
        <f>IFERROR(VLOOKUP(O369,Cadastros!A:F,6,0),"")</f>
        <v/>
      </c>
      <c r="T369" s="177" t="str">
        <f>IFERROR(VLOOKUP(O369,Cadastros!A:I,9,0),"")</f>
        <v/>
      </c>
      <c r="U369" s="177" t="str">
        <f t="shared" si="27"/>
        <v/>
      </c>
      <c r="V369" s="177" t="str">
        <f t="shared" si="28"/>
        <v/>
      </c>
      <c r="W369" s="177" t="str">
        <f t="shared" si="29"/>
        <v/>
      </c>
      <c r="Y369" s="240" t="e">
        <f t="array" ref="Y369">INDEX(Tabela.abordagens[],SMALL(IF(Tabela.abordagens[Mês]=$L$2,ROW(Tabela.abordagens[id])-2),ROW(A322)),1)</f>
        <v>#NUM!</v>
      </c>
      <c r="Z369" s="240" t="e">
        <f t="array" ref="Z369">INDEX(Tabela.abordagens[],SMALL(IF(Tabela.abordagens[Mês]=$L$2,ROW(Tabela.abordagens[Idade])-2),ROW(A322)),6)</f>
        <v>#NUM!</v>
      </c>
      <c r="AA369" s="240" t="e">
        <f t="array" ref="AA369">INDEX(Tabela.abordagens[],SMALL(IF(Tabela.abordagens[Mês]=$L$2,ROW(Tabela.abordagens[Idade])-2),ROW(A322)),4)</f>
        <v>#NUM!</v>
      </c>
      <c r="AB369" s="240" t="e">
        <f t="array" ref="AB369">INDEX(Tabela.abordagens[],SMALL(IF(Tabela.abordagens[Mês]=$L$2,ROW(Tabela.abordagens[Idade])-2),ROW(A322)),5)</f>
        <v>#NUM!</v>
      </c>
    </row>
    <row r="370" spans="2:28" ht="15" x14ac:dyDescent="0.25">
      <c r="B370" s="223" t="e">
        <f t="array" ref="B370">INDEX(Tabela.frequencia[],SMALL(IF(Tabela.frequencia[Mês]=$L$2,ROW(Tabela.frequencia[id])-1),ROW(A323)),1)</f>
        <v>#NUM!</v>
      </c>
      <c r="C370" s="229" t="e">
        <f t="array" ref="C370">INDEX(Tabela.frequencia[],SMALL(IF(Tabela.frequencia[Mês]=$L$2,ROW(Tabela.frequencia[id])-1),ROW(A323)),4)</f>
        <v>#NUM!</v>
      </c>
      <c r="E370" s="176" t="str">
        <f>IFERROR(VLOOKUP(D370,Tabela.cadastro[[ID]:[Nome]],2,0),"")</f>
        <v/>
      </c>
      <c r="F370" s="177" t="str">
        <f>IFERROR(VLOOKUP(D370,Tabela66[#All],2,0),"")</f>
        <v/>
      </c>
      <c r="G370" s="177" t="str">
        <f>IFERROR(VLOOKUP(D370,Tabela.cadastro[[ID]:[CP ou M]],5,0),"")</f>
        <v/>
      </c>
      <c r="H370" s="177" t="str">
        <f>IFERROR(VLOOKUP(D370,Cadastros!A:F,6,0),"")</f>
        <v/>
      </c>
      <c r="I370" s="177" t="str">
        <f>IFERROR(VLOOKUP(D370,Cadastros!A:I,9,0),"")</f>
        <v/>
      </c>
      <c r="J370" s="177" t="str">
        <f>IFERROR(VLOOKUP(D370,Cadastros!A:J,10,0),"")</f>
        <v/>
      </c>
      <c r="K370" s="177" t="str">
        <f>IF(COUNTIF(Tabela66[id],D370)=0,"",COUNTIF(Tabela66[id],D370))</f>
        <v/>
      </c>
      <c r="L370" s="198"/>
      <c r="M370" s="227" t="str">
        <f t="shared" si="30"/>
        <v/>
      </c>
      <c r="P370" s="176" t="str">
        <f>IFERROR(VLOOKUP(O370,Cadastros!A:B,2),"")</f>
        <v/>
      </c>
      <c r="Q370" s="177" t="str">
        <f t="shared" si="26"/>
        <v/>
      </c>
      <c r="R370" s="177" t="str">
        <f>IFERROR(VLOOKUP(O370,Cadastros!A:E,5,0),"")</f>
        <v/>
      </c>
      <c r="S370" s="177" t="str">
        <f>IFERROR(VLOOKUP(O370,Cadastros!A:F,6,0),"")</f>
        <v/>
      </c>
      <c r="T370" s="177" t="str">
        <f>IFERROR(VLOOKUP(O370,Cadastros!A:I,9,0),"")</f>
        <v/>
      </c>
      <c r="U370" s="177" t="str">
        <f t="shared" si="27"/>
        <v/>
      </c>
      <c r="V370" s="177" t="str">
        <f t="shared" si="28"/>
        <v/>
      </c>
      <c r="W370" s="177" t="str">
        <f t="shared" si="29"/>
        <v/>
      </c>
      <c r="Y370" s="240" t="e">
        <f t="array" ref="Y370">INDEX(Tabela.abordagens[],SMALL(IF(Tabela.abordagens[Mês]=$L$2,ROW(Tabela.abordagens[id])-2),ROW(A323)),1)</f>
        <v>#NUM!</v>
      </c>
      <c r="Z370" s="240" t="e">
        <f t="array" ref="Z370">INDEX(Tabela.abordagens[],SMALL(IF(Tabela.abordagens[Mês]=$L$2,ROW(Tabela.abordagens[Idade])-2),ROW(A323)),6)</f>
        <v>#NUM!</v>
      </c>
      <c r="AA370" s="240" t="e">
        <f t="array" ref="AA370">INDEX(Tabela.abordagens[],SMALL(IF(Tabela.abordagens[Mês]=$L$2,ROW(Tabela.abordagens[Idade])-2),ROW(A323)),4)</f>
        <v>#NUM!</v>
      </c>
      <c r="AB370" s="240" t="e">
        <f t="array" ref="AB370">INDEX(Tabela.abordagens[],SMALL(IF(Tabela.abordagens[Mês]=$L$2,ROW(Tabela.abordagens[Idade])-2),ROW(A323)),5)</f>
        <v>#NUM!</v>
      </c>
    </row>
    <row r="371" spans="2:28" ht="15" x14ac:dyDescent="0.25">
      <c r="B371" s="223" t="e">
        <f t="array" ref="B371">INDEX(Tabela.frequencia[],SMALL(IF(Tabela.frequencia[Mês]=$L$2,ROW(Tabela.frequencia[id])-1),ROW(A324)),1)</f>
        <v>#NUM!</v>
      </c>
      <c r="C371" s="229" t="e">
        <f t="array" ref="C371">INDEX(Tabela.frequencia[],SMALL(IF(Tabela.frequencia[Mês]=$L$2,ROW(Tabela.frequencia[id])-1),ROW(A324)),4)</f>
        <v>#NUM!</v>
      </c>
      <c r="E371" s="176" t="str">
        <f>IFERROR(VLOOKUP(D371,Tabela.cadastro[[ID]:[Nome]],2,0),"")</f>
        <v/>
      </c>
      <c r="F371" s="177" t="str">
        <f>IFERROR(VLOOKUP(D371,Tabela66[#All],2,0),"")</f>
        <v/>
      </c>
      <c r="G371" s="177" t="str">
        <f>IFERROR(VLOOKUP(D371,Tabela.cadastro[[ID]:[CP ou M]],5,0),"")</f>
        <v/>
      </c>
      <c r="H371" s="177" t="str">
        <f>IFERROR(VLOOKUP(D371,Cadastros!A:F,6,0),"")</f>
        <v/>
      </c>
      <c r="I371" s="177" t="str">
        <f>IFERROR(VLOOKUP(D371,Cadastros!A:I,9,0),"")</f>
        <v/>
      </c>
      <c r="J371" s="177" t="str">
        <f>IFERROR(VLOOKUP(D371,Cadastros!A:J,10,0),"")</f>
        <v/>
      </c>
      <c r="K371" s="177" t="str">
        <f>IF(COUNTIF(Tabela66[id],D371)=0,"",COUNTIF(Tabela66[id],D371))</f>
        <v/>
      </c>
      <c r="L371" s="198"/>
      <c r="M371" s="227" t="str">
        <f t="shared" si="30"/>
        <v/>
      </c>
      <c r="P371" s="176" t="str">
        <f>IFERROR(VLOOKUP(O371,Cadastros!A:B,2),"")</f>
        <v/>
      </c>
      <c r="Q371" s="177" t="str">
        <f t="shared" si="26"/>
        <v/>
      </c>
      <c r="R371" s="177" t="str">
        <f>IFERROR(VLOOKUP(O371,Cadastros!A:E,5,0),"")</f>
        <v/>
      </c>
      <c r="S371" s="177" t="str">
        <f>IFERROR(VLOOKUP(O371,Cadastros!A:F,6,0),"")</f>
        <v/>
      </c>
      <c r="T371" s="177" t="str">
        <f>IFERROR(VLOOKUP(O371,Cadastros!A:I,9,0),"")</f>
        <v/>
      </c>
      <c r="U371" s="177" t="str">
        <f t="shared" si="27"/>
        <v/>
      </c>
      <c r="V371" s="177" t="str">
        <f t="shared" si="28"/>
        <v/>
      </c>
      <c r="W371" s="177" t="str">
        <f t="shared" si="29"/>
        <v/>
      </c>
      <c r="Y371" s="240" t="e">
        <f t="array" ref="Y371">INDEX(Tabela.abordagens[],SMALL(IF(Tabela.abordagens[Mês]=$L$2,ROW(Tabela.abordagens[id])-2),ROW(A324)),1)</f>
        <v>#NUM!</v>
      </c>
      <c r="Z371" s="240" t="e">
        <f t="array" ref="Z371">INDEX(Tabela.abordagens[],SMALL(IF(Tabela.abordagens[Mês]=$L$2,ROW(Tabela.abordagens[Idade])-2),ROW(A324)),6)</f>
        <v>#NUM!</v>
      </c>
      <c r="AA371" s="240" t="e">
        <f t="array" ref="AA371">INDEX(Tabela.abordagens[],SMALL(IF(Tabela.abordagens[Mês]=$L$2,ROW(Tabela.abordagens[Idade])-2),ROW(A324)),4)</f>
        <v>#NUM!</v>
      </c>
      <c r="AB371" s="240" t="e">
        <f t="array" ref="AB371">INDEX(Tabela.abordagens[],SMALL(IF(Tabela.abordagens[Mês]=$L$2,ROW(Tabela.abordagens[Idade])-2),ROW(A324)),5)</f>
        <v>#NUM!</v>
      </c>
    </row>
    <row r="372" spans="2:28" ht="15" x14ac:dyDescent="0.25">
      <c r="B372" s="223" t="e">
        <f t="array" ref="B372">INDEX(Tabela.frequencia[],SMALL(IF(Tabela.frequencia[Mês]=$L$2,ROW(Tabela.frequencia[id])-1),ROW(A325)),1)</f>
        <v>#NUM!</v>
      </c>
      <c r="C372" s="229" t="e">
        <f t="array" ref="C372">INDEX(Tabela.frequencia[],SMALL(IF(Tabela.frequencia[Mês]=$L$2,ROW(Tabela.frequencia[id])-1),ROW(A325)),4)</f>
        <v>#NUM!</v>
      </c>
      <c r="E372" s="176" t="str">
        <f>IFERROR(VLOOKUP(D372,Tabela.cadastro[[ID]:[Nome]],2,0),"")</f>
        <v/>
      </c>
      <c r="F372" s="177" t="str">
        <f>IFERROR(VLOOKUP(D372,Tabela66[#All],2,0),"")</f>
        <v/>
      </c>
      <c r="G372" s="177" t="str">
        <f>IFERROR(VLOOKUP(D372,Tabela.cadastro[[ID]:[CP ou M]],5,0),"")</f>
        <v/>
      </c>
      <c r="H372" s="177" t="str">
        <f>IFERROR(VLOOKUP(D372,Cadastros!A:F,6,0),"")</f>
        <v/>
      </c>
      <c r="I372" s="177" t="str">
        <f>IFERROR(VLOOKUP(D372,Cadastros!A:I,9,0),"")</f>
        <v/>
      </c>
      <c r="J372" s="177" t="str">
        <f>IFERROR(VLOOKUP(D372,Cadastros!A:J,10,0),"")</f>
        <v/>
      </c>
      <c r="K372" s="177" t="str">
        <f>IF(COUNTIF(Tabela66[id],D372)=0,"",COUNTIF(Tabela66[id],D372))</f>
        <v/>
      </c>
      <c r="L372" s="198"/>
      <c r="M372" s="227" t="str">
        <f t="shared" si="30"/>
        <v/>
      </c>
      <c r="P372" s="176" t="str">
        <f>IFERROR(VLOOKUP(O372,Cadastros!A:B,2),"")</f>
        <v/>
      </c>
      <c r="Q372" s="177" t="str">
        <f t="shared" si="26"/>
        <v/>
      </c>
      <c r="R372" s="177" t="str">
        <f>IFERROR(VLOOKUP(O372,Cadastros!A:E,5,0),"")</f>
        <v/>
      </c>
      <c r="S372" s="177" t="str">
        <f>IFERROR(VLOOKUP(O372,Cadastros!A:F,6,0),"")</f>
        <v/>
      </c>
      <c r="T372" s="177" t="str">
        <f>IFERROR(VLOOKUP(O372,Cadastros!A:I,9,0),"")</f>
        <v/>
      </c>
      <c r="U372" s="177" t="str">
        <f t="shared" si="27"/>
        <v/>
      </c>
      <c r="V372" s="177" t="str">
        <f t="shared" si="28"/>
        <v/>
      </c>
      <c r="W372" s="177" t="str">
        <f t="shared" si="29"/>
        <v/>
      </c>
      <c r="Y372" s="240" t="e">
        <f t="array" ref="Y372">INDEX(Tabela.abordagens[],SMALL(IF(Tabela.abordagens[Mês]=$L$2,ROW(Tabela.abordagens[id])-2),ROW(A325)),1)</f>
        <v>#NUM!</v>
      </c>
      <c r="Z372" s="240" t="e">
        <f t="array" ref="Z372">INDEX(Tabela.abordagens[],SMALL(IF(Tabela.abordagens[Mês]=$L$2,ROW(Tabela.abordagens[Idade])-2),ROW(A325)),6)</f>
        <v>#NUM!</v>
      </c>
      <c r="AA372" s="240" t="e">
        <f t="array" ref="AA372">INDEX(Tabela.abordagens[],SMALL(IF(Tabela.abordagens[Mês]=$L$2,ROW(Tabela.abordagens[Idade])-2),ROW(A325)),4)</f>
        <v>#NUM!</v>
      </c>
      <c r="AB372" s="240" t="e">
        <f t="array" ref="AB372">INDEX(Tabela.abordagens[],SMALL(IF(Tabela.abordagens[Mês]=$L$2,ROW(Tabela.abordagens[Idade])-2),ROW(A325)),5)</f>
        <v>#NUM!</v>
      </c>
    </row>
    <row r="373" spans="2:28" ht="15" x14ac:dyDescent="0.25">
      <c r="B373" s="223" t="e">
        <f t="array" ref="B373">INDEX(Tabela.frequencia[],SMALL(IF(Tabela.frequencia[Mês]=$L$2,ROW(Tabela.frequencia[id])-1),ROW(A326)),1)</f>
        <v>#NUM!</v>
      </c>
      <c r="C373" s="229" t="e">
        <f t="array" ref="C373">INDEX(Tabela.frequencia[],SMALL(IF(Tabela.frequencia[Mês]=$L$2,ROW(Tabela.frequencia[id])-1),ROW(A326)),4)</f>
        <v>#NUM!</v>
      </c>
      <c r="E373" s="176" t="str">
        <f>IFERROR(VLOOKUP(D373,Tabela.cadastro[[ID]:[Nome]],2,0),"")</f>
        <v/>
      </c>
      <c r="F373" s="177" t="str">
        <f>IFERROR(VLOOKUP(D373,Tabela66[#All],2,0),"")</f>
        <v/>
      </c>
      <c r="G373" s="177" t="str">
        <f>IFERROR(VLOOKUP(D373,Tabela.cadastro[[ID]:[CP ou M]],5,0),"")</f>
        <v/>
      </c>
      <c r="H373" s="177" t="str">
        <f>IFERROR(VLOOKUP(D373,Cadastros!A:F,6,0),"")</f>
        <v/>
      </c>
      <c r="I373" s="177" t="str">
        <f>IFERROR(VLOOKUP(D373,Cadastros!A:I,9,0),"")</f>
        <v/>
      </c>
      <c r="J373" s="177" t="str">
        <f>IFERROR(VLOOKUP(D373,Cadastros!A:J,10,0),"")</f>
        <v/>
      </c>
      <c r="K373" s="177" t="str">
        <f>IF(COUNTIF(Tabela66[id],D373)=0,"",COUNTIF(Tabela66[id],D373))</f>
        <v/>
      </c>
      <c r="L373" s="198"/>
      <c r="M373" s="227" t="str">
        <f t="shared" si="30"/>
        <v/>
      </c>
      <c r="P373" s="176" t="str">
        <f>IFERROR(VLOOKUP(O373,Cadastros!A:B,2),"")</f>
        <v/>
      </c>
      <c r="Q373" s="177" t="str">
        <f t="shared" si="26"/>
        <v/>
      </c>
      <c r="R373" s="177" t="str">
        <f>IFERROR(VLOOKUP(O373,Cadastros!A:E,5,0),"")</f>
        <v/>
      </c>
      <c r="S373" s="177" t="str">
        <f>IFERROR(VLOOKUP(O373,Cadastros!A:F,6,0),"")</f>
        <v/>
      </c>
      <c r="T373" s="177" t="str">
        <f>IFERROR(VLOOKUP(O373,Cadastros!A:I,9,0),"")</f>
        <v/>
      </c>
      <c r="U373" s="177" t="str">
        <f t="shared" si="27"/>
        <v/>
      </c>
      <c r="V373" s="177" t="str">
        <f t="shared" si="28"/>
        <v/>
      </c>
      <c r="W373" s="177" t="str">
        <f t="shared" si="29"/>
        <v/>
      </c>
      <c r="Y373" s="240" t="e">
        <f t="array" ref="Y373">INDEX(Tabela.abordagens[],SMALL(IF(Tabela.abordagens[Mês]=$L$2,ROW(Tabela.abordagens[id])-2),ROW(A326)),1)</f>
        <v>#NUM!</v>
      </c>
      <c r="Z373" s="240" t="e">
        <f t="array" ref="Z373">INDEX(Tabela.abordagens[],SMALL(IF(Tabela.abordagens[Mês]=$L$2,ROW(Tabela.abordagens[Idade])-2),ROW(A326)),6)</f>
        <v>#NUM!</v>
      </c>
      <c r="AA373" s="240" t="e">
        <f t="array" ref="AA373">INDEX(Tabela.abordagens[],SMALL(IF(Tabela.abordagens[Mês]=$L$2,ROW(Tabela.abordagens[Idade])-2),ROW(A326)),4)</f>
        <v>#NUM!</v>
      </c>
      <c r="AB373" s="240" t="e">
        <f t="array" ref="AB373">INDEX(Tabela.abordagens[],SMALL(IF(Tabela.abordagens[Mês]=$L$2,ROW(Tabela.abordagens[Idade])-2),ROW(A326)),5)</f>
        <v>#NUM!</v>
      </c>
    </row>
    <row r="374" spans="2:28" ht="15" x14ac:dyDescent="0.25">
      <c r="B374" s="223" t="e">
        <f t="array" ref="B374">INDEX(Tabela.frequencia[],SMALL(IF(Tabela.frequencia[Mês]=$L$2,ROW(Tabela.frequencia[id])-1),ROW(A327)),1)</f>
        <v>#NUM!</v>
      </c>
      <c r="C374" s="229" t="e">
        <f t="array" ref="C374">INDEX(Tabela.frequencia[],SMALL(IF(Tabela.frequencia[Mês]=$L$2,ROW(Tabela.frequencia[id])-1),ROW(A327)),4)</f>
        <v>#NUM!</v>
      </c>
      <c r="E374" s="176" t="str">
        <f>IFERROR(VLOOKUP(D374,Tabela.cadastro[[ID]:[Nome]],2,0),"")</f>
        <v/>
      </c>
      <c r="F374" s="177" t="str">
        <f>IFERROR(VLOOKUP(D374,Tabela66[#All],2,0),"")</f>
        <v/>
      </c>
      <c r="G374" s="177" t="str">
        <f>IFERROR(VLOOKUP(D374,Tabela.cadastro[[ID]:[CP ou M]],5,0),"")</f>
        <v/>
      </c>
      <c r="H374" s="177" t="str">
        <f>IFERROR(VLOOKUP(D374,Cadastros!A:F,6,0),"")</f>
        <v/>
      </c>
      <c r="I374" s="177" t="str">
        <f>IFERROR(VLOOKUP(D374,Cadastros!A:I,9,0),"")</f>
        <v/>
      </c>
      <c r="J374" s="177" t="str">
        <f>IFERROR(VLOOKUP(D374,Cadastros!A:J,10,0),"")</f>
        <v/>
      </c>
      <c r="K374" s="177" t="str">
        <f>IF(COUNTIF(Tabela66[id],D374)=0,"",COUNTIF(Tabela66[id],D374))</f>
        <v/>
      </c>
      <c r="L374" s="198"/>
      <c r="M374" s="227" t="str">
        <f t="shared" si="30"/>
        <v/>
      </c>
      <c r="P374" s="176" t="str">
        <f>IFERROR(VLOOKUP(O374,Cadastros!A:B,2),"")</f>
        <v/>
      </c>
      <c r="Q374" s="177" t="str">
        <f t="shared" si="26"/>
        <v/>
      </c>
      <c r="R374" s="177" t="str">
        <f>IFERROR(VLOOKUP(O374,Cadastros!A:E,5,0),"")</f>
        <v/>
      </c>
      <c r="S374" s="177" t="str">
        <f>IFERROR(VLOOKUP(O374,Cadastros!A:F,6,0),"")</f>
        <v/>
      </c>
      <c r="T374" s="177" t="str">
        <f>IFERROR(VLOOKUP(O374,Cadastros!A:I,9,0),"")</f>
        <v/>
      </c>
      <c r="U374" s="177" t="str">
        <f t="shared" si="27"/>
        <v/>
      </c>
      <c r="V374" s="177" t="str">
        <f t="shared" si="28"/>
        <v/>
      </c>
      <c r="W374" s="177" t="str">
        <f t="shared" si="29"/>
        <v/>
      </c>
      <c r="Y374" s="240" t="e">
        <f t="array" ref="Y374">INDEX(Tabela.abordagens[],SMALL(IF(Tabela.abordagens[Mês]=$L$2,ROW(Tabela.abordagens[id])-2),ROW(A327)),1)</f>
        <v>#NUM!</v>
      </c>
      <c r="Z374" s="240" t="e">
        <f t="array" ref="Z374">INDEX(Tabela.abordagens[],SMALL(IF(Tabela.abordagens[Mês]=$L$2,ROW(Tabela.abordagens[Idade])-2),ROW(A327)),6)</f>
        <v>#NUM!</v>
      </c>
      <c r="AA374" s="240" t="e">
        <f t="array" ref="AA374">INDEX(Tabela.abordagens[],SMALL(IF(Tabela.abordagens[Mês]=$L$2,ROW(Tabela.abordagens[Idade])-2),ROW(A327)),4)</f>
        <v>#NUM!</v>
      </c>
      <c r="AB374" s="240" t="e">
        <f t="array" ref="AB374">INDEX(Tabela.abordagens[],SMALL(IF(Tabela.abordagens[Mês]=$L$2,ROW(Tabela.abordagens[Idade])-2),ROW(A327)),5)</f>
        <v>#NUM!</v>
      </c>
    </row>
    <row r="375" spans="2:28" ht="15" x14ac:dyDescent="0.25">
      <c r="B375" s="223" t="e">
        <f t="array" ref="B375">INDEX(Tabela.frequencia[],SMALL(IF(Tabela.frequencia[Mês]=$L$2,ROW(Tabela.frequencia[id])-1),ROW(A328)),1)</f>
        <v>#NUM!</v>
      </c>
      <c r="C375" s="229" t="e">
        <f t="array" ref="C375">INDEX(Tabela.frequencia[],SMALL(IF(Tabela.frequencia[Mês]=$L$2,ROW(Tabela.frequencia[id])-1),ROW(A328)),4)</f>
        <v>#NUM!</v>
      </c>
      <c r="E375" s="176" t="str">
        <f>IFERROR(VLOOKUP(D375,Tabela.cadastro[[ID]:[Nome]],2,0),"")</f>
        <v/>
      </c>
      <c r="F375" s="177" t="str">
        <f>IFERROR(VLOOKUP(D375,Tabela66[#All],2,0),"")</f>
        <v/>
      </c>
      <c r="G375" s="177" t="str">
        <f>IFERROR(VLOOKUP(D375,Tabela.cadastro[[ID]:[CP ou M]],5,0),"")</f>
        <v/>
      </c>
      <c r="H375" s="177" t="str">
        <f>IFERROR(VLOOKUP(D375,Cadastros!A:F,6,0),"")</f>
        <v/>
      </c>
      <c r="I375" s="177" t="str">
        <f>IFERROR(VLOOKUP(D375,Cadastros!A:I,9,0),"")</f>
        <v/>
      </c>
      <c r="J375" s="177" t="str">
        <f>IFERROR(VLOOKUP(D375,Cadastros!A:J,10,0),"")</f>
        <v/>
      </c>
      <c r="K375" s="177" t="str">
        <f>IF(COUNTIF(Tabela66[id],D375)=0,"",COUNTIF(Tabela66[id],D375))</f>
        <v/>
      </c>
      <c r="L375" s="198"/>
      <c r="M375" s="227" t="str">
        <f t="shared" si="30"/>
        <v/>
      </c>
      <c r="P375" s="176" t="str">
        <f>IFERROR(VLOOKUP(O375,Cadastros!A:B,2),"")</f>
        <v/>
      </c>
      <c r="Q375" s="177" t="str">
        <f t="shared" si="26"/>
        <v/>
      </c>
      <c r="R375" s="177" t="str">
        <f>IFERROR(VLOOKUP(O375,Cadastros!A:E,5,0),"")</f>
        <v/>
      </c>
      <c r="S375" s="177" t="str">
        <f>IFERROR(VLOOKUP(O375,Cadastros!A:F,6,0),"")</f>
        <v/>
      </c>
      <c r="T375" s="177" t="str">
        <f>IFERROR(VLOOKUP(O375,Cadastros!A:I,9,0),"")</f>
        <v/>
      </c>
      <c r="U375" s="177" t="str">
        <f t="shared" si="27"/>
        <v/>
      </c>
      <c r="V375" s="177" t="str">
        <f t="shared" si="28"/>
        <v/>
      </c>
      <c r="W375" s="177" t="str">
        <f t="shared" si="29"/>
        <v/>
      </c>
      <c r="Y375" s="240" t="e">
        <f t="array" ref="Y375">INDEX(Tabela.abordagens[],SMALL(IF(Tabela.abordagens[Mês]=$L$2,ROW(Tabela.abordagens[id])-2),ROW(A328)),1)</f>
        <v>#NUM!</v>
      </c>
      <c r="Z375" s="240" t="e">
        <f t="array" ref="Z375">INDEX(Tabela.abordagens[],SMALL(IF(Tabela.abordagens[Mês]=$L$2,ROW(Tabela.abordagens[Idade])-2),ROW(A328)),6)</f>
        <v>#NUM!</v>
      </c>
      <c r="AA375" s="240" t="e">
        <f t="array" ref="AA375">INDEX(Tabela.abordagens[],SMALL(IF(Tabela.abordagens[Mês]=$L$2,ROW(Tabela.abordagens[Idade])-2),ROW(A328)),4)</f>
        <v>#NUM!</v>
      </c>
      <c r="AB375" s="240" t="e">
        <f t="array" ref="AB375">INDEX(Tabela.abordagens[],SMALL(IF(Tabela.abordagens[Mês]=$L$2,ROW(Tabela.abordagens[Idade])-2),ROW(A328)),5)</f>
        <v>#NUM!</v>
      </c>
    </row>
    <row r="376" spans="2:28" ht="15" x14ac:dyDescent="0.25">
      <c r="B376" s="223" t="e">
        <f t="array" ref="B376">INDEX(Tabela.frequencia[],SMALL(IF(Tabela.frequencia[Mês]=$L$2,ROW(Tabela.frequencia[id])-1),ROW(A329)),1)</f>
        <v>#NUM!</v>
      </c>
      <c r="C376" s="229" t="e">
        <f t="array" ref="C376">INDEX(Tabela.frequencia[],SMALL(IF(Tabela.frequencia[Mês]=$L$2,ROW(Tabela.frequencia[id])-1),ROW(A329)),4)</f>
        <v>#NUM!</v>
      </c>
      <c r="E376" s="176" t="str">
        <f>IFERROR(VLOOKUP(D376,Tabela.cadastro[[ID]:[Nome]],2,0),"")</f>
        <v/>
      </c>
      <c r="F376" s="177" t="str">
        <f>IFERROR(VLOOKUP(D376,Tabela66[#All],2,0),"")</f>
        <v/>
      </c>
      <c r="G376" s="177" t="str">
        <f>IFERROR(VLOOKUP(D376,Tabela.cadastro[[ID]:[CP ou M]],5,0),"")</f>
        <v/>
      </c>
      <c r="H376" s="177" t="str">
        <f>IFERROR(VLOOKUP(D376,Cadastros!A:F,6,0),"")</f>
        <v/>
      </c>
      <c r="I376" s="177" t="str">
        <f>IFERROR(VLOOKUP(D376,Cadastros!A:I,9,0),"")</f>
        <v/>
      </c>
      <c r="J376" s="177" t="str">
        <f>IFERROR(VLOOKUP(D376,Cadastros!A:J,10,0),"")</f>
        <v/>
      </c>
      <c r="K376" s="177" t="str">
        <f>IF(COUNTIF(Tabela66[id],D376)=0,"",COUNTIF(Tabela66[id],D376))</f>
        <v/>
      </c>
      <c r="L376" s="198"/>
      <c r="M376" s="227" t="str">
        <f t="shared" si="30"/>
        <v/>
      </c>
      <c r="P376" s="176" t="str">
        <f>IFERROR(VLOOKUP(O376,Cadastros!A:B,2),"")</f>
        <v/>
      </c>
      <c r="Q376" s="177" t="str">
        <f t="shared" si="26"/>
        <v/>
      </c>
      <c r="R376" s="177" t="str">
        <f>IFERROR(VLOOKUP(O376,Cadastros!A:E,5,0),"")</f>
        <v/>
      </c>
      <c r="S376" s="177" t="str">
        <f>IFERROR(VLOOKUP(O376,Cadastros!A:F,6,0),"")</f>
        <v/>
      </c>
      <c r="T376" s="177" t="str">
        <f>IFERROR(VLOOKUP(O376,Cadastros!A:I,9,0),"")</f>
        <v/>
      </c>
      <c r="U376" s="177" t="str">
        <f t="shared" si="27"/>
        <v/>
      </c>
      <c r="V376" s="177" t="str">
        <f t="shared" si="28"/>
        <v/>
      </c>
      <c r="W376" s="177" t="str">
        <f t="shared" si="29"/>
        <v/>
      </c>
      <c r="Y376" s="240" t="e">
        <f t="array" ref="Y376">INDEX(Tabela.abordagens[],SMALL(IF(Tabela.abordagens[Mês]=$L$2,ROW(Tabela.abordagens[id])-2),ROW(A329)),1)</f>
        <v>#NUM!</v>
      </c>
      <c r="Z376" s="240" t="e">
        <f t="array" ref="Z376">INDEX(Tabela.abordagens[],SMALL(IF(Tabela.abordagens[Mês]=$L$2,ROW(Tabela.abordagens[Idade])-2),ROW(A329)),6)</f>
        <v>#NUM!</v>
      </c>
      <c r="AA376" s="240" t="e">
        <f t="array" ref="AA376">INDEX(Tabela.abordagens[],SMALL(IF(Tabela.abordagens[Mês]=$L$2,ROW(Tabela.abordagens[Idade])-2),ROW(A329)),4)</f>
        <v>#NUM!</v>
      </c>
      <c r="AB376" s="240" t="e">
        <f t="array" ref="AB376">INDEX(Tabela.abordagens[],SMALL(IF(Tabela.abordagens[Mês]=$L$2,ROW(Tabela.abordagens[Idade])-2),ROW(A329)),5)</f>
        <v>#NUM!</v>
      </c>
    </row>
    <row r="377" spans="2:28" ht="15" x14ac:dyDescent="0.25">
      <c r="B377" s="223" t="e">
        <f t="array" ref="B377">INDEX(Tabela.frequencia[],SMALL(IF(Tabela.frequencia[Mês]=$L$2,ROW(Tabela.frequencia[id])-1),ROW(A330)),1)</f>
        <v>#NUM!</v>
      </c>
      <c r="C377" s="229" t="e">
        <f t="array" ref="C377">INDEX(Tabela.frequencia[],SMALL(IF(Tabela.frequencia[Mês]=$L$2,ROW(Tabela.frequencia[id])-1),ROW(A330)),4)</f>
        <v>#NUM!</v>
      </c>
      <c r="E377" s="176" t="str">
        <f>IFERROR(VLOOKUP(D377,Tabela.cadastro[[ID]:[Nome]],2,0),"")</f>
        <v/>
      </c>
      <c r="F377" s="177" t="str">
        <f>IFERROR(VLOOKUP(D377,Tabela66[#All],2,0),"")</f>
        <v/>
      </c>
      <c r="G377" s="177" t="str">
        <f>IFERROR(VLOOKUP(D377,Tabela.cadastro[[ID]:[CP ou M]],5,0),"")</f>
        <v/>
      </c>
      <c r="H377" s="177" t="str">
        <f>IFERROR(VLOOKUP(D377,Cadastros!A:F,6,0),"")</f>
        <v/>
      </c>
      <c r="I377" s="177" t="str">
        <f>IFERROR(VLOOKUP(D377,Cadastros!A:I,9,0),"")</f>
        <v/>
      </c>
      <c r="J377" s="177" t="str">
        <f>IFERROR(VLOOKUP(D377,Cadastros!A:J,10,0),"")</f>
        <v/>
      </c>
      <c r="K377" s="177" t="str">
        <f>IF(COUNTIF(Tabela66[id],D377)=0,"",COUNTIF(Tabela66[id],D377))</f>
        <v/>
      </c>
      <c r="L377" s="198"/>
      <c r="M377" s="227" t="str">
        <f t="shared" si="30"/>
        <v/>
      </c>
      <c r="P377" s="176" t="str">
        <f>IFERROR(VLOOKUP(O377,Cadastros!A:B,2),"")</f>
        <v/>
      </c>
      <c r="Q377" s="177" t="str">
        <f t="shared" si="26"/>
        <v/>
      </c>
      <c r="R377" s="177" t="str">
        <f>IFERROR(VLOOKUP(O377,Cadastros!A:E,5,0),"")</f>
        <v/>
      </c>
      <c r="S377" s="177" t="str">
        <f>IFERROR(VLOOKUP(O377,Cadastros!A:F,6,0),"")</f>
        <v/>
      </c>
      <c r="T377" s="177" t="str">
        <f>IFERROR(VLOOKUP(O377,Cadastros!A:I,9,0),"")</f>
        <v/>
      </c>
      <c r="U377" s="177" t="str">
        <f t="shared" si="27"/>
        <v/>
      </c>
      <c r="V377" s="177" t="str">
        <f t="shared" si="28"/>
        <v/>
      </c>
      <c r="W377" s="177" t="str">
        <f t="shared" si="29"/>
        <v/>
      </c>
      <c r="Y377" s="240" t="e">
        <f t="array" ref="Y377">INDEX(Tabela.abordagens[],SMALL(IF(Tabela.abordagens[Mês]=$L$2,ROW(Tabela.abordagens[id])-2),ROW(A330)),1)</f>
        <v>#NUM!</v>
      </c>
      <c r="Z377" s="240" t="e">
        <f t="array" ref="Z377">INDEX(Tabela.abordagens[],SMALL(IF(Tabela.abordagens[Mês]=$L$2,ROW(Tabela.abordagens[Idade])-2),ROW(A330)),6)</f>
        <v>#NUM!</v>
      </c>
      <c r="AA377" s="240" t="e">
        <f t="array" ref="AA377">INDEX(Tabela.abordagens[],SMALL(IF(Tabela.abordagens[Mês]=$L$2,ROW(Tabela.abordagens[Idade])-2),ROW(A330)),4)</f>
        <v>#NUM!</v>
      </c>
      <c r="AB377" s="240" t="e">
        <f t="array" ref="AB377">INDEX(Tabela.abordagens[],SMALL(IF(Tabela.abordagens[Mês]=$L$2,ROW(Tabela.abordagens[Idade])-2),ROW(A330)),5)</f>
        <v>#NUM!</v>
      </c>
    </row>
    <row r="378" spans="2:28" ht="15" x14ac:dyDescent="0.25">
      <c r="B378" s="223" t="e">
        <f t="array" ref="B378">INDEX(Tabela.frequencia[],SMALL(IF(Tabela.frequencia[Mês]=$L$2,ROW(Tabela.frequencia[id])-1),ROW(A331)),1)</f>
        <v>#NUM!</v>
      </c>
      <c r="C378" s="229" t="e">
        <f t="array" ref="C378">INDEX(Tabela.frequencia[],SMALL(IF(Tabela.frequencia[Mês]=$L$2,ROW(Tabela.frequencia[id])-1),ROW(A331)),4)</f>
        <v>#NUM!</v>
      </c>
      <c r="E378" s="176" t="str">
        <f>IFERROR(VLOOKUP(D378,Tabela.cadastro[[ID]:[Nome]],2,0),"")</f>
        <v/>
      </c>
      <c r="F378" s="177" t="str">
        <f>IFERROR(VLOOKUP(D378,Tabela66[#All],2,0),"")</f>
        <v/>
      </c>
      <c r="G378" s="177" t="str">
        <f>IFERROR(VLOOKUP(D378,Tabela.cadastro[[ID]:[CP ou M]],5,0),"")</f>
        <v/>
      </c>
      <c r="H378" s="177" t="str">
        <f>IFERROR(VLOOKUP(D378,Cadastros!A:F,6,0),"")</f>
        <v/>
      </c>
      <c r="I378" s="177" t="str">
        <f>IFERROR(VLOOKUP(D378,Cadastros!A:I,9,0),"")</f>
        <v/>
      </c>
      <c r="J378" s="177" t="str">
        <f>IFERROR(VLOOKUP(D378,Cadastros!A:J,10,0),"")</f>
        <v/>
      </c>
      <c r="K378" s="177" t="str">
        <f>IF(COUNTIF(Tabela66[id],D378)=0,"",COUNTIF(Tabela66[id],D378))</f>
        <v/>
      </c>
      <c r="L378" s="198"/>
      <c r="M378" s="227" t="str">
        <f t="shared" si="30"/>
        <v/>
      </c>
      <c r="P378" s="176" t="str">
        <f>IFERROR(VLOOKUP(O378,Cadastros!A:B,2),"")</f>
        <v/>
      </c>
      <c r="Q378" s="177" t="str">
        <f t="shared" si="26"/>
        <v/>
      </c>
      <c r="R378" s="177" t="str">
        <f>IFERROR(VLOOKUP(O378,Cadastros!A:E,5,0),"")</f>
        <v/>
      </c>
      <c r="S378" s="177" t="str">
        <f>IFERROR(VLOOKUP(O378,Cadastros!A:F,6,0),"")</f>
        <v/>
      </c>
      <c r="T378" s="177" t="str">
        <f>IFERROR(VLOOKUP(O378,Cadastros!A:I,9,0),"")</f>
        <v/>
      </c>
      <c r="U378" s="177" t="str">
        <f t="shared" si="27"/>
        <v/>
      </c>
      <c r="V378" s="177" t="str">
        <f t="shared" si="28"/>
        <v/>
      </c>
      <c r="W378" s="177" t="str">
        <f t="shared" si="29"/>
        <v/>
      </c>
      <c r="Y378" s="240" t="e">
        <f t="array" ref="Y378">INDEX(Tabela.abordagens[],SMALL(IF(Tabela.abordagens[Mês]=$L$2,ROW(Tabela.abordagens[id])-2),ROW(A331)),1)</f>
        <v>#NUM!</v>
      </c>
      <c r="Z378" s="240" t="e">
        <f t="array" ref="Z378">INDEX(Tabela.abordagens[],SMALL(IF(Tabela.abordagens[Mês]=$L$2,ROW(Tabela.abordagens[Idade])-2),ROW(A331)),6)</f>
        <v>#NUM!</v>
      </c>
      <c r="AA378" s="240" t="e">
        <f t="array" ref="AA378">INDEX(Tabela.abordagens[],SMALL(IF(Tabela.abordagens[Mês]=$L$2,ROW(Tabela.abordagens[Idade])-2),ROW(A331)),4)</f>
        <v>#NUM!</v>
      </c>
      <c r="AB378" s="240" t="e">
        <f t="array" ref="AB378">INDEX(Tabela.abordagens[],SMALL(IF(Tabela.abordagens[Mês]=$L$2,ROW(Tabela.abordagens[Idade])-2),ROW(A331)),5)</f>
        <v>#NUM!</v>
      </c>
    </row>
    <row r="379" spans="2:28" ht="15" x14ac:dyDescent="0.25">
      <c r="B379" s="223" t="e">
        <f t="array" ref="B379">INDEX(Tabela.frequencia[],SMALL(IF(Tabela.frequencia[Mês]=$L$2,ROW(Tabela.frequencia[id])-1),ROW(A332)),1)</f>
        <v>#NUM!</v>
      </c>
      <c r="C379" s="229" t="e">
        <f t="array" ref="C379">INDEX(Tabela.frequencia[],SMALL(IF(Tabela.frequencia[Mês]=$L$2,ROW(Tabela.frequencia[id])-1),ROW(A332)),4)</f>
        <v>#NUM!</v>
      </c>
      <c r="E379" s="176" t="str">
        <f>IFERROR(VLOOKUP(D379,Tabela.cadastro[[ID]:[Nome]],2,0),"")</f>
        <v/>
      </c>
      <c r="F379" s="177" t="str">
        <f>IFERROR(VLOOKUP(D379,Tabela66[#All],2,0),"")</f>
        <v/>
      </c>
      <c r="G379" s="177" t="str">
        <f>IFERROR(VLOOKUP(D379,Tabela.cadastro[[ID]:[CP ou M]],5,0),"")</f>
        <v/>
      </c>
      <c r="H379" s="177" t="str">
        <f>IFERROR(VLOOKUP(D379,Cadastros!A:F,6,0),"")</f>
        <v/>
      </c>
      <c r="I379" s="177" t="str">
        <f>IFERROR(VLOOKUP(D379,Cadastros!A:I,9,0),"")</f>
        <v/>
      </c>
      <c r="J379" s="177" t="str">
        <f>IFERROR(VLOOKUP(D379,Cadastros!A:J,10,0),"")</f>
        <v/>
      </c>
      <c r="K379" s="177" t="str">
        <f>IF(COUNTIF(Tabela66[id],D379)=0,"",COUNTIF(Tabela66[id],D379))</f>
        <v/>
      </c>
      <c r="L379" s="198"/>
      <c r="M379" s="227" t="str">
        <f t="shared" si="30"/>
        <v/>
      </c>
      <c r="P379" s="176" t="str">
        <f>IFERROR(VLOOKUP(O379,Cadastros!A:B,2),"")</f>
        <v/>
      </c>
      <c r="Q379" s="177" t="str">
        <f t="shared" si="26"/>
        <v/>
      </c>
      <c r="R379" s="177" t="str">
        <f>IFERROR(VLOOKUP(O379,Cadastros!A:E,5,0),"")</f>
        <v/>
      </c>
      <c r="S379" s="177" t="str">
        <f>IFERROR(VLOOKUP(O379,Cadastros!A:F,6,0),"")</f>
        <v/>
      </c>
      <c r="T379" s="177" t="str">
        <f>IFERROR(VLOOKUP(O379,Cadastros!A:I,9,0),"")</f>
        <v/>
      </c>
      <c r="U379" s="177" t="str">
        <f t="shared" si="27"/>
        <v/>
      </c>
      <c r="V379" s="177" t="str">
        <f t="shared" si="28"/>
        <v/>
      </c>
      <c r="W379" s="177" t="str">
        <f t="shared" si="29"/>
        <v/>
      </c>
      <c r="Y379" s="240" t="e">
        <f t="array" ref="Y379">INDEX(Tabela.abordagens[],SMALL(IF(Tabela.abordagens[Mês]=$L$2,ROW(Tabela.abordagens[id])-2),ROW(A332)),1)</f>
        <v>#NUM!</v>
      </c>
      <c r="Z379" s="240" t="e">
        <f t="array" ref="Z379">INDEX(Tabela.abordagens[],SMALL(IF(Tabela.abordagens[Mês]=$L$2,ROW(Tabela.abordagens[Idade])-2),ROW(A332)),6)</f>
        <v>#NUM!</v>
      </c>
      <c r="AA379" s="240" t="e">
        <f t="array" ref="AA379">INDEX(Tabela.abordagens[],SMALL(IF(Tabela.abordagens[Mês]=$L$2,ROW(Tabela.abordagens[Idade])-2),ROW(A332)),4)</f>
        <v>#NUM!</v>
      </c>
      <c r="AB379" s="240" t="e">
        <f t="array" ref="AB379">INDEX(Tabela.abordagens[],SMALL(IF(Tabela.abordagens[Mês]=$L$2,ROW(Tabela.abordagens[Idade])-2),ROW(A332)),5)</f>
        <v>#NUM!</v>
      </c>
    </row>
    <row r="380" spans="2:28" ht="15" x14ac:dyDescent="0.25">
      <c r="B380" s="223" t="e">
        <f t="array" ref="B380">INDEX(Tabela.frequencia[],SMALL(IF(Tabela.frequencia[Mês]=$L$2,ROW(Tabela.frequencia[id])-1),ROW(A333)),1)</f>
        <v>#NUM!</v>
      </c>
      <c r="C380" s="229" t="e">
        <f t="array" ref="C380">INDEX(Tabela.frequencia[],SMALL(IF(Tabela.frequencia[Mês]=$L$2,ROW(Tabela.frequencia[id])-1),ROW(A333)),4)</f>
        <v>#NUM!</v>
      </c>
      <c r="E380" s="176" t="str">
        <f>IFERROR(VLOOKUP(D380,Tabela.cadastro[[ID]:[Nome]],2,0),"")</f>
        <v/>
      </c>
      <c r="F380" s="177" t="str">
        <f>IFERROR(VLOOKUP(D380,Tabela66[#All],2,0),"")</f>
        <v/>
      </c>
      <c r="G380" s="177" t="str">
        <f>IFERROR(VLOOKUP(D380,Tabela.cadastro[[ID]:[CP ou M]],5,0),"")</f>
        <v/>
      </c>
      <c r="H380" s="177" t="str">
        <f>IFERROR(VLOOKUP(D380,Cadastros!A:F,6,0),"")</f>
        <v/>
      </c>
      <c r="I380" s="177" t="str">
        <f>IFERROR(VLOOKUP(D380,Cadastros!A:I,9,0),"")</f>
        <v/>
      </c>
      <c r="J380" s="177" t="str">
        <f>IFERROR(VLOOKUP(D380,Cadastros!A:J,10,0),"")</f>
        <v/>
      </c>
      <c r="K380" s="177" t="str">
        <f>IF(COUNTIF(Tabela66[id],D380)=0,"",COUNTIF(Tabela66[id],D380))</f>
        <v/>
      </c>
      <c r="L380" s="198"/>
      <c r="M380" s="227" t="str">
        <f t="shared" si="30"/>
        <v/>
      </c>
      <c r="P380" s="176" t="str">
        <f>IFERROR(VLOOKUP(O380,Cadastros!A:B,2),"")</f>
        <v/>
      </c>
      <c r="Q380" s="177" t="str">
        <f t="shared" si="26"/>
        <v/>
      </c>
      <c r="R380" s="177" t="str">
        <f>IFERROR(VLOOKUP(O380,Cadastros!A:E,5,0),"")</f>
        <v/>
      </c>
      <c r="S380" s="177" t="str">
        <f>IFERROR(VLOOKUP(O380,Cadastros!A:F,6,0),"")</f>
        <v/>
      </c>
      <c r="T380" s="177" t="str">
        <f>IFERROR(VLOOKUP(O380,Cadastros!A:I,9,0),"")</f>
        <v/>
      </c>
      <c r="U380" s="177" t="str">
        <f t="shared" si="27"/>
        <v/>
      </c>
      <c r="V380" s="177" t="str">
        <f t="shared" si="28"/>
        <v/>
      </c>
      <c r="W380" s="177" t="str">
        <f t="shared" si="29"/>
        <v/>
      </c>
      <c r="Y380" s="240" t="e">
        <f t="array" ref="Y380">INDEX(Tabela.abordagens[],SMALL(IF(Tabela.abordagens[Mês]=$L$2,ROW(Tabela.abordagens[id])-2),ROW(A333)),1)</f>
        <v>#NUM!</v>
      </c>
      <c r="Z380" s="240" t="e">
        <f t="array" ref="Z380">INDEX(Tabela.abordagens[],SMALL(IF(Tabela.abordagens[Mês]=$L$2,ROW(Tabela.abordagens[Idade])-2),ROW(A333)),6)</f>
        <v>#NUM!</v>
      </c>
      <c r="AA380" s="240" t="e">
        <f t="array" ref="AA380">INDEX(Tabela.abordagens[],SMALL(IF(Tabela.abordagens[Mês]=$L$2,ROW(Tabela.abordagens[Idade])-2),ROW(A333)),4)</f>
        <v>#NUM!</v>
      </c>
      <c r="AB380" s="240" t="e">
        <f t="array" ref="AB380">INDEX(Tabela.abordagens[],SMALL(IF(Tabela.abordagens[Mês]=$L$2,ROW(Tabela.abordagens[Idade])-2),ROW(A333)),5)</f>
        <v>#NUM!</v>
      </c>
    </row>
    <row r="381" spans="2:28" ht="15" x14ac:dyDescent="0.25">
      <c r="B381" s="223" t="e">
        <f t="array" ref="B381">INDEX(Tabela.frequencia[],SMALL(IF(Tabela.frequencia[Mês]=$L$2,ROW(Tabela.frequencia[id])-1),ROW(A334)),1)</f>
        <v>#NUM!</v>
      </c>
      <c r="C381" s="229" t="e">
        <f t="array" ref="C381">INDEX(Tabela.frequencia[],SMALL(IF(Tabela.frequencia[Mês]=$L$2,ROW(Tabela.frequencia[id])-1),ROW(A334)),4)</f>
        <v>#NUM!</v>
      </c>
      <c r="E381" s="176" t="str">
        <f>IFERROR(VLOOKUP(D381,Tabela.cadastro[[ID]:[Nome]],2,0),"")</f>
        <v/>
      </c>
      <c r="F381" s="177" t="str">
        <f>IFERROR(VLOOKUP(D381,Tabela66[#All],2,0),"")</f>
        <v/>
      </c>
      <c r="G381" s="177" t="str">
        <f>IFERROR(VLOOKUP(D381,Tabela.cadastro[[ID]:[CP ou M]],5,0),"")</f>
        <v/>
      </c>
      <c r="H381" s="177" t="str">
        <f>IFERROR(VLOOKUP(D381,Cadastros!A:F,6,0),"")</f>
        <v/>
      </c>
      <c r="I381" s="177" t="str">
        <f>IFERROR(VLOOKUP(D381,Cadastros!A:I,9,0),"")</f>
        <v/>
      </c>
      <c r="J381" s="177" t="str">
        <f>IFERROR(VLOOKUP(D381,Cadastros!A:J,10,0),"")</f>
        <v/>
      </c>
      <c r="K381" s="177" t="str">
        <f>IF(COUNTIF(Tabela66[id],D381)=0,"",COUNTIF(Tabela66[id],D381))</f>
        <v/>
      </c>
      <c r="L381" s="198"/>
      <c r="M381" s="227" t="str">
        <f t="shared" si="30"/>
        <v/>
      </c>
      <c r="P381" s="176" t="str">
        <f>IFERROR(VLOOKUP(O381,Cadastros!A:B,2),"")</f>
        <v/>
      </c>
      <c r="Q381" s="177" t="str">
        <f t="shared" si="26"/>
        <v/>
      </c>
      <c r="R381" s="177" t="str">
        <f>IFERROR(VLOOKUP(O381,Cadastros!A:E,5,0),"")</f>
        <v/>
      </c>
      <c r="S381" s="177" t="str">
        <f>IFERROR(VLOOKUP(O381,Cadastros!A:F,6,0),"")</f>
        <v/>
      </c>
      <c r="T381" s="177" t="str">
        <f>IFERROR(VLOOKUP(O381,Cadastros!A:I,9,0),"")</f>
        <v/>
      </c>
      <c r="U381" s="177" t="str">
        <f t="shared" si="27"/>
        <v/>
      </c>
      <c r="V381" s="177" t="str">
        <f t="shared" si="28"/>
        <v/>
      </c>
      <c r="W381" s="177" t="str">
        <f t="shared" si="29"/>
        <v/>
      </c>
      <c r="Y381" s="240" t="e">
        <f t="array" ref="Y381">INDEX(Tabela.abordagens[],SMALL(IF(Tabela.abordagens[Mês]=$L$2,ROW(Tabela.abordagens[id])-2),ROW(A334)),1)</f>
        <v>#NUM!</v>
      </c>
      <c r="Z381" s="240" t="e">
        <f t="array" ref="Z381">INDEX(Tabela.abordagens[],SMALL(IF(Tabela.abordagens[Mês]=$L$2,ROW(Tabela.abordagens[Idade])-2),ROW(A334)),6)</f>
        <v>#NUM!</v>
      </c>
      <c r="AA381" s="240" t="e">
        <f t="array" ref="AA381">INDEX(Tabela.abordagens[],SMALL(IF(Tabela.abordagens[Mês]=$L$2,ROW(Tabela.abordagens[Idade])-2),ROW(A334)),4)</f>
        <v>#NUM!</v>
      </c>
      <c r="AB381" s="240" t="e">
        <f t="array" ref="AB381">INDEX(Tabela.abordagens[],SMALL(IF(Tabela.abordagens[Mês]=$L$2,ROW(Tabela.abordagens[Idade])-2),ROW(A334)),5)</f>
        <v>#NUM!</v>
      </c>
    </row>
    <row r="382" spans="2:28" ht="15" x14ac:dyDescent="0.25">
      <c r="B382" s="223" t="e">
        <f t="array" ref="B382">INDEX(Tabela.frequencia[],SMALL(IF(Tabela.frequencia[Mês]=$L$2,ROW(Tabela.frequencia[id])-1),ROW(A335)),1)</f>
        <v>#NUM!</v>
      </c>
      <c r="C382" s="229" t="e">
        <f t="array" ref="C382">INDEX(Tabela.frequencia[],SMALL(IF(Tabela.frequencia[Mês]=$L$2,ROW(Tabela.frequencia[id])-1),ROW(A335)),4)</f>
        <v>#NUM!</v>
      </c>
      <c r="E382" s="176" t="str">
        <f>IFERROR(VLOOKUP(D382,Tabela.cadastro[[ID]:[Nome]],2,0),"")</f>
        <v/>
      </c>
      <c r="F382" s="177" t="str">
        <f>IFERROR(VLOOKUP(D382,Tabela66[#All],2,0),"")</f>
        <v/>
      </c>
      <c r="G382" s="177" t="str">
        <f>IFERROR(VLOOKUP(D382,Tabela.cadastro[[ID]:[CP ou M]],5,0),"")</f>
        <v/>
      </c>
      <c r="H382" s="177" t="str">
        <f>IFERROR(VLOOKUP(D382,Cadastros!A:F,6,0),"")</f>
        <v/>
      </c>
      <c r="I382" s="177" t="str">
        <f>IFERROR(VLOOKUP(D382,Cadastros!A:I,9,0),"")</f>
        <v/>
      </c>
      <c r="J382" s="177" t="str">
        <f>IFERROR(VLOOKUP(D382,Cadastros!A:J,10,0),"")</f>
        <v/>
      </c>
      <c r="K382" s="177" t="str">
        <f>IF(COUNTIF(Tabela66[id],D382)=0,"",COUNTIF(Tabela66[id],D382))</f>
        <v/>
      </c>
      <c r="L382" s="198"/>
      <c r="M382" s="227" t="str">
        <f t="shared" si="30"/>
        <v/>
      </c>
      <c r="P382" s="176" t="str">
        <f>IFERROR(VLOOKUP(O382,Cadastros!A:B,2),"")</f>
        <v/>
      </c>
      <c r="Q382" s="177" t="str">
        <f t="shared" si="26"/>
        <v/>
      </c>
      <c r="R382" s="177" t="str">
        <f>IFERROR(VLOOKUP(O382,Cadastros!A:E,5,0),"")</f>
        <v/>
      </c>
      <c r="S382" s="177" t="str">
        <f>IFERROR(VLOOKUP(O382,Cadastros!A:F,6,0),"")</f>
        <v/>
      </c>
      <c r="T382" s="177" t="str">
        <f>IFERROR(VLOOKUP(O382,Cadastros!A:I,9,0),"")</f>
        <v/>
      </c>
      <c r="U382" s="177" t="str">
        <f t="shared" si="27"/>
        <v/>
      </c>
      <c r="V382" s="177" t="str">
        <f t="shared" si="28"/>
        <v/>
      </c>
      <c r="W382" s="177" t="str">
        <f t="shared" si="29"/>
        <v/>
      </c>
      <c r="Y382" s="240" t="e">
        <f t="array" ref="Y382">INDEX(Tabela.abordagens[],SMALL(IF(Tabela.abordagens[Mês]=$L$2,ROW(Tabela.abordagens[id])-2),ROW(A335)),1)</f>
        <v>#NUM!</v>
      </c>
      <c r="Z382" s="240" t="e">
        <f t="array" ref="Z382">INDEX(Tabela.abordagens[],SMALL(IF(Tabela.abordagens[Mês]=$L$2,ROW(Tabela.abordagens[Idade])-2),ROW(A335)),6)</f>
        <v>#NUM!</v>
      </c>
      <c r="AA382" s="240" t="e">
        <f t="array" ref="AA382">INDEX(Tabela.abordagens[],SMALL(IF(Tabela.abordagens[Mês]=$L$2,ROW(Tabela.abordagens[Idade])-2),ROW(A335)),4)</f>
        <v>#NUM!</v>
      </c>
      <c r="AB382" s="240" t="e">
        <f t="array" ref="AB382">INDEX(Tabela.abordagens[],SMALL(IF(Tabela.abordagens[Mês]=$L$2,ROW(Tabela.abordagens[Idade])-2),ROW(A335)),5)</f>
        <v>#NUM!</v>
      </c>
    </row>
    <row r="383" spans="2:28" ht="15" x14ac:dyDescent="0.25">
      <c r="B383" s="223" t="e">
        <f t="array" ref="B383">INDEX(Tabela.frequencia[],SMALL(IF(Tabela.frequencia[Mês]=$L$2,ROW(Tabela.frequencia[id])-1),ROW(A336)),1)</f>
        <v>#NUM!</v>
      </c>
      <c r="C383" s="229" t="e">
        <f t="array" ref="C383">INDEX(Tabela.frequencia[],SMALL(IF(Tabela.frequencia[Mês]=$L$2,ROW(Tabela.frequencia[id])-1),ROW(A336)),4)</f>
        <v>#NUM!</v>
      </c>
      <c r="E383" s="176" t="str">
        <f>IFERROR(VLOOKUP(D383,Tabela.cadastro[[ID]:[Nome]],2,0),"")</f>
        <v/>
      </c>
      <c r="F383" s="177" t="str">
        <f>IFERROR(VLOOKUP(D383,Tabela66[#All],2,0),"")</f>
        <v/>
      </c>
      <c r="G383" s="177" t="str">
        <f>IFERROR(VLOOKUP(D383,Tabela.cadastro[[ID]:[CP ou M]],5,0),"")</f>
        <v/>
      </c>
      <c r="H383" s="177" t="str">
        <f>IFERROR(VLOOKUP(D383,Cadastros!A:F,6,0),"")</f>
        <v/>
      </c>
      <c r="I383" s="177" t="str">
        <f>IFERROR(VLOOKUP(D383,Cadastros!A:I,9,0),"")</f>
        <v/>
      </c>
      <c r="J383" s="177" t="str">
        <f>IFERROR(VLOOKUP(D383,Cadastros!A:J,10,0),"")</f>
        <v/>
      </c>
      <c r="K383" s="177" t="str">
        <f>IF(COUNTIF(Tabela66[id],D383)=0,"",COUNTIF(Tabela66[id],D383))</f>
        <v/>
      </c>
      <c r="L383" s="198"/>
      <c r="M383" s="227" t="str">
        <f t="shared" si="30"/>
        <v/>
      </c>
      <c r="P383" s="176" t="str">
        <f>IFERROR(VLOOKUP(O383,Cadastros!A:B,2),"")</f>
        <v/>
      </c>
      <c r="Q383" s="177" t="str">
        <f t="shared" si="26"/>
        <v/>
      </c>
      <c r="R383" s="177" t="str">
        <f>IFERROR(VLOOKUP(O383,Cadastros!A:E,5,0),"")</f>
        <v/>
      </c>
      <c r="S383" s="177" t="str">
        <f>IFERROR(VLOOKUP(O383,Cadastros!A:F,6,0),"")</f>
        <v/>
      </c>
      <c r="T383" s="177" t="str">
        <f>IFERROR(VLOOKUP(O383,Cadastros!A:I,9,0),"")</f>
        <v/>
      </c>
      <c r="U383" s="177" t="str">
        <f t="shared" si="27"/>
        <v/>
      </c>
      <c r="V383" s="177" t="str">
        <f t="shared" si="28"/>
        <v/>
      </c>
      <c r="W383" s="177" t="str">
        <f t="shared" si="29"/>
        <v/>
      </c>
      <c r="Y383" s="240" t="e">
        <f t="array" ref="Y383">INDEX(Tabela.abordagens[],SMALL(IF(Tabela.abordagens[Mês]=$L$2,ROW(Tabela.abordagens[id])-2),ROW(A336)),1)</f>
        <v>#NUM!</v>
      </c>
      <c r="Z383" s="240" t="e">
        <f t="array" ref="Z383">INDEX(Tabela.abordagens[],SMALL(IF(Tabela.abordagens[Mês]=$L$2,ROW(Tabela.abordagens[Idade])-2),ROW(A336)),6)</f>
        <v>#NUM!</v>
      </c>
      <c r="AA383" s="240" t="e">
        <f t="array" ref="AA383">INDEX(Tabela.abordagens[],SMALL(IF(Tabela.abordagens[Mês]=$L$2,ROW(Tabela.abordagens[Idade])-2),ROW(A336)),4)</f>
        <v>#NUM!</v>
      </c>
      <c r="AB383" s="240" t="e">
        <f t="array" ref="AB383">INDEX(Tabela.abordagens[],SMALL(IF(Tabela.abordagens[Mês]=$L$2,ROW(Tabela.abordagens[Idade])-2),ROW(A336)),5)</f>
        <v>#NUM!</v>
      </c>
    </row>
    <row r="384" spans="2:28" ht="15" x14ac:dyDescent="0.25">
      <c r="B384" s="223" t="e">
        <f t="array" ref="B384">INDEX(Tabela.frequencia[],SMALL(IF(Tabela.frequencia[Mês]=$L$2,ROW(Tabela.frequencia[id])-1),ROW(A337)),1)</f>
        <v>#NUM!</v>
      </c>
      <c r="C384" s="229" t="e">
        <f t="array" ref="C384">INDEX(Tabela.frequencia[],SMALL(IF(Tabela.frequencia[Mês]=$L$2,ROW(Tabela.frequencia[id])-1),ROW(A337)),4)</f>
        <v>#NUM!</v>
      </c>
      <c r="E384" s="176" t="str">
        <f>IFERROR(VLOOKUP(D384,Tabela.cadastro[[ID]:[Nome]],2,0),"")</f>
        <v/>
      </c>
      <c r="F384" s="177" t="str">
        <f>IFERROR(VLOOKUP(D384,Tabela66[#All],2,0),"")</f>
        <v/>
      </c>
      <c r="G384" s="177" t="str">
        <f>IFERROR(VLOOKUP(D384,Tabela.cadastro[[ID]:[CP ou M]],5,0),"")</f>
        <v/>
      </c>
      <c r="H384" s="177" t="str">
        <f>IFERROR(VLOOKUP(D384,Cadastros!A:F,6,0),"")</f>
        <v/>
      </c>
      <c r="I384" s="177" t="str">
        <f>IFERROR(VLOOKUP(D384,Cadastros!A:I,9,0),"")</f>
        <v/>
      </c>
      <c r="J384" s="177" t="str">
        <f>IFERROR(VLOOKUP(D384,Cadastros!A:J,10,0),"")</f>
        <v/>
      </c>
      <c r="K384" s="177" t="str">
        <f>IF(COUNTIF(Tabela66[id],D384)=0,"",COUNTIF(Tabela66[id],D384))</f>
        <v/>
      </c>
      <c r="L384" s="198"/>
      <c r="M384" s="227" t="str">
        <f t="shared" si="30"/>
        <v/>
      </c>
      <c r="P384" s="176" t="str">
        <f>IFERROR(VLOOKUP(O384,Cadastros!A:B,2),"")</f>
        <v/>
      </c>
      <c r="Q384" s="177" t="str">
        <f t="shared" si="26"/>
        <v/>
      </c>
      <c r="R384" s="177" t="str">
        <f>IFERROR(VLOOKUP(O384,Cadastros!A:E,5,0),"")</f>
        <v/>
      </c>
      <c r="S384" s="177" t="str">
        <f>IFERROR(VLOOKUP(O384,Cadastros!A:F,6,0),"")</f>
        <v/>
      </c>
      <c r="T384" s="177" t="str">
        <f>IFERROR(VLOOKUP(O384,Cadastros!A:I,9,0),"")</f>
        <v/>
      </c>
      <c r="U384" s="177" t="str">
        <f t="shared" si="27"/>
        <v/>
      </c>
      <c r="V384" s="177" t="str">
        <f t="shared" si="28"/>
        <v/>
      </c>
      <c r="W384" s="177" t="str">
        <f t="shared" si="29"/>
        <v/>
      </c>
      <c r="Y384" s="240" t="e">
        <f t="array" ref="Y384">INDEX(Tabela.abordagens[],SMALL(IF(Tabela.abordagens[Mês]=$L$2,ROW(Tabela.abordagens[id])-2),ROW(A337)),1)</f>
        <v>#NUM!</v>
      </c>
      <c r="Z384" s="240" t="e">
        <f t="array" ref="Z384">INDEX(Tabela.abordagens[],SMALL(IF(Tabela.abordagens[Mês]=$L$2,ROW(Tabela.abordagens[Idade])-2),ROW(A337)),6)</f>
        <v>#NUM!</v>
      </c>
      <c r="AA384" s="240" t="e">
        <f t="array" ref="AA384">INDEX(Tabela.abordagens[],SMALL(IF(Tabela.abordagens[Mês]=$L$2,ROW(Tabela.abordagens[Idade])-2),ROW(A337)),4)</f>
        <v>#NUM!</v>
      </c>
      <c r="AB384" s="240" t="e">
        <f t="array" ref="AB384">INDEX(Tabela.abordagens[],SMALL(IF(Tabela.abordagens[Mês]=$L$2,ROW(Tabela.abordagens[Idade])-2),ROW(A337)),5)</f>
        <v>#NUM!</v>
      </c>
    </row>
    <row r="385" spans="2:28" ht="15" x14ac:dyDescent="0.25">
      <c r="B385" s="223" t="e">
        <f t="array" ref="B385">INDEX(Tabela.frequencia[],SMALL(IF(Tabela.frequencia[Mês]=$L$2,ROW(Tabela.frequencia[id])-1),ROW(A338)),1)</f>
        <v>#NUM!</v>
      </c>
      <c r="C385" s="229" t="e">
        <f t="array" ref="C385">INDEX(Tabela.frequencia[],SMALL(IF(Tabela.frequencia[Mês]=$L$2,ROW(Tabela.frequencia[id])-1),ROW(A338)),4)</f>
        <v>#NUM!</v>
      </c>
      <c r="E385" s="176" t="str">
        <f>IFERROR(VLOOKUP(D385,Tabela.cadastro[[ID]:[Nome]],2,0),"")</f>
        <v/>
      </c>
      <c r="F385" s="177" t="str">
        <f>IFERROR(VLOOKUP(D385,Tabela66[#All],2,0),"")</f>
        <v/>
      </c>
      <c r="G385" s="177" t="str">
        <f>IFERROR(VLOOKUP(D385,Tabela.cadastro[[ID]:[CP ou M]],5,0),"")</f>
        <v/>
      </c>
      <c r="H385" s="177" t="str">
        <f>IFERROR(VLOOKUP(D385,Cadastros!A:F,6,0),"")</f>
        <v/>
      </c>
      <c r="I385" s="177" t="str">
        <f>IFERROR(VLOOKUP(D385,Cadastros!A:I,9,0),"")</f>
        <v/>
      </c>
      <c r="J385" s="177" t="str">
        <f>IFERROR(VLOOKUP(D385,Cadastros!A:J,10,0),"")</f>
        <v/>
      </c>
      <c r="K385" s="177" t="str">
        <f>IF(COUNTIF(Tabela66[id],D385)=0,"",COUNTIF(Tabela66[id],D385))</f>
        <v/>
      </c>
      <c r="L385" s="198"/>
      <c r="M385" s="227" t="str">
        <f t="shared" si="30"/>
        <v/>
      </c>
      <c r="P385" s="176" t="str">
        <f>IFERROR(VLOOKUP(O385,Cadastros!A:B,2),"")</f>
        <v/>
      </c>
      <c r="Q385" s="177" t="str">
        <f t="shared" si="26"/>
        <v/>
      </c>
      <c r="R385" s="177" t="str">
        <f>IFERROR(VLOOKUP(O385,Cadastros!A:E,5,0),"")</f>
        <v/>
      </c>
      <c r="S385" s="177" t="str">
        <f>IFERROR(VLOOKUP(O385,Cadastros!A:F,6,0),"")</f>
        <v/>
      </c>
      <c r="T385" s="177" t="str">
        <f>IFERROR(VLOOKUP(O385,Cadastros!A:I,9,0),"")</f>
        <v/>
      </c>
      <c r="U385" s="177" t="str">
        <f t="shared" si="27"/>
        <v/>
      </c>
      <c r="V385" s="177" t="str">
        <f t="shared" si="28"/>
        <v/>
      </c>
      <c r="W385" s="177" t="str">
        <f t="shared" si="29"/>
        <v/>
      </c>
      <c r="Y385" s="240" t="e">
        <f t="array" ref="Y385">INDEX(Tabela.abordagens[],SMALL(IF(Tabela.abordagens[Mês]=$L$2,ROW(Tabela.abordagens[id])-2),ROW(A338)),1)</f>
        <v>#NUM!</v>
      </c>
      <c r="Z385" s="240" t="e">
        <f t="array" ref="Z385">INDEX(Tabela.abordagens[],SMALL(IF(Tabela.abordagens[Mês]=$L$2,ROW(Tabela.abordagens[Idade])-2),ROW(A338)),6)</f>
        <v>#NUM!</v>
      </c>
      <c r="AA385" s="240" t="e">
        <f t="array" ref="AA385">INDEX(Tabela.abordagens[],SMALL(IF(Tabela.abordagens[Mês]=$L$2,ROW(Tabela.abordagens[Idade])-2),ROW(A338)),4)</f>
        <v>#NUM!</v>
      </c>
      <c r="AB385" s="240" t="e">
        <f t="array" ref="AB385">INDEX(Tabela.abordagens[],SMALL(IF(Tabela.abordagens[Mês]=$L$2,ROW(Tabela.abordagens[Idade])-2),ROW(A338)),5)</f>
        <v>#NUM!</v>
      </c>
    </row>
    <row r="386" spans="2:28" ht="15" x14ac:dyDescent="0.25">
      <c r="B386" s="223" t="e">
        <f t="array" ref="B386">INDEX(Tabela.frequencia[],SMALL(IF(Tabela.frequencia[Mês]=$L$2,ROW(Tabela.frequencia[id])-1),ROW(A339)),1)</f>
        <v>#NUM!</v>
      </c>
      <c r="C386" s="229" t="e">
        <f t="array" ref="C386">INDEX(Tabela.frequencia[],SMALL(IF(Tabela.frequencia[Mês]=$L$2,ROW(Tabela.frequencia[id])-1),ROW(A339)),4)</f>
        <v>#NUM!</v>
      </c>
      <c r="E386" s="176" t="str">
        <f>IFERROR(VLOOKUP(D386,Tabela.cadastro[[ID]:[Nome]],2,0),"")</f>
        <v/>
      </c>
      <c r="F386" s="177" t="str">
        <f>IFERROR(VLOOKUP(D386,Tabela66[#All],2,0),"")</f>
        <v/>
      </c>
      <c r="G386" s="177" t="str">
        <f>IFERROR(VLOOKUP(D386,Tabela.cadastro[[ID]:[CP ou M]],5,0),"")</f>
        <v/>
      </c>
      <c r="H386" s="177" t="str">
        <f>IFERROR(VLOOKUP(D386,Cadastros!A:F,6,0),"")</f>
        <v/>
      </c>
      <c r="I386" s="177" t="str">
        <f>IFERROR(VLOOKUP(D386,Cadastros!A:I,9,0),"")</f>
        <v/>
      </c>
      <c r="J386" s="177" t="str">
        <f>IFERROR(VLOOKUP(D386,Cadastros!A:J,10,0),"")</f>
        <v/>
      </c>
      <c r="K386" s="177" t="str">
        <f>IF(COUNTIF(Tabela66[id],D386)=0,"",COUNTIF(Tabela66[id],D386))</f>
        <v/>
      </c>
      <c r="L386" s="198"/>
      <c r="M386" s="227" t="str">
        <f t="shared" si="30"/>
        <v/>
      </c>
      <c r="P386" s="176" t="str">
        <f>IFERROR(VLOOKUP(O386,Cadastros!A:B,2),"")</f>
        <v/>
      </c>
      <c r="Q386" s="177" t="str">
        <f t="shared" si="26"/>
        <v/>
      </c>
      <c r="R386" s="177" t="str">
        <f>IFERROR(VLOOKUP(O386,Cadastros!A:E,5,0),"")</f>
        <v/>
      </c>
      <c r="S386" s="177" t="str">
        <f>IFERROR(VLOOKUP(O386,Cadastros!A:F,6,0),"")</f>
        <v/>
      </c>
      <c r="T386" s="177" t="str">
        <f>IFERROR(VLOOKUP(O386,Cadastros!A:I,9,0),"")</f>
        <v/>
      </c>
      <c r="U386" s="177" t="str">
        <f t="shared" si="27"/>
        <v/>
      </c>
      <c r="V386" s="177" t="str">
        <f t="shared" si="28"/>
        <v/>
      </c>
      <c r="W386" s="177" t="str">
        <f t="shared" si="29"/>
        <v/>
      </c>
      <c r="Y386" s="240" t="e">
        <f t="array" ref="Y386">INDEX(Tabela.abordagens[],SMALL(IF(Tabela.abordagens[Mês]=$L$2,ROW(Tabela.abordagens[id])-2),ROW(A339)),1)</f>
        <v>#NUM!</v>
      </c>
      <c r="Z386" s="240" t="e">
        <f t="array" ref="Z386">INDEX(Tabela.abordagens[],SMALL(IF(Tabela.abordagens[Mês]=$L$2,ROW(Tabela.abordagens[Idade])-2),ROW(A339)),6)</f>
        <v>#NUM!</v>
      </c>
      <c r="AA386" s="240" t="e">
        <f t="array" ref="AA386">INDEX(Tabela.abordagens[],SMALL(IF(Tabela.abordagens[Mês]=$L$2,ROW(Tabela.abordagens[Idade])-2),ROW(A339)),4)</f>
        <v>#NUM!</v>
      </c>
      <c r="AB386" s="240" t="e">
        <f t="array" ref="AB386">INDEX(Tabela.abordagens[],SMALL(IF(Tabela.abordagens[Mês]=$L$2,ROW(Tabela.abordagens[Idade])-2),ROW(A339)),5)</f>
        <v>#NUM!</v>
      </c>
    </row>
    <row r="387" spans="2:28" ht="15" x14ac:dyDescent="0.25">
      <c r="B387" s="223" t="e">
        <f t="array" ref="B387">INDEX(Tabela.frequencia[],SMALL(IF(Tabela.frequencia[Mês]=$L$2,ROW(Tabela.frequencia[id])-1),ROW(A340)),1)</f>
        <v>#NUM!</v>
      </c>
      <c r="C387" s="229" t="e">
        <f t="array" ref="C387">INDEX(Tabela.frequencia[],SMALL(IF(Tabela.frequencia[Mês]=$L$2,ROW(Tabela.frequencia[id])-1),ROW(A340)),4)</f>
        <v>#NUM!</v>
      </c>
      <c r="E387" s="176" t="str">
        <f>IFERROR(VLOOKUP(D387,Tabela.cadastro[[ID]:[Nome]],2,0),"")</f>
        <v/>
      </c>
      <c r="F387" s="177" t="str">
        <f>IFERROR(VLOOKUP(D387,Tabela66[#All],2,0),"")</f>
        <v/>
      </c>
      <c r="G387" s="177" t="str">
        <f>IFERROR(VLOOKUP(D387,Tabela.cadastro[[ID]:[CP ou M]],5,0),"")</f>
        <v/>
      </c>
      <c r="H387" s="177" t="str">
        <f>IFERROR(VLOOKUP(D387,Cadastros!A:F,6,0),"")</f>
        <v/>
      </c>
      <c r="I387" s="177" t="str">
        <f>IFERROR(VLOOKUP(D387,Cadastros!A:I,9,0),"")</f>
        <v/>
      </c>
      <c r="J387" s="177" t="str">
        <f>IFERROR(VLOOKUP(D387,Cadastros!A:J,10,0),"")</f>
        <v/>
      </c>
      <c r="K387" s="177" t="str">
        <f>IF(COUNTIF(Tabela66[id],D387)=0,"",COUNTIF(Tabela66[id],D387))</f>
        <v/>
      </c>
      <c r="L387" s="198"/>
      <c r="M387" s="227" t="str">
        <f t="shared" si="30"/>
        <v/>
      </c>
      <c r="P387" s="176" t="str">
        <f>IFERROR(VLOOKUP(O387,Cadastros!A:B,2),"")</f>
        <v/>
      </c>
      <c r="Q387" s="177" t="str">
        <f t="shared" si="26"/>
        <v/>
      </c>
      <c r="R387" s="177" t="str">
        <f>IFERROR(VLOOKUP(O387,Cadastros!A:E,5,0),"")</f>
        <v/>
      </c>
      <c r="S387" s="177" t="str">
        <f>IFERROR(VLOOKUP(O387,Cadastros!A:F,6,0),"")</f>
        <v/>
      </c>
      <c r="T387" s="177" t="str">
        <f>IFERROR(VLOOKUP(O387,Cadastros!A:I,9,0),"")</f>
        <v/>
      </c>
      <c r="U387" s="177" t="str">
        <f t="shared" si="27"/>
        <v/>
      </c>
      <c r="V387" s="177" t="str">
        <f t="shared" si="28"/>
        <v/>
      </c>
      <c r="W387" s="177" t="str">
        <f t="shared" si="29"/>
        <v/>
      </c>
      <c r="Y387" s="240" t="e">
        <f t="array" ref="Y387">INDEX(Tabela.abordagens[],SMALL(IF(Tabela.abordagens[Mês]=$L$2,ROW(Tabela.abordagens[id])-2),ROW(A340)),1)</f>
        <v>#NUM!</v>
      </c>
      <c r="Z387" s="240" t="e">
        <f t="array" ref="Z387">INDEX(Tabela.abordagens[],SMALL(IF(Tabela.abordagens[Mês]=$L$2,ROW(Tabela.abordagens[Idade])-2),ROW(A340)),6)</f>
        <v>#NUM!</v>
      </c>
      <c r="AA387" s="240" t="e">
        <f t="array" ref="AA387">INDEX(Tabela.abordagens[],SMALL(IF(Tabela.abordagens[Mês]=$L$2,ROW(Tabela.abordagens[Idade])-2),ROW(A340)),4)</f>
        <v>#NUM!</v>
      </c>
      <c r="AB387" s="240" t="e">
        <f t="array" ref="AB387">INDEX(Tabela.abordagens[],SMALL(IF(Tabela.abordagens[Mês]=$L$2,ROW(Tabela.abordagens[Idade])-2),ROW(A340)),5)</f>
        <v>#NUM!</v>
      </c>
    </row>
    <row r="388" spans="2:28" ht="15" x14ac:dyDescent="0.25">
      <c r="B388" s="223" t="e">
        <f t="array" ref="B388">INDEX(Tabela.frequencia[],SMALL(IF(Tabela.frequencia[Mês]=$L$2,ROW(Tabela.frequencia[id])-1),ROW(A341)),1)</f>
        <v>#NUM!</v>
      </c>
      <c r="C388" s="229" t="e">
        <f t="array" ref="C388">INDEX(Tabela.frequencia[],SMALL(IF(Tabela.frequencia[Mês]=$L$2,ROW(Tabela.frequencia[id])-1),ROW(A341)),4)</f>
        <v>#NUM!</v>
      </c>
      <c r="E388" s="176" t="str">
        <f>IFERROR(VLOOKUP(D388,Tabela.cadastro[[ID]:[Nome]],2,0),"")</f>
        <v/>
      </c>
      <c r="F388" s="177" t="str">
        <f>IFERROR(VLOOKUP(D388,Tabela66[#All],2,0),"")</f>
        <v/>
      </c>
      <c r="G388" s="177" t="str">
        <f>IFERROR(VLOOKUP(D388,Tabela.cadastro[[ID]:[CP ou M]],5,0),"")</f>
        <v/>
      </c>
      <c r="H388" s="177" t="str">
        <f>IFERROR(VLOOKUP(D388,Cadastros!A:F,6,0),"")</f>
        <v/>
      </c>
      <c r="I388" s="177" t="str">
        <f>IFERROR(VLOOKUP(D388,Cadastros!A:I,9,0),"")</f>
        <v/>
      </c>
      <c r="J388" s="177" t="str">
        <f>IFERROR(VLOOKUP(D388,Cadastros!A:J,10,0),"")</f>
        <v/>
      </c>
      <c r="K388" s="177" t="str">
        <f>IF(COUNTIF(Tabela66[id],D388)=0,"",COUNTIF(Tabela66[id],D388))</f>
        <v/>
      </c>
      <c r="L388" s="198"/>
      <c r="M388" s="227" t="str">
        <f t="shared" si="30"/>
        <v/>
      </c>
      <c r="P388" s="176" t="str">
        <f>IFERROR(VLOOKUP(O388,Cadastros!A:B,2),"")</f>
        <v/>
      </c>
      <c r="Q388" s="177" t="str">
        <f t="shared" si="26"/>
        <v/>
      </c>
      <c r="R388" s="177" t="str">
        <f>IFERROR(VLOOKUP(O388,Cadastros!A:E,5,0),"")</f>
        <v/>
      </c>
      <c r="S388" s="177" t="str">
        <f>IFERROR(VLOOKUP(O388,Cadastros!A:F,6,0),"")</f>
        <v/>
      </c>
      <c r="T388" s="177" t="str">
        <f>IFERROR(VLOOKUP(O388,Cadastros!A:I,9,0),"")</f>
        <v/>
      </c>
      <c r="U388" s="177" t="str">
        <f t="shared" si="27"/>
        <v/>
      </c>
      <c r="V388" s="177" t="str">
        <f t="shared" si="28"/>
        <v/>
      </c>
      <c r="W388" s="177" t="str">
        <f t="shared" si="29"/>
        <v/>
      </c>
      <c r="Y388" s="240" t="e">
        <f t="array" ref="Y388">INDEX(Tabela.abordagens[],SMALL(IF(Tabela.abordagens[Mês]=$L$2,ROW(Tabela.abordagens[id])-2),ROW(A341)),1)</f>
        <v>#NUM!</v>
      </c>
      <c r="Z388" s="240" t="e">
        <f t="array" ref="Z388">INDEX(Tabela.abordagens[],SMALL(IF(Tabela.abordagens[Mês]=$L$2,ROW(Tabela.abordagens[Idade])-2),ROW(A341)),6)</f>
        <v>#NUM!</v>
      </c>
      <c r="AA388" s="240" t="e">
        <f t="array" ref="AA388">INDEX(Tabela.abordagens[],SMALL(IF(Tabela.abordagens[Mês]=$L$2,ROW(Tabela.abordagens[Idade])-2),ROW(A341)),4)</f>
        <v>#NUM!</v>
      </c>
      <c r="AB388" s="240" t="e">
        <f t="array" ref="AB388">INDEX(Tabela.abordagens[],SMALL(IF(Tabela.abordagens[Mês]=$L$2,ROW(Tabela.abordagens[Idade])-2),ROW(A341)),5)</f>
        <v>#NUM!</v>
      </c>
    </row>
    <row r="389" spans="2:28" ht="15" x14ac:dyDescent="0.25">
      <c r="B389" s="223" t="e">
        <f t="array" ref="B389">INDEX(Tabela.frequencia[],SMALL(IF(Tabela.frequencia[Mês]=$L$2,ROW(Tabela.frequencia[id])-1),ROW(A342)),1)</f>
        <v>#NUM!</v>
      </c>
      <c r="C389" s="229" t="e">
        <f t="array" ref="C389">INDEX(Tabela.frequencia[],SMALL(IF(Tabela.frequencia[Mês]=$L$2,ROW(Tabela.frequencia[id])-1),ROW(A342)),4)</f>
        <v>#NUM!</v>
      </c>
      <c r="E389" s="176" t="str">
        <f>IFERROR(VLOOKUP(D389,Tabela.cadastro[[ID]:[Nome]],2,0),"")</f>
        <v/>
      </c>
      <c r="F389" s="177" t="str">
        <f>IFERROR(VLOOKUP(D389,Tabela66[#All],2,0),"")</f>
        <v/>
      </c>
      <c r="G389" s="177" t="str">
        <f>IFERROR(VLOOKUP(D389,Tabela.cadastro[[ID]:[CP ou M]],5,0),"")</f>
        <v/>
      </c>
      <c r="H389" s="177" t="str">
        <f>IFERROR(VLOOKUP(D389,Cadastros!A:F,6,0),"")</f>
        <v/>
      </c>
      <c r="I389" s="177" t="str">
        <f>IFERROR(VLOOKUP(D389,Cadastros!A:I,9,0),"")</f>
        <v/>
      </c>
      <c r="J389" s="177" t="str">
        <f>IFERROR(VLOOKUP(D389,Cadastros!A:J,10,0),"")</f>
        <v/>
      </c>
      <c r="K389" s="177" t="str">
        <f>IF(COUNTIF(Tabela66[id],D389)=0,"",COUNTIF(Tabela66[id],D389))</f>
        <v/>
      </c>
      <c r="L389" s="198"/>
      <c r="M389" s="227" t="str">
        <f t="shared" si="30"/>
        <v/>
      </c>
      <c r="P389" s="176" t="str">
        <f>IFERROR(VLOOKUP(O389,Cadastros!A:B,2),"")</f>
        <v/>
      </c>
      <c r="Q389" s="177" t="str">
        <f t="shared" si="26"/>
        <v/>
      </c>
      <c r="R389" s="177" t="str">
        <f>IFERROR(VLOOKUP(O389,Cadastros!A:E,5,0),"")</f>
        <v/>
      </c>
      <c r="S389" s="177" t="str">
        <f>IFERROR(VLOOKUP(O389,Cadastros!A:F,6,0),"")</f>
        <v/>
      </c>
      <c r="T389" s="177" t="str">
        <f>IFERROR(VLOOKUP(O389,Cadastros!A:I,9,0),"")</f>
        <v/>
      </c>
      <c r="U389" s="177" t="str">
        <f t="shared" si="27"/>
        <v/>
      </c>
      <c r="V389" s="177" t="str">
        <f t="shared" si="28"/>
        <v/>
      </c>
      <c r="W389" s="177" t="str">
        <f t="shared" si="29"/>
        <v/>
      </c>
      <c r="Y389" s="240" t="e">
        <f t="array" ref="Y389">INDEX(Tabela.abordagens[],SMALL(IF(Tabela.abordagens[Mês]=$L$2,ROW(Tabela.abordagens[id])-2),ROW(A342)),1)</f>
        <v>#NUM!</v>
      </c>
      <c r="Z389" s="240" t="e">
        <f t="array" ref="Z389">INDEX(Tabela.abordagens[],SMALL(IF(Tabela.abordagens[Mês]=$L$2,ROW(Tabela.abordagens[Idade])-2),ROW(A342)),6)</f>
        <v>#NUM!</v>
      </c>
      <c r="AA389" s="240" t="e">
        <f t="array" ref="AA389">INDEX(Tabela.abordagens[],SMALL(IF(Tabela.abordagens[Mês]=$L$2,ROW(Tabela.abordagens[Idade])-2),ROW(A342)),4)</f>
        <v>#NUM!</v>
      </c>
      <c r="AB389" s="240" t="e">
        <f t="array" ref="AB389">INDEX(Tabela.abordagens[],SMALL(IF(Tabela.abordagens[Mês]=$L$2,ROW(Tabela.abordagens[Idade])-2),ROW(A342)),5)</f>
        <v>#NUM!</v>
      </c>
    </row>
    <row r="390" spans="2:28" ht="15" x14ac:dyDescent="0.25">
      <c r="B390" s="223" t="e">
        <f t="array" ref="B390">INDEX(Tabela.frequencia[],SMALL(IF(Tabela.frequencia[Mês]=$L$2,ROW(Tabela.frequencia[id])-1),ROW(A343)),1)</f>
        <v>#NUM!</v>
      </c>
      <c r="C390" s="229" t="e">
        <f t="array" ref="C390">INDEX(Tabela.frequencia[],SMALL(IF(Tabela.frequencia[Mês]=$L$2,ROW(Tabela.frequencia[id])-1),ROW(A343)),4)</f>
        <v>#NUM!</v>
      </c>
      <c r="E390" s="176" t="str">
        <f>IFERROR(VLOOKUP(D390,Tabela.cadastro[[ID]:[Nome]],2,0),"")</f>
        <v/>
      </c>
      <c r="F390" s="177" t="str">
        <f>IFERROR(VLOOKUP(D390,Tabela66[#All],2,0),"")</f>
        <v/>
      </c>
      <c r="G390" s="177" t="str">
        <f>IFERROR(VLOOKUP(D390,Tabela.cadastro[[ID]:[CP ou M]],5,0),"")</f>
        <v/>
      </c>
      <c r="H390" s="177" t="str">
        <f>IFERROR(VLOOKUP(D390,Cadastros!A:F,6,0),"")</f>
        <v/>
      </c>
      <c r="I390" s="177" t="str">
        <f>IFERROR(VLOOKUP(D390,Cadastros!A:I,9,0),"")</f>
        <v/>
      </c>
      <c r="J390" s="177" t="str">
        <f>IFERROR(VLOOKUP(D390,Cadastros!A:J,10,0),"")</f>
        <v/>
      </c>
      <c r="K390" s="177" t="str">
        <f>IF(COUNTIF(Tabela66[id],D390)=0,"",COUNTIF(Tabela66[id],D390))</f>
        <v/>
      </c>
      <c r="L390" s="198"/>
      <c r="M390" s="227" t="str">
        <f t="shared" si="30"/>
        <v/>
      </c>
      <c r="P390" s="176" t="str">
        <f>IFERROR(VLOOKUP(O390,Cadastros!A:B,2),"")</f>
        <v/>
      </c>
      <c r="Q390" s="177" t="str">
        <f t="shared" si="26"/>
        <v/>
      </c>
      <c r="R390" s="177" t="str">
        <f>IFERROR(VLOOKUP(O390,Cadastros!A:E,5,0),"")</f>
        <v/>
      </c>
      <c r="S390" s="177" t="str">
        <f>IFERROR(VLOOKUP(O390,Cadastros!A:F,6,0),"")</f>
        <v/>
      </c>
      <c r="T390" s="177" t="str">
        <f>IFERROR(VLOOKUP(O390,Cadastros!A:I,9,0),"")</f>
        <v/>
      </c>
      <c r="U390" s="177" t="str">
        <f t="shared" si="27"/>
        <v/>
      </c>
      <c r="V390" s="177" t="str">
        <f t="shared" si="28"/>
        <v/>
      </c>
      <c r="W390" s="177" t="str">
        <f t="shared" si="29"/>
        <v/>
      </c>
      <c r="Y390" s="240" t="e">
        <f t="array" ref="Y390">INDEX(Tabela.abordagens[],SMALL(IF(Tabela.abordagens[Mês]=$L$2,ROW(Tabela.abordagens[id])-2),ROW(A343)),1)</f>
        <v>#NUM!</v>
      </c>
      <c r="Z390" s="240" t="e">
        <f t="array" ref="Z390">INDEX(Tabela.abordagens[],SMALL(IF(Tabela.abordagens[Mês]=$L$2,ROW(Tabela.abordagens[Idade])-2),ROW(A343)),6)</f>
        <v>#NUM!</v>
      </c>
      <c r="AA390" s="240" t="e">
        <f t="array" ref="AA390">INDEX(Tabela.abordagens[],SMALL(IF(Tabela.abordagens[Mês]=$L$2,ROW(Tabela.abordagens[Idade])-2),ROW(A343)),4)</f>
        <v>#NUM!</v>
      </c>
      <c r="AB390" s="240" t="e">
        <f t="array" ref="AB390">INDEX(Tabela.abordagens[],SMALL(IF(Tabela.abordagens[Mês]=$L$2,ROW(Tabela.abordagens[Idade])-2),ROW(A343)),5)</f>
        <v>#NUM!</v>
      </c>
    </row>
    <row r="391" spans="2:28" ht="15" x14ac:dyDescent="0.25">
      <c r="B391" s="223" t="e">
        <f t="array" ref="B391">INDEX(Tabela.frequencia[],SMALL(IF(Tabela.frequencia[Mês]=$L$2,ROW(Tabela.frequencia[id])-1),ROW(A344)),1)</f>
        <v>#NUM!</v>
      </c>
      <c r="C391" s="229" t="e">
        <f t="array" ref="C391">INDEX(Tabela.frequencia[],SMALL(IF(Tabela.frequencia[Mês]=$L$2,ROW(Tabela.frequencia[id])-1),ROW(A344)),4)</f>
        <v>#NUM!</v>
      </c>
      <c r="E391" s="176" t="str">
        <f>IFERROR(VLOOKUP(D391,Tabela.cadastro[[ID]:[Nome]],2,0),"")</f>
        <v/>
      </c>
      <c r="F391" s="177" t="str">
        <f>IFERROR(VLOOKUP(D391,Tabela66[#All],2,0),"")</f>
        <v/>
      </c>
      <c r="G391" s="177" t="str">
        <f>IFERROR(VLOOKUP(D391,Tabela.cadastro[[ID]:[CP ou M]],5,0),"")</f>
        <v/>
      </c>
      <c r="H391" s="177" t="str">
        <f>IFERROR(VLOOKUP(D391,Cadastros!A:F,6,0),"")</f>
        <v/>
      </c>
      <c r="I391" s="177" t="str">
        <f>IFERROR(VLOOKUP(D391,Cadastros!A:I,9,0),"")</f>
        <v/>
      </c>
      <c r="J391" s="177" t="str">
        <f>IFERROR(VLOOKUP(D391,Cadastros!A:J,10,0),"")</f>
        <v/>
      </c>
      <c r="K391" s="177" t="str">
        <f>IF(COUNTIF(Tabela66[id],D391)=0,"",COUNTIF(Tabela66[id],D391))</f>
        <v/>
      </c>
      <c r="L391" s="198"/>
      <c r="M391" s="227" t="str">
        <f t="shared" si="30"/>
        <v/>
      </c>
      <c r="P391" s="176" t="str">
        <f>IFERROR(VLOOKUP(O391,Cadastros!A:B,2),"")</f>
        <v/>
      </c>
      <c r="Q391" s="177" t="str">
        <f t="shared" si="26"/>
        <v/>
      </c>
      <c r="R391" s="177" t="str">
        <f>IFERROR(VLOOKUP(O391,Cadastros!A:E,5,0),"")</f>
        <v/>
      </c>
      <c r="S391" s="177" t="str">
        <f>IFERROR(VLOOKUP(O391,Cadastros!A:F,6,0),"")</f>
        <v/>
      </c>
      <c r="T391" s="177" t="str">
        <f>IFERROR(VLOOKUP(O391,Cadastros!A:I,9,0),"")</f>
        <v/>
      </c>
      <c r="U391" s="177" t="str">
        <f t="shared" si="27"/>
        <v/>
      </c>
      <c r="V391" s="177" t="str">
        <f t="shared" si="28"/>
        <v/>
      </c>
      <c r="W391" s="177" t="str">
        <f t="shared" si="29"/>
        <v/>
      </c>
      <c r="Y391" s="240" t="e">
        <f t="array" ref="Y391">INDEX(Tabela.abordagens[],SMALL(IF(Tabela.abordagens[Mês]=$L$2,ROW(Tabela.abordagens[id])-2),ROW(A344)),1)</f>
        <v>#NUM!</v>
      </c>
      <c r="Z391" s="240" t="e">
        <f t="array" ref="Z391">INDEX(Tabela.abordagens[],SMALL(IF(Tabela.abordagens[Mês]=$L$2,ROW(Tabela.abordagens[Idade])-2),ROW(A344)),6)</f>
        <v>#NUM!</v>
      </c>
      <c r="AA391" s="240" t="e">
        <f t="array" ref="AA391">INDEX(Tabela.abordagens[],SMALL(IF(Tabela.abordagens[Mês]=$L$2,ROW(Tabela.abordagens[Idade])-2),ROW(A344)),4)</f>
        <v>#NUM!</v>
      </c>
      <c r="AB391" s="240" t="e">
        <f t="array" ref="AB391">INDEX(Tabela.abordagens[],SMALL(IF(Tabela.abordagens[Mês]=$L$2,ROW(Tabela.abordagens[Idade])-2),ROW(A344)),5)</f>
        <v>#NUM!</v>
      </c>
    </row>
    <row r="392" spans="2:28" ht="15" x14ac:dyDescent="0.25">
      <c r="B392" s="223" t="e">
        <f t="array" ref="B392">INDEX(Tabela.frequencia[],SMALL(IF(Tabela.frequencia[Mês]=$L$2,ROW(Tabela.frequencia[id])-1),ROW(A345)),1)</f>
        <v>#NUM!</v>
      </c>
      <c r="C392" s="229" t="e">
        <f t="array" ref="C392">INDEX(Tabela.frequencia[],SMALL(IF(Tabela.frequencia[Mês]=$L$2,ROW(Tabela.frequencia[id])-1),ROW(A345)),4)</f>
        <v>#NUM!</v>
      </c>
      <c r="E392" s="176" t="str">
        <f>IFERROR(VLOOKUP(D392,Tabela.cadastro[[ID]:[Nome]],2,0),"")</f>
        <v/>
      </c>
      <c r="F392" s="177" t="str">
        <f>IFERROR(VLOOKUP(D392,Tabela66[#All],2,0),"")</f>
        <v/>
      </c>
      <c r="G392" s="177" t="str">
        <f>IFERROR(VLOOKUP(D392,Tabela.cadastro[[ID]:[CP ou M]],5,0),"")</f>
        <v/>
      </c>
      <c r="H392" s="177" t="str">
        <f>IFERROR(VLOOKUP(D392,Cadastros!A:F,6,0),"")</f>
        <v/>
      </c>
      <c r="I392" s="177" t="str">
        <f>IFERROR(VLOOKUP(D392,Cadastros!A:I,9,0),"")</f>
        <v/>
      </c>
      <c r="J392" s="177" t="str">
        <f>IFERROR(VLOOKUP(D392,Cadastros!A:J,10,0),"")</f>
        <v/>
      </c>
      <c r="K392" s="177" t="str">
        <f>IF(COUNTIF(Tabela66[id],D392)=0,"",COUNTIF(Tabela66[id],D392))</f>
        <v/>
      </c>
      <c r="L392" s="198"/>
      <c r="M392" s="227" t="str">
        <f t="shared" si="30"/>
        <v/>
      </c>
      <c r="P392" s="176" t="str">
        <f>IFERROR(VLOOKUP(O392,Cadastros!A:B,2),"")</f>
        <v/>
      </c>
      <c r="Q392" s="177" t="str">
        <f t="shared" si="26"/>
        <v/>
      </c>
      <c r="R392" s="177" t="str">
        <f>IFERROR(VLOOKUP(O392,Cadastros!A:E,5,0),"")</f>
        <v/>
      </c>
      <c r="S392" s="177" t="str">
        <f>IFERROR(VLOOKUP(O392,Cadastros!A:F,6,0),"")</f>
        <v/>
      </c>
      <c r="T392" s="177" t="str">
        <f>IFERROR(VLOOKUP(O392,Cadastros!A:I,9,0),"")</f>
        <v/>
      </c>
      <c r="U392" s="177" t="str">
        <f t="shared" si="27"/>
        <v/>
      </c>
      <c r="V392" s="177" t="str">
        <f t="shared" si="28"/>
        <v/>
      </c>
      <c r="W392" s="177" t="str">
        <f t="shared" si="29"/>
        <v/>
      </c>
      <c r="Y392" s="240" t="e">
        <f t="array" ref="Y392">INDEX(Tabela.abordagens[],SMALL(IF(Tabela.abordagens[Mês]=$L$2,ROW(Tabela.abordagens[id])-2),ROW(A345)),1)</f>
        <v>#NUM!</v>
      </c>
      <c r="Z392" s="240" t="e">
        <f t="array" ref="Z392">INDEX(Tabela.abordagens[],SMALL(IF(Tabela.abordagens[Mês]=$L$2,ROW(Tabela.abordagens[Idade])-2),ROW(A345)),6)</f>
        <v>#NUM!</v>
      </c>
      <c r="AA392" s="240" t="e">
        <f t="array" ref="AA392">INDEX(Tabela.abordagens[],SMALL(IF(Tabela.abordagens[Mês]=$L$2,ROW(Tabela.abordagens[Idade])-2),ROW(A345)),4)</f>
        <v>#NUM!</v>
      </c>
      <c r="AB392" s="240" t="e">
        <f t="array" ref="AB392">INDEX(Tabela.abordagens[],SMALL(IF(Tabela.abordagens[Mês]=$L$2,ROW(Tabela.abordagens[Idade])-2),ROW(A345)),5)</f>
        <v>#NUM!</v>
      </c>
    </row>
    <row r="393" spans="2:28" ht="15" x14ac:dyDescent="0.25">
      <c r="B393" s="223" t="e">
        <f t="array" ref="B393">INDEX(Tabela.frequencia[],SMALL(IF(Tabela.frequencia[Mês]=$L$2,ROW(Tabela.frequencia[id])-1),ROW(A346)),1)</f>
        <v>#NUM!</v>
      </c>
      <c r="C393" s="229" t="e">
        <f t="array" ref="C393">INDEX(Tabela.frequencia[],SMALL(IF(Tabela.frequencia[Mês]=$L$2,ROW(Tabela.frequencia[id])-1),ROW(A346)),4)</f>
        <v>#NUM!</v>
      </c>
      <c r="E393" s="176" t="str">
        <f>IFERROR(VLOOKUP(D393,Tabela.cadastro[[ID]:[Nome]],2,0),"")</f>
        <v/>
      </c>
      <c r="F393" s="177" t="str">
        <f>IFERROR(VLOOKUP(D393,Tabela66[#All],2,0),"")</f>
        <v/>
      </c>
      <c r="G393" s="177" t="str">
        <f>IFERROR(VLOOKUP(D393,Tabela.cadastro[[ID]:[CP ou M]],5,0),"")</f>
        <v/>
      </c>
      <c r="H393" s="177" t="str">
        <f>IFERROR(VLOOKUP(D393,Cadastros!A:F,6,0),"")</f>
        <v/>
      </c>
      <c r="I393" s="177" t="str">
        <f>IFERROR(VLOOKUP(D393,Cadastros!A:I,9,0),"")</f>
        <v/>
      </c>
      <c r="J393" s="177" t="str">
        <f>IFERROR(VLOOKUP(D393,Cadastros!A:J,10,0),"")</f>
        <v/>
      </c>
      <c r="K393" s="177" t="str">
        <f>IF(COUNTIF(Tabela66[id],D393)=0,"",COUNTIF(Tabela66[id],D393))</f>
        <v/>
      </c>
      <c r="L393" s="198"/>
      <c r="M393" s="227" t="str">
        <f t="shared" si="30"/>
        <v/>
      </c>
      <c r="P393" s="176" t="str">
        <f>IFERROR(VLOOKUP(O393,Cadastros!A:B,2),"")</f>
        <v/>
      </c>
      <c r="Q393" s="177" t="str">
        <f t="shared" si="26"/>
        <v/>
      </c>
      <c r="R393" s="177" t="str">
        <f>IFERROR(VLOOKUP(O393,Cadastros!A:E,5,0),"")</f>
        <v/>
      </c>
      <c r="S393" s="177" t="str">
        <f>IFERROR(VLOOKUP(O393,Cadastros!A:F,6,0),"")</f>
        <v/>
      </c>
      <c r="T393" s="177" t="str">
        <f>IFERROR(VLOOKUP(O393,Cadastros!A:I,9,0),"")</f>
        <v/>
      </c>
      <c r="U393" s="177" t="str">
        <f t="shared" si="27"/>
        <v/>
      </c>
      <c r="V393" s="177" t="str">
        <f t="shared" si="28"/>
        <v/>
      </c>
      <c r="W393" s="177" t="str">
        <f t="shared" si="29"/>
        <v/>
      </c>
      <c r="Y393" s="240" t="e">
        <f t="array" ref="Y393">INDEX(Tabela.abordagens[],SMALL(IF(Tabela.abordagens[Mês]=$L$2,ROW(Tabela.abordagens[id])-2),ROW(A346)),1)</f>
        <v>#NUM!</v>
      </c>
      <c r="Z393" s="240" t="e">
        <f t="array" ref="Z393">INDEX(Tabela.abordagens[],SMALL(IF(Tabela.abordagens[Mês]=$L$2,ROW(Tabela.abordagens[Idade])-2),ROW(A346)),6)</f>
        <v>#NUM!</v>
      </c>
      <c r="AA393" s="240" t="e">
        <f t="array" ref="AA393">INDEX(Tabela.abordagens[],SMALL(IF(Tabela.abordagens[Mês]=$L$2,ROW(Tabela.abordagens[Idade])-2),ROW(A346)),4)</f>
        <v>#NUM!</v>
      </c>
      <c r="AB393" s="240" t="e">
        <f t="array" ref="AB393">INDEX(Tabela.abordagens[],SMALL(IF(Tabela.abordagens[Mês]=$L$2,ROW(Tabela.abordagens[Idade])-2),ROW(A346)),5)</f>
        <v>#NUM!</v>
      </c>
    </row>
    <row r="394" spans="2:28" ht="15" x14ac:dyDescent="0.25">
      <c r="B394" s="223" t="e">
        <f t="array" ref="B394">INDEX(Tabela.frequencia[],SMALL(IF(Tabela.frequencia[Mês]=$L$2,ROW(Tabela.frequencia[id])-1),ROW(A347)),1)</f>
        <v>#NUM!</v>
      </c>
      <c r="C394" s="229" t="e">
        <f t="array" ref="C394">INDEX(Tabela.frequencia[],SMALL(IF(Tabela.frequencia[Mês]=$L$2,ROW(Tabela.frequencia[id])-1),ROW(A347)),4)</f>
        <v>#NUM!</v>
      </c>
      <c r="E394" s="176" t="str">
        <f>IFERROR(VLOOKUP(D394,Tabela.cadastro[[ID]:[Nome]],2,0),"")</f>
        <v/>
      </c>
      <c r="F394" s="177" t="str">
        <f>IFERROR(VLOOKUP(D394,Tabela66[#All],2,0),"")</f>
        <v/>
      </c>
      <c r="G394" s="177" t="str">
        <f>IFERROR(VLOOKUP(D394,Tabela.cadastro[[ID]:[CP ou M]],5,0),"")</f>
        <v/>
      </c>
      <c r="H394" s="177" t="str">
        <f>IFERROR(VLOOKUP(D394,Cadastros!A:F,6,0),"")</f>
        <v/>
      </c>
      <c r="I394" s="177" t="str">
        <f>IFERROR(VLOOKUP(D394,Cadastros!A:I,9,0),"")</f>
        <v/>
      </c>
      <c r="J394" s="177" t="str">
        <f>IFERROR(VLOOKUP(D394,Cadastros!A:J,10,0),"")</f>
        <v/>
      </c>
      <c r="K394" s="177" t="str">
        <f>IF(COUNTIF(Tabela66[id],D394)=0,"",COUNTIF(Tabela66[id],D394))</f>
        <v/>
      </c>
      <c r="L394" s="198"/>
      <c r="M394" s="227" t="str">
        <f t="shared" si="30"/>
        <v/>
      </c>
      <c r="P394" s="176" t="str">
        <f>IFERROR(VLOOKUP(O394,Cadastros!A:B,2),"")</f>
        <v/>
      </c>
      <c r="Q394" s="177" t="str">
        <f t="shared" si="26"/>
        <v/>
      </c>
      <c r="R394" s="177" t="str">
        <f>IFERROR(VLOOKUP(O394,Cadastros!A:E,5,0),"")</f>
        <v/>
      </c>
      <c r="S394" s="177" t="str">
        <f>IFERROR(VLOOKUP(O394,Cadastros!A:F,6,0),"")</f>
        <v/>
      </c>
      <c r="T394" s="177" t="str">
        <f>IFERROR(VLOOKUP(O394,Cadastros!A:I,9,0),"")</f>
        <v/>
      </c>
      <c r="U394" s="177" t="str">
        <f t="shared" si="27"/>
        <v/>
      </c>
      <c r="V394" s="177" t="str">
        <f t="shared" si="28"/>
        <v/>
      </c>
      <c r="W394" s="177" t="str">
        <f t="shared" si="29"/>
        <v/>
      </c>
      <c r="Y394" s="240" t="e">
        <f t="array" ref="Y394">INDEX(Tabela.abordagens[],SMALL(IF(Tabela.abordagens[Mês]=$L$2,ROW(Tabela.abordagens[id])-2),ROW(A347)),1)</f>
        <v>#NUM!</v>
      </c>
      <c r="Z394" s="240" t="e">
        <f t="array" ref="Z394">INDEX(Tabela.abordagens[],SMALL(IF(Tabela.abordagens[Mês]=$L$2,ROW(Tabela.abordagens[Idade])-2),ROW(A347)),6)</f>
        <v>#NUM!</v>
      </c>
      <c r="AA394" s="240" t="e">
        <f t="array" ref="AA394">INDEX(Tabela.abordagens[],SMALL(IF(Tabela.abordagens[Mês]=$L$2,ROW(Tabela.abordagens[Idade])-2),ROW(A347)),4)</f>
        <v>#NUM!</v>
      </c>
      <c r="AB394" s="240" t="e">
        <f t="array" ref="AB394">INDEX(Tabela.abordagens[],SMALL(IF(Tabela.abordagens[Mês]=$L$2,ROW(Tabela.abordagens[Idade])-2),ROW(A347)),5)</f>
        <v>#NUM!</v>
      </c>
    </row>
    <row r="395" spans="2:28" ht="15" x14ac:dyDescent="0.25">
      <c r="B395" s="223" t="e">
        <f t="array" ref="B395">INDEX(Tabela.frequencia[],SMALL(IF(Tabela.frequencia[Mês]=$L$2,ROW(Tabela.frequencia[id])-1),ROW(A348)),1)</f>
        <v>#NUM!</v>
      </c>
      <c r="C395" s="229" t="e">
        <f t="array" ref="C395">INDEX(Tabela.frequencia[],SMALL(IF(Tabela.frequencia[Mês]=$L$2,ROW(Tabela.frequencia[id])-1),ROW(A348)),4)</f>
        <v>#NUM!</v>
      </c>
      <c r="E395" s="176" t="str">
        <f>IFERROR(VLOOKUP(D395,Tabela.cadastro[[ID]:[Nome]],2,0),"")</f>
        <v/>
      </c>
      <c r="F395" s="177" t="str">
        <f>IFERROR(VLOOKUP(D395,Tabela66[#All],2,0),"")</f>
        <v/>
      </c>
      <c r="G395" s="177" t="str">
        <f>IFERROR(VLOOKUP(D395,Tabela.cadastro[[ID]:[CP ou M]],5,0),"")</f>
        <v/>
      </c>
      <c r="H395" s="177" t="str">
        <f>IFERROR(VLOOKUP(D395,Cadastros!A:F,6,0),"")</f>
        <v/>
      </c>
      <c r="I395" s="177" t="str">
        <f>IFERROR(VLOOKUP(D395,Cadastros!A:I,9,0),"")</f>
        <v/>
      </c>
      <c r="J395" s="177" t="str">
        <f>IFERROR(VLOOKUP(D395,Cadastros!A:J,10,0),"")</f>
        <v/>
      </c>
      <c r="K395" s="177" t="str">
        <f>IF(COUNTIF(Tabela66[id],D395)=0,"",COUNTIF(Tabela66[id],D395))</f>
        <v/>
      </c>
      <c r="L395" s="198"/>
      <c r="M395" s="227" t="str">
        <f t="shared" si="30"/>
        <v/>
      </c>
      <c r="P395" s="176" t="str">
        <f>IFERROR(VLOOKUP(O395,Cadastros!A:B,2),"")</f>
        <v/>
      </c>
      <c r="Q395" s="177" t="str">
        <f t="shared" si="26"/>
        <v/>
      </c>
      <c r="R395" s="177" t="str">
        <f>IFERROR(VLOOKUP(O395,Cadastros!A:E,5,0),"")</f>
        <v/>
      </c>
      <c r="S395" s="177" t="str">
        <f>IFERROR(VLOOKUP(O395,Cadastros!A:F,6,0),"")</f>
        <v/>
      </c>
      <c r="T395" s="177" t="str">
        <f>IFERROR(VLOOKUP(O395,Cadastros!A:I,9,0),"")</f>
        <v/>
      </c>
      <c r="U395" s="177" t="str">
        <f t="shared" si="27"/>
        <v/>
      </c>
      <c r="V395" s="177" t="str">
        <f t="shared" si="28"/>
        <v/>
      </c>
      <c r="W395" s="177" t="str">
        <f t="shared" si="29"/>
        <v/>
      </c>
      <c r="Y395" s="240" t="e">
        <f t="array" ref="Y395">INDEX(Tabela.abordagens[],SMALL(IF(Tabela.abordagens[Mês]=$L$2,ROW(Tabela.abordagens[id])-2),ROW(A348)),1)</f>
        <v>#NUM!</v>
      </c>
      <c r="Z395" s="240" t="e">
        <f t="array" ref="Z395">INDEX(Tabela.abordagens[],SMALL(IF(Tabela.abordagens[Mês]=$L$2,ROW(Tabela.abordagens[Idade])-2),ROW(A348)),6)</f>
        <v>#NUM!</v>
      </c>
      <c r="AA395" s="240" t="e">
        <f t="array" ref="AA395">INDEX(Tabela.abordagens[],SMALL(IF(Tabela.abordagens[Mês]=$L$2,ROW(Tabela.abordagens[Idade])-2),ROW(A348)),4)</f>
        <v>#NUM!</v>
      </c>
      <c r="AB395" s="240" t="e">
        <f t="array" ref="AB395">INDEX(Tabela.abordagens[],SMALL(IF(Tabela.abordagens[Mês]=$L$2,ROW(Tabela.abordagens[Idade])-2),ROW(A348)),5)</f>
        <v>#NUM!</v>
      </c>
    </row>
    <row r="396" spans="2:28" ht="15" x14ac:dyDescent="0.25">
      <c r="B396" s="223" t="e">
        <f t="array" ref="B396">INDEX(Tabela.frequencia[],SMALL(IF(Tabela.frequencia[Mês]=$L$2,ROW(Tabela.frequencia[id])-1),ROW(A349)),1)</f>
        <v>#NUM!</v>
      </c>
      <c r="C396" s="229" t="e">
        <f t="array" ref="C396">INDEX(Tabela.frequencia[],SMALL(IF(Tabela.frequencia[Mês]=$L$2,ROW(Tabela.frequencia[id])-1),ROW(A349)),4)</f>
        <v>#NUM!</v>
      </c>
      <c r="E396" s="176" t="str">
        <f>IFERROR(VLOOKUP(D396,Tabela.cadastro[[ID]:[Nome]],2,0),"")</f>
        <v/>
      </c>
      <c r="F396" s="177" t="str">
        <f>IFERROR(VLOOKUP(D396,Tabela66[#All],2,0),"")</f>
        <v/>
      </c>
      <c r="G396" s="177" t="str">
        <f>IFERROR(VLOOKUP(D396,Tabela.cadastro[[ID]:[CP ou M]],5,0),"")</f>
        <v/>
      </c>
      <c r="H396" s="177" t="str">
        <f>IFERROR(VLOOKUP(D396,Cadastros!A:F,6,0),"")</f>
        <v/>
      </c>
      <c r="I396" s="177" t="str">
        <f>IFERROR(VLOOKUP(D396,Cadastros!A:I,9,0),"")</f>
        <v/>
      </c>
      <c r="J396" s="177" t="str">
        <f>IFERROR(VLOOKUP(D396,Cadastros!A:J,10,0),"")</f>
        <v/>
      </c>
      <c r="K396" s="177" t="str">
        <f>IF(COUNTIF(Tabela66[id],D396)=0,"",COUNTIF(Tabela66[id],D396))</f>
        <v/>
      </c>
      <c r="L396" s="198"/>
      <c r="M396" s="227" t="str">
        <f t="shared" si="30"/>
        <v/>
      </c>
      <c r="P396" s="176" t="str">
        <f>IFERROR(VLOOKUP(O396,Cadastros!A:B,2),"")</f>
        <v/>
      </c>
      <c r="Q396" s="177" t="str">
        <f t="shared" si="26"/>
        <v/>
      </c>
      <c r="R396" s="177" t="str">
        <f>IFERROR(VLOOKUP(O396,Cadastros!A:E,5,0),"")</f>
        <v/>
      </c>
      <c r="S396" s="177" t="str">
        <f>IFERROR(VLOOKUP(O396,Cadastros!A:F,6,0),"")</f>
        <v/>
      </c>
      <c r="T396" s="177" t="str">
        <f>IFERROR(VLOOKUP(O396,Cadastros!A:I,9,0),"")</f>
        <v/>
      </c>
      <c r="U396" s="177" t="str">
        <f t="shared" si="27"/>
        <v/>
      </c>
      <c r="V396" s="177" t="str">
        <f t="shared" si="28"/>
        <v/>
      </c>
      <c r="W396" s="177" t="str">
        <f t="shared" si="29"/>
        <v/>
      </c>
      <c r="Y396" s="240" t="e">
        <f t="array" ref="Y396">INDEX(Tabela.abordagens[],SMALL(IF(Tabela.abordagens[Mês]=$L$2,ROW(Tabela.abordagens[id])-2),ROW(A349)),1)</f>
        <v>#NUM!</v>
      </c>
      <c r="Z396" s="240" t="e">
        <f t="array" ref="Z396">INDEX(Tabela.abordagens[],SMALL(IF(Tabela.abordagens[Mês]=$L$2,ROW(Tabela.abordagens[Idade])-2),ROW(A349)),6)</f>
        <v>#NUM!</v>
      </c>
      <c r="AA396" s="240" t="e">
        <f t="array" ref="AA396">INDEX(Tabela.abordagens[],SMALL(IF(Tabela.abordagens[Mês]=$L$2,ROW(Tabela.abordagens[Idade])-2),ROW(A349)),4)</f>
        <v>#NUM!</v>
      </c>
      <c r="AB396" s="240" t="e">
        <f t="array" ref="AB396">INDEX(Tabela.abordagens[],SMALL(IF(Tabela.abordagens[Mês]=$L$2,ROW(Tabela.abordagens[Idade])-2),ROW(A349)),5)</f>
        <v>#NUM!</v>
      </c>
    </row>
    <row r="397" spans="2:28" ht="15" x14ac:dyDescent="0.25">
      <c r="B397" s="223" t="e">
        <f t="array" ref="B397">INDEX(Tabela.frequencia[],SMALL(IF(Tabela.frequencia[Mês]=$L$2,ROW(Tabela.frequencia[id])-1),ROW(A350)),1)</f>
        <v>#NUM!</v>
      </c>
      <c r="C397" s="229" t="e">
        <f t="array" ref="C397">INDEX(Tabela.frequencia[],SMALL(IF(Tabela.frequencia[Mês]=$L$2,ROW(Tabela.frequencia[id])-1),ROW(A350)),4)</f>
        <v>#NUM!</v>
      </c>
      <c r="E397" s="176" t="str">
        <f>IFERROR(VLOOKUP(D397,Tabela.cadastro[[ID]:[Nome]],2,0),"")</f>
        <v/>
      </c>
      <c r="F397" s="177" t="str">
        <f>IFERROR(VLOOKUP(D397,Tabela66[#All],2,0),"")</f>
        <v/>
      </c>
      <c r="G397" s="177" t="str">
        <f>IFERROR(VLOOKUP(D397,Tabela.cadastro[[ID]:[CP ou M]],5,0),"")</f>
        <v/>
      </c>
      <c r="H397" s="177" t="str">
        <f>IFERROR(VLOOKUP(D397,Cadastros!A:F,6,0),"")</f>
        <v/>
      </c>
      <c r="I397" s="177" t="str">
        <f>IFERROR(VLOOKUP(D397,Cadastros!A:I,9,0),"")</f>
        <v/>
      </c>
      <c r="J397" s="177" t="str">
        <f>IFERROR(VLOOKUP(D397,Cadastros!A:J,10,0),"")</f>
        <v/>
      </c>
      <c r="K397" s="177" t="str">
        <f>IF(COUNTIF(Tabela66[id],D397)=0,"",COUNTIF(Tabela66[id],D397))</f>
        <v/>
      </c>
      <c r="L397" s="198"/>
      <c r="M397" s="227" t="str">
        <f t="shared" si="30"/>
        <v/>
      </c>
      <c r="P397" s="176" t="str">
        <f>IFERROR(VLOOKUP(O397,Cadastros!A:B,2),"")</f>
        <v/>
      </c>
      <c r="Q397" s="177" t="str">
        <f t="shared" si="26"/>
        <v/>
      </c>
      <c r="R397" s="177" t="str">
        <f>IFERROR(VLOOKUP(O397,Cadastros!A:E,5,0),"")</f>
        <v/>
      </c>
      <c r="S397" s="177" t="str">
        <f>IFERROR(VLOOKUP(O397,Cadastros!A:F,6,0),"")</f>
        <v/>
      </c>
      <c r="T397" s="177" t="str">
        <f>IFERROR(VLOOKUP(O397,Cadastros!A:I,9,0),"")</f>
        <v/>
      </c>
      <c r="U397" s="177" t="str">
        <f t="shared" si="27"/>
        <v/>
      </c>
      <c r="V397" s="177" t="str">
        <f t="shared" si="28"/>
        <v/>
      </c>
      <c r="W397" s="177" t="str">
        <f t="shared" si="29"/>
        <v/>
      </c>
      <c r="Y397" s="240" t="e">
        <f t="array" ref="Y397">INDEX(Tabela.abordagens[],SMALL(IF(Tabela.abordagens[Mês]=$L$2,ROW(Tabela.abordagens[id])-2),ROW(A350)),1)</f>
        <v>#NUM!</v>
      </c>
      <c r="Z397" s="240" t="e">
        <f t="array" ref="Z397">INDEX(Tabela.abordagens[],SMALL(IF(Tabela.abordagens[Mês]=$L$2,ROW(Tabela.abordagens[Idade])-2),ROW(A350)),6)</f>
        <v>#NUM!</v>
      </c>
      <c r="AA397" s="240" t="e">
        <f t="array" ref="AA397">INDEX(Tabela.abordagens[],SMALL(IF(Tabela.abordagens[Mês]=$L$2,ROW(Tabela.abordagens[Idade])-2),ROW(A350)),4)</f>
        <v>#NUM!</v>
      </c>
      <c r="AB397" s="240" t="e">
        <f t="array" ref="AB397">INDEX(Tabela.abordagens[],SMALL(IF(Tabela.abordagens[Mês]=$L$2,ROW(Tabela.abordagens[Idade])-2),ROW(A350)),5)</f>
        <v>#NUM!</v>
      </c>
    </row>
    <row r="398" spans="2:28" ht="15" x14ac:dyDescent="0.25">
      <c r="B398" s="223" t="e">
        <f t="array" ref="B398">INDEX(Tabela.frequencia[],SMALL(IF(Tabela.frequencia[Mês]=$L$2,ROW(Tabela.frequencia[id])-1),ROW(A351)),1)</f>
        <v>#NUM!</v>
      </c>
      <c r="C398" s="229" t="e">
        <f t="array" ref="C398">INDEX(Tabela.frequencia[],SMALL(IF(Tabela.frequencia[Mês]=$L$2,ROW(Tabela.frequencia[id])-1),ROW(A351)),4)</f>
        <v>#NUM!</v>
      </c>
      <c r="E398" s="176" t="str">
        <f>IFERROR(VLOOKUP(D398,Tabela.cadastro[[ID]:[Nome]],2,0),"")</f>
        <v/>
      </c>
      <c r="F398" s="177" t="str">
        <f>IFERROR(VLOOKUP(D398,Tabela66[#All],2,0),"")</f>
        <v/>
      </c>
      <c r="G398" s="177" t="str">
        <f>IFERROR(VLOOKUP(D398,Tabela.cadastro[[ID]:[CP ou M]],5,0),"")</f>
        <v/>
      </c>
      <c r="H398" s="177" t="str">
        <f>IFERROR(VLOOKUP(D398,Cadastros!A:F,6,0),"")</f>
        <v/>
      </c>
      <c r="I398" s="177" t="str">
        <f>IFERROR(VLOOKUP(D398,Cadastros!A:I,9,0),"")</f>
        <v/>
      </c>
      <c r="J398" s="177" t="str">
        <f>IFERROR(VLOOKUP(D398,Cadastros!A:J,10,0),"")</f>
        <v/>
      </c>
      <c r="K398" s="177" t="str">
        <f>IF(COUNTIF(Tabela66[id],D398)=0,"",COUNTIF(Tabela66[id],D398))</f>
        <v/>
      </c>
      <c r="L398" s="198"/>
      <c r="M398" s="227" t="str">
        <f t="shared" si="30"/>
        <v/>
      </c>
      <c r="P398" s="176" t="str">
        <f>IFERROR(VLOOKUP(O398,Cadastros!A:B,2),"")</f>
        <v/>
      </c>
      <c r="Q398" s="177" t="str">
        <f t="shared" si="26"/>
        <v/>
      </c>
      <c r="R398" s="177" t="str">
        <f>IFERROR(VLOOKUP(O398,Cadastros!A:E,5,0),"")</f>
        <v/>
      </c>
      <c r="S398" s="177" t="str">
        <f>IFERROR(VLOOKUP(O398,Cadastros!A:F,6,0),"")</f>
        <v/>
      </c>
      <c r="T398" s="177" t="str">
        <f>IFERROR(VLOOKUP(O398,Cadastros!A:I,9,0),"")</f>
        <v/>
      </c>
      <c r="U398" s="177" t="str">
        <f t="shared" si="27"/>
        <v/>
      </c>
      <c r="V398" s="177" t="str">
        <f t="shared" si="28"/>
        <v/>
      </c>
      <c r="W398" s="177" t="str">
        <f t="shared" si="29"/>
        <v/>
      </c>
      <c r="Y398" s="240" t="e">
        <f t="array" ref="Y398">INDEX(Tabela.abordagens[],SMALL(IF(Tabela.abordagens[Mês]=$L$2,ROW(Tabela.abordagens[id])-2),ROW(A351)),1)</f>
        <v>#NUM!</v>
      </c>
      <c r="Z398" s="240" t="e">
        <f t="array" ref="Z398">INDEX(Tabela.abordagens[],SMALL(IF(Tabela.abordagens[Mês]=$L$2,ROW(Tabela.abordagens[Idade])-2),ROW(A351)),6)</f>
        <v>#NUM!</v>
      </c>
      <c r="AA398" s="240" t="e">
        <f t="array" ref="AA398">INDEX(Tabela.abordagens[],SMALL(IF(Tabela.abordagens[Mês]=$L$2,ROW(Tabela.abordagens[Idade])-2),ROW(A351)),4)</f>
        <v>#NUM!</v>
      </c>
      <c r="AB398" s="240" t="e">
        <f t="array" ref="AB398">INDEX(Tabela.abordagens[],SMALL(IF(Tabela.abordagens[Mês]=$L$2,ROW(Tabela.abordagens[Idade])-2),ROW(A351)),5)</f>
        <v>#NUM!</v>
      </c>
    </row>
    <row r="399" spans="2:28" ht="15" x14ac:dyDescent="0.25">
      <c r="B399" s="223" t="e">
        <f t="array" ref="B399">INDEX(Tabela.frequencia[],SMALL(IF(Tabela.frequencia[Mês]=$L$2,ROW(Tabela.frequencia[id])-1),ROW(A352)),1)</f>
        <v>#NUM!</v>
      </c>
      <c r="C399" s="229" t="e">
        <f t="array" ref="C399">INDEX(Tabela.frequencia[],SMALL(IF(Tabela.frequencia[Mês]=$L$2,ROW(Tabela.frequencia[id])-1),ROW(A352)),4)</f>
        <v>#NUM!</v>
      </c>
      <c r="E399" s="176" t="str">
        <f>IFERROR(VLOOKUP(D399,Tabela.cadastro[[ID]:[Nome]],2,0),"")</f>
        <v/>
      </c>
      <c r="F399" s="177" t="str">
        <f>IFERROR(VLOOKUP(D399,Tabela66[#All],2,0),"")</f>
        <v/>
      </c>
      <c r="G399" s="177" t="str">
        <f>IFERROR(VLOOKUP(D399,Tabela.cadastro[[ID]:[CP ou M]],5,0),"")</f>
        <v/>
      </c>
      <c r="H399" s="177" t="str">
        <f>IFERROR(VLOOKUP(D399,Cadastros!A:F,6,0),"")</f>
        <v/>
      </c>
      <c r="I399" s="177" t="str">
        <f>IFERROR(VLOOKUP(D399,Cadastros!A:I,9,0),"")</f>
        <v/>
      </c>
      <c r="J399" s="177" t="str">
        <f>IFERROR(VLOOKUP(D399,Cadastros!A:J,10,0),"")</f>
        <v/>
      </c>
      <c r="K399" s="177" t="str">
        <f>IF(COUNTIF(Tabela66[id],D399)=0,"",COUNTIF(Tabela66[id],D399))</f>
        <v/>
      </c>
      <c r="L399" s="198"/>
      <c r="M399" s="227" t="str">
        <f t="shared" si="30"/>
        <v/>
      </c>
      <c r="P399" s="176" t="str">
        <f>IFERROR(VLOOKUP(O399,Cadastros!A:B,2),"")</f>
        <v/>
      </c>
      <c r="Q399" s="177" t="str">
        <f t="shared" si="26"/>
        <v/>
      </c>
      <c r="R399" s="177" t="str">
        <f>IFERROR(VLOOKUP(O399,Cadastros!A:E,5,0),"")</f>
        <v/>
      </c>
      <c r="S399" s="177" t="str">
        <f>IFERROR(VLOOKUP(O399,Cadastros!A:F,6,0),"")</f>
        <v/>
      </c>
      <c r="T399" s="177" t="str">
        <f>IFERROR(VLOOKUP(O399,Cadastros!A:I,9,0),"")</f>
        <v/>
      </c>
      <c r="U399" s="177" t="str">
        <f t="shared" si="27"/>
        <v/>
      </c>
      <c r="V399" s="177" t="str">
        <f t="shared" si="28"/>
        <v/>
      </c>
      <c r="W399" s="177" t="str">
        <f t="shared" si="29"/>
        <v/>
      </c>
      <c r="Y399" s="240" t="e">
        <f t="array" ref="Y399">INDEX(Tabela.abordagens[],SMALL(IF(Tabela.abordagens[Mês]=$L$2,ROW(Tabela.abordagens[id])-2),ROW(A352)),1)</f>
        <v>#NUM!</v>
      </c>
      <c r="Z399" s="240" t="e">
        <f t="array" ref="Z399">INDEX(Tabela.abordagens[],SMALL(IF(Tabela.abordagens[Mês]=$L$2,ROW(Tabela.abordagens[Idade])-2),ROW(A352)),6)</f>
        <v>#NUM!</v>
      </c>
      <c r="AA399" s="240" t="e">
        <f t="array" ref="AA399">INDEX(Tabela.abordagens[],SMALL(IF(Tabela.abordagens[Mês]=$L$2,ROW(Tabela.abordagens[Idade])-2),ROW(A352)),4)</f>
        <v>#NUM!</v>
      </c>
      <c r="AB399" s="240" t="e">
        <f t="array" ref="AB399">INDEX(Tabela.abordagens[],SMALL(IF(Tabela.abordagens[Mês]=$L$2,ROW(Tabela.abordagens[Idade])-2),ROW(A352)),5)</f>
        <v>#NUM!</v>
      </c>
    </row>
    <row r="400" spans="2:28" ht="15" x14ac:dyDescent="0.25">
      <c r="B400" s="223" t="e">
        <f t="array" ref="B400">INDEX(Tabela.frequencia[],SMALL(IF(Tabela.frequencia[Mês]=$L$2,ROW(Tabela.frequencia[id])-1),ROW(A353)),1)</f>
        <v>#NUM!</v>
      </c>
      <c r="C400" s="229" t="e">
        <f t="array" ref="C400">INDEX(Tabela.frequencia[],SMALL(IF(Tabela.frequencia[Mês]=$L$2,ROW(Tabela.frequencia[id])-1),ROW(A353)),4)</f>
        <v>#NUM!</v>
      </c>
      <c r="E400" s="176" t="str">
        <f>IFERROR(VLOOKUP(D400,Tabela.cadastro[[ID]:[Nome]],2,0),"")</f>
        <v/>
      </c>
      <c r="F400" s="177" t="str">
        <f>IFERROR(VLOOKUP(D400,Tabela66[#All],2,0),"")</f>
        <v/>
      </c>
      <c r="G400" s="177" t="str">
        <f>IFERROR(VLOOKUP(D400,Tabela.cadastro[[ID]:[CP ou M]],5,0),"")</f>
        <v/>
      </c>
      <c r="H400" s="177" t="str">
        <f>IFERROR(VLOOKUP(D400,Cadastros!A:F,6,0),"")</f>
        <v/>
      </c>
      <c r="I400" s="177" t="str">
        <f>IFERROR(VLOOKUP(D400,Cadastros!A:I,9,0),"")</f>
        <v/>
      </c>
      <c r="J400" s="177" t="str">
        <f>IFERROR(VLOOKUP(D400,Cadastros!A:J,10,0),"")</f>
        <v/>
      </c>
      <c r="K400" s="177" t="str">
        <f>IF(COUNTIF(Tabela66[id],D400)=0,"",COUNTIF(Tabela66[id],D400))</f>
        <v/>
      </c>
      <c r="L400" s="198"/>
      <c r="M400" s="227" t="str">
        <f t="shared" si="30"/>
        <v/>
      </c>
      <c r="P400" s="176" t="str">
        <f>IFERROR(VLOOKUP(O400,Cadastros!A:B,2),"")</f>
        <v/>
      </c>
      <c r="Q400" s="177" t="str">
        <f t="shared" si="26"/>
        <v/>
      </c>
      <c r="R400" s="177" t="str">
        <f>IFERROR(VLOOKUP(O400,Cadastros!A:E,5,0),"")</f>
        <v/>
      </c>
      <c r="S400" s="177" t="str">
        <f>IFERROR(VLOOKUP(O400,Cadastros!A:F,6,0),"")</f>
        <v/>
      </c>
      <c r="T400" s="177" t="str">
        <f>IFERROR(VLOOKUP(O400,Cadastros!A:I,9,0),"")</f>
        <v/>
      </c>
      <c r="U400" s="177" t="str">
        <f t="shared" si="27"/>
        <v/>
      </c>
      <c r="V400" s="177" t="str">
        <f t="shared" si="28"/>
        <v/>
      </c>
      <c r="W400" s="177" t="str">
        <f t="shared" si="29"/>
        <v/>
      </c>
      <c r="Y400" s="240" t="e">
        <f t="array" ref="Y400">INDEX(Tabela.abordagens[],SMALL(IF(Tabela.abordagens[Mês]=$L$2,ROW(Tabela.abordagens[id])-2),ROW(A353)),1)</f>
        <v>#NUM!</v>
      </c>
      <c r="Z400" s="240" t="e">
        <f t="array" ref="Z400">INDEX(Tabela.abordagens[],SMALL(IF(Tabela.abordagens[Mês]=$L$2,ROW(Tabela.abordagens[Idade])-2),ROW(A353)),6)</f>
        <v>#NUM!</v>
      </c>
      <c r="AA400" s="240" t="e">
        <f t="array" ref="AA400">INDEX(Tabela.abordagens[],SMALL(IF(Tabela.abordagens[Mês]=$L$2,ROW(Tabela.abordagens[Idade])-2),ROW(A353)),4)</f>
        <v>#NUM!</v>
      </c>
      <c r="AB400" s="240" t="e">
        <f t="array" ref="AB400">INDEX(Tabela.abordagens[],SMALL(IF(Tabela.abordagens[Mês]=$L$2,ROW(Tabela.abordagens[Idade])-2),ROW(A353)),5)</f>
        <v>#NUM!</v>
      </c>
    </row>
    <row r="401" spans="2:28" ht="15" x14ac:dyDescent="0.25">
      <c r="B401" s="223" t="e">
        <f t="array" ref="B401">INDEX(Tabela.frequencia[],SMALL(IF(Tabela.frequencia[Mês]=$L$2,ROW(Tabela.frequencia[id])-1),ROW(A354)),1)</f>
        <v>#NUM!</v>
      </c>
      <c r="C401" s="229" t="e">
        <f t="array" ref="C401">INDEX(Tabela.frequencia[],SMALL(IF(Tabela.frequencia[Mês]=$L$2,ROW(Tabela.frequencia[id])-1),ROW(A354)),4)</f>
        <v>#NUM!</v>
      </c>
      <c r="E401" s="176" t="str">
        <f>IFERROR(VLOOKUP(D401,Tabela.cadastro[[ID]:[Nome]],2,0),"")</f>
        <v/>
      </c>
      <c r="F401" s="177" t="str">
        <f>IFERROR(VLOOKUP(D401,Tabela66[#All],2,0),"")</f>
        <v/>
      </c>
      <c r="G401" s="177" t="str">
        <f>IFERROR(VLOOKUP(D401,Tabela.cadastro[[ID]:[CP ou M]],5,0),"")</f>
        <v/>
      </c>
      <c r="H401" s="177" t="str">
        <f>IFERROR(VLOOKUP(D401,Cadastros!A:F,6,0),"")</f>
        <v/>
      </c>
      <c r="I401" s="177" t="str">
        <f>IFERROR(VLOOKUP(D401,Cadastros!A:I,9,0),"")</f>
        <v/>
      </c>
      <c r="J401" s="177" t="str">
        <f>IFERROR(VLOOKUP(D401,Cadastros!A:J,10,0),"")</f>
        <v/>
      </c>
      <c r="K401" s="177" t="str">
        <f>IF(COUNTIF(Tabela66[id],D401)=0,"",COUNTIF(Tabela66[id],D401))</f>
        <v/>
      </c>
      <c r="L401" s="198"/>
      <c r="M401" s="227" t="str">
        <f t="shared" si="30"/>
        <v/>
      </c>
      <c r="P401" s="176" t="str">
        <f>IFERROR(VLOOKUP(O401,Cadastros!A:B,2),"")</f>
        <v/>
      </c>
      <c r="Q401" s="177" t="str">
        <f t="shared" si="26"/>
        <v/>
      </c>
      <c r="R401" s="177" t="str">
        <f>IFERROR(VLOOKUP(O401,Cadastros!A:E,5,0),"")</f>
        <v/>
      </c>
      <c r="S401" s="177" t="str">
        <f>IFERROR(VLOOKUP(O401,Cadastros!A:F,6,0),"")</f>
        <v/>
      </c>
      <c r="T401" s="177" t="str">
        <f>IFERROR(VLOOKUP(O401,Cadastros!A:I,9,0),"")</f>
        <v/>
      </c>
      <c r="U401" s="177" t="str">
        <f t="shared" si="27"/>
        <v/>
      </c>
      <c r="V401" s="177" t="str">
        <f t="shared" si="28"/>
        <v/>
      </c>
      <c r="W401" s="177" t="str">
        <f t="shared" si="29"/>
        <v/>
      </c>
      <c r="Y401" s="240" t="e">
        <f t="array" ref="Y401">INDEX(Tabela.abordagens[],SMALL(IF(Tabela.abordagens[Mês]=$L$2,ROW(Tabela.abordagens[id])-2),ROW(A354)),1)</f>
        <v>#NUM!</v>
      </c>
      <c r="Z401" s="240" t="e">
        <f t="array" ref="Z401">INDEX(Tabela.abordagens[],SMALL(IF(Tabela.abordagens[Mês]=$L$2,ROW(Tabela.abordagens[Idade])-2),ROW(A354)),6)</f>
        <v>#NUM!</v>
      </c>
      <c r="AA401" s="240" t="e">
        <f t="array" ref="AA401">INDEX(Tabela.abordagens[],SMALL(IF(Tabela.abordagens[Mês]=$L$2,ROW(Tabela.abordagens[Idade])-2),ROW(A354)),4)</f>
        <v>#NUM!</v>
      </c>
      <c r="AB401" s="240" t="e">
        <f t="array" ref="AB401">INDEX(Tabela.abordagens[],SMALL(IF(Tabela.abordagens[Mês]=$L$2,ROW(Tabela.abordagens[Idade])-2),ROW(A354)),5)</f>
        <v>#NUM!</v>
      </c>
    </row>
    <row r="402" spans="2:28" ht="15" x14ac:dyDescent="0.25">
      <c r="B402" s="223" t="e">
        <f t="array" ref="B402">INDEX(Tabela.frequencia[],SMALL(IF(Tabela.frequencia[Mês]=$L$2,ROW(Tabela.frequencia[id])-1),ROW(A355)),1)</f>
        <v>#NUM!</v>
      </c>
      <c r="C402" s="229" t="e">
        <f t="array" ref="C402">INDEX(Tabela.frequencia[],SMALL(IF(Tabela.frequencia[Mês]=$L$2,ROW(Tabela.frequencia[id])-1),ROW(A355)),4)</f>
        <v>#NUM!</v>
      </c>
      <c r="E402" s="176" t="str">
        <f>IFERROR(VLOOKUP(D402,Tabela.cadastro[[ID]:[Nome]],2,0),"")</f>
        <v/>
      </c>
      <c r="F402" s="177" t="str">
        <f>IFERROR(VLOOKUP(D402,Tabela66[#All],2,0),"")</f>
        <v/>
      </c>
      <c r="G402" s="177" t="str">
        <f>IFERROR(VLOOKUP(D402,Tabela.cadastro[[ID]:[CP ou M]],5,0),"")</f>
        <v/>
      </c>
      <c r="H402" s="177" t="str">
        <f>IFERROR(VLOOKUP(D402,Cadastros!A:F,6,0),"")</f>
        <v/>
      </c>
      <c r="I402" s="177" t="str">
        <f>IFERROR(VLOOKUP(D402,Cadastros!A:I,9,0),"")</f>
        <v/>
      </c>
      <c r="J402" s="177" t="str">
        <f>IFERROR(VLOOKUP(D402,Cadastros!A:J,10,0),"")</f>
        <v/>
      </c>
      <c r="K402" s="177" t="str">
        <f>IF(COUNTIF(Tabela66[id],D402)=0,"",COUNTIF(Tabela66[id],D402))</f>
        <v/>
      </c>
      <c r="L402" s="198"/>
      <c r="M402" s="227" t="str">
        <f t="shared" si="30"/>
        <v/>
      </c>
      <c r="P402" s="176" t="str">
        <f>IFERROR(VLOOKUP(O402,Cadastros!A:B,2),"")</f>
        <v/>
      </c>
      <c r="Q402" s="177" t="str">
        <f t="shared" si="26"/>
        <v/>
      </c>
      <c r="R402" s="177" t="str">
        <f>IFERROR(VLOOKUP(O402,Cadastros!A:E,5,0),"")</f>
        <v/>
      </c>
      <c r="S402" s="177" t="str">
        <f>IFERROR(VLOOKUP(O402,Cadastros!A:F,6,0),"")</f>
        <v/>
      </c>
      <c r="T402" s="177" t="str">
        <f>IFERROR(VLOOKUP(O402,Cadastros!A:I,9,0),"")</f>
        <v/>
      </c>
      <c r="U402" s="177" t="str">
        <f t="shared" si="27"/>
        <v/>
      </c>
      <c r="V402" s="177" t="str">
        <f t="shared" si="28"/>
        <v/>
      </c>
      <c r="W402" s="177" t="str">
        <f t="shared" si="29"/>
        <v/>
      </c>
      <c r="Y402" s="240" t="e">
        <f t="array" ref="Y402">INDEX(Tabela.abordagens[],SMALL(IF(Tabela.abordagens[Mês]=$L$2,ROW(Tabela.abordagens[id])-2),ROW(A355)),1)</f>
        <v>#NUM!</v>
      </c>
      <c r="Z402" s="240" t="e">
        <f t="array" ref="Z402">INDEX(Tabela.abordagens[],SMALL(IF(Tabela.abordagens[Mês]=$L$2,ROW(Tabela.abordagens[Idade])-2),ROW(A355)),6)</f>
        <v>#NUM!</v>
      </c>
      <c r="AA402" s="240" t="e">
        <f t="array" ref="AA402">INDEX(Tabela.abordagens[],SMALL(IF(Tabela.abordagens[Mês]=$L$2,ROW(Tabela.abordagens[Idade])-2),ROW(A355)),4)</f>
        <v>#NUM!</v>
      </c>
      <c r="AB402" s="240" t="e">
        <f t="array" ref="AB402">INDEX(Tabela.abordagens[],SMALL(IF(Tabela.abordagens[Mês]=$L$2,ROW(Tabela.abordagens[Idade])-2),ROW(A355)),5)</f>
        <v>#NUM!</v>
      </c>
    </row>
    <row r="403" spans="2:28" ht="15" x14ac:dyDescent="0.25">
      <c r="B403" s="223" t="e">
        <f t="array" ref="B403">INDEX(Tabela.frequencia[],SMALL(IF(Tabela.frequencia[Mês]=$L$2,ROW(Tabela.frequencia[id])-1),ROW(A356)),1)</f>
        <v>#NUM!</v>
      </c>
      <c r="C403" s="229" t="e">
        <f t="array" ref="C403">INDEX(Tabela.frequencia[],SMALL(IF(Tabela.frequencia[Mês]=$L$2,ROW(Tabela.frequencia[id])-1),ROW(A356)),4)</f>
        <v>#NUM!</v>
      </c>
      <c r="E403" s="176" t="str">
        <f>IFERROR(VLOOKUP(D403,Tabela.cadastro[[ID]:[Nome]],2,0),"")</f>
        <v/>
      </c>
      <c r="F403" s="177" t="str">
        <f>IFERROR(VLOOKUP(D403,Tabela66[#All],2,0),"")</f>
        <v/>
      </c>
      <c r="G403" s="177" t="str">
        <f>IFERROR(VLOOKUP(D403,Tabela.cadastro[[ID]:[CP ou M]],5,0),"")</f>
        <v/>
      </c>
      <c r="H403" s="177" t="str">
        <f>IFERROR(VLOOKUP(D403,Cadastros!A:F,6,0),"")</f>
        <v/>
      </c>
      <c r="I403" s="177" t="str">
        <f>IFERROR(VLOOKUP(D403,Cadastros!A:I,9,0),"")</f>
        <v/>
      </c>
      <c r="J403" s="177" t="str">
        <f>IFERROR(VLOOKUP(D403,Cadastros!A:J,10,0),"")</f>
        <v/>
      </c>
      <c r="K403" s="177" t="str">
        <f>IF(COUNTIF(Tabela66[id],D403)=0,"",COUNTIF(Tabela66[id],D403))</f>
        <v/>
      </c>
      <c r="L403" s="198"/>
      <c r="M403" s="227" t="str">
        <f t="shared" si="30"/>
        <v/>
      </c>
      <c r="P403" s="176" t="str">
        <f>IFERROR(VLOOKUP(O403,Cadastros!A:B,2),"")</f>
        <v/>
      </c>
      <c r="Q403" s="177" t="str">
        <f t="shared" si="26"/>
        <v/>
      </c>
      <c r="R403" s="177" t="str">
        <f>IFERROR(VLOOKUP(O403,Cadastros!A:E,5,0),"")</f>
        <v/>
      </c>
      <c r="S403" s="177" t="str">
        <f>IFERROR(VLOOKUP(O403,Cadastros!A:F,6,0),"")</f>
        <v/>
      </c>
      <c r="T403" s="177" t="str">
        <f>IFERROR(VLOOKUP(O403,Cadastros!A:I,9,0),"")</f>
        <v/>
      </c>
      <c r="U403" s="177" t="str">
        <f t="shared" si="27"/>
        <v/>
      </c>
      <c r="V403" s="177" t="str">
        <f t="shared" si="28"/>
        <v/>
      </c>
      <c r="W403" s="177" t="str">
        <f t="shared" si="29"/>
        <v/>
      </c>
      <c r="Y403" s="240" t="e">
        <f t="array" ref="Y403">INDEX(Tabela.abordagens[],SMALL(IF(Tabela.abordagens[Mês]=$L$2,ROW(Tabela.abordagens[id])-2),ROW(A356)),1)</f>
        <v>#NUM!</v>
      </c>
      <c r="Z403" s="240" t="e">
        <f t="array" ref="Z403">INDEX(Tabela.abordagens[],SMALL(IF(Tabela.abordagens[Mês]=$L$2,ROW(Tabela.abordagens[Idade])-2),ROW(A356)),6)</f>
        <v>#NUM!</v>
      </c>
      <c r="AA403" s="240" t="e">
        <f t="array" ref="AA403">INDEX(Tabela.abordagens[],SMALL(IF(Tabela.abordagens[Mês]=$L$2,ROW(Tabela.abordagens[Idade])-2),ROW(A356)),4)</f>
        <v>#NUM!</v>
      </c>
      <c r="AB403" s="240" t="e">
        <f t="array" ref="AB403">INDEX(Tabela.abordagens[],SMALL(IF(Tabela.abordagens[Mês]=$L$2,ROW(Tabela.abordagens[Idade])-2),ROW(A356)),5)</f>
        <v>#NUM!</v>
      </c>
    </row>
    <row r="404" spans="2:28" ht="15" x14ac:dyDescent="0.25">
      <c r="B404" s="223" t="e">
        <f t="array" ref="B404">INDEX(Tabela.frequencia[],SMALL(IF(Tabela.frequencia[Mês]=$L$2,ROW(Tabela.frequencia[id])-1),ROW(A357)),1)</f>
        <v>#NUM!</v>
      </c>
      <c r="C404" s="229" t="e">
        <f t="array" ref="C404">INDEX(Tabela.frequencia[],SMALL(IF(Tabela.frequencia[Mês]=$L$2,ROW(Tabela.frequencia[id])-1),ROW(A357)),4)</f>
        <v>#NUM!</v>
      </c>
      <c r="E404" s="176" t="str">
        <f>IFERROR(VLOOKUP(D404,Tabela.cadastro[[ID]:[Nome]],2,0),"")</f>
        <v/>
      </c>
      <c r="F404" s="177" t="str">
        <f>IFERROR(VLOOKUP(D404,Tabela66[#All],2,0),"")</f>
        <v/>
      </c>
      <c r="G404" s="177" t="str">
        <f>IFERROR(VLOOKUP(D404,Tabela.cadastro[[ID]:[CP ou M]],5,0),"")</f>
        <v/>
      </c>
      <c r="H404" s="177" t="str">
        <f>IFERROR(VLOOKUP(D404,Cadastros!A:F,6,0),"")</f>
        <v/>
      </c>
      <c r="I404" s="177" t="str">
        <f>IFERROR(VLOOKUP(D404,Cadastros!A:I,9,0),"")</f>
        <v/>
      </c>
      <c r="J404" s="177" t="str">
        <f>IFERROR(VLOOKUP(D404,Cadastros!A:J,10,0),"")</f>
        <v/>
      </c>
      <c r="K404" s="177" t="str">
        <f>IF(COUNTIF(Tabela66[id],D404)=0,"",COUNTIF(Tabela66[id],D404))</f>
        <v/>
      </c>
      <c r="L404" s="198"/>
      <c r="M404" s="227" t="str">
        <f t="shared" si="30"/>
        <v/>
      </c>
      <c r="P404" s="176" t="str">
        <f>IFERROR(VLOOKUP(O404,Cadastros!A:B,2),"")</f>
        <v/>
      </c>
      <c r="Q404" s="177" t="str">
        <f t="shared" si="26"/>
        <v/>
      </c>
      <c r="R404" s="177" t="str">
        <f>IFERROR(VLOOKUP(O404,Cadastros!A:E,5,0),"")</f>
        <v/>
      </c>
      <c r="S404" s="177" t="str">
        <f>IFERROR(VLOOKUP(O404,Cadastros!A:F,6,0),"")</f>
        <v/>
      </c>
      <c r="T404" s="177" t="str">
        <f>IFERROR(VLOOKUP(O404,Cadastros!A:I,9,0),"")</f>
        <v/>
      </c>
      <c r="U404" s="177" t="str">
        <f t="shared" si="27"/>
        <v/>
      </c>
      <c r="V404" s="177" t="str">
        <f t="shared" si="28"/>
        <v/>
      </c>
      <c r="W404" s="177" t="str">
        <f t="shared" si="29"/>
        <v/>
      </c>
      <c r="Y404" s="240" t="e">
        <f t="array" ref="Y404">INDEX(Tabela.abordagens[],SMALL(IF(Tabela.abordagens[Mês]=$L$2,ROW(Tabela.abordagens[id])-2),ROW(A357)),1)</f>
        <v>#NUM!</v>
      </c>
      <c r="Z404" s="240" t="e">
        <f t="array" ref="Z404">INDEX(Tabela.abordagens[],SMALL(IF(Tabela.abordagens[Mês]=$L$2,ROW(Tabela.abordagens[Idade])-2),ROW(A357)),6)</f>
        <v>#NUM!</v>
      </c>
      <c r="AA404" s="240" t="e">
        <f t="array" ref="AA404">INDEX(Tabela.abordagens[],SMALL(IF(Tabela.abordagens[Mês]=$L$2,ROW(Tabela.abordagens[Idade])-2),ROW(A357)),4)</f>
        <v>#NUM!</v>
      </c>
      <c r="AB404" s="240" t="e">
        <f t="array" ref="AB404">INDEX(Tabela.abordagens[],SMALL(IF(Tabela.abordagens[Mês]=$L$2,ROW(Tabela.abordagens[Idade])-2),ROW(A357)),5)</f>
        <v>#NUM!</v>
      </c>
    </row>
    <row r="405" spans="2:28" ht="15" x14ac:dyDescent="0.25">
      <c r="B405" s="223" t="e">
        <f t="array" ref="B405">INDEX(Tabela.frequencia[],SMALL(IF(Tabela.frequencia[Mês]=$L$2,ROW(Tabela.frequencia[id])-1),ROW(A358)),1)</f>
        <v>#NUM!</v>
      </c>
      <c r="C405" s="229" t="e">
        <f t="array" ref="C405">INDEX(Tabela.frequencia[],SMALL(IF(Tabela.frequencia[Mês]=$L$2,ROW(Tabela.frequencia[id])-1),ROW(A358)),4)</f>
        <v>#NUM!</v>
      </c>
      <c r="E405" s="176" t="str">
        <f>IFERROR(VLOOKUP(D405,Tabela.cadastro[[ID]:[Nome]],2,0),"")</f>
        <v/>
      </c>
      <c r="F405" s="177" t="str">
        <f>IFERROR(VLOOKUP(D405,Tabela66[#All],2,0),"")</f>
        <v/>
      </c>
      <c r="G405" s="177" t="str">
        <f>IFERROR(VLOOKUP(D405,Tabela.cadastro[[ID]:[CP ou M]],5,0),"")</f>
        <v/>
      </c>
      <c r="H405" s="177" t="str">
        <f>IFERROR(VLOOKUP(D405,Cadastros!A:F,6,0),"")</f>
        <v/>
      </c>
      <c r="I405" s="177" t="str">
        <f>IFERROR(VLOOKUP(D405,Cadastros!A:I,9,0),"")</f>
        <v/>
      </c>
      <c r="J405" s="177" t="str">
        <f>IFERROR(VLOOKUP(D405,Cadastros!A:J,10,0),"")</f>
        <v/>
      </c>
      <c r="K405" s="177" t="str">
        <f>IF(COUNTIF(Tabela66[id],D405)=0,"",COUNTIF(Tabela66[id],D405))</f>
        <v/>
      </c>
      <c r="L405" s="198"/>
      <c r="M405" s="227" t="str">
        <f t="shared" si="30"/>
        <v/>
      </c>
      <c r="P405" s="176" t="str">
        <f>IFERROR(VLOOKUP(O405,Cadastros!A:B,2),"")</f>
        <v/>
      </c>
      <c r="Q405" s="177" t="str">
        <f t="shared" si="26"/>
        <v/>
      </c>
      <c r="R405" s="177" t="str">
        <f>IFERROR(VLOOKUP(O405,Cadastros!A:E,5,0),"")</f>
        <v/>
      </c>
      <c r="S405" s="177" t="str">
        <f>IFERROR(VLOOKUP(O405,Cadastros!A:F,6,0),"")</f>
        <v/>
      </c>
      <c r="T405" s="177" t="str">
        <f>IFERROR(VLOOKUP(O405,Cadastros!A:I,9,0),"")</f>
        <v/>
      </c>
      <c r="U405" s="177" t="str">
        <f t="shared" si="27"/>
        <v/>
      </c>
      <c r="V405" s="177" t="str">
        <f t="shared" si="28"/>
        <v/>
      </c>
      <c r="W405" s="177" t="str">
        <f t="shared" si="29"/>
        <v/>
      </c>
      <c r="Y405" s="240" t="e">
        <f t="array" ref="Y405">INDEX(Tabela.abordagens[],SMALL(IF(Tabela.abordagens[Mês]=$L$2,ROW(Tabela.abordagens[id])-2),ROW(A358)),1)</f>
        <v>#NUM!</v>
      </c>
      <c r="Z405" s="240" t="e">
        <f t="array" ref="Z405">INDEX(Tabela.abordagens[],SMALL(IF(Tabela.abordagens[Mês]=$L$2,ROW(Tabela.abordagens[Idade])-2),ROW(A358)),6)</f>
        <v>#NUM!</v>
      </c>
      <c r="AA405" s="240" t="e">
        <f t="array" ref="AA405">INDEX(Tabela.abordagens[],SMALL(IF(Tabela.abordagens[Mês]=$L$2,ROW(Tabela.abordagens[Idade])-2),ROW(A358)),4)</f>
        <v>#NUM!</v>
      </c>
      <c r="AB405" s="240" t="e">
        <f t="array" ref="AB405">INDEX(Tabela.abordagens[],SMALL(IF(Tabela.abordagens[Mês]=$L$2,ROW(Tabela.abordagens[Idade])-2),ROW(A358)),5)</f>
        <v>#NUM!</v>
      </c>
    </row>
    <row r="406" spans="2:28" ht="15" x14ac:dyDescent="0.25">
      <c r="B406" s="223" t="e">
        <f t="array" ref="B406">INDEX(Tabela.frequencia[],SMALL(IF(Tabela.frequencia[Mês]=$L$2,ROW(Tabela.frequencia[id])-1),ROW(A359)),1)</f>
        <v>#NUM!</v>
      </c>
      <c r="C406" s="229" t="e">
        <f t="array" ref="C406">INDEX(Tabela.frequencia[],SMALL(IF(Tabela.frequencia[Mês]=$L$2,ROW(Tabela.frequencia[id])-1),ROW(A359)),4)</f>
        <v>#NUM!</v>
      </c>
      <c r="E406" s="176" t="str">
        <f>IFERROR(VLOOKUP(D406,Tabela.cadastro[[ID]:[Nome]],2,0),"")</f>
        <v/>
      </c>
      <c r="F406" s="177" t="str">
        <f>IFERROR(VLOOKUP(D406,Tabela66[#All],2,0),"")</f>
        <v/>
      </c>
      <c r="G406" s="177" t="str">
        <f>IFERROR(VLOOKUP(D406,Tabela.cadastro[[ID]:[CP ou M]],5,0),"")</f>
        <v/>
      </c>
      <c r="H406" s="177" t="str">
        <f>IFERROR(VLOOKUP(D406,Cadastros!A:F,6,0),"")</f>
        <v/>
      </c>
      <c r="I406" s="177" t="str">
        <f>IFERROR(VLOOKUP(D406,Cadastros!A:I,9,0),"")</f>
        <v/>
      </c>
      <c r="J406" s="177" t="str">
        <f>IFERROR(VLOOKUP(D406,Cadastros!A:J,10,0),"")</f>
        <v/>
      </c>
      <c r="K406" s="177" t="str">
        <f>IF(COUNTIF(Tabela66[id],D406)=0,"",COUNTIF(Tabela66[id],D406))</f>
        <v/>
      </c>
      <c r="L406" s="198"/>
      <c r="M406" s="227" t="str">
        <f t="shared" si="30"/>
        <v/>
      </c>
      <c r="P406" s="176" t="str">
        <f>IFERROR(VLOOKUP(O406,Cadastros!A:B,2),"")</f>
        <v/>
      </c>
      <c r="Q406" s="177" t="str">
        <f t="shared" si="26"/>
        <v/>
      </c>
      <c r="R406" s="177" t="str">
        <f>IFERROR(VLOOKUP(O406,Cadastros!A:E,5,0),"")</f>
        <v/>
      </c>
      <c r="S406" s="177" t="str">
        <f>IFERROR(VLOOKUP(O406,Cadastros!A:F,6,0),"")</f>
        <v/>
      </c>
      <c r="T406" s="177" t="str">
        <f>IFERROR(VLOOKUP(O406,Cadastros!A:I,9,0),"")</f>
        <v/>
      </c>
      <c r="U406" s="177" t="str">
        <f t="shared" si="27"/>
        <v/>
      </c>
      <c r="V406" s="177" t="str">
        <f t="shared" si="28"/>
        <v/>
      </c>
      <c r="W406" s="177" t="str">
        <f t="shared" si="29"/>
        <v/>
      </c>
      <c r="Y406" s="240" t="e">
        <f t="array" ref="Y406">INDEX(Tabela.abordagens[],SMALL(IF(Tabela.abordagens[Mês]=$L$2,ROW(Tabela.abordagens[id])-2),ROW(A359)),1)</f>
        <v>#NUM!</v>
      </c>
      <c r="Z406" s="240" t="e">
        <f t="array" ref="Z406">INDEX(Tabela.abordagens[],SMALL(IF(Tabela.abordagens[Mês]=$L$2,ROW(Tabela.abordagens[Idade])-2),ROW(A359)),6)</f>
        <v>#NUM!</v>
      </c>
      <c r="AA406" s="240" t="e">
        <f t="array" ref="AA406">INDEX(Tabela.abordagens[],SMALL(IF(Tabela.abordagens[Mês]=$L$2,ROW(Tabela.abordagens[Idade])-2),ROW(A359)),4)</f>
        <v>#NUM!</v>
      </c>
      <c r="AB406" s="240" t="e">
        <f t="array" ref="AB406">INDEX(Tabela.abordagens[],SMALL(IF(Tabela.abordagens[Mês]=$L$2,ROW(Tabela.abordagens[Idade])-2),ROW(A359)),5)</f>
        <v>#NUM!</v>
      </c>
    </row>
    <row r="407" spans="2:28" ht="15" x14ac:dyDescent="0.25">
      <c r="B407" s="223" t="e">
        <f t="array" ref="B407">INDEX(Tabela.frequencia[],SMALL(IF(Tabela.frequencia[Mês]=$L$2,ROW(Tabela.frequencia[id])-1),ROW(A360)),1)</f>
        <v>#NUM!</v>
      </c>
      <c r="C407" s="229" t="e">
        <f t="array" ref="C407">INDEX(Tabela.frequencia[],SMALL(IF(Tabela.frequencia[Mês]=$L$2,ROW(Tabela.frequencia[id])-1),ROW(A360)),4)</f>
        <v>#NUM!</v>
      </c>
      <c r="E407" s="176" t="str">
        <f>IFERROR(VLOOKUP(D407,Tabela.cadastro[[ID]:[Nome]],2,0),"")</f>
        <v/>
      </c>
      <c r="F407" s="177" t="str">
        <f>IFERROR(VLOOKUP(D407,Tabela66[#All],2,0),"")</f>
        <v/>
      </c>
      <c r="G407" s="177" t="str">
        <f>IFERROR(VLOOKUP(D407,Tabela.cadastro[[ID]:[CP ou M]],5,0),"")</f>
        <v/>
      </c>
      <c r="H407" s="177" t="str">
        <f>IFERROR(VLOOKUP(D407,Cadastros!A:F,6,0),"")</f>
        <v/>
      </c>
      <c r="I407" s="177" t="str">
        <f>IFERROR(VLOOKUP(D407,Cadastros!A:I,9,0),"")</f>
        <v/>
      </c>
      <c r="J407" s="177" t="str">
        <f>IFERROR(VLOOKUP(D407,Cadastros!A:J,10,0),"")</f>
        <v/>
      </c>
      <c r="K407" s="177" t="str">
        <f>IF(COUNTIF(Tabela66[id],D407)=0,"",COUNTIF(Tabela66[id],D407))</f>
        <v/>
      </c>
      <c r="L407" s="198"/>
      <c r="M407" s="227" t="str">
        <f t="shared" si="30"/>
        <v/>
      </c>
      <c r="P407" s="176" t="str">
        <f>IFERROR(VLOOKUP(O407,Cadastros!A:B,2),"")</f>
        <v/>
      </c>
      <c r="Q407" s="177" t="str">
        <f t="shared" si="26"/>
        <v/>
      </c>
      <c r="R407" s="177" t="str">
        <f>IFERROR(VLOOKUP(O407,Cadastros!A:E,5,0),"")</f>
        <v/>
      </c>
      <c r="S407" s="177" t="str">
        <f>IFERROR(VLOOKUP(O407,Cadastros!A:F,6,0),"")</f>
        <v/>
      </c>
      <c r="T407" s="177" t="str">
        <f>IFERROR(VLOOKUP(O407,Cadastros!A:I,9,0),"")</f>
        <v/>
      </c>
      <c r="U407" s="177" t="str">
        <f t="shared" si="27"/>
        <v/>
      </c>
      <c r="V407" s="177" t="str">
        <f t="shared" si="28"/>
        <v/>
      </c>
      <c r="W407" s="177" t="str">
        <f t="shared" si="29"/>
        <v/>
      </c>
      <c r="Y407" s="240" t="e">
        <f t="array" ref="Y407">INDEX(Tabela.abordagens[],SMALL(IF(Tabela.abordagens[Mês]=$L$2,ROW(Tabela.abordagens[id])-2),ROW(A360)),1)</f>
        <v>#NUM!</v>
      </c>
      <c r="Z407" s="240" t="e">
        <f t="array" ref="Z407">INDEX(Tabela.abordagens[],SMALL(IF(Tabela.abordagens[Mês]=$L$2,ROW(Tabela.abordagens[Idade])-2),ROW(A360)),6)</f>
        <v>#NUM!</v>
      </c>
      <c r="AA407" s="240" t="e">
        <f t="array" ref="AA407">INDEX(Tabela.abordagens[],SMALL(IF(Tabela.abordagens[Mês]=$L$2,ROW(Tabela.abordagens[Idade])-2),ROW(A360)),4)</f>
        <v>#NUM!</v>
      </c>
      <c r="AB407" s="240" t="e">
        <f t="array" ref="AB407">INDEX(Tabela.abordagens[],SMALL(IF(Tabela.abordagens[Mês]=$L$2,ROW(Tabela.abordagens[Idade])-2),ROW(A360)),5)</f>
        <v>#NUM!</v>
      </c>
    </row>
    <row r="408" spans="2:28" ht="15" x14ac:dyDescent="0.25">
      <c r="B408" s="223" t="e">
        <f t="array" ref="B408">INDEX(Tabela.frequencia[],SMALL(IF(Tabela.frequencia[Mês]=$L$2,ROW(Tabela.frequencia[id])-1),ROW(A361)),1)</f>
        <v>#NUM!</v>
      </c>
      <c r="C408" s="229" t="e">
        <f t="array" ref="C408">INDEX(Tabela.frequencia[],SMALL(IF(Tabela.frequencia[Mês]=$L$2,ROW(Tabela.frequencia[id])-1),ROW(A361)),4)</f>
        <v>#NUM!</v>
      </c>
      <c r="E408" s="176" t="str">
        <f>IFERROR(VLOOKUP(D408,Tabela.cadastro[[ID]:[Nome]],2,0),"")</f>
        <v/>
      </c>
      <c r="F408" s="177" t="str">
        <f>IFERROR(VLOOKUP(D408,Tabela66[#All],2,0),"")</f>
        <v/>
      </c>
      <c r="G408" s="177" t="str">
        <f>IFERROR(VLOOKUP(D408,Tabela.cadastro[[ID]:[CP ou M]],5,0),"")</f>
        <v/>
      </c>
      <c r="H408" s="177" t="str">
        <f>IFERROR(VLOOKUP(D408,Cadastros!A:F,6,0),"")</f>
        <v/>
      </c>
      <c r="I408" s="177" t="str">
        <f>IFERROR(VLOOKUP(D408,Cadastros!A:I,9,0),"")</f>
        <v/>
      </c>
      <c r="J408" s="177" t="str">
        <f>IFERROR(VLOOKUP(D408,Cadastros!A:J,10,0),"")</f>
        <v/>
      </c>
      <c r="K408" s="177" t="str">
        <f>IF(COUNTIF(Tabela66[id],D408)=0,"",COUNTIF(Tabela66[id],D408))</f>
        <v/>
      </c>
      <c r="L408" s="198"/>
      <c r="M408" s="227" t="str">
        <f t="shared" si="30"/>
        <v/>
      </c>
      <c r="P408" s="176" t="str">
        <f>IFERROR(VLOOKUP(O408,Cadastros!A:B,2),"")</f>
        <v/>
      </c>
      <c r="Q408" s="177" t="str">
        <f t="shared" si="26"/>
        <v/>
      </c>
      <c r="R408" s="177" t="str">
        <f>IFERROR(VLOOKUP(O408,Cadastros!A:E,5,0),"")</f>
        <v/>
      </c>
      <c r="S408" s="177" t="str">
        <f>IFERROR(VLOOKUP(O408,Cadastros!A:F,6,0),"")</f>
        <v/>
      </c>
      <c r="T408" s="177" t="str">
        <f>IFERROR(VLOOKUP(O408,Cadastros!A:I,9,0),"")</f>
        <v/>
      </c>
      <c r="U408" s="177" t="str">
        <f t="shared" si="27"/>
        <v/>
      </c>
      <c r="V408" s="177" t="str">
        <f t="shared" si="28"/>
        <v/>
      </c>
      <c r="W408" s="177" t="str">
        <f t="shared" si="29"/>
        <v/>
      </c>
      <c r="Y408" s="240" t="e">
        <f t="array" ref="Y408">INDEX(Tabela.abordagens[],SMALL(IF(Tabela.abordagens[Mês]=$L$2,ROW(Tabela.abordagens[id])-2),ROW(A361)),1)</f>
        <v>#NUM!</v>
      </c>
      <c r="Z408" s="240" t="e">
        <f t="array" ref="Z408">INDEX(Tabela.abordagens[],SMALL(IF(Tabela.abordagens[Mês]=$L$2,ROW(Tabela.abordagens[Idade])-2),ROW(A361)),6)</f>
        <v>#NUM!</v>
      </c>
      <c r="AA408" s="240" t="e">
        <f t="array" ref="AA408">INDEX(Tabela.abordagens[],SMALL(IF(Tabela.abordagens[Mês]=$L$2,ROW(Tabela.abordagens[Idade])-2),ROW(A361)),4)</f>
        <v>#NUM!</v>
      </c>
      <c r="AB408" s="240" t="e">
        <f t="array" ref="AB408">INDEX(Tabela.abordagens[],SMALL(IF(Tabela.abordagens[Mês]=$L$2,ROW(Tabela.abordagens[Idade])-2),ROW(A361)),5)</f>
        <v>#NUM!</v>
      </c>
    </row>
    <row r="409" spans="2:28" ht="15" x14ac:dyDescent="0.25">
      <c r="B409" s="223" t="e">
        <f t="array" ref="B409">INDEX(Tabela.frequencia[],SMALL(IF(Tabela.frequencia[Mês]=$L$2,ROW(Tabela.frequencia[id])-1),ROW(A362)),1)</f>
        <v>#NUM!</v>
      </c>
      <c r="C409" s="229" t="e">
        <f t="array" ref="C409">INDEX(Tabela.frequencia[],SMALL(IF(Tabela.frequencia[Mês]=$L$2,ROW(Tabela.frequencia[id])-1),ROW(A362)),4)</f>
        <v>#NUM!</v>
      </c>
      <c r="E409" s="176" t="str">
        <f>IFERROR(VLOOKUP(D409,Tabela.cadastro[[ID]:[Nome]],2,0),"")</f>
        <v/>
      </c>
      <c r="F409" s="177" t="str">
        <f>IFERROR(VLOOKUP(D409,Tabela66[#All],2,0),"")</f>
        <v/>
      </c>
      <c r="G409" s="177" t="str">
        <f>IFERROR(VLOOKUP(D409,Tabela.cadastro[[ID]:[CP ou M]],5,0),"")</f>
        <v/>
      </c>
      <c r="H409" s="177" t="str">
        <f>IFERROR(VLOOKUP(D409,Cadastros!A:F,6,0),"")</f>
        <v/>
      </c>
      <c r="I409" s="177" t="str">
        <f>IFERROR(VLOOKUP(D409,Cadastros!A:I,9,0),"")</f>
        <v/>
      </c>
      <c r="J409" s="177" t="str">
        <f>IFERROR(VLOOKUP(D409,Cadastros!A:J,10,0),"")</f>
        <v/>
      </c>
      <c r="K409" s="177" t="str">
        <f>IF(COUNTIF(Tabela66[id],D409)=0,"",COUNTIF(Tabela66[id],D409))</f>
        <v/>
      </c>
      <c r="L409" s="198"/>
      <c r="M409" s="227" t="str">
        <f t="shared" si="30"/>
        <v/>
      </c>
      <c r="P409" s="176" t="str">
        <f>IFERROR(VLOOKUP(O409,Cadastros!A:B,2),"")</f>
        <v/>
      </c>
      <c r="Q409" s="177" t="str">
        <f t="shared" si="26"/>
        <v/>
      </c>
      <c r="R409" s="177" t="str">
        <f>IFERROR(VLOOKUP(O409,Cadastros!A:E,5,0),"")</f>
        <v/>
      </c>
      <c r="S409" s="177" t="str">
        <f>IFERROR(VLOOKUP(O409,Cadastros!A:F,6,0),"")</f>
        <v/>
      </c>
      <c r="T409" s="177" t="str">
        <f>IFERROR(VLOOKUP(O409,Cadastros!A:I,9,0),"")</f>
        <v/>
      </c>
      <c r="U409" s="177" t="str">
        <f t="shared" si="27"/>
        <v/>
      </c>
      <c r="V409" s="177" t="str">
        <f t="shared" si="28"/>
        <v/>
      </c>
      <c r="W409" s="177" t="str">
        <f t="shared" si="29"/>
        <v/>
      </c>
      <c r="Y409" s="240" t="e">
        <f t="array" ref="Y409">INDEX(Tabela.abordagens[],SMALL(IF(Tabela.abordagens[Mês]=$L$2,ROW(Tabela.abordagens[id])-2),ROW(A362)),1)</f>
        <v>#NUM!</v>
      </c>
      <c r="Z409" s="240" t="e">
        <f t="array" ref="Z409">INDEX(Tabela.abordagens[],SMALL(IF(Tabela.abordagens[Mês]=$L$2,ROW(Tabela.abordagens[Idade])-2),ROW(A362)),6)</f>
        <v>#NUM!</v>
      </c>
      <c r="AA409" s="240" t="e">
        <f t="array" ref="AA409">INDEX(Tabela.abordagens[],SMALL(IF(Tabela.abordagens[Mês]=$L$2,ROW(Tabela.abordagens[Idade])-2),ROW(A362)),4)</f>
        <v>#NUM!</v>
      </c>
      <c r="AB409" s="240" t="e">
        <f t="array" ref="AB409">INDEX(Tabela.abordagens[],SMALL(IF(Tabela.abordagens[Mês]=$L$2,ROW(Tabela.abordagens[Idade])-2),ROW(A362)),5)</f>
        <v>#NUM!</v>
      </c>
    </row>
    <row r="410" spans="2:28" ht="15" x14ac:dyDescent="0.25">
      <c r="B410" s="223" t="e">
        <f t="array" ref="B410">INDEX(Tabela.frequencia[],SMALL(IF(Tabela.frequencia[Mês]=$L$2,ROW(Tabela.frequencia[id])-1),ROW(A363)),1)</f>
        <v>#NUM!</v>
      </c>
      <c r="C410" s="229" t="e">
        <f t="array" ref="C410">INDEX(Tabela.frequencia[],SMALL(IF(Tabela.frequencia[Mês]=$L$2,ROW(Tabela.frequencia[id])-1),ROW(A363)),4)</f>
        <v>#NUM!</v>
      </c>
      <c r="E410" s="176" t="str">
        <f>IFERROR(VLOOKUP(D410,Tabela.cadastro[[ID]:[Nome]],2,0),"")</f>
        <v/>
      </c>
      <c r="F410" s="177" t="str">
        <f>IFERROR(VLOOKUP(D410,Tabela66[#All],2,0),"")</f>
        <v/>
      </c>
      <c r="G410" s="177" t="str">
        <f>IFERROR(VLOOKUP(D410,Tabela.cadastro[[ID]:[CP ou M]],5,0),"")</f>
        <v/>
      </c>
      <c r="H410" s="177" t="str">
        <f>IFERROR(VLOOKUP(D410,Cadastros!A:F,6,0),"")</f>
        <v/>
      </c>
      <c r="I410" s="177" t="str">
        <f>IFERROR(VLOOKUP(D410,Cadastros!A:I,9,0),"")</f>
        <v/>
      </c>
      <c r="J410" s="177" t="str">
        <f>IFERROR(VLOOKUP(D410,Cadastros!A:J,10,0),"")</f>
        <v/>
      </c>
      <c r="K410" s="177" t="str">
        <f>IF(COUNTIF(Tabela66[id],D410)=0,"",COUNTIF(Tabela66[id],D410))</f>
        <v/>
      </c>
      <c r="L410" s="198"/>
      <c r="M410" s="227" t="str">
        <f t="shared" si="30"/>
        <v/>
      </c>
      <c r="P410" s="176" t="str">
        <f>IFERROR(VLOOKUP(O410,Cadastros!A:B,2),"")</f>
        <v/>
      </c>
      <c r="Q410" s="177" t="str">
        <f t="shared" si="26"/>
        <v/>
      </c>
      <c r="R410" s="177" t="str">
        <f>IFERROR(VLOOKUP(O410,Cadastros!A:E,5,0),"")</f>
        <v/>
      </c>
      <c r="S410" s="177" t="str">
        <f>IFERROR(VLOOKUP(O410,Cadastros!A:F,6,0),"")</f>
        <v/>
      </c>
      <c r="T410" s="177" t="str">
        <f>IFERROR(VLOOKUP(O410,Cadastros!A:I,9,0),"")</f>
        <v/>
      </c>
      <c r="U410" s="177" t="str">
        <f t="shared" si="27"/>
        <v/>
      </c>
      <c r="V410" s="177" t="str">
        <f t="shared" si="28"/>
        <v/>
      </c>
      <c r="W410" s="177" t="str">
        <f t="shared" si="29"/>
        <v/>
      </c>
      <c r="Y410" s="240" t="e">
        <f t="array" ref="Y410">INDEX(Tabela.abordagens[],SMALL(IF(Tabela.abordagens[Mês]=$L$2,ROW(Tabela.abordagens[id])-2),ROW(A363)),1)</f>
        <v>#NUM!</v>
      </c>
      <c r="Z410" s="240" t="e">
        <f t="array" ref="Z410">INDEX(Tabela.abordagens[],SMALL(IF(Tabela.abordagens[Mês]=$L$2,ROW(Tabela.abordagens[Idade])-2),ROW(A363)),6)</f>
        <v>#NUM!</v>
      </c>
      <c r="AA410" s="240" t="e">
        <f t="array" ref="AA410">INDEX(Tabela.abordagens[],SMALL(IF(Tabela.abordagens[Mês]=$L$2,ROW(Tabela.abordagens[Idade])-2),ROW(A363)),4)</f>
        <v>#NUM!</v>
      </c>
      <c r="AB410" s="240" t="e">
        <f t="array" ref="AB410">INDEX(Tabela.abordagens[],SMALL(IF(Tabela.abordagens[Mês]=$L$2,ROW(Tabela.abordagens[Idade])-2),ROW(A363)),5)</f>
        <v>#NUM!</v>
      </c>
    </row>
    <row r="411" spans="2:28" ht="15" x14ac:dyDescent="0.25">
      <c r="B411" s="223" t="e">
        <f t="array" ref="B411">INDEX(Tabela.frequencia[],SMALL(IF(Tabela.frequencia[Mês]=$L$2,ROW(Tabela.frequencia[id])-1),ROW(A364)),1)</f>
        <v>#NUM!</v>
      </c>
      <c r="C411" s="229" t="e">
        <f t="array" ref="C411">INDEX(Tabela.frequencia[],SMALL(IF(Tabela.frequencia[Mês]=$L$2,ROW(Tabela.frequencia[id])-1),ROW(A364)),4)</f>
        <v>#NUM!</v>
      </c>
      <c r="E411" s="176" t="str">
        <f>IFERROR(VLOOKUP(D411,Tabela.cadastro[[ID]:[Nome]],2,0),"")</f>
        <v/>
      </c>
      <c r="F411" s="177" t="str">
        <f>IFERROR(VLOOKUP(D411,Tabela66[#All],2,0),"")</f>
        <v/>
      </c>
      <c r="G411" s="177" t="str">
        <f>IFERROR(VLOOKUP(D411,Tabela.cadastro[[ID]:[CP ou M]],5,0),"")</f>
        <v/>
      </c>
      <c r="H411" s="177" t="str">
        <f>IFERROR(VLOOKUP(D411,Cadastros!A:F,6,0),"")</f>
        <v/>
      </c>
      <c r="I411" s="177" t="str">
        <f>IFERROR(VLOOKUP(D411,Cadastros!A:I,9,0),"")</f>
        <v/>
      </c>
      <c r="J411" s="177" t="str">
        <f>IFERROR(VLOOKUP(D411,Cadastros!A:J,10,0),"")</f>
        <v/>
      </c>
      <c r="K411" s="177" t="str">
        <f>IF(COUNTIF(Tabela66[id],D411)=0,"",COUNTIF(Tabela66[id],D411))</f>
        <v/>
      </c>
      <c r="L411" s="198"/>
      <c r="M411" s="227" t="str">
        <f t="shared" si="30"/>
        <v/>
      </c>
      <c r="P411" s="176" t="str">
        <f>IFERROR(VLOOKUP(O411,Cadastros!A:B,2),"")</f>
        <v/>
      </c>
      <c r="Q411" s="177" t="str">
        <f t="shared" si="26"/>
        <v/>
      </c>
      <c r="R411" s="177" t="str">
        <f>IFERROR(VLOOKUP(O411,Cadastros!A:E,5,0),"")</f>
        <v/>
      </c>
      <c r="S411" s="177" t="str">
        <f>IFERROR(VLOOKUP(O411,Cadastros!A:F,6,0),"")</f>
        <v/>
      </c>
      <c r="T411" s="177" t="str">
        <f>IFERROR(VLOOKUP(O411,Cadastros!A:I,9,0),"")</f>
        <v/>
      </c>
      <c r="U411" s="177" t="str">
        <f t="shared" si="27"/>
        <v/>
      </c>
      <c r="V411" s="177" t="str">
        <f t="shared" si="28"/>
        <v/>
      </c>
      <c r="W411" s="177" t="str">
        <f t="shared" si="29"/>
        <v/>
      </c>
      <c r="Y411" s="240" t="e">
        <f t="array" ref="Y411">INDEX(Tabela.abordagens[],SMALL(IF(Tabela.abordagens[Mês]=$L$2,ROW(Tabela.abordagens[id])-2),ROW(A364)),1)</f>
        <v>#NUM!</v>
      </c>
      <c r="Z411" s="240" t="e">
        <f t="array" ref="Z411">INDEX(Tabela.abordagens[],SMALL(IF(Tabela.abordagens[Mês]=$L$2,ROW(Tabela.abordagens[Idade])-2),ROW(A364)),6)</f>
        <v>#NUM!</v>
      </c>
      <c r="AA411" s="240" t="e">
        <f t="array" ref="AA411">INDEX(Tabela.abordagens[],SMALL(IF(Tabela.abordagens[Mês]=$L$2,ROW(Tabela.abordagens[Idade])-2),ROW(A364)),4)</f>
        <v>#NUM!</v>
      </c>
      <c r="AB411" s="240" t="e">
        <f t="array" ref="AB411">INDEX(Tabela.abordagens[],SMALL(IF(Tabela.abordagens[Mês]=$L$2,ROW(Tabela.abordagens[Idade])-2),ROW(A364)),5)</f>
        <v>#NUM!</v>
      </c>
    </row>
    <row r="412" spans="2:28" ht="15" x14ac:dyDescent="0.25">
      <c r="B412" s="223" t="e">
        <f t="array" ref="B412">INDEX(Tabela.frequencia[],SMALL(IF(Tabela.frequencia[Mês]=$L$2,ROW(Tabela.frequencia[id])-1),ROW(A365)),1)</f>
        <v>#NUM!</v>
      </c>
      <c r="C412" s="229" t="e">
        <f t="array" ref="C412">INDEX(Tabela.frequencia[],SMALL(IF(Tabela.frequencia[Mês]=$L$2,ROW(Tabela.frequencia[id])-1),ROW(A365)),4)</f>
        <v>#NUM!</v>
      </c>
      <c r="E412" s="176" t="str">
        <f>IFERROR(VLOOKUP(D412,Tabela.cadastro[[ID]:[Nome]],2,0),"")</f>
        <v/>
      </c>
      <c r="F412" s="177" t="str">
        <f>IFERROR(VLOOKUP(D412,Tabela66[#All],2,0),"")</f>
        <v/>
      </c>
      <c r="G412" s="177" t="str">
        <f>IFERROR(VLOOKUP(D412,Tabela.cadastro[[ID]:[CP ou M]],5,0),"")</f>
        <v/>
      </c>
      <c r="H412" s="177" t="str">
        <f>IFERROR(VLOOKUP(D412,Cadastros!A:F,6,0),"")</f>
        <v/>
      </c>
      <c r="I412" s="177" t="str">
        <f>IFERROR(VLOOKUP(D412,Cadastros!A:I,9,0),"")</f>
        <v/>
      </c>
      <c r="J412" s="177" t="str">
        <f>IFERROR(VLOOKUP(D412,Cadastros!A:J,10,0),"")</f>
        <v/>
      </c>
      <c r="K412" s="177" t="str">
        <f>IF(COUNTIF(Tabela66[id],D412)=0,"",COUNTIF(Tabela66[id],D412))</f>
        <v/>
      </c>
      <c r="L412" s="198"/>
      <c r="M412" s="227" t="str">
        <f t="shared" si="30"/>
        <v/>
      </c>
      <c r="P412" s="176" t="str">
        <f>IFERROR(VLOOKUP(O412,Cadastros!A:B,2),"")</f>
        <v/>
      </c>
      <c r="Q412" s="177" t="str">
        <f t="shared" si="26"/>
        <v/>
      </c>
      <c r="R412" s="177" t="str">
        <f>IFERROR(VLOOKUP(O412,Cadastros!A:E,5,0),"")</f>
        <v/>
      </c>
      <c r="S412" s="177" t="str">
        <f>IFERROR(VLOOKUP(O412,Cadastros!A:F,6,0),"")</f>
        <v/>
      </c>
      <c r="T412" s="177" t="str">
        <f>IFERROR(VLOOKUP(O412,Cadastros!A:I,9,0),"")</f>
        <v/>
      </c>
      <c r="U412" s="177" t="str">
        <f t="shared" si="27"/>
        <v/>
      </c>
      <c r="V412" s="177" t="str">
        <f t="shared" si="28"/>
        <v/>
      </c>
      <c r="W412" s="177" t="str">
        <f t="shared" si="29"/>
        <v/>
      </c>
      <c r="Y412" s="240" t="e">
        <f t="array" ref="Y412">INDEX(Tabela.abordagens[],SMALL(IF(Tabela.abordagens[Mês]=$L$2,ROW(Tabela.abordagens[id])-2),ROW(A365)),1)</f>
        <v>#NUM!</v>
      </c>
      <c r="Z412" s="240" t="e">
        <f t="array" ref="Z412">INDEX(Tabela.abordagens[],SMALL(IF(Tabela.abordagens[Mês]=$L$2,ROW(Tabela.abordagens[Idade])-2),ROW(A365)),6)</f>
        <v>#NUM!</v>
      </c>
      <c r="AA412" s="240" t="e">
        <f t="array" ref="AA412">INDEX(Tabela.abordagens[],SMALL(IF(Tabela.abordagens[Mês]=$L$2,ROW(Tabela.abordagens[Idade])-2),ROW(A365)),4)</f>
        <v>#NUM!</v>
      </c>
      <c r="AB412" s="240" t="e">
        <f t="array" ref="AB412">INDEX(Tabela.abordagens[],SMALL(IF(Tabela.abordagens[Mês]=$L$2,ROW(Tabela.abordagens[Idade])-2),ROW(A365)),5)</f>
        <v>#NUM!</v>
      </c>
    </row>
    <row r="413" spans="2:28" ht="15" x14ac:dyDescent="0.25">
      <c r="B413" s="223" t="e">
        <f t="array" ref="B413">INDEX(Tabela.frequencia[],SMALL(IF(Tabela.frequencia[Mês]=$L$2,ROW(Tabela.frequencia[id])-1),ROW(A366)),1)</f>
        <v>#NUM!</v>
      </c>
      <c r="C413" s="229" t="e">
        <f t="array" ref="C413">INDEX(Tabela.frequencia[],SMALL(IF(Tabela.frequencia[Mês]=$L$2,ROW(Tabela.frequencia[id])-1),ROW(A366)),4)</f>
        <v>#NUM!</v>
      </c>
      <c r="E413" s="176" t="str">
        <f>IFERROR(VLOOKUP(D413,Tabela.cadastro[[ID]:[Nome]],2,0),"")</f>
        <v/>
      </c>
      <c r="F413" s="177" t="str">
        <f>IFERROR(VLOOKUP(D413,Tabela66[#All],2,0),"")</f>
        <v/>
      </c>
      <c r="G413" s="177" t="str">
        <f>IFERROR(VLOOKUP(D413,Tabela.cadastro[[ID]:[CP ou M]],5,0),"")</f>
        <v/>
      </c>
      <c r="H413" s="177" t="str">
        <f>IFERROR(VLOOKUP(D413,Cadastros!A:F,6,0),"")</f>
        <v/>
      </c>
      <c r="I413" s="177" t="str">
        <f>IFERROR(VLOOKUP(D413,Cadastros!A:I,9,0),"")</f>
        <v/>
      </c>
      <c r="J413" s="177" t="str">
        <f>IFERROR(VLOOKUP(D413,Cadastros!A:J,10,0),"")</f>
        <v/>
      </c>
      <c r="K413" s="177" t="str">
        <f>IF(COUNTIF(Tabela66[id],D413)=0,"",COUNTIF(Tabela66[id],D413))</f>
        <v/>
      </c>
      <c r="L413" s="198"/>
      <c r="M413" s="227" t="str">
        <f t="shared" si="30"/>
        <v/>
      </c>
      <c r="P413" s="176" t="str">
        <f>IFERROR(VLOOKUP(O413,Cadastros!A:B,2),"")</f>
        <v/>
      </c>
      <c r="Q413" s="177" t="str">
        <f t="shared" si="26"/>
        <v/>
      </c>
      <c r="R413" s="177" t="str">
        <f>IFERROR(VLOOKUP(O413,Cadastros!A:E,5,0),"")</f>
        <v/>
      </c>
      <c r="S413" s="177" t="str">
        <f>IFERROR(VLOOKUP(O413,Cadastros!A:F,6,0),"")</f>
        <v/>
      </c>
      <c r="T413" s="177" t="str">
        <f>IFERROR(VLOOKUP(O413,Cadastros!A:I,9,0),"")</f>
        <v/>
      </c>
      <c r="U413" s="177" t="str">
        <f t="shared" si="27"/>
        <v/>
      </c>
      <c r="V413" s="177" t="str">
        <f t="shared" si="28"/>
        <v/>
      </c>
      <c r="W413" s="177" t="str">
        <f t="shared" si="29"/>
        <v/>
      </c>
      <c r="Y413" s="240" t="e">
        <f t="array" ref="Y413">INDEX(Tabela.abordagens[],SMALL(IF(Tabela.abordagens[Mês]=$L$2,ROW(Tabela.abordagens[id])-2),ROW(A366)),1)</f>
        <v>#NUM!</v>
      </c>
      <c r="Z413" s="240" t="e">
        <f t="array" ref="Z413">INDEX(Tabela.abordagens[],SMALL(IF(Tabela.abordagens[Mês]=$L$2,ROW(Tabela.abordagens[Idade])-2),ROW(A366)),6)</f>
        <v>#NUM!</v>
      </c>
      <c r="AA413" s="240" t="e">
        <f t="array" ref="AA413">INDEX(Tabela.abordagens[],SMALL(IF(Tabela.abordagens[Mês]=$L$2,ROW(Tabela.abordagens[Idade])-2),ROW(A366)),4)</f>
        <v>#NUM!</v>
      </c>
      <c r="AB413" s="240" t="e">
        <f t="array" ref="AB413">INDEX(Tabela.abordagens[],SMALL(IF(Tabela.abordagens[Mês]=$L$2,ROW(Tabela.abordagens[Idade])-2),ROW(A366)),5)</f>
        <v>#NUM!</v>
      </c>
    </row>
    <row r="414" spans="2:28" ht="15" x14ac:dyDescent="0.25">
      <c r="B414" s="223" t="e">
        <f t="array" ref="B414">INDEX(Tabela.frequencia[],SMALL(IF(Tabela.frequencia[Mês]=$L$2,ROW(Tabela.frequencia[id])-1),ROW(A367)),1)</f>
        <v>#NUM!</v>
      </c>
      <c r="C414" s="229" t="e">
        <f t="array" ref="C414">INDEX(Tabela.frequencia[],SMALL(IF(Tabela.frequencia[Mês]=$L$2,ROW(Tabela.frequencia[id])-1),ROW(A367)),4)</f>
        <v>#NUM!</v>
      </c>
      <c r="E414" s="176" t="str">
        <f>IFERROR(VLOOKUP(D414,Tabela.cadastro[[ID]:[Nome]],2,0),"")</f>
        <v/>
      </c>
      <c r="F414" s="177" t="str">
        <f>IFERROR(VLOOKUP(D414,Tabela66[#All],2,0),"")</f>
        <v/>
      </c>
      <c r="G414" s="177" t="str">
        <f>IFERROR(VLOOKUP(D414,Tabela.cadastro[[ID]:[CP ou M]],5,0),"")</f>
        <v/>
      </c>
      <c r="H414" s="177" t="str">
        <f>IFERROR(VLOOKUP(D414,Cadastros!A:F,6,0),"")</f>
        <v/>
      </c>
      <c r="I414" s="177" t="str">
        <f>IFERROR(VLOOKUP(D414,Cadastros!A:I,9,0),"")</f>
        <v/>
      </c>
      <c r="J414" s="177" t="str">
        <f>IFERROR(VLOOKUP(D414,Cadastros!A:J,10,0),"")</f>
        <v/>
      </c>
      <c r="K414" s="177" t="str">
        <f>IF(COUNTIF(Tabela66[id],D414)=0,"",COUNTIF(Tabela66[id],D414))</f>
        <v/>
      </c>
      <c r="L414" s="198"/>
      <c r="M414" s="227" t="str">
        <f t="shared" si="30"/>
        <v/>
      </c>
      <c r="P414" s="176" t="str">
        <f>IFERROR(VLOOKUP(O414,Cadastros!A:B,2),"")</f>
        <v/>
      </c>
      <c r="Q414" s="177" t="str">
        <f t="shared" si="26"/>
        <v/>
      </c>
      <c r="R414" s="177" t="str">
        <f>IFERROR(VLOOKUP(O414,Cadastros!A:E,5,0),"")</f>
        <v/>
      </c>
      <c r="S414" s="177" t="str">
        <f>IFERROR(VLOOKUP(O414,Cadastros!A:F,6,0),"")</f>
        <v/>
      </c>
      <c r="T414" s="177" t="str">
        <f>IFERROR(VLOOKUP(O414,Cadastros!A:I,9,0),"")</f>
        <v/>
      </c>
      <c r="U414" s="177" t="str">
        <f t="shared" si="27"/>
        <v/>
      </c>
      <c r="V414" s="177" t="str">
        <f t="shared" si="28"/>
        <v/>
      </c>
      <c r="W414" s="177" t="str">
        <f t="shared" si="29"/>
        <v/>
      </c>
      <c r="Y414" s="240" t="e">
        <f t="array" ref="Y414">INDEX(Tabela.abordagens[],SMALL(IF(Tabela.abordagens[Mês]=$L$2,ROW(Tabela.abordagens[id])-2),ROW(A367)),1)</f>
        <v>#NUM!</v>
      </c>
      <c r="Z414" s="240" t="e">
        <f t="array" ref="Z414">INDEX(Tabela.abordagens[],SMALL(IF(Tabela.abordagens[Mês]=$L$2,ROW(Tabela.abordagens[Idade])-2),ROW(A367)),6)</f>
        <v>#NUM!</v>
      </c>
      <c r="AA414" s="240" t="e">
        <f t="array" ref="AA414">INDEX(Tabela.abordagens[],SMALL(IF(Tabela.abordagens[Mês]=$L$2,ROW(Tabela.abordagens[Idade])-2),ROW(A367)),4)</f>
        <v>#NUM!</v>
      </c>
      <c r="AB414" s="240" t="e">
        <f t="array" ref="AB414">INDEX(Tabela.abordagens[],SMALL(IF(Tabela.abordagens[Mês]=$L$2,ROW(Tabela.abordagens[Idade])-2),ROW(A367)),5)</f>
        <v>#NUM!</v>
      </c>
    </row>
    <row r="415" spans="2:28" ht="15" x14ac:dyDescent="0.25">
      <c r="B415" s="223" t="e">
        <f t="array" ref="B415">INDEX(Tabela.frequencia[],SMALL(IF(Tabela.frequencia[Mês]=$L$2,ROW(Tabela.frequencia[id])-1),ROW(A368)),1)</f>
        <v>#NUM!</v>
      </c>
      <c r="C415" s="229" t="e">
        <f t="array" ref="C415">INDEX(Tabela.frequencia[],SMALL(IF(Tabela.frequencia[Mês]=$L$2,ROW(Tabela.frequencia[id])-1),ROW(A368)),4)</f>
        <v>#NUM!</v>
      </c>
      <c r="E415" s="176" t="str">
        <f>IFERROR(VLOOKUP(D415,Tabela.cadastro[[ID]:[Nome]],2,0),"")</f>
        <v/>
      </c>
      <c r="F415" s="177" t="str">
        <f>IFERROR(VLOOKUP(D415,Tabela66[#All],2,0),"")</f>
        <v/>
      </c>
      <c r="G415" s="177" t="str">
        <f>IFERROR(VLOOKUP(D415,Tabela.cadastro[[ID]:[CP ou M]],5,0),"")</f>
        <v/>
      </c>
      <c r="H415" s="177" t="str">
        <f>IFERROR(VLOOKUP(D415,Cadastros!A:F,6,0),"")</f>
        <v/>
      </c>
      <c r="I415" s="177" t="str">
        <f>IFERROR(VLOOKUP(D415,Cadastros!A:I,9,0),"")</f>
        <v/>
      </c>
      <c r="J415" s="177" t="str">
        <f>IFERROR(VLOOKUP(D415,Cadastros!A:J,10,0),"")</f>
        <v/>
      </c>
      <c r="K415" s="177" t="str">
        <f>IF(COUNTIF(Tabela66[id],D415)=0,"",COUNTIF(Tabela66[id],D415))</f>
        <v/>
      </c>
      <c r="L415" s="198"/>
      <c r="M415" s="227" t="str">
        <f t="shared" si="30"/>
        <v/>
      </c>
      <c r="P415" s="176" t="str">
        <f>IFERROR(VLOOKUP(O415,Cadastros!A:B,2),"")</f>
        <v/>
      </c>
      <c r="Q415" s="177" t="str">
        <f t="shared" si="26"/>
        <v/>
      </c>
      <c r="R415" s="177" t="str">
        <f>IFERROR(VLOOKUP(O415,Cadastros!A:E,5,0),"")</f>
        <v/>
      </c>
      <c r="S415" s="177" t="str">
        <f>IFERROR(VLOOKUP(O415,Cadastros!A:F,6,0),"")</f>
        <v/>
      </c>
      <c r="T415" s="177" t="str">
        <f>IFERROR(VLOOKUP(O415,Cadastros!A:I,9,0),"")</f>
        <v/>
      </c>
      <c r="U415" s="177" t="str">
        <f t="shared" si="27"/>
        <v/>
      </c>
      <c r="V415" s="177" t="str">
        <f t="shared" si="28"/>
        <v/>
      </c>
      <c r="W415" s="177" t="str">
        <f t="shared" si="29"/>
        <v/>
      </c>
      <c r="Y415" s="240" t="e">
        <f t="array" ref="Y415">INDEX(Tabela.abordagens[],SMALL(IF(Tabela.abordagens[Mês]=$L$2,ROW(Tabela.abordagens[id])-2),ROW(A368)),1)</f>
        <v>#NUM!</v>
      </c>
      <c r="Z415" s="240" t="e">
        <f t="array" ref="Z415">INDEX(Tabela.abordagens[],SMALL(IF(Tabela.abordagens[Mês]=$L$2,ROW(Tabela.abordagens[Idade])-2),ROW(A368)),6)</f>
        <v>#NUM!</v>
      </c>
      <c r="AA415" s="240" t="e">
        <f t="array" ref="AA415">INDEX(Tabela.abordagens[],SMALL(IF(Tabela.abordagens[Mês]=$L$2,ROW(Tabela.abordagens[Idade])-2),ROW(A368)),4)</f>
        <v>#NUM!</v>
      </c>
      <c r="AB415" s="240" t="e">
        <f t="array" ref="AB415">INDEX(Tabela.abordagens[],SMALL(IF(Tabela.abordagens[Mês]=$L$2,ROW(Tabela.abordagens[Idade])-2),ROW(A368)),5)</f>
        <v>#NUM!</v>
      </c>
    </row>
    <row r="416" spans="2:28" ht="15" x14ac:dyDescent="0.25">
      <c r="B416" s="223" t="e">
        <f t="array" ref="B416">INDEX(Tabela.frequencia[],SMALL(IF(Tabela.frequencia[Mês]=$L$2,ROW(Tabela.frequencia[id])-1),ROW(A369)),1)</f>
        <v>#NUM!</v>
      </c>
      <c r="C416" s="229" t="e">
        <f t="array" ref="C416">INDEX(Tabela.frequencia[],SMALL(IF(Tabela.frequencia[Mês]=$L$2,ROW(Tabela.frequencia[id])-1),ROW(A369)),4)</f>
        <v>#NUM!</v>
      </c>
      <c r="E416" s="176" t="str">
        <f>IFERROR(VLOOKUP(D416,Tabela.cadastro[[ID]:[Nome]],2,0),"")</f>
        <v/>
      </c>
      <c r="F416" s="177" t="str">
        <f>IFERROR(VLOOKUP(D416,Tabela66[#All],2,0),"")</f>
        <v/>
      </c>
      <c r="G416" s="177" t="str">
        <f>IFERROR(VLOOKUP(D416,Tabela.cadastro[[ID]:[CP ou M]],5,0),"")</f>
        <v/>
      </c>
      <c r="H416" s="177" t="str">
        <f>IFERROR(VLOOKUP(D416,Cadastros!A:F,6,0),"")</f>
        <v/>
      </c>
      <c r="I416" s="177" t="str">
        <f>IFERROR(VLOOKUP(D416,Cadastros!A:I,9,0),"")</f>
        <v/>
      </c>
      <c r="J416" s="177" t="str">
        <f>IFERROR(VLOOKUP(D416,Cadastros!A:J,10,0),"")</f>
        <v/>
      </c>
      <c r="K416" s="177" t="str">
        <f>IF(COUNTIF(Tabela66[id],D416)=0,"",COUNTIF(Tabela66[id],D416))</f>
        <v/>
      </c>
      <c r="L416" s="198"/>
      <c r="M416" s="227" t="str">
        <f t="shared" si="30"/>
        <v/>
      </c>
      <c r="P416" s="176" t="str">
        <f>IFERROR(VLOOKUP(O416,Cadastros!A:B,2),"")</f>
        <v/>
      </c>
      <c r="Q416" s="177" t="str">
        <f t="shared" si="26"/>
        <v/>
      </c>
      <c r="R416" s="177" t="str">
        <f>IFERROR(VLOOKUP(O416,Cadastros!A:E,5,0),"")</f>
        <v/>
      </c>
      <c r="S416" s="177" t="str">
        <f>IFERROR(VLOOKUP(O416,Cadastros!A:F,6,0),"")</f>
        <v/>
      </c>
      <c r="T416" s="177" t="str">
        <f>IFERROR(VLOOKUP(O416,Cadastros!A:I,9,0),"")</f>
        <v/>
      </c>
      <c r="U416" s="177" t="str">
        <f t="shared" si="27"/>
        <v/>
      </c>
      <c r="V416" s="177" t="str">
        <f t="shared" si="28"/>
        <v/>
      </c>
      <c r="W416" s="177" t="str">
        <f t="shared" si="29"/>
        <v/>
      </c>
      <c r="Y416" s="240" t="e">
        <f t="array" ref="Y416">INDEX(Tabela.abordagens[],SMALL(IF(Tabela.abordagens[Mês]=$L$2,ROW(Tabela.abordagens[id])-2),ROW(A369)),1)</f>
        <v>#NUM!</v>
      </c>
      <c r="Z416" s="240" t="e">
        <f t="array" ref="Z416">INDEX(Tabela.abordagens[],SMALL(IF(Tabela.abordagens[Mês]=$L$2,ROW(Tabela.abordagens[Idade])-2),ROW(A369)),6)</f>
        <v>#NUM!</v>
      </c>
      <c r="AA416" s="240" t="e">
        <f t="array" ref="AA416">INDEX(Tabela.abordagens[],SMALL(IF(Tabela.abordagens[Mês]=$L$2,ROW(Tabela.abordagens[Idade])-2),ROW(A369)),4)</f>
        <v>#NUM!</v>
      </c>
      <c r="AB416" s="240" t="e">
        <f t="array" ref="AB416">INDEX(Tabela.abordagens[],SMALL(IF(Tabela.abordagens[Mês]=$L$2,ROW(Tabela.abordagens[Idade])-2),ROW(A369)),5)</f>
        <v>#NUM!</v>
      </c>
    </row>
    <row r="417" spans="2:28" ht="15" x14ac:dyDescent="0.25">
      <c r="B417" s="223" t="e">
        <f t="array" ref="B417">INDEX(Tabela.frequencia[],SMALL(IF(Tabela.frequencia[Mês]=$L$2,ROW(Tabela.frequencia[id])-1),ROW(A370)),1)</f>
        <v>#NUM!</v>
      </c>
      <c r="C417" s="229" t="e">
        <f t="array" ref="C417">INDEX(Tabela.frequencia[],SMALL(IF(Tabela.frequencia[Mês]=$L$2,ROW(Tabela.frequencia[id])-1),ROW(A370)),4)</f>
        <v>#NUM!</v>
      </c>
      <c r="E417" s="176" t="str">
        <f>IFERROR(VLOOKUP(D417,Tabela.cadastro[[ID]:[Nome]],2,0),"")</f>
        <v/>
      </c>
      <c r="F417" s="177" t="str">
        <f>IFERROR(VLOOKUP(D417,Tabela66[#All],2,0),"")</f>
        <v/>
      </c>
      <c r="G417" s="177" t="str">
        <f>IFERROR(VLOOKUP(D417,Tabela.cadastro[[ID]:[CP ou M]],5,0),"")</f>
        <v/>
      </c>
      <c r="H417" s="177" t="str">
        <f>IFERROR(VLOOKUP(D417,Cadastros!A:F,6,0),"")</f>
        <v/>
      </c>
      <c r="I417" s="177" t="str">
        <f>IFERROR(VLOOKUP(D417,Cadastros!A:I,9,0),"")</f>
        <v/>
      </c>
      <c r="J417" s="177" t="str">
        <f>IFERROR(VLOOKUP(D417,Cadastros!A:J,10,0),"")</f>
        <v/>
      </c>
      <c r="K417" s="177" t="str">
        <f>IF(COUNTIF(Tabela66[id],D417)=0,"",COUNTIF(Tabela66[id],D417))</f>
        <v/>
      </c>
      <c r="L417" s="198"/>
      <c r="M417" s="227" t="str">
        <f t="shared" si="30"/>
        <v/>
      </c>
      <c r="P417" s="176" t="str">
        <f>IFERROR(VLOOKUP(O417,Cadastros!A:B,2),"")</f>
        <v/>
      </c>
      <c r="Q417" s="177" t="str">
        <f t="shared" si="26"/>
        <v/>
      </c>
      <c r="R417" s="177" t="str">
        <f>IFERROR(VLOOKUP(O417,Cadastros!A:E,5,0),"")</f>
        <v/>
      </c>
      <c r="S417" s="177" t="str">
        <f>IFERROR(VLOOKUP(O417,Cadastros!A:F,6,0),"")</f>
        <v/>
      </c>
      <c r="T417" s="177" t="str">
        <f>IFERROR(VLOOKUP(O417,Cadastros!A:I,9,0),"")</f>
        <v/>
      </c>
      <c r="U417" s="177" t="str">
        <f t="shared" si="27"/>
        <v/>
      </c>
      <c r="V417" s="177" t="str">
        <f t="shared" si="28"/>
        <v/>
      </c>
      <c r="W417" s="177" t="str">
        <f t="shared" si="29"/>
        <v/>
      </c>
      <c r="Y417" s="240" t="e">
        <f t="array" ref="Y417">INDEX(Tabela.abordagens[],SMALL(IF(Tabela.abordagens[Mês]=$L$2,ROW(Tabela.abordagens[id])-2),ROW(A370)),1)</f>
        <v>#NUM!</v>
      </c>
      <c r="Z417" s="240" t="e">
        <f t="array" ref="Z417">INDEX(Tabela.abordagens[],SMALL(IF(Tabela.abordagens[Mês]=$L$2,ROW(Tabela.abordagens[Idade])-2),ROW(A370)),6)</f>
        <v>#NUM!</v>
      </c>
      <c r="AA417" s="240" t="e">
        <f t="array" ref="AA417">INDEX(Tabela.abordagens[],SMALL(IF(Tabela.abordagens[Mês]=$L$2,ROW(Tabela.abordagens[Idade])-2),ROW(A370)),4)</f>
        <v>#NUM!</v>
      </c>
      <c r="AB417" s="240" t="e">
        <f t="array" ref="AB417">INDEX(Tabela.abordagens[],SMALL(IF(Tabela.abordagens[Mês]=$L$2,ROW(Tabela.abordagens[Idade])-2),ROW(A370)),5)</f>
        <v>#NUM!</v>
      </c>
    </row>
    <row r="418" spans="2:28" ht="15" x14ac:dyDescent="0.25">
      <c r="B418" s="223" t="e">
        <f t="array" ref="B418">INDEX(Tabela.frequencia[],SMALL(IF(Tabela.frequencia[Mês]=$L$2,ROW(Tabela.frequencia[id])-1),ROW(A371)),1)</f>
        <v>#NUM!</v>
      </c>
      <c r="C418" s="229" t="e">
        <f t="array" ref="C418">INDEX(Tabela.frequencia[],SMALL(IF(Tabela.frequencia[Mês]=$L$2,ROW(Tabela.frequencia[id])-1),ROW(A371)),4)</f>
        <v>#NUM!</v>
      </c>
      <c r="E418" s="176" t="str">
        <f>IFERROR(VLOOKUP(D418,Tabela.cadastro[[ID]:[Nome]],2,0),"")</f>
        <v/>
      </c>
      <c r="F418" s="177" t="str">
        <f>IFERROR(VLOOKUP(D418,Tabela66[#All],2,0),"")</f>
        <v/>
      </c>
      <c r="G418" s="177" t="str">
        <f>IFERROR(VLOOKUP(D418,Tabela.cadastro[[ID]:[CP ou M]],5,0),"")</f>
        <v/>
      </c>
      <c r="H418" s="177" t="str">
        <f>IFERROR(VLOOKUP(D418,Cadastros!A:F,6,0),"")</f>
        <v/>
      </c>
      <c r="I418" s="177" t="str">
        <f>IFERROR(VLOOKUP(D418,Cadastros!A:I,9,0),"")</f>
        <v/>
      </c>
      <c r="J418" s="177" t="str">
        <f>IFERROR(VLOOKUP(D418,Cadastros!A:J,10,0),"")</f>
        <v/>
      </c>
      <c r="K418" s="177" t="str">
        <f>IF(COUNTIF(Tabela66[id],D418)=0,"",COUNTIF(Tabela66[id],D418))</f>
        <v/>
      </c>
      <c r="L418" s="198"/>
      <c r="M418" s="227" t="str">
        <f t="shared" si="30"/>
        <v/>
      </c>
      <c r="P418" s="176" t="str">
        <f>IFERROR(VLOOKUP(O418,Cadastros!A:B,2),"")</f>
        <v/>
      </c>
      <c r="Q418" s="177" t="str">
        <f t="shared" ref="Q418:Q481" si="31">IFERROR(VLOOKUP(O418,$Y$33:$Z$866,2,0),"")</f>
        <v/>
      </c>
      <c r="R418" s="177" t="str">
        <f>IFERROR(VLOOKUP(O418,Cadastros!A:E,5,0),"")</f>
        <v/>
      </c>
      <c r="S418" s="177" t="str">
        <f>IFERROR(VLOOKUP(O418,Cadastros!A:F,6,0),"")</f>
        <v/>
      </c>
      <c r="T418" s="177" t="str">
        <f>IFERROR(VLOOKUP(O418,Cadastros!A:I,9,0),"")</f>
        <v/>
      </c>
      <c r="U418" s="177" t="str">
        <f t="shared" ref="U418:U481" si="32">IFERROR(VLOOKUP(O418,Y$33:AB$866,3,0),"")</f>
        <v/>
      </c>
      <c r="V418" s="177" t="str">
        <f t="shared" ref="V418:V481" si="33">IFERROR(VLOOKUP(O418,Y$33:AB$866,4,0),"")</f>
        <v/>
      </c>
      <c r="W418" s="177" t="str">
        <f t="shared" ref="W418:W481" si="34">IF(COUNTIF(Y$33:Y$866,O418)=0,"",COUNTIF(Y$33:Y$866,O418))</f>
        <v/>
      </c>
      <c r="Y418" s="240" t="e">
        <f t="array" ref="Y418">INDEX(Tabela.abordagens[],SMALL(IF(Tabela.abordagens[Mês]=$L$2,ROW(Tabela.abordagens[id])-2),ROW(A371)),1)</f>
        <v>#NUM!</v>
      </c>
      <c r="Z418" s="240" t="e">
        <f t="array" ref="Z418">INDEX(Tabela.abordagens[],SMALL(IF(Tabela.abordagens[Mês]=$L$2,ROW(Tabela.abordagens[Idade])-2),ROW(A371)),6)</f>
        <v>#NUM!</v>
      </c>
      <c r="AA418" s="240" t="e">
        <f t="array" ref="AA418">INDEX(Tabela.abordagens[],SMALL(IF(Tabela.abordagens[Mês]=$L$2,ROW(Tabela.abordagens[Idade])-2),ROW(A371)),4)</f>
        <v>#NUM!</v>
      </c>
      <c r="AB418" s="240" t="e">
        <f t="array" ref="AB418">INDEX(Tabela.abordagens[],SMALL(IF(Tabela.abordagens[Mês]=$L$2,ROW(Tabela.abordagens[Idade])-2),ROW(A371)),5)</f>
        <v>#NUM!</v>
      </c>
    </row>
    <row r="419" spans="2:28" ht="15" x14ac:dyDescent="0.25">
      <c r="B419" s="223" t="e">
        <f t="array" ref="B419">INDEX(Tabela.frequencia[],SMALL(IF(Tabela.frequencia[Mês]=$L$2,ROW(Tabela.frequencia[id])-1),ROW(A372)),1)</f>
        <v>#NUM!</v>
      </c>
      <c r="C419" s="229" t="e">
        <f t="array" ref="C419">INDEX(Tabela.frequencia[],SMALL(IF(Tabela.frequencia[Mês]=$L$2,ROW(Tabela.frequencia[id])-1),ROW(A372)),4)</f>
        <v>#NUM!</v>
      </c>
      <c r="E419" s="176" t="str">
        <f>IFERROR(VLOOKUP(D419,Tabela.cadastro[[ID]:[Nome]],2,0),"")</f>
        <v/>
      </c>
      <c r="F419" s="177" t="str">
        <f>IFERROR(VLOOKUP(D419,Tabela66[#All],2,0),"")</f>
        <v/>
      </c>
      <c r="G419" s="177" t="str">
        <f>IFERROR(VLOOKUP(D419,Tabela.cadastro[[ID]:[CP ou M]],5,0),"")</f>
        <v/>
      </c>
      <c r="H419" s="177" t="str">
        <f>IFERROR(VLOOKUP(D419,Cadastros!A:F,6,0),"")</f>
        <v/>
      </c>
      <c r="I419" s="177" t="str">
        <f>IFERROR(VLOOKUP(D419,Cadastros!A:I,9,0),"")</f>
        <v/>
      </c>
      <c r="J419" s="177" t="str">
        <f>IFERROR(VLOOKUP(D419,Cadastros!A:J,10,0),"")</f>
        <v/>
      </c>
      <c r="K419" s="177" t="str">
        <f>IF(COUNTIF(Tabela66[id],D419)=0,"",COUNTIF(Tabela66[id],D419))</f>
        <v/>
      </c>
      <c r="L419" s="198"/>
      <c r="M419" s="227" t="str">
        <f t="shared" si="30"/>
        <v/>
      </c>
      <c r="P419" s="176" t="str">
        <f>IFERROR(VLOOKUP(O419,Cadastros!A:B,2),"")</f>
        <v/>
      </c>
      <c r="Q419" s="177" t="str">
        <f t="shared" si="31"/>
        <v/>
      </c>
      <c r="R419" s="177" t="str">
        <f>IFERROR(VLOOKUP(O419,Cadastros!A:E,5,0),"")</f>
        <v/>
      </c>
      <c r="S419" s="177" t="str">
        <f>IFERROR(VLOOKUP(O419,Cadastros!A:F,6,0),"")</f>
        <v/>
      </c>
      <c r="T419" s="177" t="str">
        <f>IFERROR(VLOOKUP(O419,Cadastros!A:I,9,0),"")</f>
        <v/>
      </c>
      <c r="U419" s="177" t="str">
        <f t="shared" si="32"/>
        <v/>
      </c>
      <c r="V419" s="177" t="str">
        <f t="shared" si="33"/>
        <v/>
      </c>
      <c r="W419" s="177" t="str">
        <f t="shared" si="34"/>
        <v/>
      </c>
      <c r="Y419" s="240" t="e">
        <f t="array" ref="Y419">INDEX(Tabela.abordagens[],SMALL(IF(Tabela.abordagens[Mês]=$L$2,ROW(Tabela.abordagens[id])-2),ROW(A372)),1)</f>
        <v>#NUM!</v>
      </c>
      <c r="Z419" s="240" t="e">
        <f t="array" ref="Z419">INDEX(Tabela.abordagens[],SMALL(IF(Tabela.abordagens[Mês]=$L$2,ROW(Tabela.abordagens[Idade])-2),ROW(A372)),6)</f>
        <v>#NUM!</v>
      </c>
      <c r="AA419" s="240" t="e">
        <f t="array" ref="AA419">INDEX(Tabela.abordagens[],SMALL(IF(Tabela.abordagens[Mês]=$L$2,ROW(Tabela.abordagens[Idade])-2),ROW(A372)),4)</f>
        <v>#NUM!</v>
      </c>
      <c r="AB419" s="240" t="e">
        <f t="array" ref="AB419">INDEX(Tabela.abordagens[],SMALL(IF(Tabela.abordagens[Mês]=$L$2,ROW(Tabela.abordagens[Idade])-2),ROW(A372)),5)</f>
        <v>#NUM!</v>
      </c>
    </row>
    <row r="420" spans="2:28" ht="15" x14ac:dyDescent="0.25">
      <c r="B420" s="223" t="e">
        <f t="array" ref="B420">INDEX(Tabela.frequencia[],SMALL(IF(Tabela.frequencia[Mês]=$L$2,ROW(Tabela.frequencia[id])-1),ROW(A373)),1)</f>
        <v>#NUM!</v>
      </c>
      <c r="C420" s="229" t="e">
        <f t="array" ref="C420">INDEX(Tabela.frequencia[],SMALL(IF(Tabela.frequencia[Mês]=$L$2,ROW(Tabela.frequencia[id])-1),ROW(A373)),4)</f>
        <v>#NUM!</v>
      </c>
      <c r="E420" s="176" t="str">
        <f>IFERROR(VLOOKUP(D420,Tabela.cadastro[[ID]:[Nome]],2,0),"")</f>
        <v/>
      </c>
      <c r="F420" s="177" t="str">
        <f>IFERROR(VLOOKUP(D420,Tabela66[#All],2,0),"")</f>
        <v/>
      </c>
      <c r="G420" s="177" t="str">
        <f>IFERROR(VLOOKUP(D420,Tabela.cadastro[[ID]:[CP ou M]],5,0),"")</f>
        <v/>
      </c>
      <c r="H420" s="177" t="str">
        <f>IFERROR(VLOOKUP(D420,Cadastros!A:F,6,0),"")</f>
        <v/>
      </c>
      <c r="I420" s="177" t="str">
        <f>IFERROR(VLOOKUP(D420,Cadastros!A:I,9,0),"")</f>
        <v/>
      </c>
      <c r="J420" s="177" t="str">
        <f>IFERROR(VLOOKUP(D420,Cadastros!A:J,10,0),"")</f>
        <v/>
      </c>
      <c r="K420" s="177" t="str">
        <f>IF(COUNTIF(Tabela66[id],D420)=0,"",COUNTIF(Tabela66[id],D420))</f>
        <v/>
      </c>
      <c r="L420" s="198"/>
      <c r="M420" s="227" t="str">
        <f t="shared" si="30"/>
        <v/>
      </c>
      <c r="P420" s="176" t="str">
        <f>IFERROR(VLOOKUP(O420,Cadastros!A:B,2),"")</f>
        <v/>
      </c>
      <c r="Q420" s="177" t="str">
        <f t="shared" si="31"/>
        <v/>
      </c>
      <c r="R420" s="177" t="str">
        <f>IFERROR(VLOOKUP(O420,Cadastros!A:E,5,0),"")</f>
        <v/>
      </c>
      <c r="S420" s="177" t="str">
        <f>IFERROR(VLOOKUP(O420,Cadastros!A:F,6,0),"")</f>
        <v/>
      </c>
      <c r="T420" s="177" t="str">
        <f>IFERROR(VLOOKUP(O420,Cadastros!A:I,9,0),"")</f>
        <v/>
      </c>
      <c r="U420" s="177" t="str">
        <f t="shared" si="32"/>
        <v/>
      </c>
      <c r="V420" s="177" t="str">
        <f t="shared" si="33"/>
        <v/>
      </c>
      <c r="W420" s="177" t="str">
        <f t="shared" si="34"/>
        <v/>
      </c>
      <c r="Y420" s="240" t="e">
        <f t="array" ref="Y420">INDEX(Tabela.abordagens[],SMALL(IF(Tabela.abordagens[Mês]=$L$2,ROW(Tabela.abordagens[id])-2),ROW(A373)),1)</f>
        <v>#NUM!</v>
      </c>
      <c r="Z420" s="240" t="e">
        <f t="array" ref="Z420">INDEX(Tabela.abordagens[],SMALL(IF(Tabela.abordagens[Mês]=$L$2,ROW(Tabela.abordagens[Idade])-2),ROW(A373)),6)</f>
        <v>#NUM!</v>
      </c>
      <c r="AA420" s="240" t="e">
        <f t="array" ref="AA420">INDEX(Tabela.abordagens[],SMALL(IF(Tabela.abordagens[Mês]=$L$2,ROW(Tabela.abordagens[Idade])-2),ROW(A373)),4)</f>
        <v>#NUM!</v>
      </c>
      <c r="AB420" s="240" t="e">
        <f t="array" ref="AB420">INDEX(Tabela.abordagens[],SMALL(IF(Tabela.abordagens[Mês]=$L$2,ROW(Tabela.abordagens[Idade])-2),ROW(A373)),5)</f>
        <v>#NUM!</v>
      </c>
    </row>
    <row r="421" spans="2:28" ht="15" x14ac:dyDescent="0.25">
      <c r="B421" s="223" t="e">
        <f t="array" ref="B421">INDEX(Tabela.frequencia[],SMALL(IF(Tabela.frequencia[Mês]=$L$2,ROW(Tabela.frequencia[id])-1),ROW(A374)),1)</f>
        <v>#NUM!</v>
      </c>
      <c r="C421" s="229" t="e">
        <f t="array" ref="C421">INDEX(Tabela.frequencia[],SMALL(IF(Tabela.frequencia[Mês]=$L$2,ROW(Tabela.frequencia[id])-1),ROW(A374)),4)</f>
        <v>#NUM!</v>
      </c>
      <c r="E421" s="176" t="str">
        <f>IFERROR(VLOOKUP(D421,Tabela.cadastro[[ID]:[Nome]],2,0),"")</f>
        <v/>
      </c>
      <c r="F421" s="177" t="str">
        <f>IFERROR(VLOOKUP(D421,Tabela66[#All],2,0),"")</f>
        <v/>
      </c>
      <c r="G421" s="177" t="str">
        <f>IFERROR(VLOOKUP(D421,Tabela.cadastro[[ID]:[CP ou M]],5,0),"")</f>
        <v/>
      </c>
      <c r="H421" s="177" t="str">
        <f>IFERROR(VLOOKUP(D421,Cadastros!A:F,6,0),"")</f>
        <v/>
      </c>
      <c r="I421" s="177" t="str">
        <f>IFERROR(VLOOKUP(D421,Cadastros!A:I,9,0),"")</f>
        <v/>
      </c>
      <c r="J421" s="177" t="str">
        <f>IFERROR(VLOOKUP(D421,Cadastros!A:J,10,0),"")</f>
        <v/>
      </c>
      <c r="K421" s="177" t="str">
        <f>IF(COUNTIF(Tabela66[id],D421)=0,"",COUNTIF(Tabela66[id],D421))</f>
        <v/>
      </c>
      <c r="L421" s="198"/>
      <c r="M421" s="227" t="str">
        <f t="shared" si="30"/>
        <v/>
      </c>
      <c r="P421" s="176" t="str">
        <f>IFERROR(VLOOKUP(O421,Cadastros!A:B,2),"")</f>
        <v/>
      </c>
      <c r="Q421" s="177" t="str">
        <f t="shared" si="31"/>
        <v/>
      </c>
      <c r="R421" s="177" t="str">
        <f>IFERROR(VLOOKUP(O421,Cadastros!A:E,5,0),"")</f>
        <v/>
      </c>
      <c r="S421" s="177" t="str">
        <f>IFERROR(VLOOKUP(O421,Cadastros!A:F,6,0),"")</f>
        <v/>
      </c>
      <c r="T421" s="177" t="str">
        <f>IFERROR(VLOOKUP(O421,Cadastros!A:I,9,0),"")</f>
        <v/>
      </c>
      <c r="U421" s="177" t="str">
        <f t="shared" si="32"/>
        <v/>
      </c>
      <c r="V421" s="177" t="str">
        <f t="shared" si="33"/>
        <v/>
      </c>
      <c r="W421" s="177" t="str">
        <f t="shared" si="34"/>
        <v/>
      </c>
      <c r="Y421" s="240" t="e">
        <f t="array" ref="Y421">INDEX(Tabela.abordagens[],SMALL(IF(Tabela.abordagens[Mês]=$L$2,ROW(Tabela.abordagens[id])-2),ROW(A374)),1)</f>
        <v>#NUM!</v>
      </c>
      <c r="Z421" s="240" t="e">
        <f t="array" ref="Z421">INDEX(Tabela.abordagens[],SMALL(IF(Tabela.abordagens[Mês]=$L$2,ROW(Tabela.abordagens[Idade])-2),ROW(A374)),6)</f>
        <v>#NUM!</v>
      </c>
      <c r="AA421" s="240" t="e">
        <f t="array" ref="AA421">INDEX(Tabela.abordagens[],SMALL(IF(Tabela.abordagens[Mês]=$L$2,ROW(Tabela.abordagens[Idade])-2),ROW(A374)),4)</f>
        <v>#NUM!</v>
      </c>
      <c r="AB421" s="240" t="e">
        <f t="array" ref="AB421">INDEX(Tabela.abordagens[],SMALL(IF(Tabela.abordagens[Mês]=$L$2,ROW(Tabela.abordagens[Idade])-2),ROW(A374)),5)</f>
        <v>#NUM!</v>
      </c>
    </row>
    <row r="422" spans="2:28" ht="15" x14ac:dyDescent="0.25">
      <c r="B422" s="223" t="e">
        <f t="array" ref="B422">INDEX(Tabela.frequencia[],SMALL(IF(Tabela.frequencia[Mês]=$L$2,ROW(Tabela.frequencia[id])-1),ROW(A375)),1)</f>
        <v>#NUM!</v>
      </c>
      <c r="C422" s="229" t="e">
        <f t="array" ref="C422">INDEX(Tabela.frequencia[],SMALL(IF(Tabela.frequencia[Mês]=$L$2,ROW(Tabela.frequencia[id])-1),ROW(A375)),4)</f>
        <v>#NUM!</v>
      </c>
      <c r="E422" s="176" t="str">
        <f>IFERROR(VLOOKUP(D422,Tabela.cadastro[[ID]:[Nome]],2,0),"")</f>
        <v/>
      </c>
      <c r="F422" s="177" t="str">
        <f>IFERROR(VLOOKUP(D422,Tabela66[#All],2,0),"")</f>
        <v/>
      </c>
      <c r="G422" s="177" t="str">
        <f>IFERROR(VLOOKUP(D422,Tabela.cadastro[[ID]:[CP ou M]],5,0),"")</f>
        <v/>
      </c>
      <c r="H422" s="177" t="str">
        <f>IFERROR(VLOOKUP(D422,Cadastros!A:F,6,0),"")</f>
        <v/>
      </c>
      <c r="I422" s="177" t="str">
        <f>IFERROR(VLOOKUP(D422,Cadastros!A:I,9,0),"")</f>
        <v/>
      </c>
      <c r="J422" s="177" t="str">
        <f>IFERROR(VLOOKUP(D422,Cadastros!A:J,10,0),"")</f>
        <v/>
      </c>
      <c r="K422" s="177" t="str">
        <f>IF(COUNTIF(Tabela66[id],D422)=0,"",COUNTIF(Tabela66[id],D422))</f>
        <v/>
      </c>
      <c r="L422" s="198"/>
      <c r="M422" s="227" t="str">
        <f t="shared" si="30"/>
        <v/>
      </c>
      <c r="P422" s="176" t="str">
        <f>IFERROR(VLOOKUP(O422,Cadastros!A:B,2),"")</f>
        <v/>
      </c>
      <c r="Q422" s="177" t="str">
        <f t="shared" si="31"/>
        <v/>
      </c>
      <c r="R422" s="177" t="str">
        <f>IFERROR(VLOOKUP(O422,Cadastros!A:E,5,0),"")</f>
        <v/>
      </c>
      <c r="S422" s="177" t="str">
        <f>IFERROR(VLOOKUP(O422,Cadastros!A:F,6,0),"")</f>
        <v/>
      </c>
      <c r="T422" s="177" t="str">
        <f>IFERROR(VLOOKUP(O422,Cadastros!A:I,9,0),"")</f>
        <v/>
      </c>
      <c r="U422" s="177" t="str">
        <f t="shared" si="32"/>
        <v/>
      </c>
      <c r="V422" s="177" t="str">
        <f t="shared" si="33"/>
        <v/>
      </c>
      <c r="W422" s="177" t="str">
        <f t="shared" si="34"/>
        <v/>
      </c>
      <c r="Y422" s="240" t="e">
        <f t="array" ref="Y422">INDEX(Tabela.abordagens[],SMALL(IF(Tabela.abordagens[Mês]=$L$2,ROW(Tabela.abordagens[id])-2),ROW(A375)),1)</f>
        <v>#NUM!</v>
      </c>
      <c r="Z422" s="240" t="e">
        <f t="array" ref="Z422">INDEX(Tabela.abordagens[],SMALL(IF(Tabela.abordagens[Mês]=$L$2,ROW(Tabela.abordagens[Idade])-2),ROW(A375)),6)</f>
        <v>#NUM!</v>
      </c>
      <c r="AA422" s="240" t="e">
        <f t="array" ref="AA422">INDEX(Tabela.abordagens[],SMALL(IF(Tabela.abordagens[Mês]=$L$2,ROW(Tabela.abordagens[Idade])-2),ROW(A375)),4)</f>
        <v>#NUM!</v>
      </c>
      <c r="AB422" s="240" t="e">
        <f t="array" ref="AB422">INDEX(Tabela.abordagens[],SMALL(IF(Tabela.abordagens[Mês]=$L$2,ROW(Tabela.abordagens[Idade])-2),ROW(A375)),5)</f>
        <v>#NUM!</v>
      </c>
    </row>
    <row r="423" spans="2:28" ht="15" x14ac:dyDescent="0.25">
      <c r="B423" s="223" t="e">
        <f t="array" ref="B423">INDEX(Tabela.frequencia[],SMALL(IF(Tabela.frequencia[Mês]=$L$2,ROW(Tabela.frequencia[id])-1),ROW(A376)),1)</f>
        <v>#NUM!</v>
      </c>
      <c r="C423" s="229" t="e">
        <f t="array" ref="C423">INDEX(Tabela.frequencia[],SMALL(IF(Tabela.frequencia[Mês]=$L$2,ROW(Tabela.frequencia[id])-1),ROW(A376)),4)</f>
        <v>#NUM!</v>
      </c>
      <c r="E423" s="176" t="str">
        <f>IFERROR(VLOOKUP(D423,Tabela.cadastro[[ID]:[Nome]],2,0),"")</f>
        <v/>
      </c>
      <c r="F423" s="177" t="str">
        <f>IFERROR(VLOOKUP(D423,Tabela66[#All],2,0),"")</f>
        <v/>
      </c>
      <c r="G423" s="177" t="str">
        <f>IFERROR(VLOOKUP(D423,Tabela.cadastro[[ID]:[CP ou M]],5,0),"")</f>
        <v/>
      </c>
      <c r="H423" s="177" t="str">
        <f>IFERROR(VLOOKUP(D423,Cadastros!A:F,6,0),"")</f>
        <v/>
      </c>
      <c r="I423" s="177" t="str">
        <f>IFERROR(VLOOKUP(D423,Cadastros!A:I,9,0),"")</f>
        <v/>
      </c>
      <c r="J423" s="177" t="str">
        <f>IFERROR(VLOOKUP(D423,Cadastros!A:J,10,0),"")</f>
        <v/>
      </c>
      <c r="K423" s="177" t="str">
        <f>IF(COUNTIF(Tabela66[id],D423)=0,"",COUNTIF(Tabela66[id],D423))</f>
        <v/>
      </c>
      <c r="L423" s="198"/>
      <c r="M423" s="227" t="str">
        <f t="shared" si="30"/>
        <v/>
      </c>
      <c r="P423" s="176" t="str">
        <f>IFERROR(VLOOKUP(O423,Cadastros!A:B,2),"")</f>
        <v/>
      </c>
      <c r="Q423" s="177" t="str">
        <f t="shared" si="31"/>
        <v/>
      </c>
      <c r="R423" s="177" t="str">
        <f>IFERROR(VLOOKUP(O423,Cadastros!A:E,5,0),"")</f>
        <v/>
      </c>
      <c r="S423" s="177" t="str">
        <f>IFERROR(VLOOKUP(O423,Cadastros!A:F,6,0),"")</f>
        <v/>
      </c>
      <c r="T423" s="177" t="str">
        <f>IFERROR(VLOOKUP(O423,Cadastros!A:I,9,0),"")</f>
        <v/>
      </c>
      <c r="U423" s="177" t="str">
        <f t="shared" si="32"/>
        <v/>
      </c>
      <c r="V423" s="177" t="str">
        <f t="shared" si="33"/>
        <v/>
      </c>
      <c r="W423" s="177" t="str">
        <f t="shared" si="34"/>
        <v/>
      </c>
      <c r="Y423" s="240" t="e">
        <f t="array" ref="Y423">INDEX(Tabela.abordagens[],SMALL(IF(Tabela.abordagens[Mês]=$L$2,ROW(Tabela.abordagens[id])-2),ROW(A376)),1)</f>
        <v>#NUM!</v>
      </c>
      <c r="Z423" s="240" t="e">
        <f t="array" ref="Z423">INDEX(Tabela.abordagens[],SMALL(IF(Tabela.abordagens[Mês]=$L$2,ROW(Tabela.abordagens[Idade])-2),ROW(A376)),6)</f>
        <v>#NUM!</v>
      </c>
      <c r="AA423" s="240" t="e">
        <f t="array" ref="AA423">INDEX(Tabela.abordagens[],SMALL(IF(Tabela.abordagens[Mês]=$L$2,ROW(Tabela.abordagens[Idade])-2),ROW(A376)),4)</f>
        <v>#NUM!</v>
      </c>
      <c r="AB423" s="240" t="e">
        <f t="array" ref="AB423">INDEX(Tabela.abordagens[],SMALL(IF(Tabela.abordagens[Mês]=$L$2,ROW(Tabela.abordagens[Idade])-2),ROW(A376)),5)</f>
        <v>#NUM!</v>
      </c>
    </row>
    <row r="424" spans="2:28" ht="15" x14ac:dyDescent="0.25">
      <c r="B424" s="223" t="e">
        <f t="array" ref="B424">INDEX(Tabela.frequencia[],SMALL(IF(Tabela.frequencia[Mês]=$L$2,ROW(Tabela.frequencia[id])-1),ROW(A377)),1)</f>
        <v>#NUM!</v>
      </c>
      <c r="C424" s="229" t="e">
        <f t="array" ref="C424">INDEX(Tabela.frequencia[],SMALL(IF(Tabela.frequencia[Mês]=$L$2,ROW(Tabela.frequencia[id])-1),ROW(A377)),4)</f>
        <v>#NUM!</v>
      </c>
      <c r="E424" s="176" t="str">
        <f>IFERROR(VLOOKUP(D424,Tabela.cadastro[[ID]:[Nome]],2,0),"")</f>
        <v/>
      </c>
      <c r="F424" s="177" t="str">
        <f>IFERROR(VLOOKUP(D424,Tabela66[#All],2,0),"")</f>
        <v/>
      </c>
      <c r="G424" s="177" t="str">
        <f>IFERROR(VLOOKUP(D424,Tabela.cadastro[[ID]:[CP ou M]],5,0),"")</f>
        <v/>
      </c>
      <c r="H424" s="177" t="str">
        <f>IFERROR(VLOOKUP(D424,Cadastros!A:F,6,0),"")</f>
        <v/>
      </c>
      <c r="I424" s="177" t="str">
        <f>IFERROR(VLOOKUP(D424,Cadastros!A:I,9,0),"")</f>
        <v/>
      </c>
      <c r="J424" s="177" t="str">
        <f>IFERROR(VLOOKUP(D424,Cadastros!A:J,10,0),"")</f>
        <v/>
      </c>
      <c r="K424" s="177" t="str">
        <f>IF(COUNTIF(Tabela66[id],D424)=0,"",COUNTIF(Tabela66[id],D424))</f>
        <v/>
      </c>
      <c r="L424" s="198"/>
      <c r="M424" s="227" t="str">
        <f t="shared" si="30"/>
        <v/>
      </c>
      <c r="P424" s="176" t="str">
        <f>IFERROR(VLOOKUP(O424,Cadastros!A:B,2),"")</f>
        <v/>
      </c>
      <c r="Q424" s="177" t="str">
        <f t="shared" si="31"/>
        <v/>
      </c>
      <c r="R424" s="177" t="str">
        <f>IFERROR(VLOOKUP(O424,Cadastros!A:E,5,0),"")</f>
        <v/>
      </c>
      <c r="S424" s="177" t="str">
        <f>IFERROR(VLOOKUP(O424,Cadastros!A:F,6,0),"")</f>
        <v/>
      </c>
      <c r="T424" s="177" t="str">
        <f>IFERROR(VLOOKUP(O424,Cadastros!A:I,9,0),"")</f>
        <v/>
      </c>
      <c r="U424" s="177" t="str">
        <f t="shared" si="32"/>
        <v/>
      </c>
      <c r="V424" s="177" t="str">
        <f t="shared" si="33"/>
        <v/>
      </c>
      <c r="W424" s="177" t="str">
        <f t="shared" si="34"/>
        <v/>
      </c>
      <c r="Y424" s="240" t="e">
        <f t="array" ref="Y424">INDEX(Tabela.abordagens[],SMALL(IF(Tabela.abordagens[Mês]=$L$2,ROW(Tabela.abordagens[id])-2),ROW(A377)),1)</f>
        <v>#NUM!</v>
      </c>
      <c r="Z424" s="240" t="e">
        <f t="array" ref="Z424">INDEX(Tabela.abordagens[],SMALL(IF(Tabela.abordagens[Mês]=$L$2,ROW(Tabela.abordagens[Idade])-2),ROW(A377)),6)</f>
        <v>#NUM!</v>
      </c>
      <c r="AA424" s="240" t="e">
        <f t="array" ref="AA424">INDEX(Tabela.abordagens[],SMALL(IF(Tabela.abordagens[Mês]=$L$2,ROW(Tabela.abordagens[Idade])-2),ROW(A377)),4)</f>
        <v>#NUM!</v>
      </c>
      <c r="AB424" s="240" t="e">
        <f t="array" ref="AB424">INDEX(Tabela.abordagens[],SMALL(IF(Tabela.abordagens[Mês]=$L$2,ROW(Tabela.abordagens[Idade])-2),ROW(A377)),5)</f>
        <v>#NUM!</v>
      </c>
    </row>
    <row r="425" spans="2:28" ht="15" x14ac:dyDescent="0.25">
      <c r="B425" s="223" t="e">
        <f t="array" ref="B425">INDEX(Tabela.frequencia[],SMALL(IF(Tabela.frequencia[Mês]=$L$2,ROW(Tabela.frequencia[id])-1),ROW(A378)),1)</f>
        <v>#NUM!</v>
      </c>
      <c r="C425" s="229" t="e">
        <f t="array" ref="C425">INDEX(Tabela.frequencia[],SMALL(IF(Tabela.frequencia[Mês]=$L$2,ROW(Tabela.frequencia[id])-1),ROW(A378)),4)</f>
        <v>#NUM!</v>
      </c>
      <c r="E425" s="176" t="str">
        <f>IFERROR(VLOOKUP(D425,Tabela.cadastro[[ID]:[Nome]],2,0),"")</f>
        <v/>
      </c>
      <c r="F425" s="177" t="str">
        <f>IFERROR(VLOOKUP(D425,Tabela66[#All],2,0),"")</f>
        <v/>
      </c>
      <c r="G425" s="177" t="str">
        <f>IFERROR(VLOOKUP(D425,Tabela.cadastro[[ID]:[CP ou M]],5,0),"")</f>
        <v/>
      </c>
      <c r="H425" s="177" t="str">
        <f>IFERROR(VLOOKUP(D425,Cadastros!A:F,6,0),"")</f>
        <v/>
      </c>
      <c r="I425" s="177" t="str">
        <f>IFERROR(VLOOKUP(D425,Cadastros!A:I,9,0),"")</f>
        <v/>
      </c>
      <c r="J425" s="177" t="str">
        <f>IFERROR(VLOOKUP(D425,Cadastros!A:J,10,0),"")</f>
        <v/>
      </c>
      <c r="K425" s="177" t="str">
        <f>IF(COUNTIF(Tabela66[id],D425)=0,"",COUNTIF(Tabela66[id],D425))</f>
        <v/>
      </c>
      <c r="L425" s="198"/>
      <c r="M425" s="227" t="str">
        <f t="shared" si="30"/>
        <v/>
      </c>
      <c r="P425" s="176" t="str">
        <f>IFERROR(VLOOKUP(O425,Cadastros!A:B,2),"")</f>
        <v/>
      </c>
      <c r="Q425" s="177" t="str">
        <f t="shared" si="31"/>
        <v/>
      </c>
      <c r="R425" s="177" t="str">
        <f>IFERROR(VLOOKUP(O425,Cadastros!A:E,5,0),"")</f>
        <v/>
      </c>
      <c r="S425" s="177" t="str">
        <f>IFERROR(VLOOKUP(O425,Cadastros!A:F,6,0),"")</f>
        <v/>
      </c>
      <c r="T425" s="177" t="str">
        <f>IFERROR(VLOOKUP(O425,Cadastros!A:I,9,0),"")</f>
        <v/>
      </c>
      <c r="U425" s="177" t="str">
        <f t="shared" si="32"/>
        <v/>
      </c>
      <c r="V425" s="177" t="str">
        <f t="shared" si="33"/>
        <v/>
      </c>
      <c r="W425" s="177" t="str">
        <f t="shared" si="34"/>
        <v/>
      </c>
      <c r="Y425" s="240" t="e">
        <f t="array" ref="Y425">INDEX(Tabela.abordagens[],SMALL(IF(Tabela.abordagens[Mês]=$L$2,ROW(Tabela.abordagens[id])-2),ROW(A378)),1)</f>
        <v>#NUM!</v>
      </c>
      <c r="Z425" s="240" t="e">
        <f t="array" ref="Z425">INDEX(Tabela.abordagens[],SMALL(IF(Tabela.abordagens[Mês]=$L$2,ROW(Tabela.abordagens[Idade])-2),ROW(A378)),6)</f>
        <v>#NUM!</v>
      </c>
      <c r="AA425" s="240" t="e">
        <f t="array" ref="AA425">INDEX(Tabela.abordagens[],SMALL(IF(Tabela.abordagens[Mês]=$L$2,ROW(Tabela.abordagens[Idade])-2),ROW(A378)),4)</f>
        <v>#NUM!</v>
      </c>
      <c r="AB425" s="240" t="e">
        <f t="array" ref="AB425">INDEX(Tabela.abordagens[],SMALL(IF(Tabela.abordagens[Mês]=$L$2,ROW(Tabela.abordagens[Idade])-2),ROW(A378)),5)</f>
        <v>#NUM!</v>
      </c>
    </row>
    <row r="426" spans="2:28" ht="15" x14ac:dyDescent="0.25">
      <c r="B426" s="223" t="e">
        <f t="array" ref="B426">INDEX(Tabela.frequencia[],SMALL(IF(Tabela.frequencia[Mês]=$L$2,ROW(Tabela.frequencia[id])-1),ROW(A379)),1)</f>
        <v>#NUM!</v>
      </c>
      <c r="C426" s="229" t="e">
        <f t="array" ref="C426">INDEX(Tabela.frequencia[],SMALL(IF(Tabela.frequencia[Mês]=$L$2,ROW(Tabela.frequencia[id])-1),ROW(A379)),4)</f>
        <v>#NUM!</v>
      </c>
      <c r="E426" s="176" t="str">
        <f>IFERROR(VLOOKUP(D426,Tabela.cadastro[[ID]:[Nome]],2,0),"")</f>
        <v/>
      </c>
      <c r="F426" s="177" t="str">
        <f>IFERROR(VLOOKUP(D426,Tabela66[#All],2,0),"")</f>
        <v/>
      </c>
      <c r="G426" s="177" t="str">
        <f>IFERROR(VLOOKUP(D426,Tabela.cadastro[[ID]:[CP ou M]],5,0),"")</f>
        <v/>
      </c>
      <c r="H426" s="177" t="str">
        <f>IFERROR(VLOOKUP(D426,Cadastros!A:F,6,0),"")</f>
        <v/>
      </c>
      <c r="I426" s="177" t="str">
        <f>IFERROR(VLOOKUP(D426,Cadastros!A:I,9,0),"")</f>
        <v/>
      </c>
      <c r="J426" s="177" t="str">
        <f>IFERROR(VLOOKUP(D426,Cadastros!A:J,10,0),"")</f>
        <v/>
      </c>
      <c r="K426" s="177" t="str">
        <f>IF(COUNTIF(Tabela66[id],D426)=0,"",COUNTIF(Tabela66[id],D426))</f>
        <v/>
      </c>
      <c r="L426" s="198"/>
      <c r="M426" s="227" t="str">
        <f t="shared" ref="M426:M489" si="35">IF(AND(K426:K1257&gt;=5,L426:L1257="Não"),"*","")</f>
        <v/>
      </c>
      <c r="P426" s="176" t="str">
        <f>IFERROR(VLOOKUP(O426,Cadastros!A:B,2),"")</f>
        <v/>
      </c>
      <c r="Q426" s="177" t="str">
        <f t="shared" si="31"/>
        <v/>
      </c>
      <c r="R426" s="177" t="str">
        <f>IFERROR(VLOOKUP(O426,Cadastros!A:E,5,0),"")</f>
        <v/>
      </c>
      <c r="S426" s="177" t="str">
        <f>IFERROR(VLOOKUP(O426,Cadastros!A:F,6,0),"")</f>
        <v/>
      </c>
      <c r="T426" s="177" t="str">
        <f>IFERROR(VLOOKUP(O426,Cadastros!A:I,9,0),"")</f>
        <v/>
      </c>
      <c r="U426" s="177" t="str">
        <f t="shared" si="32"/>
        <v/>
      </c>
      <c r="V426" s="177" t="str">
        <f t="shared" si="33"/>
        <v/>
      </c>
      <c r="W426" s="177" t="str">
        <f t="shared" si="34"/>
        <v/>
      </c>
      <c r="Y426" s="240" t="e">
        <f t="array" ref="Y426">INDEX(Tabela.abordagens[],SMALL(IF(Tabela.abordagens[Mês]=$L$2,ROW(Tabela.abordagens[id])-2),ROW(A379)),1)</f>
        <v>#NUM!</v>
      </c>
      <c r="Z426" s="240" t="e">
        <f t="array" ref="Z426">INDEX(Tabela.abordagens[],SMALL(IF(Tabela.abordagens[Mês]=$L$2,ROW(Tabela.abordagens[Idade])-2),ROW(A379)),6)</f>
        <v>#NUM!</v>
      </c>
      <c r="AA426" s="240" t="e">
        <f t="array" ref="AA426">INDEX(Tabela.abordagens[],SMALL(IF(Tabela.abordagens[Mês]=$L$2,ROW(Tabela.abordagens[Idade])-2),ROW(A379)),4)</f>
        <v>#NUM!</v>
      </c>
      <c r="AB426" s="240" t="e">
        <f t="array" ref="AB426">INDEX(Tabela.abordagens[],SMALL(IF(Tabela.abordagens[Mês]=$L$2,ROW(Tabela.abordagens[Idade])-2),ROW(A379)),5)</f>
        <v>#NUM!</v>
      </c>
    </row>
    <row r="427" spans="2:28" ht="15" x14ac:dyDescent="0.25">
      <c r="B427" s="223" t="e">
        <f t="array" ref="B427">INDEX(Tabela.frequencia[],SMALL(IF(Tabela.frequencia[Mês]=$L$2,ROW(Tabela.frequencia[id])-1),ROW(A380)),1)</f>
        <v>#NUM!</v>
      </c>
      <c r="C427" s="229" t="e">
        <f t="array" ref="C427">INDEX(Tabela.frequencia[],SMALL(IF(Tabela.frequencia[Mês]=$L$2,ROW(Tabela.frequencia[id])-1),ROW(A380)),4)</f>
        <v>#NUM!</v>
      </c>
      <c r="E427" s="176" t="str">
        <f>IFERROR(VLOOKUP(D427,Tabela.cadastro[[ID]:[Nome]],2,0),"")</f>
        <v/>
      </c>
      <c r="F427" s="177" t="str">
        <f>IFERROR(VLOOKUP(D427,Tabela66[#All],2,0),"")</f>
        <v/>
      </c>
      <c r="G427" s="177" t="str">
        <f>IFERROR(VLOOKUP(D427,Tabela.cadastro[[ID]:[CP ou M]],5,0),"")</f>
        <v/>
      </c>
      <c r="H427" s="177" t="str">
        <f>IFERROR(VLOOKUP(D427,Cadastros!A:F,6,0),"")</f>
        <v/>
      </c>
      <c r="I427" s="177" t="str">
        <f>IFERROR(VLOOKUP(D427,Cadastros!A:I,9,0),"")</f>
        <v/>
      </c>
      <c r="J427" s="177" t="str">
        <f>IFERROR(VLOOKUP(D427,Cadastros!A:J,10,0),"")</f>
        <v/>
      </c>
      <c r="K427" s="177" t="str">
        <f>IF(COUNTIF(Tabela66[id],D427)=0,"",COUNTIF(Tabela66[id],D427))</f>
        <v/>
      </c>
      <c r="L427" s="198"/>
      <c r="M427" s="227" t="str">
        <f t="shared" si="35"/>
        <v/>
      </c>
      <c r="P427" s="176" t="str">
        <f>IFERROR(VLOOKUP(O427,Cadastros!A:B,2),"")</f>
        <v/>
      </c>
      <c r="Q427" s="177" t="str">
        <f t="shared" si="31"/>
        <v/>
      </c>
      <c r="R427" s="177" t="str">
        <f>IFERROR(VLOOKUP(O427,Cadastros!A:E,5,0),"")</f>
        <v/>
      </c>
      <c r="S427" s="177" t="str">
        <f>IFERROR(VLOOKUP(O427,Cadastros!A:F,6,0),"")</f>
        <v/>
      </c>
      <c r="T427" s="177" t="str">
        <f>IFERROR(VLOOKUP(O427,Cadastros!A:I,9,0),"")</f>
        <v/>
      </c>
      <c r="U427" s="177" t="str">
        <f t="shared" si="32"/>
        <v/>
      </c>
      <c r="V427" s="177" t="str">
        <f t="shared" si="33"/>
        <v/>
      </c>
      <c r="W427" s="177" t="str">
        <f t="shared" si="34"/>
        <v/>
      </c>
      <c r="Y427" s="240" t="e">
        <f t="array" ref="Y427">INDEX(Tabela.abordagens[],SMALL(IF(Tabela.abordagens[Mês]=$L$2,ROW(Tabela.abordagens[id])-2),ROW(A380)),1)</f>
        <v>#NUM!</v>
      </c>
      <c r="Z427" s="240" t="e">
        <f t="array" ref="Z427">INDEX(Tabela.abordagens[],SMALL(IF(Tabela.abordagens[Mês]=$L$2,ROW(Tabela.abordagens[Idade])-2),ROW(A380)),6)</f>
        <v>#NUM!</v>
      </c>
      <c r="AA427" s="240" t="e">
        <f t="array" ref="AA427">INDEX(Tabela.abordagens[],SMALL(IF(Tabela.abordagens[Mês]=$L$2,ROW(Tabela.abordagens[Idade])-2),ROW(A380)),4)</f>
        <v>#NUM!</v>
      </c>
      <c r="AB427" s="240" t="e">
        <f t="array" ref="AB427">INDEX(Tabela.abordagens[],SMALL(IF(Tabela.abordagens[Mês]=$L$2,ROW(Tabela.abordagens[Idade])-2),ROW(A380)),5)</f>
        <v>#NUM!</v>
      </c>
    </row>
    <row r="428" spans="2:28" ht="15" x14ac:dyDescent="0.25">
      <c r="B428" s="223" t="e">
        <f t="array" ref="B428">INDEX(Tabela.frequencia[],SMALL(IF(Tabela.frequencia[Mês]=$L$2,ROW(Tabela.frequencia[id])-1),ROW(A381)),1)</f>
        <v>#NUM!</v>
      </c>
      <c r="C428" s="229" t="e">
        <f t="array" ref="C428">INDEX(Tabela.frequencia[],SMALL(IF(Tabela.frequencia[Mês]=$L$2,ROW(Tabela.frequencia[id])-1),ROW(A381)),4)</f>
        <v>#NUM!</v>
      </c>
      <c r="E428" s="176" t="str">
        <f>IFERROR(VLOOKUP(D428,Tabela.cadastro[[ID]:[Nome]],2,0),"")</f>
        <v/>
      </c>
      <c r="F428" s="177" t="str">
        <f>IFERROR(VLOOKUP(D428,Tabela66[#All],2,0),"")</f>
        <v/>
      </c>
      <c r="G428" s="177" t="str">
        <f>IFERROR(VLOOKUP(D428,Tabela.cadastro[[ID]:[CP ou M]],5,0),"")</f>
        <v/>
      </c>
      <c r="H428" s="177" t="str">
        <f>IFERROR(VLOOKUP(D428,Cadastros!A:F,6,0),"")</f>
        <v/>
      </c>
      <c r="I428" s="177" t="str">
        <f>IFERROR(VLOOKUP(D428,Cadastros!A:I,9,0),"")</f>
        <v/>
      </c>
      <c r="J428" s="177" t="str">
        <f>IFERROR(VLOOKUP(D428,Cadastros!A:J,10,0),"")</f>
        <v/>
      </c>
      <c r="K428" s="177" t="str">
        <f>IF(COUNTIF(Tabela66[id],D428)=0,"",COUNTIF(Tabela66[id],D428))</f>
        <v/>
      </c>
      <c r="L428" s="198"/>
      <c r="M428" s="227" t="str">
        <f t="shared" si="35"/>
        <v/>
      </c>
      <c r="P428" s="176" t="str">
        <f>IFERROR(VLOOKUP(O428,Cadastros!A:B,2),"")</f>
        <v/>
      </c>
      <c r="Q428" s="177" t="str">
        <f t="shared" si="31"/>
        <v/>
      </c>
      <c r="R428" s="177" t="str">
        <f>IFERROR(VLOOKUP(O428,Cadastros!A:E,5,0),"")</f>
        <v/>
      </c>
      <c r="S428" s="177" t="str">
        <f>IFERROR(VLOOKUP(O428,Cadastros!A:F,6,0),"")</f>
        <v/>
      </c>
      <c r="T428" s="177" t="str">
        <f>IFERROR(VLOOKUP(O428,Cadastros!A:I,9,0),"")</f>
        <v/>
      </c>
      <c r="U428" s="177" t="str">
        <f t="shared" si="32"/>
        <v/>
      </c>
      <c r="V428" s="177" t="str">
        <f t="shared" si="33"/>
        <v/>
      </c>
      <c r="W428" s="177" t="str">
        <f t="shared" si="34"/>
        <v/>
      </c>
      <c r="Y428" s="240" t="e">
        <f t="array" ref="Y428">INDEX(Tabela.abordagens[],SMALL(IF(Tabela.abordagens[Mês]=$L$2,ROW(Tabela.abordagens[id])-2),ROW(A381)),1)</f>
        <v>#NUM!</v>
      </c>
      <c r="Z428" s="240" t="e">
        <f t="array" ref="Z428">INDEX(Tabela.abordagens[],SMALL(IF(Tabela.abordagens[Mês]=$L$2,ROW(Tabela.abordagens[Idade])-2),ROW(A381)),6)</f>
        <v>#NUM!</v>
      </c>
      <c r="AA428" s="240" t="e">
        <f t="array" ref="AA428">INDEX(Tabela.abordagens[],SMALL(IF(Tabela.abordagens[Mês]=$L$2,ROW(Tabela.abordagens[Idade])-2),ROW(A381)),4)</f>
        <v>#NUM!</v>
      </c>
      <c r="AB428" s="240" t="e">
        <f t="array" ref="AB428">INDEX(Tabela.abordagens[],SMALL(IF(Tabela.abordagens[Mês]=$L$2,ROW(Tabela.abordagens[Idade])-2),ROW(A381)),5)</f>
        <v>#NUM!</v>
      </c>
    </row>
    <row r="429" spans="2:28" ht="15" x14ac:dyDescent="0.25">
      <c r="B429" s="223" t="e">
        <f t="array" ref="B429">INDEX(Tabela.frequencia[],SMALL(IF(Tabela.frequencia[Mês]=$L$2,ROW(Tabela.frequencia[id])-1),ROW(A382)),1)</f>
        <v>#NUM!</v>
      </c>
      <c r="C429" s="229" t="e">
        <f t="array" ref="C429">INDEX(Tabela.frequencia[],SMALL(IF(Tabela.frequencia[Mês]=$L$2,ROW(Tabela.frequencia[id])-1),ROW(A382)),4)</f>
        <v>#NUM!</v>
      </c>
      <c r="E429" s="176" t="str">
        <f>IFERROR(VLOOKUP(D429,Tabela.cadastro[[ID]:[Nome]],2,0),"")</f>
        <v/>
      </c>
      <c r="F429" s="177" t="str">
        <f>IFERROR(VLOOKUP(D429,Tabela66[#All],2,0),"")</f>
        <v/>
      </c>
      <c r="G429" s="177" t="str">
        <f>IFERROR(VLOOKUP(D429,Tabela.cadastro[[ID]:[CP ou M]],5,0),"")</f>
        <v/>
      </c>
      <c r="H429" s="177" t="str">
        <f>IFERROR(VLOOKUP(D429,Cadastros!A:F,6,0),"")</f>
        <v/>
      </c>
      <c r="I429" s="177" t="str">
        <f>IFERROR(VLOOKUP(D429,Cadastros!A:I,9,0),"")</f>
        <v/>
      </c>
      <c r="J429" s="177" t="str">
        <f>IFERROR(VLOOKUP(D429,Cadastros!A:J,10,0),"")</f>
        <v/>
      </c>
      <c r="K429" s="177" t="str">
        <f>IF(COUNTIF(Tabela66[id],D429)=0,"",COUNTIF(Tabela66[id],D429))</f>
        <v/>
      </c>
      <c r="L429" s="198"/>
      <c r="M429" s="227" t="str">
        <f t="shared" si="35"/>
        <v/>
      </c>
      <c r="P429" s="176" t="str">
        <f>IFERROR(VLOOKUP(O429,Cadastros!A:B,2),"")</f>
        <v/>
      </c>
      <c r="Q429" s="177" t="str">
        <f t="shared" si="31"/>
        <v/>
      </c>
      <c r="R429" s="177" t="str">
        <f>IFERROR(VLOOKUP(O429,Cadastros!A:E,5,0),"")</f>
        <v/>
      </c>
      <c r="S429" s="177" t="str">
        <f>IFERROR(VLOOKUP(O429,Cadastros!A:F,6,0),"")</f>
        <v/>
      </c>
      <c r="T429" s="177" t="str">
        <f>IFERROR(VLOOKUP(O429,Cadastros!A:I,9,0),"")</f>
        <v/>
      </c>
      <c r="U429" s="177" t="str">
        <f t="shared" si="32"/>
        <v/>
      </c>
      <c r="V429" s="177" t="str">
        <f t="shared" si="33"/>
        <v/>
      </c>
      <c r="W429" s="177" t="str">
        <f t="shared" si="34"/>
        <v/>
      </c>
      <c r="Y429" s="240" t="e">
        <f t="array" ref="Y429">INDEX(Tabela.abordagens[],SMALL(IF(Tabela.abordagens[Mês]=$L$2,ROW(Tabela.abordagens[id])-2),ROW(A382)),1)</f>
        <v>#NUM!</v>
      </c>
      <c r="Z429" s="240" t="e">
        <f t="array" ref="Z429">INDEX(Tabela.abordagens[],SMALL(IF(Tabela.abordagens[Mês]=$L$2,ROW(Tabela.abordagens[Idade])-2),ROW(A382)),6)</f>
        <v>#NUM!</v>
      </c>
      <c r="AA429" s="240" t="e">
        <f t="array" ref="AA429">INDEX(Tabela.abordagens[],SMALL(IF(Tabela.abordagens[Mês]=$L$2,ROW(Tabela.abordagens[Idade])-2),ROW(A382)),4)</f>
        <v>#NUM!</v>
      </c>
      <c r="AB429" s="240" t="e">
        <f t="array" ref="AB429">INDEX(Tabela.abordagens[],SMALL(IF(Tabela.abordagens[Mês]=$L$2,ROW(Tabela.abordagens[Idade])-2),ROW(A382)),5)</f>
        <v>#NUM!</v>
      </c>
    </row>
    <row r="430" spans="2:28" ht="15" x14ac:dyDescent="0.25">
      <c r="B430" s="223" t="e">
        <f t="array" ref="B430">INDEX(Tabela.frequencia[],SMALL(IF(Tabela.frequencia[Mês]=$L$2,ROW(Tabela.frequencia[id])-1),ROW(A383)),1)</f>
        <v>#NUM!</v>
      </c>
      <c r="C430" s="229" t="e">
        <f t="array" ref="C430">INDEX(Tabela.frequencia[],SMALL(IF(Tabela.frequencia[Mês]=$L$2,ROW(Tabela.frequencia[id])-1),ROW(A383)),4)</f>
        <v>#NUM!</v>
      </c>
      <c r="E430" s="176" t="str">
        <f>IFERROR(VLOOKUP(D430,Tabela.cadastro[[ID]:[Nome]],2,0),"")</f>
        <v/>
      </c>
      <c r="F430" s="177" t="str">
        <f>IFERROR(VLOOKUP(D430,Tabela66[#All],2,0),"")</f>
        <v/>
      </c>
      <c r="G430" s="177" t="str">
        <f>IFERROR(VLOOKUP(D430,Tabela.cadastro[[ID]:[CP ou M]],5,0),"")</f>
        <v/>
      </c>
      <c r="H430" s="177" t="str">
        <f>IFERROR(VLOOKUP(D430,Cadastros!A:F,6,0),"")</f>
        <v/>
      </c>
      <c r="I430" s="177" t="str">
        <f>IFERROR(VLOOKUP(D430,Cadastros!A:I,9,0),"")</f>
        <v/>
      </c>
      <c r="J430" s="177" t="str">
        <f>IFERROR(VLOOKUP(D430,Cadastros!A:J,10,0),"")</f>
        <v/>
      </c>
      <c r="K430" s="177" t="str">
        <f>IF(COUNTIF(Tabela66[id],D430)=0,"",COUNTIF(Tabela66[id],D430))</f>
        <v/>
      </c>
      <c r="L430" s="198"/>
      <c r="M430" s="227" t="str">
        <f t="shared" si="35"/>
        <v/>
      </c>
      <c r="P430" s="176" t="str">
        <f>IFERROR(VLOOKUP(O430,Cadastros!A:B,2),"")</f>
        <v/>
      </c>
      <c r="Q430" s="177" t="str">
        <f t="shared" si="31"/>
        <v/>
      </c>
      <c r="R430" s="177" t="str">
        <f>IFERROR(VLOOKUP(O430,Cadastros!A:E,5,0),"")</f>
        <v/>
      </c>
      <c r="S430" s="177" t="str">
        <f>IFERROR(VLOOKUP(O430,Cadastros!A:F,6,0),"")</f>
        <v/>
      </c>
      <c r="T430" s="177" t="str">
        <f>IFERROR(VLOOKUP(O430,Cadastros!A:I,9,0),"")</f>
        <v/>
      </c>
      <c r="U430" s="177" t="str">
        <f t="shared" si="32"/>
        <v/>
      </c>
      <c r="V430" s="177" t="str">
        <f t="shared" si="33"/>
        <v/>
      </c>
      <c r="W430" s="177" t="str">
        <f t="shared" si="34"/>
        <v/>
      </c>
      <c r="Y430" s="240" t="e">
        <f t="array" ref="Y430">INDEX(Tabela.abordagens[],SMALL(IF(Tabela.abordagens[Mês]=$L$2,ROW(Tabela.abordagens[id])-2),ROW(A383)),1)</f>
        <v>#NUM!</v>
      </c>
      <c r="Z430" s="240" t="e">
        <f t="array" ref="Z430">INDEX(Tabela.abordagens[],SMALL(IF(Tabela.abordagens[Mês]=$L$2,ROW(Tabela.abordagens[Idade])-2),ROW(A383)),6)</f>
        <v>#NUM!</v>
      </c>
      <c r="AA430" s="240" t="e">
        <f t="array" ref="AA430">INDEX(Tabela.abordagens[],SMALL(IF(Tabela.abordagens[Mês]=$L$2,ROW(Tabela.abordagens[Idade])-2),ROW(A383)),4)</f>
        <v>#NUM!</v>
      </c>
      <c r="AB430" s="240" t="e">
        <f t="array" ref="AB430">INDEX(Tabela.abordagens[],SMALL(IF(Tabela.abordagens[Mês]=$L$2,ROW(Tabela.abordagens[Idade])-2),ROW(A383)),5)</f>
        <v>#NUM!</v>
      </c>
    </row>
    <row r="431" spans="2:28" ht="15" x14ac:dyDescent="0.25">
      <c r="B431" s="223" t="e">
        <f t="array" ref="B431">INDEX(Tabela.frequencia[],SMALL(IF(Tabela.frequencia[Mês]=$L$2,ROW(Tabela.frequencia[id])-1),ROW(A384)),1)</f>
        <v>#NUM!</v>
      </c>
      <c r="C431" s="229" t="e">
        <f t="array" ref="C431">INDEX(Tabela.frequencia[],SMALL(IF(Tabela.frequencia[Mês]=$L$2,ROW(Tabela.frequencia[id])-1),ROW(A384)),4)</f>
        <v>#NUM!</v>
      </c>
      <c r="E431" s="176" t="str">
        <f>IFERROR(VLOOKUP(D431,Tabela.cadastro[[ID]:[Nome]],2,0),"")</f>
        <v/>
      </c>
      <c r="F431" s="177" t="str">
        <f>IFERROR(VLOOKUP(D431,Tabela66[#All],2,0),"")</f>
        <v/>
      </c>
      <c r="G431" s="177" t="str">
        <f>IFERROR(VLOOKUP(D431,Tabela.cadastro[[ID]:[CP ou M]],5,0),"")</f>
        <v/>
      </c>
      <c r="H431" s="177" t="str">
        <f>IFERROR(VLOOKUP(D431,Cadastros!A:F,6,0),"")</f>
        <v/>
      </c>
      <c r="I431" s="177" t="str">
        <f>IFERROR(VLOOKUP(D431,Cadastros!A:I,9,0),"")</f>
        <v/>
      </c>
      <c r="J431" s="177" t="str">
        <f>IFERROR(VLOOKUP(D431,Cadastros!A:J,10,0),"")</f>
        <v/>
      </c>
      <c r="K431" s="177" t="str">
        <f>IF(COUNTIF(Tabela66[id],D431)=0,"",COUNTIF(Tabela66[id],D431))</f>
        <v/>
      </c>
      <c r="L431" s="198"/>
      <c r="M431" s="227" t="str">
        <f t="shared" si="35"/>
        <v/>
      </c>
      <c r="P431" s="176" t="str">
        <f>IFERROR(VLOOKUP(O431,Cadastros!A:B,2),"")</f>
        <v/>
      </c>
      <c r="Q431" s="177" t="str">
        <f t="shared" si="31"/>
        <v/>
      </c>
      <c r="R431" s="177" t="str">
        <f>IFERROR(VLOOKUP(O431,Cadastros!A:E,5,0),"")</f>
        <v/>
      </c>
      <c r="S431" s="177" t="str">
        <f>IFERROR(VLOOKUP(O431,Cadastros!A:F,6,0),"")</f>
        <v/>
      </c>
      <c r="T431" s="177" t="str">
        <f>IFERROR(VLOOKUP(O431,Cadastros!A:I,9,0),"")</f>
        <v/>
      </c>
      <c r="U431" s="177" t="str">
        <f t="shared" si="32"/>
        <v/>
      </c>
      <c r="V431" s="177" t="str">
        <f t="shared" si="33"/>
        <v/>
      </c>
      <c r="W431" s="177" t="str">
        <f t="shared" si="34"/>
        <v/>
      </c>
      <c r="Y431" s="240" t="e">
        <f t="array" ref="Y431">INDEX(Tabela.abordagens[],SMALL(IF(Tabela.abordagens[Mês]=$L$2,ROW(Tabela.abordagens[id])-2),ROW(A384)),1)</f>
        <v>#NUM!</v>
      </c>
      <c r="Z431" s="240" t="e">
        <f t="array" ref="Z431">INDEX(Tabela.abordagens[],SMALL(IF(Tabela.abordagens[Mês]=$L$2,ROW(Tabela.abordagens[Idade])-2),ROW(A384)),6)</f>
        <v>#NUM!</v>
      </c>
      <c r="AA431" s="240" t="e">
        <f t="array" ref="AA431">INDEX(Tabela.abordagens[],SMALL(IF(Tabela.abordagens[Mês]=$L$2,ROW(Tabela.abordagens[Idade])-2),ROW(A384)),4)</f>
        <v>#NUM!</v>
      </c>
      <c r="AB431" s="240" t="e">
        <f t="array" ref="AB431">INDEX(Tabela.abordagens[],SMALL(IF(Tabela.abordagens[Mês]=$L$2,ROW(Tabela.abordagens[Idade])-2),ROW(A384)),5)</f>
        <v>#NUM!</v>
      </c>
    </row>
    <row r="432" spans="2:28" ht="15" x14ac:dyDescent="0.25">
      <c r="B432" s="223" t="e">
        <f t="array" ref="B432">INDEX(Tabela.frequencia[],SMALL(IF(Tabela.frequencia[Mês]=$L$2,ROW(Tabela.frequencia[id])-1),ROW(A385)),1)</f>
        <v>#NUM!</v>
      </c>
      <c r="C432" s="229" t="e">
        <f t="array" ref="C432">INDEX(Tabela.frequencia[],SMALL(IF(Tabela.frequencia[Mês]=$L$2,ROW(Tabela.frequencia[id])-1),ROW(A385)),4)</f>
        <v>#NUM!</v>
      </c>
      <c r="E432" s="176" t="str">
        <f>IFERROR(VLOOKUP(D432,Tabela.cadastro[[ID]:[Nome]],2,0),"")</f>
        <v/>
      </c>
      <c r="F432" s="177" t="str">
        <f>IFERROR(VLOOKUP(D432,Tabela66[#All],2,0),"")</f>
        <v/>
      </c>
      <c r="G432" s="177" t="str">
        <f>IFERROR(VLOOKUP(D432,Tabela.cadastro[[ID]:[CP ou M]],5,0),"")</f>
        <v/>
      </c>
      <c r="H432" s="177" t="str">
        <f>IFERROR(VLOOKUP(D432,Cadastros!A:F,6,0),"")</f>
        <v/>
      </c>
      <c r="I432" s="177" t="str">
        <f>IFERROR(VLOOKUP(D432,Cadastros!A:I,9,0),"")</f>
        <v/>
      </c>
      <c r="J432" s="177" t="str">
        <f>IFERROR(VLOOKUP(D432,Cadastros!A:J,10,0),"")</f>
        <v/>
      </c>
      <c r="K432" s="177" t="str">
        <f>IF(COUNTIF(Tabela66[id],D432)=0,"",COUNTIF(Tabela66[id],D432))</f>
        <v/>
      </c>
      <c r="L432" s="198"/>
      <c r="M432" s="227" t="str">
        <f t="shared" si="35"/>
        <v/>
      </c>
      <c r="P432" s="176" t="str">
        <f>IFERROR(VLOOKUP(O432,Cadastros!A:B,2),"")</f>
        <v/>
      </c>
      <c r="Q432" s="177" t="str">
        <f t="shared" si="31"/>
        <v/>
      </c>
      <c r="R432" s="177" t="str">
        <f>IFERROR(VLOOKUP(O432,Cadastros!A:E,5,0),"")</f>
        <v/>
      </c>
      <c r="S432" s="177" t="str">
        <f>IFERROR(VLOOKUP(O432,Cadastros!A:F,6,0),"")</f>
        <v/>
      </c>
      <c r="T432" s="177" t="str">
        <f>IFERROR(VLOOKUP(O432,Cadastros!A:I,9,0),"")</f>
        <v/>
      </c>
      <c r="U432" s="177" t="str">
        <f t="shared" si="32"/>
        <v/>
      </c>
      <c r="V432" s="177" t="str">
        <f t="shared" si="33"/>
        <v/>
      </c>
      <c r="W432" s="177" t="str">
        <f t="shared" si="34"/>
        <v/>
      </c>
      <c r="Y432" s="240" t="e">
        <f t="array" ref="Y432">INDEX(Tabela.abordagens[],SMALL(IF(Tabela.abordagens[Mês]=$L$2,ROW(Tabela.abordagens[id])-2),ROW(A385)),1)</f>
        <v>#NUM!</v>
      </c>
      <c r="Z432" s="240" t="e">
        <f t="array" ref="Z432">INDEX(Tabela.abordagens[],SMALL(IF(Tabela.abordagens[Mês]=$L$2,ROW(Tabela.abordagens[Idade])-2),ROW(A385)),6)</f>
        <v>#NUM!</v>
      </c>
      <c r="AA432" s="240" t="e">
        <f t="array" ref="AA432">INDEX(Tabela.abordagens[],SMALL(IF(Tabela.abordagens[Mês]=$L$2,ROW(Tabela.abordagens[Idade])-2),ROW(A385)),4)</f>
        <v>#NUM!</v>
      </c>
      <c r="AB432" s="240" t="e">
        <f t="array" ref="AB432">INDEX(Tabela.abordagens[],SMALL(IF(Tabela.abordagens[Mês]=$L$2,ROW(Tabela.abordagens[Idade])-2),ROW(A385)),5)</f>
        <v>#NUM!</v>
      </c>
    </row>
    <row r="433" spans="2:28" ht="15" x14ac:dyDescent="0.25">
      <c r="B433" s="223" t="e">
        <f t="array" ref="B433">INDEX(Tabela.frequencia[],SMALL(IF(Tabela.frequencia[Mês]=$L$2,ROW(Tabela.frequencia[id])-1),ROW(A386)),1)</f>
        <v>#NUM!</v>
      </c>
      <c r="C433" s="229" t="e">
        <f t="array" ref="C433">INDEX(Tabela.frequencia[],SMALL(IF(Tabela.frequencia[Mês]=$L$2,ROW(Tabela.frequencia[id])-1),ROW(A386)),4)</f>
        <v>#NUM!</v>
      </c>
      <c r="E433" s="176" t="str">
        <f>IFERROR(VLOOKUP(D433,Tabela.cadastro[[ID]:[Nome]],2,0),"")</f>
        <v/>
      </c>
      <c r="F433" s="177" t="str">
        <f>IFERROR(VLOOKUP(D433,Tabela66[#All],2,0),"")</f>
        <v/>
      </c>
      <c r="G433" s="177" t="str">
        <f>IFERROR(VLOOKUP(D433,Tabela.cadastro[[ID]:[CP ou M]],5,0),"")</f>
        <v/>
      </c>
      <c r="H433" s="177" t="str">
        <f>IFERROR(VLOOKUP(D433,Cadastros!A:F,6,0),"")</f>
        <v/>
      </c>
      <c r="I433" s="177" t="str">
        <f>IFERROR(VLOOKUP(D433,Cadastros!A:I,9,0),"")</f>
        <v/>
      </c>
      <c r="J433" s="177" t="str">
        <f>IFERROR(VLOOKUP(D433,Cadastros!A:J,10,0),"")</f>
        <v/>
      </c>
      <c r="K433" s="177" t="str">
        <f>IF(COUNTIF(Tabela66[id],D433)=0,"",COUNTIF(Tabela66[id],D433))</f>
        <v/>
      </c>
      <c r="L433" s="198"/>
      <c r="M433" s="227" t="str">
        <f t="shared" si="35"/>
        <v/>
      </c>
      <c r="P433" s="176" t="str">
        <f>IFERROR(VLOOKUP(O433,Cadastros!A:B,2),"")</f>
        <v/>
      </c>
      <c r="Q433" s="177" t="str">
        <f t="shared" si="31"/>
        <v/>
      </c>
      <c r="R433" s="177" t="str">
        <f>IFERROR(VLOOKUP(O433,Cadastros!A:E,5,0),"")</f>
        <v/>
      </c>
      <c r="S433" s="177" t="str">
        <f>IFERROR(VLOOKUP(O433,Cadastros!A:F,6,0),"")</f>
        <v/>
      </c>
      <c r="T433" s="177" t="str">
        <f>IFERROR(VLOOKUP(O433,Cadastros!A:I,9,0),"")</f>
        <v/>
      </c>
      <c r="U433" s="177" t="str">
        <f t="shared" si="32"/>
        <v/>
      </c>
      <c r="V433" s="177" t="str">
        <f t="shared" si="33"/>
        <v/>
      </c>
      <c r="W433" s="177" t="str">
        <f t="shared" si="34"/>
        <v/>
      </c>
      <c r="Y433" s="240" t="e">
        <f t="array" ref="Y433">INDEX(Tabela.abordagens[],SMALL(IF(Tabela.abordagens[Mês]=$L$2,ROW(Tabela.abordagens[id])-2),ROW(A386)),1)</f>
        <v>#NUM!</v>
      </c>
      <c r="Z433" s="240" t="e">
        <f t="array" ref="Z433">INDEX(Tabela.abordagens[],SMALL(IF(Tabela.abordagens[Mês]=$L$2,ROW(Tabela.abordagens[Idade])-2),ROW(A386)),6)</f>
        <v>#NUM!</v>
      </c>
      <c r="AA433" s="240" t="e">
        <f t="array" ref="AA433">INDEX(Tabela.abordagens[],SMALL(IF(Tabela.abordagens[Mês]=$L$2,ROW(Tabela.abordagens[Idade])-2),ROW(A386)),4)</f>
        <v>#NUM!</v>
      </c>
      <c r="AB433" s="240" t="e">
        <f t="array" ref="AB433">INDEX(Tabela.abordagens[],SMALL(IF(Tabela.abordagens[Mês]=$L$2,ROW(Tabela.abordagens[Idade])-2),ROW(A386)),5)</f>
        <v>#NUM!</v>
      </c>
    </row>
    <row r="434" spans="2:28" ht="15" x14ac:dyDescent="0.25">
      <c r="B434" s="223" t="e">
        <f t="array" ref="B434">INDEX(Tabela.frequencia[],SMALL(IF(Tabela.frequencia[Mês]=$L$2,ROW(Tabela.frequencia[id])-1),ROW(A387)),1)</f>
        <v>#NUM!</v>
      </c>
      <c r="C434" s="229" t="e">
        <f t="array" ref="C434">INDEX(Tabela.frequencia[],SMALL(IF(Tabela.frequencia[Mês]=$L$2,ROW(Tabela.frequencia[id])-1),ROW(A387)),4)</f>
        <v>#NUM!</v>
      </c>
      <c r="E434" s="176" t="str">
        <f>IFERROR(VLOOKUP(D434,Tabela.cadastro[[ID]:[Nome]],2,0),"")</f>
        <v/>
      </c>
      <c r="F434" s="177" t="str">
        <f>IFERROR(VLOOKUP(D434,Tabela66[#All],2,0),"")</f>
        <v/>
      </c>
      <c r="G434" s="177" t="str">
        <f>IFERROR(VLOOKUP(D434,Tabela.cadastro[[ID]:[CP ou M]],5,0),"")</f>
        <v/>
      </c>
      <c r="H434" s="177" t="str">
        <f>IFERROR(VLOOKUP(D434,Cadastros!A:F,6,0),"")</f>
        <v/>
      </c>
      <c r="I434" s="177" t="str">
        <f>IFERROR(VLOOKUP(D434,Cadastros!A:I,9,0),"")</f>
        <v/>
      </c>
      <c r="J434" s="177" t="str">
        <f>IFERROR(VLOOKUP(D434,Cadastros!A:J,10,0),"")</f>
        <v/>
      </c>
      <c r="K434" s="177" t="str">
        <f>IF(COUNTIF(Tabela66[id],D434)=0,"",COUNTIF(Tabela66[id],D434))</f>
        <v/>
      </c>
      <c r="L434" s="198"/>
      <c r="M434" s="227" t="str">
        <f t="shared" si="35"/>
        <v/>
      </c>
      <c r="P434" s="176" t="str">
        <f>IFERROR(VLOOKUP(O434,Cadastros!A:B,2),"")</f>
        <v/>
      </c>
      <c r="Q434" s="177" t="str">
        <f t="shared" si="31"/>
        <v/>
      </c>
      <c r="R434" s="177" t="str">
        <f>IFERROR(VLOOKUP(O434,Cadastros!A:E,5,0),"")</f>
        <v/>
      </c>
      <c r="S434" s="177" t="str">
        <f>IFERROR(VLOOKUP(O434,Cadastros!A:F,6,0),"")</f>
        <v/>
      </c>
      <c r="T434" s="177" t="str">
        <f>IFERROR(VLOOKUP(O434,Cadastros!A:I,9,0),"")</f>
        <v/>
      </c>
      <c r="U434" s="177" t="str">
        <f t="shared" si="32"/>
        <v/>
      </c>
      <c r="V434" s="177" t="str">
        <f t="shared" si="33"/>
        <v/>
      </c>
      <c r="W434" s="177" t="str">
        <f t="shared" si="34"/>
        <v/>
      </c>
      <c r="Y434" s="240" t="e">
        <f t="array" ref="Y434">INDEX(Tabela.abordagens[],SMALL(IF(Tabela.abordagens[Mês]=$L$2,ROW(Tabela.abordagens[id])-2),ROW(A387)),1)</f>
        <v>#NUM!</v>
      </c>
      <c r="Z434" s="240" t="e">
        <f t="array" ref="Z434">INDEX(Tabela.abordagens[],SMALL(IF(Tabela.abordagens[Mês]=$L$2,ROW(Tabela.abordagens[Idade])-2),ROW(A387)),6)</f>
        <v>#NUM!</v>
      </c>
      <c r="AA434" s="240" t="e">
        <f t="array" ref="AA434">INDEX(Tabela.abordagens[],SMALL(IF(Tabela.abordagens[Mês]=$L$2,ROW(Tabela.abordagens[Idade])-2),ROW(A387)),4)</f>
        <v>#NUM!</v>
      </c>
      <c r="AB434" s="240" t="e">
        <f t="array" ref="AB434">INDEX(Tabela.abordagens[],SMALL(IF(Tabela.abordagens[Mês]=$L$2,ROW(Tabela.abordagens[Idade])-2),ROW(A387)),5)</f>
        <v>#NUM!</v>
      </c>
    </row>
    <row r="435" spans="2:28" ht="15" x14ac:dyDescent="0.25">
      <c r="B435" s="223" t="e">
        <f t="array" ref="B435">INDEX(Tabela.frequencia[],SMALL(IF(Tabela.frequencia[Mês]=$L$2,ROW(Tabela.frequencia[id])-1),ROW(A388)),1)</f>
        <v>#NUM!</v>
      </c>
      <c r="C435" s="229" t="e">
        <f t="array" ref="C435">INDEX(Tabela.frequencia[],SMALL(IF(Tabela.frequencia[Mês]=$L$2,ROW(Tabela.frequencia[id])-1),ROW(A388)),4)</f>
        <v>#NUM!</v>
      </c>
      <c r="E435" s="176" t="str">
        <f>IFERROR(VLOOKUP(D435,Tabela.cadastro[[ID]:[Nome]],2,0),"")</f>
        <v/>
      </c>
      <c r="F435" s="177" t="str">
        <f>IFERROR(VLOOKUP(D435,Tabela66[#All],2,0),"")</f>
        <v/>
      </c>
      <c r="G435" s="177" t="str">
        <f>IFERROR(VLOOKUP(D435,Tabela.cadastro[[ID]:[CP ou M]],5,0),"")</f>
        <v/>
      </c>
      <c r="H435" s="177" t="str">
        <f>IFERROR(VLOOKUP(D435,Cadastros!A:F,6,0),"")</f>
        <v/>
      </c>
      <c r="I435" s="177" t="str">
        <f>IFERROR(VLOOKUP(D435,Cadastros!A:I,9,0),"")</f>
        <v/>
      </c>
      <c r="J435" s="177" t="str">
        <f>IFERROR(VLOOKUP(D435,Cadastros!A:J,10,0),"")</f>
        <v/>
      </c>
      <c r="K435" s="177" t="str">
        <f>IF(COUNTIF(Tabela66[id],D435)=0,"",COUNTIF(Tabela66[id],D435))</f>
        <v/>
      </c>
      <c r="L435" s="198"/>
      <c r="M435" s="227" t="str">
        <f t="shared" si="35"/>
        <v/>
      </c>
      <c r="P435" s="176" t="str">
        <f>IFERROR(VLOOKUP(O435,Cadastros!A:B,2),"")</f>
        <v/>
      </c>
      <c r="Q435" s="177" t="str">
        <f t="shared" si="31"/>
        <v/>
      </c>
      <c r="R435" s="177" t="str">
        <f>IFERROR(VLOOKUP(O435,Cadastros!A:E,5,0),"")</f>
        <v/>
      </c>
      <c r="S435" s="177" t="str">
        <f>IFERROR(VLOOKUP(O435,Cadastros!A:F,6,0),"")</f>
        <v/>
      </c>
      <c r="T435" s="177" t="str">
        <f>IFERROR(VLOOKUP(O435,Cadastros!A:I,9,0),"")</f>
        <v/>
      </c>
      <c r="U435" s="177" t="str">
        <f t="shared" si="32"/>
        <v/>
      </c>
      <c r="V435" s="177" t="str">
        <f t="shared" si="33"/>
        <v/>
      </c>
      <c r="W435" s="177" t="str">
        <f t="shared" si="34"/>
        <v/>
      </c>
      <c r="Y435" s="240" t="e">
        <f t="array" ref="Y435">INDEX(Tabela.abordagens[],SMALL(IF(Tabela.abordagens[Mês]=$L$2,ROW(Tabela.abordagens[id])-2),ROW(A388)),1)</f>
        <v>#NUM!</v>
      </c>
      <c r="Z435" s="240" t="e">
        <f t="array" ref="Z435">INDEX(Tabela.abordagens[],SMALL(IF(Tabela.abordagens[Mês]=$L$2,ROW(Tabela.abordagens[Idade])-2),ROW(A388)),6)</f>
        <v>#NUM!</v>
      </c>
      <c r="AA435" s="240" t="e">
        <f t="array" ref="AA435">INDEX(Tabela.abordagens[],SMALL(IF(Tabela.abordagens[Mês]=$L$2,ROW(Tabela.abordagens[Idade])-2),ROW(A388)),4)</f>
        <v>#NUM!</v>
      </c>
      <c r="AB435" s="240" t="e">
        <f t="array" ref="AB435">INDEX(Tabela.abordagens[],SMALL(IF(Tabela.abordagens[Mês]=$L$2,ROW(Tabela.abordagens[Idade])-2),ROW(A388)),5)</f>
        <v>#NUM!</v>
      </c>
    </row>
    <row r="436" spans="2:28" ht="15" x14ac:dyDescent="0.25">
      <c r="B436" s="223" t="e">
        <f t="array" ref="B436">INDEX(Tabela.frequencia[],SMALL(IF(Tabela.frequencia[Mês]=$L$2,ROW(Tabela.frequencia[id])-1),ROW(A389)),1)</f>
        <v>#NUM!</v>
      </c>
      <c r="C436" s="229" t="e">
        <f t="array" ref="C436">INDEX(Tabela.frequencia[],SMALL(IF(Tabela.frequencia[Mês]=$L$2,ROW(Tabela.frequencia[id])-1),ROW(A389)),4)</f>
        <v>#NUM!</v>
      </c>
      <c r="E436" s="176" t="str">
        <f>IFERROR(VLOOKUP(D436,Tabela.cadastro[[ID]:[Nome]],2,0),"")</f>
        <v/>
      </c>
      <c r="F436" s="177" t="str">
        <f>IFERROR(VLOOKUP(D436,Tabela66[#All],2,0),"")</f>
        <v/>
      </c>
      <c r="G436" s="177" t="str">
        <f>IFERROR(VLOOKUP(D436,Tabela.cadastro[[ID]:[CP ou M]],5,0),"")</f>
        <v/>
      </c>
      <c r="H436" s="177" t="str">
        <f>IFERROR(VLOOKUP(D436,Cadastros!A:F,6,0),"")</f>
        <v/>
      </c>
      <c r="I436" s="177" t="str">
        <f>IFERROR(VLOOKUP(D436,Cadastros!A:I,9,0),"")</f>
        <v/>
      </c>
      <c r="J436" s="177" t="str">
        <f>IFERROR(VLOOKUP(D436,Cadastros!A:J,10,0),"")</f>
        <v/>
      </c>
      <c r="K436" s="177" t="str">
        <f>IF(COUNTIF(Tabela66[id],D436)=0,"",COUNTIF(Tabela66[id],D436))</f>
        <v/>
      </c>
      <c r="L436" s="198"/>
      <c r="M436" s="227" t="str">
        <f t="shared" si="35"/>
        <v/>
      </c>
      <c r="P436" s="176" t="str">
        <f>IFERROR(VLOOKUP(O436,Cadastros!A:B,2),"")</f>
        <v/>
      </c>
      <c r="Q436" s="177" t="str">
        <f t="shared" si="31"/>
        <v/>
      </c>
      <c r="R436" s="177" t="str">
        <f>IFERROR(VLOOKUP(O436,Cadastros!A:E,5,0),"")</f>
        <v/>
      </c>
      <c r="S436" s="177" t="str">
        <f>IFERROR(VLOOKUP(O436,Cadastros!A:F,6,0),"")</f>
        <v/>
      </c>
      <c r="T436" s="177" t="str">
        <f>IFERROR(VLOOKUP(O436,Cadastros!A:I,9,0),"")</f>
        <v/>
      </c>
      <c r="U436" s="177" t="str">
        <f t="shared" si="32"/>
        <v/>
      </c>
      <c r="V436" s="177" t="str">
        <f t="shared" si="33"/>
        <v/>
      </c>
      <c r="W436" s="177" t="str">
        <f t="shared" si="34"/>
        <v/>
      </c>
      <c r="Y436" s="240" t="e">
        <f t="array" ref="Y436">INDEX(Tabela.abordagens[],SMALL(IF(Tabela.abordagens[Mês]=$L$2,ROW(Tabela.abordagens[id])-2),ROW(A389)),1)</f>
        <v>#NUM!</v>
      </c>
      <c r="Z436" s="240" t="e">
        <f t="array" ref="Z436">INDEX(Tabela.abordagens[],SMALL(IF(Tabela.abordagens[Mês]=$L$2,ROW(Tabela.abordagens[Idade])-2),ROW(A389)),6)</f>
        <v>#NUM!</v>
      </c>
      <c r="AA436" s="240" t="e">
        <f t="array" ref="AA436">INDEX(Tabela.abordagens[],SMALL(IF(Tabela.abordagens[Mês]=$L$2,ROW(Tabela.abordagens[Idade])-2),ROW(A389)),4)</f>
        <v>#NUM!</v>
      </c>
      <c r="AB436" s="240" t="e">
        <f t="array" ref="AB436">INDEX(Tabela.abordagens[],SMALL(IF(Tabela.abordagens[Mês]=$L$2,ROW(Tabela.abordagens[Idade])-2),ROW(A389)),5)</f>
        <v>#NUM!</v>
      </c>
    </row>
    <row r="437" spans="2:28" ht="15" x14ac:dyDescent="0.25">
      <c r="B437" s="223" t="e">
        <f t="array" ref="B437">INDEX(Tabela.frequencia[],SMALL(IF(Tabela.frequencia[Mês]=$L$2,ROW(Tabela.frequencia[id])-1),ROW(A390)),1)</f>
        <v>#NUM!</v>
      </c>
      <c r="C437" s="229" t="e">
        <f t="array" ref="C437">INDEX(Tabela.frequencia[],SMALL(IF(Tabela.frequencia[Mês]=$L$2,ROW(Tabela.frequencia[id])-1),ROW(A390)),4)</f>
        <v>#NUM!</v>
      </c>
      <c r="E437" s="176" t="str">
        <f>IFERROR(VLOOKUP(D437,Tabela.cadastro[[ID]:[Nome]],2,0),"")</f>
        <v/>
      </c>
      <c r="F437" s="177" t="str">
        <f>IFERROR(VLOOKUP(D437,Tabela66[#All],2,0),"")</f>
        <v/>
      </c>
      <c r="G437" s="177" t="str">
        <f>IFERROR(VLOOKUP(D437,Tabela.cadastro[[ID]:[CP ou M]],5,0),"")</f>
        <v/>
      </c>
      <c r="H437" s="177" t="str">
        <f>IFERROR(VLOOKUP(D437,Cadastros!A:F,6,0),"")</f>
        <v/>
      </c>
      <c r="I437" s="177" t="str">
        <f>IFERROR(VLOOKUP(D437,Cadastros!A:I,9,0),"")</f>
        <v/>
      </c>
      <c r="J437" s="177" t="str">
        <f>IFERROR(VLOOKUP(D437,Cadastros!A:J,10,0),"")</f>
        <v/>
      </c>
      <c r="K437" s="177" t="str">
        <f>IF(COUNTIF(Tabela66[id],D437)=0,"",COUNTIF(Tabela66[id],D437))</f>
        <v/>
      </c>
      <c r="L437" s="198"/>
      <c r="M437" s="227" t="str">
        <f t="shared" si="35"/>
        <v/>
      </c>
      <c r="P437" s="176" t="str">
        <f>IFERROR(VLOOKUP(O437,Cadastros!A:B,2),"")</f>
        <v/>
      </c>
      <c r="Q437" s="177" t="str">
        <f t="shared" si="31"/>
        <v/>
      </c>
      <c r="R437" s="177" t="str">
        <f>IFERROR(VLOOKUP(O437,Cadastros!A:E,5,0),"")</f>
        <v/>
      </c>
      <c r="S437" s="177" t="str">
        <f>IFERROR(VLOOKUP(O437,Cadastros!A:F,6,0),"")</f>
        <v/>
      </c>
      <c r="T437" s="177" t="str">
        <f>IFERROR(VLOOKUP(O437,Cadastros!A:I,9,0),"")</f>
        <v/>
      </c>
      <c r="U437" s="177" t="str">
        <f t="shared" si="32"/>
        <v/>
      </c>
      <c r="V437" s="177" t="str">
        <f t="shared" si="33"/>
        <v/>
      </c>
      <c r="W437" s="177" t="str">
        <f t="shared" si="34"/>
        <v/>
      </c>
      <c r="Y437" s="240" t="e">
        <f t="array" ref="Y437">INDEX(Tabela.abordagens[],SMALL(IF(Tabela.abordagens[Mês]=$L$2,ROW(Tabela.abordagens[id])-2),ROW(A390)),1)</f>
        <v>#NUM!</v>
      </c>
      <c r="Z437" s="240" t="e">
        <f t="array" ref="Z437">INDEX(Tabela.abordagens[],SMALL(IF(Tabela.abordagens[Mês]=$L$2,ROW(Tabela.abordagens[Idade])-2),ROW(A390)),6)</f>
        <v>#NUM!</v>
      </c>
      <c r="AA437" s="240" t="e">
        <f t="array" ref="AA437">INDEX(Tabela.abordagens[],SMALL(IF(Tabela.abordagens[Mês]=$L$2,ROW(Tabela.abordagens[Idade])-2),ROW(A390)),4)</f>
        <v>#NUM!</v>
      </c>
      <c r="AB437" s="240" t="e">
        <f t="array" ref="AB437">INDEX(Tabela.abordagens[],SMALL(IF(Tabela.abordagens[Mês]=$L$2,ROW(Tabela.abordagens[Idade])-2),ROW(A390)),5)</f>
        <v>#NUM!</v>
      </c>
    </row>
    <row r="438" spans="2:28" ht="15" x14ac:dyDescent="0.25">
      <c r="B438" s="223" t="e">
        <f t="array" ref="B438">INDEX(Tabela.frequencia[],SMALL(IF(Tabela.frequencia[Mês]=$L$2,ROW(Tabela.frequencia[id])-1),ROW(A391)),1)</f>
        <v>#NUM!</v>
      </c>
      <c r="C438" s="229" t="e">
        <f t="array" ref="C438">INDEX(Tabela.frequencia[],SMALL(IF(Tabela.frequencia[Mês]=$L$2,ROW(Tabela.frequencia[id])-1),ROW(A391)),4)</f>
        <v>#NUM!</v>
      </c>
      <c r="E438" s="176" t="str">
        <f>IFERROR(VLOOKUP(D438,Tabela.cadastro[[ID]:[Nome]],2,0),"")</f>
        <v/>
      </c>
      <c r="F438" s="177" t="str">
        <f>IFERROR(VLOOKUP(D438,Tabela66[#All],2,0),"")</f>
        <v/>
      </c>
      <c r="G438" s="177" t="str">
        <f>IFERROR(VLOOKUP(D438,Tabela.cadastro[[ID]:[CP ou M]],5,0),"")</f>
        <v/>
      </c>
      <c r="H438" s="177" t="str">
        <f>IFERROR(VLOOKUP(D438,Cadastros!A:F,6,0),"")</f>
        <v/>
      </c>
      <c r="I438" s="177" t="str">
        <f>IFERROR(VLOOKUP(D438,Cadastros!A:I,9,0),"")</f>
        <v/>
      </c>
      <c r="J438" s="177" t="str">
        <f>IFERROR(VLOOKUP(D438,Cadastros!A:J,10,0),"")</f>
        <v/>
      </c>
      <c r="K438" s="177" t="str">
        <f>IF(COUNTIF(Tabela66[id],D438)=0,"",COUNTIF(Tabela66[id],D438))</f>
        <v/>
      </c>
      <c r="L438" s="198"/>
      <c r="M438" s="227" t="str">
        <f t="shared" si="35"/>
        <v/>
      </c>
      <c r="P438" s="176" t="str">
        <f>IFERROR(VLOOKUP(O438,Cadastros!A:B,2),"")</f>
        <v/>
      </c>
      <c r="Q438" s="177" t="str">
        <f t="shared" si="31"/>
        <v/>
      </c>
      <c r="R438" s="177" t="str">
        <f>IFERROR(VLOOKUP(O438,Cadastros!A:E,5,0),"")</f>
        <v/>
      </c>
      <c r="S438" s="177" t="str">
        <f>IFERROR(VLOOKUP(O438,Cadastros!A:F,6,0),"")</f>
        <v/>
      </c>
      <c r="T438" s="177" t="str">
        <f>IFERROR(VLOOKUP(O438,Cadastros!A:I,9,0),"")</f>
        <v/>
      </c>
      <c r="U438" s="177" t="str">
        <f t="shared" si="32"/>
        <v/>
      </c>
      <c r="V438" s="177" t="str">
        <f t="shared" si="33"/>
        <v/>
      </c>
      <c r="W438" s="177" t="str">
        <f t="shared" si="34"/>
        <v/>
      </c>
      <c r="Y438" s="240" t="e">
        <f t="array" ref="Y438">INDEX(Tabela.abordagens[],SMALL(IF(Tabela.abordagens[Mês]=$L$2,ROW(Tabela.abordagens[id])-2),ROW(A391)),1)</f>
        <v>#NUM!</v>
      </c>
      <c r="Z438" s="240" t="e">
        <f t="array" ref="Z438">INDEX(Tabela.abordagens[],SMALL(IF(Tabela.abordagens[Mês]=$L$2,ROW(Tabela.abordagens[Idade])-2),ROW(A391)),6)</f>
        <v>#NUM!</v>
      </c>
      <c r="AA438" s="240" t="e">
        <f t="array" ref="AA438">INDEX(Tabela.abordagens[],SMALL(IF(Tabela.abordagens[Mês]=$L$2,ROW(Tabela.abordagens[Idade])-2),ROW(A391)),4)</f>
        <v>#NUM!</v>
      </c>
      <c r="AB438" s="240" t="e">
        <f t="array" ref="AB438">INDEX(Tabela.abordagens[],SMALL(IF(Tabela.abordagens[Mês]=$L$2,ROW(Tabela.abordagens[Idade])-2),ROW(A391)),5)</f>
        <v>#NUM!</v>
      </c>
    </row>
    <row r="439" spans="2:28" ht="15" x14ac:dyDescent="0.25">
      <c r="B439" s="223" t="e">
        <f t="array" ref="B439">INDEX(Tabela.frequencia[],SMALL(IF(Tabela.frequencia[Mês]=$L$2,ROW(Tabela.frequencia[id])-1),ROW(A392)),1)</f>
        <v>#NUM!</v>
      </c>
      <c r="C439" s="229" t="e">
        <f t="array" ref="C439">INDEX(Tabela.frequencia[],SMALL(IF(Tabela.frequencia[Mês]=$L$2,ROW(Tabela.frequencia[id])-1),ROW(A392)),4)</f>
        <v>#NUM!</v>
      </c>
      <c r="E439" s="176" t="str">
        <f>IFERROR(VLOOKUP(D439,Tabela.cadastro[[ID]:[Nome]],2,0),"")</f>
        <v/>
      </c>
      <c r="F439" s="177" t="str">
        <f>IFERROR(VLOOKUP(D439,Tabela66[#All],2,0),"")</f>
        <v/>
      </c>
      <c r="G439" s="177" t="str">
        <f>IFERROR(VLOOKUP(D439,Tabela.cadastro[[ID]:[CP ou M]],5,0),"")</f>
        <v/>
      </c>
      <c r="H439" s="177" t="str">
        <f>IFERROR(VLOOKUP(D439,Cadastros!A:F,6,0),"")</f>
        <v/>
      </c>
      <c r="I439" s="177" t="str">
        <f>IFERROR(VLOOKUP(D439,Cadastros!A:I,9,0),"")</f>
        <v/>
      </c>
      <c r="J439" s="177" t="str">
        <f>IFERROR(VLOOKUP(D439,Cadastros!A:J,10,0),"")</f>
        <v/>
      </c>
      <c r="K439" s="177" t="str">
        <f>IF(COUNTIF(Tabela66[id],D439)=0,"",COUNTIF(Tabela66[id],D439))</f>
        <v/>
      </c>
      <c r="L439" s="198"/>
      <c r="M439" s="227" t="str">
        <f t="shared" si="35"/>
        <v/>
      </c>
      <c r="P439" s="176" t="str">
        <f>IFERROR(VLOOKUP(O439,Cadastros!A:B,2),"")</f>
        <v/>
      </c>
      <c r="Q439" s="177" t="str">
        <f t="shared" si="31"/>
        <v/>
      </c>
      <c r="R439" s="177" t="str">
        <f>IFERROR(VLOOKUP(O439,Cadastros!A:E,5,0),"")</f>
        <v/>
      </c>
      <c r="S439" s="177" t="str">
        <f>IFERROR(VLOOKUP(O439,Cadastros!A:F,6,0),"")</f>
        <v/>
      </c>
      <c r="T439" s="177" t="str">
        <f>IFERROR(VLOOKUP(O439,Cadastros!A:I,9,0),"")</f>
        <v/>
      </c>
      <c r="U439" s="177" t="str">
        <f t="shared" si="32"/>
        <v/>
      </c>
      <c r="V439" s="177" t="str">
        <f t="shared" si="33"/>
        <v/>
      </c>
      <c r="W439" s="177" t="str">
        <f t="shared" si="34"/>
        <v/>
      </c>
      <c r="Y439" s="240" t="e">
        <f t="array" ref="Y439">INDEX(Tabela.abordagens[],SMALL(IF(Tabela.abordagens[Mês]=$L$2,ROW(Tabela.abordagens[id])-2),ROW(A392)),1)</f>
        <v>#NUM!</v>
      </c>
      <c r="Z439" s="240" t="e">
        <f t="array" ref="Z439">INDEX(Tabela.abordagens[],SMALL(IF(Tabela.abordagens[Mês]=$L$2,ROW(Tabela.abordagens[Idade])-2),ROW(A392)),6)</f>
        <v>#NUM!</v>
      </c>
      <c r="AA439" s="240" t="e">
        <f t="array" ref="AA439">INDEX(Tabela.abordagens[],SMALL(IF(Tabela.abordagens[Mês]=$L$2,ROW(Tabela.abordagens[Idade])-2),ROW(A392)),4)</f>
        <v>#NUM!</v>
      </c>
      <c r="AB439" s="240" t="e">
        <f t="array" ref="AB439">INDEX(Tabela.abordagens[],SMALL(IF(Tabela.abordagens[Mês]=$L$2,ROW(Tabela.abordagens[Idade])-2),ROW(A392)),5)</f>
        <v>#NUM!</v>
      </c>
    </row>
    <row r="440" spans="2:28" ht="15" x14ac:dyDescent="0.25">
      <c r="B440" s="223" t="e">
        <f t="array" ref="B440">INDEX(Tabela.frequencia[],SMALL(IF(Tabela.frequencia[Mês]=$L$2,ROW(Tabela.frequencia[id])-1),ROW(A393)),1)</f>
        <v>#NUM!</v>
      </c>
      <c r="C440" s="229" t="e">
        <f t="array" ref="C440">INDEX(Tabela.frequencia[],SMALL(IF(Tabela.frequencia[Mês]=$L$2,ROW(Tabela.frequencia[id])-1),ROW(A393)),4)</f>
        <v>#NUM!</v>
      </c>
      <c r="E440" s="176" t="str">
        <f>IFERROR(VLOOKUP(D440,Tabela.cadastro[[ID]:[Nome]],2,0),"")</f>
        <v/>
      </c>
      <c r="F440" s="177" t="str">
        <f>IFERROR(VLOOKUP(D440,Tabela66[#All],2,0),"")</f>
        <v/>
      </c>
      <c r="G440" s="177" t="str">
        <f>IFERROR(VLOOKUP(D440,Tabela.cadastro[[ID]:[CP ou M]],5,0),"")</f>
        <v/>
      </c>
      <c r="H440" s="177" t="str">
        <f>IFERROR(VLOOKUP(D440,Cadastros!A:F,6,0),"")</f>
        <v/>
      </c>
      <c r="I440" s="177" t="str">
        <f>IFERROR(VLOOKUP(D440,Cadastros!A:I,9,0),"")</f>
        <v/>
      </c>
      <c r="J440" s="177" t="str">
        <f>IFERROR(VLOOKUP(D440,Cadastros!A:J,10,0),"")</f>
        <v/>
      </c>
      <c r="K440" s="177" t="str">
        <f>IF(COUNTIF(Tabela66[id],D440)=0,"",COUNTIF(Tabela66[id],D440))</f>
        <v/>
      </c>
      <c r="L440" s="198"/>
      <c r="M440" s="227" t="str">
        <f t="shared" si="35"/>
        <v/>
      </c>
      <c r="P440" s="176" t="str">
        <f>IFERROR(VLOOKUP(O440,Cadastros!A:B,2),"")</f>
        <v/>
      </c>
      <c r="Q440" s="177" t="str">
        <f t="shared" si="31"/>
        <v/>
      </c>
      <c r="R440" s="177" t="str">
        <f>IFERROR(VLOOKUP(O440,Cadastros!A:E,5,0),"")</f>
        <v/>
      </c>
      <c r="S440" s="177" t="str">
        <f>IFERROR(VLOOKUP(O440,Cadastros!A:F,6,0),"")</f>
        <v/>
      </c>
      <c r="T440" s="177" t="str">
        <f>IFERROR(VLOOKUP(O440,Cadastros!A:I,9,0),"")</f>
        <v/>
      </c>
      <c r="U440" s="177" t="str">
        <f t="shared" si="32"/>
        <v/>
      </c>
      <c r="V440" s="177" t="str">
        <f t="shared" si="33"/>
        <v/>
      </c>
      <c r="W440" s="177" t="str">
        <f t="shared" si="34"/>
        <v/>
      </c>
      <c r="Y440" s="240" t="e">
        <f t="array" ref="Y440">INDEX(Tabela.abordagens[],SMALL(IF(Tabela.abordagens[Mês]=$L$2,ROW(Tabela.abordagens[id])-2),ROW(A393)),1)</f>
        <v>#NUM!</v>
      </c>
      <c r="Z440" s="240" t="e">
        <f t="array" ref="Z440">INDEX(Tabela.abordagens[],SMALL(IF(Tabela.abordagens[Mês]=$L$2,ROW(Tabela.abordagens[Idade])-2),ROW(A393)),6)</f>
        <v>#NUM!</v>
      </c>
      <c r="AA440" s="240" t="e">
        <f t="array" ref="AA440">INDEX(Tabela.abordagens[],SMALL(IF(Tabela.abordagens[Mês]=$L$2,ROW(Tabela.abordagens[Idade])-2),ROW(A393)),4)</f>
        <v>#NUM!</v>
      </c>
      <c r="AB440" s="240" t="e">
        <f t="array" ref="AB440">INDEX(Tabela.abordagens[],SMALL(IF(Tabela.abordagens[Mês]=$L$2,ROW(Tabela.abordagens[Idade])-2),ROW(A393)),5)</f>
        <v>#NUM!</v>
      </c>
    </row>
    <row r="441" spans="2:28" ht="15" x14ac:dyDescent="0.25">
      <c r="B441" s="223" t="e">
        <f t="array" ref="B441">INDEX(Tabela.frequencia[],SMALL(IF(Tabela.frequencia[Mês]=$L$2,ROW(Tabela.frequencia[id])-1),ROW(A394)),1)</f>
        <v>#NUM!</v>
      </c>
      <c r="C441" s="229" t="e">
        <f t="array" ref="C441">INDEX(Tabela.frequencia[],SMALL(IF(Tabela.frequencia[Mês]=$L$2,ROW(Tabela.frequencia[id])-1),ROW(A394)),4)</f>
        <v>#NUM!</v>
      </c>
      <c r="E441" s="176" t="str">
        <f>IFERROR(VLOOKUP(D441,Tabela.cadastro[[ID]:[Nome]],2,0),"")</f>
        <v/>
      </c>
      <c r="F441" s="177" t="str">
        <f>IFERROR(VLOOKUP(D441,Tabela66[#All],2,0),"")</f>
        <v/>
      </c>
      <c r="G441" s="177" t="str">
        <f>IFERROR(VLOOKUP(D441,Tabela.cadastro[[ID]:[CP ou M]],5,0),"")</f>
        <v/>
      </c>
      <c r="H441" s="177" t="str">
        <f>IFERROR(VLOOKUP(D441,Cadastros!A:F,6,0),"")</f>
        <v/>
      </c>
      <c r="I441" s="177" t="str">
        <f>IFERROR(VLOOKUP(D441,Cadastros!A:I,9,0),"")</f>
        <v/>
      </c>
      <c r="J441" s="177" t="str">
        <f>IFERROR(VLOOKUP(D441,Cadastros!A:J,10,0),"")</f>
        <v/>
      </c>
      <c r="K441" s="177" t="str">
        <f>IF(COUNTIF(Tabela66[id],D441)=0,"",COUNTIF(Tabela66[id],D441))</f>
        <v/>
      </c>
      <c r="L441" s="198"/>
      <c r="M441" s="227" t="str">
        <f t="shared" si="35"/>
        <v/>
      </c>
      <c r="P441" s="176" t="str">
        <f>IFERROR(VLOOKUP(O441,Cadastros!A:B,2),"")</f>
        <v/>
      </c>
      <c r="Q441" s="177" t="str">
        <f t="shared" si="31"/>
        <v/>
      </c>
      <c r="R441" s="177" t="str">
        <f>IFERROR(VLOOKUP(O441,Cadastros!A:E,5,0),"")</f>
        <v/>
      </c>
      <c r="S441" s="177" t="str">
        <f>IFERROR(VLOOKUP(O441,Cadastros!A:F,6,0),"")</f>
        <v/>
      </c>
      <c r="T441" s="177" t="str">
        <f>IFERROR(VLOOKUP(O441,Cadastros!A:I,9,0),"")</f>
        <v/>
      </c>
      <c r="U441" s="177" t="str">
        <f t="shared" si="32"/>
        <v/>
      </c>
      <c r="V441" s="177" t="str">
        <f t="shared" si="33"/>
        <v/>
      </c>
      <c r="W441" s="177" t="str">
        <f t="shared" si="34"/>
        <v/>
      </c>
      <c r="Y441" s="240" t="e">
        <f t="array" ref="Y441">INDEX(Tabela.abordagens[],SMALL(IF(Tabela.abordagens[Mês]=$L$2,ROW(Tabela.abordagens[id])-2),ROW(A394)),1)</f>
        <v>#NUM!</v>
      </c>
      <c r="Z441" s="240" t="e">
        <f t="array" ref="Z441">INDEX(Tabela.abordagens[],SMALL(IF(Tabela.abordagens[Mês]=$L$2,ROW(Tabela.abordagens[Idade])-2),ROW(A394)),6)</f>
        <v>#NUM!</v>
      </c>
      <c r="AA441" s="240" t="e">
        <f t="array" ref="AA441">INDEX(Tabela.abordagens[],SMALL(IF(Tabela.abordagens[Mês]=$L$2,ROW(Tabela.abordagens[Idade])-2),ROW(A394)),4)</f>
        <v>#NUM!</v>
      </c>
      <c r="AB441" s="240" t="e">
        <f t="array" ref="AB441">INDEX(Tabela.abordagens[],SMALL(IF(Tabela.abordagens[Mês]=$L$2,ROW(Tabela.abordagens[Idade])-2),ROW(A394)),5)</f>
        <v>#NUM!</v>
      </c>
    </row>
    <row r="442" spans="2:28" ht="15" x14ac:dyDescent="0.25">
      <c r="B442" s="223" t="e">
        <f t="array" ref="B442">INDEX(Tabela.frequencia[],SMALL(IF(Tabela.frequencia[Mês]=$L$2,ROW(Tabela.frequencia[id])-1),ROW(A395)),1)</f>
        <v>#NUM!</v>
      </c>
      <c r="C442" s="229" t="e">
        <f t="array" ref="C442">INDEX(Tabela.frequencia[],SMALL(IF(Tabela.frequencia[Mês]=$L$2,ROW(Tabela.frequencia[id])-1),ROW(A395)),4)</f>
        <v>#NUM!</v>
      </c>
      <c r="E442" s="176" t="str">
        <f>IFERROR(VLOOKUP(D442,Tabela.cadastro[[ID]:[Nome]],2,0),"")</f>
        <v/>
      </c>
      <c r="F442" s="177" t="str">
        <f>IFERROR(VLOOKUP(D442,Tabela66[#All],2,0),"")</f>
        <v/>
      </c>
      <c r="G442" s="177" t="str">
        <f>IFERROR(VLOOKUP(D442,Tabela.cadastro[[ID]:[CP ou M]],5,0),"")</f>
        <v/>
      </c>
      <c r="H442" s="177" t="str">
        <f>IFERROR(VLOOKUP(D442,Cadastros!A:F,6,0),"")</f>
        <v/>
      </c>
      <c r="I442" s="177" t="str">
        <f>IFERROR(VLOOKUP(D442,Cadastros!A:I,9,0),"")</f>
        <v/>
      </c>
      <c r="J442" s="177" t="str">
        <f>IFERROR(VLOOKUP(D442,Cadastros!A:J,10,0),"")</f>
        <v/>
      </c>
      <c r="K442" s="177" t="str">
        <f>IF(COUNTIF(Tabela66[id],D442)=0,"",COUNTIF(Tabela66[id],D442))</f>
        <v/>
      </c>
      <c r="L442" s="198"/>
      <c r="M442" s="227" t="str">
        <f t="shared" si="35"/>
        <v/>
      </c>
      <c r="P442" s="176" t="str">
        <f>IFERROR(VLOOKUP(O442,Cadastros!A:B,2),"")</f>
        <v/>
      </c>
      <c r="Q442" s="177" t="str">
        <f t="shared" si="31"/>
        <v/>
      </c>
      <c r="R442" s="177" t="str">
        <f>IFERROR(VLOOKUP(O442,Cadastros!A:E,5,0),"")</f>
        <v/>
      </c>
      <c r="S442" s="177" t="str">
        <f>IFERROR(VLOOKUP(O442,Cadastros!A:F,6,0),"")</f>
        <v/>
      </c>
      <c r="T442" s="177" t="str">
        <f>IFERROR(VLOOKUP(O442,Cadastros!A:I,9,0),"")</f>
        <v/>
      </c>
      <c r="U442" s="177" t="str">
        <f t="shared" si="32"/>
        <v/>
      </c>
      <c r="V442" s="177" t="str">
        <f t="shared" si="33"/>
        <v/>
      </c>
      <c r="W442" s="177" t="str">
        <f t="shared" si="34"/>
        <v/>
      </c>
      <c r="Y442" s="240" t="e">
        <f t="array" ref="Y442">INDEX(Tabela.abordagens[],SMALL(IF(Tabela.abordagens[Mês]=$L$2,ROW(Tabela.abordagens[id])-2),ROW(A395)),1)</f>
        <v>#NUM!</v>
      </c>
      <c r="Z442" s="240" t="e">
        <f t="array" ref="Z442">INDEX(Tabela.abordagens[],SMALL(IF(Tabela.abordagens[Mês]=$L$2,ROW(Tabela.abordagens[Idade])-2),ROW(A395)),6)</f>
        <v>#NUM!</v>
      </c>
      <c r="AA442" s="240" t="e">
        <f t="array" ref="AA442">INDEX(Tabela.abordagens[],SMALL(IF(Tabela.abordagens[Mês]=$L$2,ROW(Tabela.abordagens[Idade])-2),ROW(A395)),4)</f>
        <v>#NUM!</v>
      </c>
      <c r="AB442" s="240" t="e">
        <f t="array" ref="AB442">INDEX(Tabela.abordagens[],SMALL(IF(Tabela.abordagens[Mês]=$L$2,ROW(Tabela.abordagens[Idade])-2),ROW(A395)),5)</f>
        <v>#NUM!</v>
      </c>
    </row>
    <row r="443" spans="2:28" ht="15" x14ac:dyDescent="0.25">
      <c r="B443" s="223" t="e">
        <f t="array" ref="B443">INDEX(Tabela.frequencia[],SMALL(IF(Tabela.frequencia[Mês]=$L$2,ROW(Tabela.frequencia[id])-1),ROW(A396)),1)</f>
        <v>#NUM!</v>
      </c>
      <c r="C443" s="229" t="e">
        <f t="array" ref="C443">INDEX(Tabela.frequencia[],SMALL(IF(Tabela.frequencia[Mês]=$L$2,ROW(Tabela.frequencia[id])-1),ROW(A396)),4)</f>
        <v>#NUM!</v>
      </c>
      <c r="E443" s="176" t="str">
        <f>IFERROR(VLOOKUP(D443,Tabela.cadastro[[ID]:[Nome]],2,0),"")</f>
        <v/>
      </c>
      <c r="F443" s="177" t="str">
        <f>IFERROR(VLOOKUP(D443,Tabela66[#All],2,0),"")</f>
        <v/>
      </c>
      <c r="G443" s="177" t="str">
        <f>IFERROR(VLOOKUP(D443,Tabela.cadastro[[ID]:[CP ou M]],5,0),"")</f>
        <v/>
      </c>
      <c r="H443" s="177" t="str">
        <f>IFERROR(VLOOKUP(D443,Cadastros!A:F,6,0),"")</f>
        <v/>
      </c>
      <c r="I443" s="177" t="str">
        <f>IFERROR(VLOOKUP(D443,Cadastros!A:I,9,0),"")</f>
        <v/>
      </c>
      <c r="J443" s="177" t="str">
        <f>IFERROR(VLOOKUP(D443,Cadastros!A:J,10,0),"")</f>
        <v/>
      </c>
      <c r="K443" s="177" t="str">
        <f>IF(COUNTIF(Tabela66[id],D443)=0,"",COUNTIF(Tabela66[id],D443))</f>
        <v/>
      </c>
      <c r="L443" s="198"/>
      <c r="M443" s="227" t="str">
        <f t="shared" si="35"/>
        <v/>
      </c>
      <c r="P443" s="176" t="str">
        <f>IFERROR(VLOOKUP(O443,Cadastros!A:B,2),"")</f>
        <v/>
      </c>
      <c r="Q443" s="177" t="str">
        <f t="shared" si="31"/>
        <v/>
      </c>
      <c r="R443" s="177" t="str">
        <f>IFERROR(VLOOKUP(O443,Cadastros!A:E,5,0),"")</f>
        <v/>
      </c>
      <c r="S443" s="177" t="str">
        <f>IFERROR(VLOOKUP(O443,Cadastros!A:F,6,0),"")</f>
        <v/>
      </c>
      <c r="T443" s="177" t="str">
        <f>IFERROR(VLOOKUP(O443,Cadastros!A:I,9,0),"")</f>
        <v/>
      </c>
      <c r="U443" s="177" t="str">
        <f t="shared" si="32"/>
        <v/>
      </c>
      <c r="V443" s="177" t="str">
        <f t="shared" si="33"/>
        <v/>
      </c>
      <c r="W443" s="177" t="str">
        <f t="shared" si="34"/>
        <v/>
      </c>
      <c r="Y443" s="240" t="e">
        <f t="array" ref="Y443">INDEX(Tabela.abordagens[],SMALL(IF(Tabela.abordagens[Mês]=$L$2,ROW(Tabela.abordagens[id])-2),ROW(A396)),1)</f>
        <v>#NUM!</v>
      </c>
      <c r="Z443" s="240" t="e">
        <f t="array" ref="Z443">INDEX(Tabela.abordagens[],SMALL(IF(Tabela.abordagens[Mês]=$L$2,ROW(Tabela.abordagens[Idade])-2),ROW(A396)),6)</f>
        <v>#NUM!</v>
      </c>
      <c r="AA443" s="240" t="e">
        <f t="array" ref="AA443">INDEX(Tabela.abordagens[],SMALL(IF(Tabela.abordagens[Mês]=$L$2,ROW(Tabela.abordagens[Idade])-2),ROW(A396)),4)</f>
        <v>#NUM!</v>
      </c>
      <c r="AB443" s="240" t="e">
        <f t="array" ref="AB443">INDEX(Tabela.abordagens[],SMALL(IF(Tabela.abordagens[Mês]=$L$2,ROW(Tabela.abordagens[Idade])-2),ROW(A396)),5)</f>
        <v>#NUM!</v>
      </c>
    </row>
    <row r="444" spans="2:28" ht="15" x14ac:dyDescent="0.25">
      <c r="B444" s="223" t="e">
        <f t="array" ref="B444">INDEX(Tabela.frequencia[],SMALL(IF(Tabela.frequencia[Mês]=$L$2,ROW(Tabela.frequencia[id])-1),ROW(A397)),1)</f>
        <v>#NUM!</v>
      </c>
      <c r="C444" s="229" t="e">
        <f t="array" ref="C444">INDEX(Tabela.frequencia[],SMALL(IF(Tabela.frequencia[Mês]=$L$2,ROW(Tabela.frequencia[id])-1),ROW(A397)),4)</f>
        <v>#NUM!</v>
      </c>
      <c r="E444" s="176" t="str">
        <f>IFERROR(VLOOKUP(D444,Tabela.cadastro[[ID]:[Nome]],2,0),"")</f>
        <v/>
      </c>
      <c r="F444" s="177" t="str">
        <f>IFERROR(VLOOKUP(D444,Tabela66[#All],2,0),"")</f>
        <v/>
      </c>
      <c r="G444" s="177" t="str">
        <f>IFERROR(VLOOKUP(D444,Tabela.cadastro[[ID]:[CP ou M]],5,0),"")</f>
        <v/>
      </c>
      <c r="H444" s="177" t="str">
        <f>IFERROR(VLOOKUP(D444,Cadastros!A:F,6,0),"")</f>
        <v/>
      </c>
      <c r="I444" s="177" t="str">
        <f>IFERROR(VLOOKUP(D444,Cadastros!A:I,9,0),"")</f>
        <v/>
      </c>
      <c r="J444" s="177" t="str">
        <f>IFERROR(VLOOKUP(D444,Cadastros!A:J,10,0),"")</f>
        <v/>
      </c>
      <c r="K444" s="177" t="str">
        <f>IF(COUNTIF(Tabela66[id],D444)=0,"",COUNTIF(Tabela66[id],D444))</f>
        <v/>
      </c>
      <c r="L444" s="198"/>
      <c r="M444" s="227" t="str">
        <f t="shared" si="35"/>
        <v/>
      </c>
      <c r="P444" s="176" t="str">
        <f>IFERROR(VLOOKUP(O444,Cadastros!A:B,2),"")</f>
        <v/>
      </c>
      <c r="Q444" s="177" t="str">
        <f t="shared" si="31"/>
        <v/>
      </c>
      <c r="R444" s="177" t="str">
        <f>IFERROR(VLOOKUP(O444,Cadastros!A:E,5,0),"")</f>
        <v/>
      </c>
      <c r="S444" s="177" t="str">
        <f>IFERROR(VLOOKUP(O444,Cadastros!A:F,6,0),"")</f>
        <v/>
      </c>
      <c r="T444" s="177" t="str">
        <f>IFERROR(VLOOKUP(O444,Cadastros!A:I,9,0),"")</f>
        <v/>
      </c>
      <c r="U444" s="177" t="str">
        <f t="shared" si="32"/>
        <v/>
      </c>
      <c r="V444" s="177" t="str">
        <f t="shared" si="33"/>
        <v/>
      </c>
      <c r="W444" s="177" t="str">
        <f t="shared" si="34"/>
        <v/>
      </c>
      <c r="Y444" s="240" t="e">
        <f t="array" ref="Y444">INDEX(Tabela.abordagens[],SMALL(IF(Tabela.abordagens[Mês]=$L$2,ROW(Tabela.abordagens[id])-2),ROW(A397)),1)</f>
        <v>#NUM!</v>
      </c>
      <c r="Z444" s="240" t="e">
        <f t="array" ref="Z444">INDEX(Tabela.abordagens[],SMALL(IF(Tabela.abordagens[Mês]=$L$2,ROW(Tabela.abordagens[Idade])-2),ROW(A397)),6)</f>
        <v>#NUM!</v>
      </c>
      <c r="AA444" s="240" t="e">
        <f t="array" ref="AA444">INDEX(Tabela.abordagens[],SMALL(IF(Tabela.abordagens[Mês]=$L$2,ROW(Tabela.abordagens[Idade])-2),ROW(A397)),4)</f>
        <v>#NUM!</v>
      </c>
      <c r="AB444" s="240" t="e">
        <f t="array" ref="AB444">INDEX(Tabela.abordagens[],SMALL(IF(Tabela.abordagens[Mês]=$L$2,ROW(Tabela.abordagens[Idade])-2),ROW(A397)),5)</f>
        <v>#NUM!</v>
      </c>
    </row>
    <row r="445" spans="2:28" ht="15" x14ac:dyDescent="0.25">
      <c r="B445" s="223" t="e">
        <f t="array" ref="B445">INDEX(Tabela.frequencia[],SMALL(IF(Tabela.frequencia[Mês]=$L$2,ROW(Tabela.frequencia[id])-1),ROW(A398)),1)</f>
        <v>#NUM!</v>
      </c>
      <c r="C445" s="229" t="e">
        <f t="array" ref="C445">INDEX(Tabela.frequencia[],SMALL(IF(Tabela.frequencia[Mês]=$L$2,ROW(Tabela.frequencia[id])-1),ROW(A398)),4)</f>
        <v>#NUM!</v>
      </c>
      <c r="E445" s="176" t="str">
        <f>IFERROR(VLOOKUP(D445,Tabela.cadastro[[ID]:[Nome]],2,0),"")</f>
        <v/>
      </c>
      <c r="F445" s="177" t="str">
        <f>IFERROR(VLOOKUP(D445,Tabela66[#All],2,0),"")</f>
        <v/>
      </c>
      <c r="G445" s="177" t="str">
        <f>IFERROR(VLOOKUP(D445,Tabela.cadastro[[ID]:[CP ou M]],5,0),"")</f>
        <v/>
      </c>
      <c r="H445" s="177" t="str">
        <f>IFERROR(VLOOKUP(D445,Cadastros!A:F,6,0),"")</f>
        <v/>
      </c>
      <c r="I445" s="177" t="str">
        <f>IFERROR(VLOOKUP(D445,Cadastros!A:I,9,0),"")</f>
        <v/>
      </c>
      <c r="J445" s="177" t="str">
        <f>IFERROR(VLOOKUP(D445,Cadastros!A:J,10,0),"")</f>
        <v/>
      </c>
      <c r="K445" s="177" t="str">
        <f>IF(COUNTIF(Tabela66[id],D445)=0,"",COUNTIF(Tabela66[id],D445))</f>
        <v/>
      </c>
      <c r="L445" s="198"/>
      <c r="M445" s="227" t="str">
        <f t="shared" si="35"/>
        <v/>
      </c>
      <c r="P445" s="176" t="str">
        <f>IFERROR(VLOOKUP(O445,Cadastros!A:B,2),"")</f>
        <v/>
      </c>
      <c r="Q445" s="177" t="str">
        <f t="shared" si="31"/>
        <v/>
      </c>
      <c r="R445" s="177" t="str">
        <f>IFERROR(VLOOKUP(O445,Cadastros!A:E,5,0),"")</f>
        <v/>
      </c>
      <c r="S445" s="177" t="str">
        <f>IFERROR(VLOOKUP(O445,Cadastros!A:F,6,0),"")</f>
        <v/>
      </c>
      <c r="T445" s="177" t="str">
        <f>IFERROR(VLOOKUP(O445,Cadastros!A:I,9,0),"")</f>
        <v/>
      </c>
      <c r="U445" s="177" t="str">
        <f t="shared" si="32"/>
        <v/>
      </c>
      <c r="V445" s="177" t="str">
        <f t="shared" si="33"/>
        <v/>
      </c>
      <c r="W445" s="177" t="str">
        <f t="shared" si="34"/>
        <v/>
      </c>
      <c r="Y445" s="240" t="e">
        <f t="array" ref="Y445">INDEX(Tabela.abordagens[],SMALL(IF(Tabela.abordagens[Mês]=$L$2,ROW(Tabela.abordagens[id])-2),ROW(A398)),1)</f>
        <v>#NUM!</v>
      </c>
      <c r="Z445" s="240" t="e">
        <f t="array" ref="Z445">INDEX(Tabela.abordagens[],SMALL(IF(Tabela.abordagens[Mês]=$L$2,ROW(Tabela.abordagens[Idade])-2),ROW(A398)),6)</f>
        <v>#NUM!</v>
      </c>
      <c r="AA445" s="240" t="e">
        <f t="array" ref="AA445">INDEX(Tabela.abordagens[],SMALL(IF(Tabela.abordagens[Mês]=$L$2,ROW(Tabela.abordagens[Idade])-2),ROW(A398)),4)</f>
        <v>#NUM!</v>
      </c>
      <c r="AB445" s="240" t="e">
        <f t="array" ref="AB445">INDEX(Tabela.abordagens[],SMALL(IF(Tabela.abordagens[Mês]=$L$2,ROW(Tabela.abordagens[Idade])-2),ROW(A398)),5)</f>
        <v>#NUM!</v>
      </c>
    </row>
    <row r="446" spans="2:28" ht="15" x14ac:dyDescent="0.25">
      <c r="B446" s="223" t="e">
        <f t="array" ref="B446">INDEX(Tabela.frequencia[],SMALL(IF(Tabela.frequencia[Mês]=$L$2,ROW(Tabela.frequencia[id])-1),ROW(A399)),1)</f>
        <v>#NUM!</v>
      </c>
      <c r="C446" s="229" t="e">
        <f t="array" ref="C446">INDEX(Tabela.frequencia[],SMALL(IF(Tabela.frequencia[Mês]=$L$2,ROW(Tabela.frequencia[id])-1),ROW(A399)),4)</f>
        <v>#NUM!</v>
      </c>
      <c r="E446" s="176" t="str">
        <f>IFERROR(VLOOKUP(D446,Tabela.cadastro[[ID]:[Nome]],2,0),"")</f>
        <v/>
      </c>
      <c r="F446" s="177" t="str">
        <f>IFERROR(VLOOKUP(D446,Tabela66[#All],2,0),"")</f>
        <v/>
      </c>
      <c r="G446" s="177" t="str">
        <f>IFERROR(VLOOKUP(D446,Tabela.cadastro[[ID]:[CP ou M]],5,0),"")</f>
        <v/>
      </c>
      <c r="H446" s="177" t="str">
        <f>IFERROR(VLOOKUP(D446,Cadastros!A:F,6,0),"")</f>
        <v/>
      </c>
      <c r="I446" s="177" t="str">
        <f>IFERROR(VLOOKUP(D446,Cadastros!A:I,9,0),"")</f>
        <v/>
      </c>
      <c r="J446" s="177" t="str">
        <f>IFERROR(VLOOKUP(D446,Cadastros!A:J,10,0),"")</f>
        <v/>
      </c>
      <c r="K446" s="177" t="str">
        <f>IF(COUNTIF(Tabela66[id],D446)=0,"",COUNTIF(Tabela66[id],D446))</f>
        <v/>
      </c>
      <c r="L446" s="198"/>
      <c r="M446" s="227" t="str">
        <f t="shared" si="35"/>
        <v/>
      </c>
      <c r="P446" s="176" t="str">
        <f>IFERROR(VLOOKUP(O446,Cadastros!A:B,2),"")</f>
        <v/>
      </c>
      <c r="Q446" s="177" t="str">
        <f t="shared" si="31"/>
        <v/>
      </c>
      <c r="R446" s="177" t="str">
        <f>IFERROR(VLOOKUP(O446,Cadastros!A:E,5,0),"")</f>
        <v/>
      </c>
      <c r="S446" s="177" t="str">
        <f>IFERROR(VLOOKUP(O446,Cadastros!A:F,6,0),"")</f>
        <v/>
      </c>
      <c r="T446" s="177" t="str">
        <f>IFERROR(VLOOKUP(O446,Cadastros!A:I,9,0),"")</f>
        <v/>
      </c>
      <c r="U446" s="177" t="str">
        <f t="shared" si="32"/>
        <v/>
      </c>
      <c r="V446" s="177" t="str">
        <f t="shared" si="33"/>
        <v/>
      </c>
      <c r="W446" s="177" t="str">
        <f t="shared" si="34"/>
        <v/>
      </c>
      <c r="Y446" s="240" t="e">
        <f t="array" ref="Y446">INDEX(Tabela.abordagens[],SMALL(IF(Tabela.abordagens[Mês]=$L$2,ROW(Tabela.abordagens[id])-2),ROW(A399)),1)</f>
        <v>#NUM!</v>
      </c>
      <c r="Z446" s="240" t="e">
        <f t="array" ref="Z446">INDEX(Tabela.abordagens[],SMALL(IF(Tabela.abordagens[Mês]=$L$2,ROW(Tabela.abordagens[Idade])-2),ROW(A399)),6)</f>
        <v>#NUM!</v>
      </c>
      <c r="AA446" s="240" t="e">
        <f t="array" ref="AA446">INDEX(Tabela.abordagens[],SMALL(IF(Tabela.abordagens[Mês]=$L$2,ROW(Tabela.abordagens[Idade])-2),ROW(A399)),4)</f>
        <v>#NUM!</v>
      </c>
      <c r="AB446" s="240" t="e">
        <f t="array" ref="AB446">INDEX(Tabela.abordagens[],SMALL(IF(Tabela.abordagens[Mês]=$L$2,ROW(Tabela.abordagens[Idade])-2),ROW(A399)),5)</f>
        <v>#NUM!</v>
      </c>
    </row>
    <row r="447" spans="2:28" ht="15" x14ac:dyDescent="0.25">
      <c r="B447" s="223" t="e">
        <f t="array" ref="B447">INDEX(Tabela.frequencia[],SMALL(IF(Tabela.frequencia[Mês]=$L$2,ROW(Tabela.frequencia[id])-1),ROW(A400)),1)</f>
        <v>#NUM!</v>
      </c>
      <c r="C447" s="229" t="e">
        <f t="array" ref="C447">INDEX(Tabela.frequencia[],SMALL(IF(Tabela.frequencia[Mês]=$L$2,ROW(Tabela.frequencia[id])-1),ROW(A400)),4)</f>
        <v>#NUM!</v>
      </c>
      <c r="E447" s="176" t="str">
        <f>IFERROR(VLOOKUP(D447,Tabela.cadastro[[ID]:[Nome]],2,0),"")</f>
        <v/>
      </c>
      <c r="F447" s="177" t="str">
        <f>IFERROR(VLOOKUP(D447,Tabela66[#All],2,0),"")</f>
        <v/>
      </c>
      <c r="G447" s="177" t="str">
        <f>IFERROR(VLOOKUP(D447,Tabela.cadastro[[ID]:[CP ou M]],5,0),"")</f>
        <v/>
      </c>
      <c r="H447" s="177" t="str">
        <f>IFERROR(VLOOKUP(D447,Cadastros!A:F,6,0),"")</f>
        <v/>
      </c>
      <c r="I447" s="177" t="str">
        <f>IFERROR(VLOOKUP(D447,Cadastros!A:I,9,0),"")</f>
        <v/>
      </c>
      <c r="J447" s="177" t="str">
        <f>IFERROR(VLOOKUP(D447,Cadastros!A:J,10,0),"")</f>
        <v/>
      </c>
      <c r="K447" s="177" t="str">
        <f>IF(COUNTIF(Tabela66[id],D447)=0,"",COUNTIF(Tabela66[id],D447))</f>
        <v/>
      </c>
      <c r="L447" s="198"/>
      <c r="M447" s="227" t="str">
        <f t="shared" si="35"/>
        <v/>
      </c>
      <c r="P447" s="176" t="str">
        <f>IFERROR(VLOOKUP(O447,Cadastros!A:B,2),"")</f>
        <v/>
      </c>
      <c r="Q447" s="177" t="str">
        <f t="shared" si="31"/>
        <v/>
      </c>
      <c r="R447" s="177" t="str">
        <f>IFERROR(VLOOKUP(O447,Cadastros!A:E,5,0),"")</f>
        <v/>
      </c>
      <c r="S447" s="177" t="str">
        <f>IFERROR(VLOOKUP(O447,Cadastros!A:F,6,0),"")</f>
        <v/>
      </c>
      <c r="T447" s="177" t="str">
        <f>IFERROR(VLOOKUP(O447,Cadastros!A:I,9,0),"")</f>
        <v/>
      </c>
      <c r="U447" s="177" t="str">
        <f t="shared" si="32"/>
        <v/>
      </c>
      <c r="V447" s="177" t="str">
        <f t="shared" si="33"/>
        <v/>
      </c>
      <c r="W447" s="177" t="str">
        <f t="shared" si="34"/>
        <v/>
      </c>
      <c r="Y447" s="240" t="e">
        <f t="array" ref="Y447">INDEX(Tabela.abordagens[],SMALL(IF(Tabela.abordagens[Mês]=$L$2,ROW(Tabela.abordagens[id])-2),ROW(A400)),1)</f>
        <v>#NUM!</v>
      </c>
      <c r="Z447" s="240" t="e">
        <f t="array" ref="Z447">INDEX(Tabela.abordagens[],SMALL(IF(Tabela.abordagens[Mês]=$L$2,ROW(Tabela.abordagens[Idade])-2),ROW(A400)),6)</f>
        <v>#NUM!</v>
      </c>
      <c r="AA447" s="240" t="e">
        <f t="array" ref="AA447">INDEX(Tabela.abordagens[],SMALL(IF(Tabela.abordagens[Mês]=$L$2,ROW(Tabela.abordagens[Idade])-2),ROW(A400)),4)</f>
        <v>#NUM!</v>
      </c>
      <c r="AB447" s="240" t="e">
        <f t="array" ref="AB447">INDEX(Tabela.abordagens[],SMALL(IF(Tabela.abordagens[Mês]=$L$2,ROW(Tabela.abordagens[Idade])-2),ROW(A400)),5)</f>
        <v>#NUM!</v>
      </c>
    </row>
    <row r="448" spans="2:28" ht="15" x14ac:dyDescent="0.25">
      <c r="B448" s="223" t="e">
        <f t="array" ref="B448">INDEX(Tabela.frequencia[],SMALL(IF(Tabela.frequencia[Mês]=$L$2,ROW(Tabela.frequencia[id])-1),ROW(A401)),1)</f>
        <v>#NUM!</v>
      </c>
      <c r="C448" s="229" t="e">
        <f t="array" ref="C448">INDEX(Tabela.frequencia[],SMALL(IF(Tabela.frequencia[Mês]=$L$2,ROW(Tabela.frequencia[id])-1),ROW(A401)),4)</f>
        <v>#NUM!</v>
      </c>
      <c r="E448" s="176" t="str">
        <f>IFERROR(VLOOKUP(D448,Tabela.cadastro[[ID]:[Nome]],2,0),"")</f>
        <v/>
      </c>
      <c r="F448" s="177" t="str">
        <f>IFERROR(VLOOKUP(D448,Tabela66[#All],2,0),"")</f>
        <v/>
      </c>
      <c r="G448" s="177" t="str">
        <f>IFERROR(VLOOKUP(D448,Tabela.cadastro[[ID]:[CP ou M]],5,0),"")</f>
        <v/>
      </c>
      <c r="H448" s="177" t="str">
        <f>IFERROR(VLOOKUP(D448,Cadastros!A:F,6,0),"")</f>
        <v/>
      </c>
      <c r="I448" s="177" t="str">
        <f>IFERROR(VLOOKUP(D448,Cadastros!A:I,9,0),"")</f>
        <v/>
      </c>
      <c r="J448" s="177" t="str">
        <f>IFERROR(VLOOKUP(D448,Cadastros!A:J,10,0),"")</f>
        <v/>
      </c>
      <c r="K448" s="177" t="str">
        <f>IF(COUNTIF(Tabela66[id],D448)=0,"",COUNTIF(Tabela66[id],D448))</f>
        <v/>
      </c>
      <c r="L448" s="198"/>
      <c r="M448" s="227" t="str">
        <f t="shared" si="35"/>
        <v/>
      </c>
      <c r="P448" s="176" t="str">
        <f>IFERROR(VLOOKUP(O448,Cadastros!A:B,2),"")</f>
        <v/>
      </c>
      <c r="Q448" s="177" t="str">
        <f t="shared" si="31"/>
        <v/>
      </c>
      <c r="R448" s="177" t="str">
        <f>IFERROR(VLOOKUP(O448,Cadastros!A:E,5,0),"")</f>
        <v/>
      </c>
      <c r="S448" s="177" t="str">
        <f>IFERROR(VLOOKUP(O448,Cadastros!A:F,6,0),"")</f>
        <v/>
      </c>
      <c r="T448" s="177" t="str">
        <f>IFERROR(VLOOKUP(O448,Cadastros!A:I,9,0),"")</f>
        <v/>
      </c>
      <c r="U448" s="177" t="str">
        <f t="shared" si="32"/>
        <v/>
      </c>
      <c r="V448" s="177" t="str">
        <f t="shared" si="33"/>
        <v/>
      </c>
      <c r="W448" s="177" t="str">
        <f t="shared" si="34"/>
        <v/>
      </c>
      <c r="Y448" s="240" t="e">
        <f t="array" ref="Y448">INDEX(Tabela.abordagens[],SMALL(IF(Tabela.abordagens[Mês]=$L$2,ROW(Tabela.abordagens[id])-2),ROW(A401)),1)</f>
        <v>#NUM!</v>
      </c>
      <c r="Z448" s="240" t="e">
        <f t="array" ref="Z448">INDEX(Tabela.abordagens[],SMALL(IF(Tabela.abordagens[Mês]=$L$2,ROW(Tabela.abordagens[Idade])-2),ROW(A401)),6)</f>
        <v>#NUM!</v>
      </c>
      <c r="AA448" s="240" t="e">
        <f t="array" ref="AA448">INDEX(Tabela.abordagens[],SMALL(IF(Tabela.abordagens[Mês]=$L$2,ROW(Tabela.abordagens[Idade])-2),ROW(A401)),4)</f>
        <v>#NUM!</v>
      </c>
      <c r="AB448" s="240" t="e">
        <f t="array" ref="AB448">INDEX(Tabela.abordagens[],SMALL(IF(Tabela.abordagens[Mês]=$L$2,ROW(Tabela.abordagens[Idade])-2),ROW(A401)),5)</f>
        <v>#NUM!</v>
      </c>
    </row>
    <row r="449" spans="2:28" ht="15" x14ac:dyDescent="0.25">
      <c r="B449" s="223" t="e">
        <f t="array" ref="B449">INDEX(Tabela.frequencia[],SMALL(IF(Tabela.frequencia[Mês]=$L$2,ROW(Tabela.frequencia[id])-1),ROW(A402)),1)</f>
        <v>#NUM!</v>
      </c>
      <c r="C449" s="229" t="e">
        <f t="array" ref="C449">INDEX(Tabela.frequencia[],SMALL(IF(Tabela.frequencia[Mês]=$L$2,ROW(Tabela.frequencia[id])-1),ROW(A402)),4)</f>
        <v>#NUM!</v>
      </c>
      <c r="E449" s="176" t="str">
        <f>IFERROR(VLOOKUP(D449,Tabela.cadastro[[ID]:[Nome]],2,0),"")</f>
        <v/>
      </c>
      <c r="F449" s="177" t="str">
        <f>IFERROR(VLOOKUP(D449,Tabela66[#All],2,0),"")</f>
        <v/>
      </c>
      <c r="G449" s="177" t="str">
        <f>IFERROR(VLOOKUP(D449,Tabela.cadastro[[ID]:[CP ou M]],5,0),"")</f>
        <v/>
      </c>
      <c r="H449" s="177" t="str">
        <f>IFERROR(VLOOKUP(D449,Cadastros!A:F,6,0),"")</f>
        <v/>
      </c>
      <c r="I449" s="177" t="str">
        <f>IFERROR(VLOOKUP(D449,Cadastros!A:I,9,0),"")</f>
        <v/>
      </c>
      <c r="J449" s="177" t="str">
        <f>IFERROR(VLOOKUP(D449,Cadastros!A:J,10,0),"")</f>
        <v/>
      </c>
      <c r="K449" s="177" t="str">
        <f>IF(COUNTIF(Tabela66[id],D449)=0,"",COUNTIF(Tabela66[id],D449))</f>
        <v/>
      </c>
      <c r="L449" s="198"/>
      <c r="M449" s="227" t="str">
        <f t="shared" si="35"/>
        <v/>
      </c>
      <c r="P449" s="176" t="str">
        <f>IFERROR(VLOOKUP(O449,Cadastros!A:B,2),"")</f>
        <v/>
      </c>
      <c r="Q449" s="177" t="str">
        <f t="shared" si="31"/>
        <v/>
      </c>
      <c r="R449" s="177" t="str">
        <f>IFERROR(VLOOKUP(O449,Cadastros!A:E,5,0),"")</f>
        <v/>
      </c>
      <c r="S449" s="177" t="str">
        <f>IFERROR(VLOOKUP(O449,Cadastros!A:F,6,0),"")</f>
        <v/>
      </c>
      <c r="T449" s="177" t="str">
        <f>IFERROR(VLOOKUP(O449,Cadastros!A:I,9,0),"")</f>
        <v/>
      </c>
      <c r="U449" s="177" t="str">
        <f t="shared" si="32"/>
        <v/>
      </c>
      <c r="V449" s="177" t="str">
        <f t="shared" si="33"/>
        <v/>
      </c>
      <c r="W449" s="177" t="str">
        <f t="shared" si="34"/>
        <v/>
      </c>
      <c r="Y449" s="240" t="e">
        <f t="array" ref="Y449">INDEX(Tabela.abordagens[],SMALL(IF(Tabela.abordagens[Mês]=$L$2,ROW(Tabela.abordagens[id])-2),ROW(A402)),1)</f>
        <v>#NUM!</v>
      </c>
      <c r="Z449" s="240" t="e">
        <f t="array" ref="Z449">INDEX(Tabela.abordagens[],SMALL(IF(Tabela.abordagens[Mês]=$L$2,ROW(Tabela.abordagens[Idade])-2),ROW(A402)),6)</f>
        <v>#NUM!</v>
      </c>
      <c r="AA449" s="240" t="e">
        <f t="array" ref="AA449">INDEX(Tabela.abordagens[],SMALL(IF(Tabela.abordagens[Mês]=$L$2,ROW(Tabela.abordagens[Idade])-2),ROW(A402)),4)</f>
        <v>#NUM!</v>
      </c>
      <c r="AB449" s="240" t="e">
        <f t="array" ref="AB449">INDEX(Tabela.abordagens[],SMALL(IF(Tabela.abordagens[Mês]=$L$2,ROW(Tabela.abordagens[Idade])-2),ROW(A402)),5)</f>
        <v>#NUM!</v>
      </c>
    </row>
    <row r="450" spans="2:28" ht="15" x14ac:dyDescent="0.25">
      <c r="B450" s="223" t="e">
        <f t="array" ref="B450">INDEX(Tabela.frequencia[],SMALL(IF(Tabela.frequencia[Mês]=$L$2,ROW(Tabela.frequencia[id])-1),ROW(A403)),1)</f>
        <v>#NUM!</v>
      </c>
      <c r="C450" s="229" t="e">
        <f t="array" ref="C450">INDEX(Tabela.frequencia[],SMALL(IF(Tabela.frequencia[Mês]=$L$2,ROW(Tabela.frequencia[id])-1),ROW(A403)),4)</f>
        <v>#NUM!</v>
      </c>
      <c r="E450" s="176" t="str">
        <f>IFERROR(VLOOKUP(D450,Tabela.cadastro[[ID]:[Nome]],2,0),"")</f>
        <v/>
      </c>
      <c r="F450" s="177" t="str">
        <f>IFERROR(VLOOKUP(D450,Tabela66[#All],2,0),"")</f>
        <v/>
      </c>
      <c r="G450" s="177" t="str">
        <f>IFERROR(VLOOKUP(D450,Tabela.cadastro[[ID]:[CP ou M]],5,0),"")</f>
        <v/>
      </c>
      <c r="H450" s="177" t="str">
        <f>IFERROR(VLOOKUP(D450,Cadastros!A:F,6,0),"")</f>
        <v/>
      </c>
      <c r="I450" s="177" t="str">
        <f>IFERROR(VLOOKUP(D450,Cadastros!A:I,9,0),"")</f>
        <v/>
      </c>
      <c r="J450" s="177" t="str">
        <f>IFERROR(VLOOKUP(D450,Cadastros!A:J,10,0),"")</f>
        <v/>
      </c>
      <c r="K450" s="177" t="str">
        <f>IF(COUNTIF(Tabela66[id],D450)=0,"",COUNTIF(Tabela66[id],D450))</f>
        <v/>
      </c>
      <c r="L450" s="198"/>
      <c r="M450" s="227" t="str">
        <f t="shared" si="35"/>
        <v/>
      </c>
      <c r="P450" s="176" t="str">
        <f>IFERROR(VLOOKUP(O450,Cadastros!A:B,2),"")</f>
        <v/>
      </c>
      <c r="Q450" s="177" t="str">
        <f t="shared" si="31"/>
        <v/>
      </c>
      <c r="R450" s="177" t="str">
        <f>IFERROR(VLOOKUP(O450,Cadastros!A:E,5,0),"")</f>
        <v/>
      </c>
      <c r="S450" s="177" t="str">
        <f>IFERROR(VLOOKUP(O450,Cadastros!A:F,6,0),"")</f>
        <v/>
      </c>
      <c r="T450" s="177" t="str">
        <f>IFERROR(VLOOKUP(O450,Cadastros!A:I,9,0),"")</f>
        <v/>
      </c>
      <c r="U450" s="177" t="str">
        <f t="shared" si="32"/>
        <v/>
      </c>
      <c r="V450" s="177" t="str">
        <f t="shared" si="33"/>
        <v/>
      </c>
      <c r="W450" s="177" t="str">
        <f t="shared" si="34"/>
        <v/>
      </c>
      <c r="Y450" s="240" t="e">
        <f t="array" ref="Y450">INDEX(Tabela.abordagens[],SMALL(IF(Tabela.abordagens[Mês]=$L$2,ROW(Tabela.abordagens[id])-2),ROW(A403)),1)</f>
        <v>#NUM!</v>
      </c>
      <c r="Z450" s="240" t="e">
        <f t="array" ref="Z450">INDEX(Tabela.abordagens[],SMALL(IF(Tabela.abordagens[Mês]=$L$2,ROW(Tabela.abordagens[Idade])-2),ROW(A403)),6)</f>
        <v>#NUM!</v>
      </c>
      <c r="AA450" s="240" t="e">
        <f t="array" ref="AA450">INDEX(Tabela.abordagens[],SMALL(IF(Tabela.abordagens[Mês]=$L$2,ROW(Tabela.abordagens[Idade])-2),ROW(A403)),4)</f>
        <v>#NUM!</v>
      </c>
      <c r="AB450" s="240" t="e">
        <f t="array" ref="AB450">INDEX(Tabela.abordagens[],SMALL(IF(Tabela.abordagens[Mês]=$L$2,ROW(Tabela.abordagens[Idade])-2),ROW(A403)),5)</f>
        <v>#NUM!</v>
      </c>
    </row>
    <row r="451" spans="2:28" ht="15" x14ac:dyDescent="0.25">
      <c r="B451" s="223" t="e">
        <f t="array" ref="B451">INDEX(Tabela.frequencia[],SMALL(IF(Tabela.frequencia[Mês]=$L$2,ROW(Tabela.frequencia[id])-1),ROW(A404)),1)</f>
        <v>#NUM!</v>
      </c>
      <c r="C451" s="229" t="e">
        <f t="array" ref="C451">INDEX(Tabela.frequencia[],SMALL(IF(Tabela.frequencia[Mês]=$L$2,ROW(Tabela.frequencia[id])-1),ROW(A404)),4)</f>
        <v>#NUM!</v>
      </c>
      <c r="E451" s="176" t="str">
        <f>IFERROR(VLOOKUP(D451,Tabela.cadastro[[ID]:[Nome]],2,0),"")</f>
        <v/>
      </c>
      <c r="F451" s="177" t="str">
        <f>IFERROR(VLOOKUP(D451,Tabela66[#All],2,0),"")</f>
        <v/>
      </c>
      <c r="G451" s="177" t="str">
        <f>IFERROR(VLOOKUP(D451,Tabela.cadastro[[ID]:[CP ou M]],5,0),"")</f>
        <v/>
      </c>
      <c r="H451" s="177" t="str">
        <f>IFERROR(VLOOKUP(D451,Cadastros!A:F,6,0),"")</f>
        <v/>
      </c>
      <c r="I451" s="177" t="str">
        <f>IFERROR(VLOOKUP(D451,Cadastros!A:I,9,0),"")</f>
        <v/>
      </c>
      <c r="J451" s="177" t="str">
        <f>IFERROR(VLOOKUP(D451,Cadastros!A:J,10,0),"")</f>
        <v/>
      </c>
      <c r="K451" s="177" t="str">
        <f>IF(COUNTIF(Tabela66[id],D451)=0,"",COUNTIF(Tabela66[id],D451))</f>
        <v/>
      </c>
      <c r="L451" s="198"/>
      <c r="M451" s="227" t="str">
        <f t="shared" si="35"/>
        <v/>
      </c>
      <c r="P451" s="176" t="str">
        <f>IFERROR(VLOOKUP(O451,Cadastros!A:B,2),"")</f>
        <v/>
      </c>
      <c r="Q451" s="177" t="str">
        <f t="shared" si="31"/>
        <v/>
      </c>
      <c r="R451" s="177" t="str">
        <f>IFERROR(VLOOKUP(O451,Cadastros!A:E,5,0),"")</f>
        <v/>
      </c>
      <c r="S451" s="177" t="str">
        <f>IFERROR(VLOOKUP(O451,Cadastros!A:F,6,0),"")</f>
        <v/>
      </c>
      <c r="T451" s="177" t="str">
        <f>IFERROR(VLOOKUP(O451,Cadastros!A:I,9,0),"")</f>
        <v/>
      </c>
      <c r="U451" s="177" t="str">
        <f t="shared" si="32"/>
        <v/>
      </c>
      <c r="V451" s="177" t="str">
        <f t="shared" si="33"/>
        <v/>
      </c>
      <c r="W451" s="177" t="str">
        <f t="shared" si="34"/>
        <v/>
      </c>
      <c r="Y451" s="240" t="e">
        <f t="array" ref="Y451">INDEX(Tabela.abordagens[],SMALL(IF(Tabela.abordagens[Mês]=$L$2,ROW(Tabela.abordagens[id])-2),ROW(A404)),1)</f>
        <v>#NUM!</v>
      </c>
      <c r="Z451" s="240" t="e">
        <f t="array" ref="Z451">INDEX(Tabela.abordagens[],SMALL(IF(Tabela.abordagens[Mês]=$L$2,ROW(Tabela.abordagens[Idade])-2),ROW(A404)),6)</f>
        <v>#NUM!</v>
      </c>
      <c r="AA451" s="240" t="e">
        <f t="array" ref="AA451">INDEX(Tabela.abordagens[],SMALL(IF(Tabela.abordagens[Mês]=$L$2,ROW(Tabela.abordagens[Idade])-2),ROW(A404)),4)</f>
        <v>#NUM!</v>
      </c>
      <c r="AB451" s="240" t="e">
        <f t="array" ref="AB451">INDEX(Tabela.abordagens[],SMALL(IF(Tabela.abordagens[Mês]=$L$2,ROW(Tabela.abordagens[Idade])-2),ROW(A404)),5)</f>
        <v>#NUM!</v>
      </c>
    </row>
    <row r="452" spans="2:28" ht="15" x14ac:dyDescent="0.25">
      <c r="B452" s="223" t="e">
        <f t="array" ref="B452">INDEX(Tabela.frequencia[],SMALL(IF(Tabela.frequencia[Mês]=$L$2,ROW(Tabela.frequencia[id])-1),ROW(A405)),1)</f>
        <v>#NUM!</v>
      </c>
      <c r="C452" s="229" t="e">
        <f t="array" ref="C452">INDEX(Tabela.frequencia[],SMALL(IF(Tabela.frequencia[Mês]=$L$2,ROW(Tabela.frequencia[id])-1),ROW(A405)),4)</f>
        <v>#NUM!</v>
      </c>
      <c r="E452" s="176" t="str">
        <f>IFERROR(VLOOKUP(D452,Tabela.cadastro[[ID]:[Nome]],2,0),"")</f>
        <v/>
      </c>
      <c r="F452" s="177" t="str">
        <f>IFERROR(VLOOKUP(D452,Tabela66[#All],2,0),"")</f>
        <v/>
      </c>
      <c r="G452" s="177" t="str">
        <f>IFERROR(VLOOKUP(D452,Tabela.cadastro[[ID]:[CP ou M]],5,0),"")</f>
        <v/>
      </c>
      <c r="H452" s="177" t="str">
        <f>IFERROR(VLOOKUP(D452,Cadastros!A:F,6,0),"")</f>
        <v/>
      </c>
      <c r="I452" s="177" t="str">
        <f>IFERROR(VLOOKUP(D452,Cadastros!A:I,9,0),"")</f>
        <v/>
      </c>
      <c r="J452" s="177" t="str">
        <f>IFERROR(VLOOKUP(D452,Cadastros!A:J,10,0),"")</f>
        <v/>
      </c>
      <c r="K452" s="177" t="str">
        <f>IF(COUNTIF(Tabela66[id],D452)=0,"",COUNTIF(Tabela66[id],D452))</f>
        <v/>
      </c>
      <c r="L452" s="198"/>
      <c r="M452" s="227" t="str">
        <f t="shared" si="35"/>
        <v/>
      </c>
      <c r="P452" s="176" t="str">
        <f>IFERROR(VLOOKUP(O452,Cadastros!A:B,2),"")</f>
        <v/>
      </c>
      <c r="Q452" s="177" t="str">
        <f t="shared" si="31"/>
        <v/>
      </c>
      <c r="R452" s="177" t="str">
        <f>IFERROR(VLOOKUP(O452,Cadastros!A:E,5,0),"")</f>
        <v/>
      </c>
      <c r="S452" s="177" t="str">
        <f>IFERROR(VLOOKUP(O452,Cadastros!A:F,6,0),"")</f>
        <v/>
      </c>
      <c r="T452" s="177" t="str">
        <f>IFERROR(VLOOKUP(O452,Cadastros!A:I,9,0),"")</f>
        <v/>
      </c>
      <c r="U452" s="177" t="str">
        <f t="shared" si="32"/>
        <v/>
      </c>
      <c r="V452" s="177" t="str">
        <f t="shared" si="33"/>
        <v/>
      </c>
      <c r="W452" s="177" t="str">
        <f t="shared" si="34"/>
        <v/>
      </c>
      <c r="Y452" s="240" t="e">
        <f t="array" ref="Y452">INDEX(Tabela.abordagens[],SMALL(IF(Tabela.abordagens[Mês]=$L$2,ROW(Tabela.abordagens[id])-2),ROW(A405)),1)</f>
        <v>#NUM!</v>
      </c>
      <c r="Z452" s="240" t="e">
        <f t="array" ref="Z452">INDEX(Tabela.abordagens[],SMALL(IF(Tabela.abordagens[Mês]=$L$2,ROW(Tabela.abordagens[Idade])-2),ROW(A405)),6)</f>
        <v>#NUM!</v>
      </c>
      <c r="AA452" s="240" t="e">
        <f t="array" ref="AA452">INDEX(Tabela.abordagens[],SMALL(IF(Tabela.abordagens[Mês]=$L$2,ROW(Tabela.abordagens[Idade])-2),ROW(A405)),4)</f>
        <v>#NUM!</v>
      </c>
      <c r="AB452" s="240" t="e">
        <f t="array" ref="AB452">INDEX(Tabela.abordagens[],SMALL(IF(Tabela.abordagens[Mês]=$L$2,ROW(Tabela.abordagens[Idade])-2),ROW(A405)),5)</f>
        <v>#NUM!</v>
      </c>
    </row>
    <row r="453" spans="2:28" ht="15" x14ac:dyDescent="0.25">
      <c r="B453" s="223" t="e">
        <f t="array" ref="B453">INDEX(Tabela.frequencia[],SMALL(IF(Tabela.frequencia[Mês]=$L$2,ROW(Tabela.frequencia[id])-1),ROW(A406)),1)</f>
        <v>#NUM!</v>
      </c>
      <c r="C453" s="229" t="e">
        <f t="array" ref="C453">INDEX(Tabela.frequencia[],SMALL(IF(Tabela.frequencia[Mês]=$L$2,ROW(Tabela.frequencia[id])-1),ROW(A406)),4)</f>
        <v>#NUM!</v>
      </c>
      <c r="E453" s="176" t="str">
        <f>IFERROR(VLOOKUP(D453,Tabela.cadastro[[ID]:[Nome]],2,0),"")</f>
        <v/>
      </c>
      <c r="F453" s="177" t="str">
        <f>IFERROR(VLOOKUP(D453,Tabela66[#All],2,0),"")</f>
        <v/>
      </c>
      <c r="G453" s="177" t="str">
        <f>IFERROR(VLOOKUP(D453,Tabela.cadastro[[ID]:[CP ou M]],5,0),"")</f>
        <v/>
      </c>
      <c r="H453" s="177" t="str">
        <f>IFERROR(VLOOKUP(D453,Cadastros!A:F,6,0),"")</f>
        <v/>
      </c>
      <c r="I453" s="177" t="str">
        <f>IFERROR(VLOOKUP(D453,Cadastros!A:I,9,0),"")</f>
        <v/>
      </c>
      <c r="J453" s="177" t="str">
        <f>IFERROR(VLOOKUP(D453,Cadastros!A:J,10,0),"")</f>
        <v/>
      </c>
      <c r="K453" s="177" t="str">
        <f>IF(COUNTIF(Tabela66[id],D453)=0,"",COUNTIF(Tabela66[id],D453))</f>
        <v/>
      </c>
      <c r="L453" s="198"/>
      <c r="M453" s="227" t="str">
        <f t="shared" si="35"/>
        <v/>
      </c>
      <c r="P453" s="176" t="str">
        <f>IFERROR(VLOOKUP(O453,Cadastros!A:B,2),"")</f>
        <v/>
      </c>
      <c r="Q453" s="177" t="str">
        <f t="shared" si="31"/>
        <v/>
      </c>
      <c r="R453" s="177" t="str">
        <f>IFERROR(VLOOKUP(O453,Cadastros!A:E,5,0),"")</f>
        <v/>
      </c>
      <c r="S453" s="177" t="str">
        <f>IFERROR(VLOOKUP(O453,Cadastros!A:F,6,0),"")</f>
        <v/>
      </c>
      <c r="T453" s="177" t="str">
        <f>IFERROR(VLOOKUP(O453,Cadastros!A:I,9,0),"")</f>
        <v/>
      </c>
      <c r="U453" s="177" t="str">
        <f t="shared" si="32"/>
        <v/>
      </c>
      <c r="V453" s="177" t="str">
        <f t="shared" si="33"/>
        <v/>
      </c>
      <c r="W453" s="177" t="str">
        <f t="shared" si="34"/>
        <v/>
      </c>
      <c r="Y453" s="240" t="e">
        <f t="array" ref="Y453">INDEX(Tabela.abordagens[],SMALL(IF(Tabela.abordagens[Mês]=$L$2,ROW(Tabela.abordagens[id])-2),ROW(A406)),1)</f>
        <v>#NUM!</v>
      </c>
      <c r="Z453" s="240" t="e">
        <f t="array" ref="Z453">INDEX(Tabela.abordagens[],SMALL(IF(Tabela.abordagens[Mês]=$L$2,ROW(Tabela.abordagens[Idade])-2),ROW(A406)),6)</f>
        <v>#NUM!</v>
      </c>
      <c r="AA453" s="240" t="e">
        <f t="array" ref="AA453">INDEX(Tabela.abordagens[],SMALL(IF(Tabela.abordagens[Mês]=$L$2,ROW(Tabela.abordagens[Idade])-2),ROW(A406)),4)</f>
        <v>#NUM!</v>
      </c>
      <c r="AB453" s="240" t="e">
        <f t="array" ref="AB453">INDEX(Tabela.abordagens[],SMALL(IF(Tabela.abordagens[Mês]=$L$2,ROW(Tabela.abordagens[Idade])-2),ROW(A406)),5)</f>
        <v>#NUM!</v>
      </c>
    </row>
    <row r="454" spans="2:28" ht="15" x14ac:dyDescent="0.25">
      <c r="B454" s="223" t="e">
        <f t="array" ref="B454">INDEX(Tabela.frequencia[],SMALL(IF(Tabela.frequencia[Mês]=$L$2,ROW(Tabela.frequencia[id])-1),ROW(A407)),1)</f>
        <v>#NUM!</v>
      </c>
      <c r="C454" s="229" t="e">
        <f t="array" ref="C454">INDEX(Tabela.frequencia[],SMALL(IF(Tabela.frequencia[Mês]=$L$2,ROW(Tabela.frequencia[id])-1),ROW(A407)),4)</f>
        <v>#NUM!</v>
      </c>
      <c r="E454" s="176" t="str">
        <f>IFERROR(VLOOKUP(D454,Tabela.cadastro[[ID]:[Nome]],2,0),"")</f>
        <v/>
      </c>
      <c r="F454" s="177" t="str">
        <f>IFERROR(VLOOKUP(D454,Tabela66[#All],2,0),"")</f>
        <v/>
      </c>
      <c r="G454" s="177" t="str">
        <f>IFERROR(VLOOKUP(D454,Tabela.cadastro[[ID]:[CP ou M]],5,0),"")</f>
        <v/>
      </c>
      <c r="H454" s="177" t="str">
        <f>IFERROR(VLOOKUP(D454,Cadastros!A:F,6,0),"")</f>
        <v/>
      </c>
      <c r="I454" s="177" t="str">
        <f>IFERROR(VLOOKUP(D454,Cadastros!A:I,9,0),"")</f>
        <v/>
      </c>
      <c r="J454" s="177" t="str">
        <f>IFERROR(VLOOKUP(D454,Cadastros!A:J,10,0),"")</f>
        <v/>
      </c>
      <c r="K454" s="177" t="str">
        <f>IF(COUNTIF(Tabela66[id],D454)=0,"",COUNTIF(Tabela66[id],D454))</f>
        <v/>
      </c>
      <c r="L454" s="198"/>
      <c r="M454" s="227" t="str">
        <f t="shared" si="35"/>
        <v/>
      </c>
      <c r="P454" s="176" t="str">
        <f>IFERROR(VLOOKUP(O454,Cadastros!A:B,2),"")</f>
        <v/>
      </c>
      <c r="Q454" s="177" t="str">
        <f t="shared" si="31"/>
        <v/>
      </c>
      <c r="R454" s="177" t="str">
        <f>IFERROR(VLOOKUP(O454,Cadastros!A:E,5,0),"")</f>
        <v/>
      </c>
      <c r="S454" s="177" t="str">
        <f>IFERROR(VLOOKUP(O454,Cadastros!A:F,6,0),"")</f>
        <v/>
      </c>
      <c r="T454" s="177" t="str">
        <f>IFERROR(VLOOKUP(O454,Cadastros!A:I,9,0),"")</f>
        <v/>
      </c>
      <c r="U454" s="177" t="str">
        <f t="shared" si="32"/>
        <v/>
      </c>
      <c r="V454" s="177" t="str">
        <f t="shared" si="33"/>
        <v/>
      </c>
      <c r="W454" s="177" t="str">
        <f t="shared" si="34"/>
        <v/>
      </c>
      <c r="Y454" s="240" t="e">
        <f t="array" ref="Y454">INDEX(Tabela.abordagens[],SMALL(IF(Tabela.abordagens[Mês]=$L$2,ROW(Tabela.abordagens[id])-2),ROW(A407)),1)</f>
        <v>#NUM!</v>
      </c>
      <c r="Z454" s="240" t="e">
        <f t="array" ref="Z454">INDEX(Tabela.abordagens[],SMALL(IF(Tabela.abordagens[Mês]=$L$2,ROW(Tabela.abordagens[Idade])-2),ROW(A407)),6)</f>
        <v>#NUM!</v>
      </c>
      <c r="AA454" s="240" t="e">
        <f t="array" ref="AA454">INDEX(Tabela.abordagens[],SMALL(IF(Tabela.abordagens[Mês]=$L$2,ROW(Tabela.abordagens[Idade])-2),ROW(A407)),4)</f>
        <v>#NUM!</v>
      </c>
      <c r="AB454" s="240" t="e">
        <f t="array" ref="AB454">INDEX(Tabela.abordagens[],SMALL(IF(Tabela.abordagens[Mês]=$L$2,ROW(Tabela.abordagens[Idade])-2),ROW(A407)),5)</f>
        <v>#NUM!</v>
      </c>
    </row>
    <row r="455" spans="2:28" ht="15" x14ac:dyDescent="0.25">
      <c r="B455" s="223" t="e">
        <f t="array" ref="B455">INDEX(Tabela.frequencia[],SMALL(IF(Tabela.frequencia[Mês]=$L$2,ROW(Tabela.frequencia[id])-1),ROW(A408)),1)</f>
        <v>#NUM!</v>
      </c>
      <c r="C455" s="229" t="e">
        <f t="array" ref="C455">INDEX(Tabela.frequencia[],SMALL(IF(Tabela.frequencia[Mês]=$L$2,ROW(Tabela.frequencia[id])-1),ROW(A408)),4)</f>
        <v>#NUM!</v>
      </c>
      <c r="E455" s="176" t="str">
        <f>IFERROR(VLOOKUP(D455,Tabela.cadastro[[ID]:[Nome]],2,0),"")</f>
        <v/>
      </c>
      <c r="F455" s="177" t="str">
        <f>IFERROR(VLOOKUP(D455,Tabela66[#All],2,0),"")</f>
        <v/>
      </c>
      <c r="G455" s="177" t="str">
        <f>IFERROR(VLOOKUP(D455,Tabela.cadastro[[ID]:[CP ou M]],5,0),"")</f>
        <v/>
      </c>
      <c r="H455" s="177" t="str">
        <f>IFERROR(VLOOKUP(D455,Cadastros!A:F,6,0),"")</f>
        <v/>
      </c>
      <c r="I455" s="177" t="str">
        <f>IFERROR(VLOOKUP(D455,Cadastros!A:I,9,0),"")</f>
        <v/>
      </c>
      <c r="J455" s="177" t="str">
        <f>IFERROR(VLOOKUP(D455,Cadastros!A:J,10,0),"")</f>
        <v/>
      </c>
      <c r="K455" s="177" t="str">
        <f>IF(COUNTIF(Tabela66[id],D455)=0,"",COUNTIF(Tabela66[id],D455))</f>
        <v/>
      </c>
      <c r="L455" s="198"/>
      <c r="M455" s="227" t="str">
        <f t="shared" si="35"/>
        <v/>
      </c>
      <c r="P455" s="176" t="str">
        <f>IFERROR(VLOOKUP(O455,Cadastros!A:B,2),"")</f>
        <v/>
      </c>
      <c r="Q455" s="177" t="str">
        <f t="shared" si="31"/>
        <v/>
      </c>
      <c r="R455" s="177" t="str">
        <f>IFERROR(VLOOKUP(O455,Cadastros!A:E,5,0),"")</f>
        <v/>
      </c>
      <c r="S455" s="177" t="str">
        <f>IFERROR(VLOOKUP(O455,Cadastros!A:F,6,0),"")</f>
        <v/>
      </c>
      <c r="T455" s="177" t="str">
        <f>IFERROR(VLOOKUP(O455,Cadastros!A:I,9,0),"")</f>
        <v/>
      </c>
      <c r="U455" s="177" t="str">
        <f t="shared" si="32"/>
        <v/>
      </c>
      <c r="V455" s="177" t="str">
        <f t="shared" si="33"/>
        <v/>
      </c>
      <c r="W455" s="177" t="str">
        <f t="shared" si="34"/>
        <v/>
      </c>
      <c r="Y455" s="240" t="e">
        <f t="array" ref="Y455">INDEX(Tabela.abordagens[],SMALL(IF(Tabela.abordagens[Mês]=$L$2,ROW(Tabela.abordagens[id])-2),ROW(A408)),1)</f>
        <v>#NUM!</v>
      </c>
      <c r="Z455" s="240" t="e">
        <f t="array" ref="Z455">INDEX(Tabela.abordagens[],SMALL(IF(Tabela.abordagens[Mês]=$L$2,ROW(Tabela.abordagens[Idade])-2),ROW(A408)),6)</f>
        <v>#NUM!</v>
      </c>
      <c r="AA455" s="240" t="e">
        <f t="array" ref="AA455">INDEX(Tabela.abordagens[],SMALL(IF(Tabela.abordagens[Mês]=$L$2,ROW(Tabela.abordagens[Idade])-2),ROW(A408)),4)</f>
        <v>#NUM!</v>
      </c>
      <c r="AB455" s="240" t="e">
        <f t="array" ref="AB455">INDEX(Tabela.abordagens[],SMALL(IF(Tabela.abordagens[Mês]=$L$2,ROW(Tabela.abordagens[Idade])-2),ROW(A408)),5)</f>
        <v>#NUM!</v>
      </c>
    </row>
    <row r="456" spans="2:28" ht="15" x14ac:dyDescent="0.25">
      <c r="B456" s="223" t="e">
        <f t="array" ref="B456">INDEX(Tabela.frequencia[],SMALL(IF(Tabela.frequencia[Mês]=$L$2,ROW(Tabela.frequencia[id])-1),ROW(A409)),1)</f>
        <v>#NUM!</v>
      </c>
      <c r="C456" s="229" t="e">
        <f t="array" ref="C456">INDEX(Tabela.frequencia[],SMALL(IF(Tabela.frequencia[Mês]=$L$2,ROW(Tabela.frequencia[id])-1),ROW(A409)),4)</f>
        <v>#NUM!</v>
      </c>
      <c r="E456" s="176" t="str">
        <f>IFERROR(VLOOKUP(D456,Tabela.cadastro[[ID]:[Nome]],2,0),"")</f>
        <v/>
      </c>
      <c r="F456" s="177" t="str">
        <f>IFERROR(VLOOKUP(D456,Tabela66[#All],2,0),"")</f>
        <v/>
      </c>
      <c r="G456" s="177" t="str">
        <f>IFERROR(VLOOKUP(D456,Tabela.cadastro[[ID]:[CP ou M]],5,0),"")</f>
        <v/>
      </c>
      <c r="H456" s="177" t="str">
        <f>IFERROR(VLOOKUP(D456,Cadastros!A:F,6,0),"")</f>
        <v/>
      </c>
      <c r="I456" s="177" t="str">
        <f>IFERROR(VLOOKUP(D456,Cadastros!A:I,9,0),"")</f>
        <v/>
      </c>
      <c r="J456" s="177" t="str">
        <f>IFERROR(VLOOKUP(D456,Cadastros!A:J,10,0),"")</f>
        <v/>
      </c>
      <c r="K456" s="177" t="str">
        <f>IF(COUNTIF(Tabela66[id],D456)=0,"",COUNTIF(Tabela66[id],D456))</f>
        <v/>
      </c>
      <c r="L456" s="198"/>
      <c r="M456" s="227" t="str">
        <f t="shared" si="35"/>
        <v/>
      </c>
      <c r="P456" s="176" t="str">
        <f>IFERROR(VLOOKUP(O456,Cadastros!A:B,2),"")</f>
        <v/>
      </c>
      <c r="Q456" s="177" t="str">
        <f t="shared" si="31"/>
        <v/>
      </c>
      <c r="R456" s="177" t="str">
        <f>IFERROR(VLOOKUP(O456,Cadastros!A:E,5,0),"")</f>
        <v/>
      </c>
      <c r="S456" s="177" t="str">
        <f>IFERROR(VLOOKUP(O456,Cadastros!A:F,6,0),"")</f>
        <v/>
      </c>
      <c r="T456" s="177" t="str">
        <f>IFERROR(VLOOKUP(O456,Cadastros!A:I,9,0),"")</f>
        <v/>
      </c>
      <c r="U456" s="177" t="str">
        <f t="shared" si="32"/>
        <v/>
      </c>
      <c r="V456" s="177" t="str">
        <f t="shared" si="33"/>
        <v/>
      </c>
      <c r="W456" s="177" t="str">
        <f t="shared" si="34"/>
        <v/>
      </c>
      <c r="Y456" s="240" t="e">
        <f t="array" ref="Y456">INDEX(Tabela.abordagens[],SMALL(IF(Tabela.abordagens[Mês]=$L$2,ROW(Tabela.abordagens[id])-2),ROW(A409)),1)</f>
        <v>#NUM!</v>
      </c>
      <c r="Z456" s="240" t="e">
        <f t="array" ref="Z456">INDEX(Tabela.abordagens[],SMALL(IF(Tabela.abordagens[Mês]=$L$2,ROW(Tabela.abordagens[Idade])-2),ROW(A409)),6)</f>
        <v>#NUM!</v>
      </c>
      <c r="AA456" s="240" t="e">
        <f t="array" ref="AA456">INDEX(Tabela.abordagens[],SMALL(IF(Tabela.abordagens[Mês]=$L$2,ROW(Tabela.abordagens[Idade])-2),ROW(A409)),4)</f>
        <v>#NUM!</v>
      </c>
      <c r="AB456" s="240" t="e">
        <f t="array" ref="AB456">INDEX(Tabela.abordagens[],SMALL(IF(Tabela.abordagens[Mês]=$L$2,ROW(Tabela.abordagens[Idade])-2),ROW(A409)),5)</f>
        <v>#NUM!</v>
      </c>
    </row>
    <row r="457" spans="2:28" ht="15" x14ac:dyDescent="0.25">
      <c r="B457" s="223" t="e">
        <f t="array" ref="B457">INDEX(Tabela.frequencia[],SMALL(IF(Tabela.frequencia[Mês]=$L$2,ROW(Tabela.frequencia[id])-1),ROW(A410)),1)</f>
        <v>#NUM!</v>
      </c>
      <c r="C457" s="229" t="e">
        <f t="array" ref="C457">INDEX(Tabela.frequencia[],SMALL(IF(Tabela.frequencia[Mês]=$L$2,ROW(Tabela.frequencia[id])-1),ROW(A410)),4)</f>
        <v>#NUM!</v>
      </c>
      <c r="E457" s="176" t="str">
        <f>IFERROR(VLOOKUP(D457,Tabela.cadastro[[ID]:[Nome]],2,0),"")</f>
        <v/>
      </c>
      <c r="F457" s="177" t="str">
        <f>IFERROR(VLOOKUP(D457,Tabela66[#All],2,0),"")</f>
        <v/>
      </c>
      <c r="G457" s="177" t="str">
        <f>IFERROR(VLOOKUP(D457,Tabela.cadastro[[ID]:[CP ou M]],5,0),"")</f>
        <v/>
      </c>
      <c r="H457" s="177" t="str">
        <f>IFERROR(VLOOKUP(D457,Cadastros!A:F,6,0),"")</f>
        <v/>
      </c>
      <c r="I457" s="177" t="str">
        <f>IFERROR(VLOOKUP(D457,Cadastros!A:I,9,0),"")</f>
        <v/>
      </c>
      <c r="J457" s="177" t="str">
        <f>IFERROR(VLOOKUP(D457,Cadastros!A:J,10,0),"")</f>
        <v/>
      </c>
      <c r="K457" s="177" t="str">
        <f>IF(COUNTIF(Tabela66[id],D457)=0,"",COUNTIF(Tabela66[id],D457))</f>
        <v/>
      </c>
      <c r="L457" s="198"/>
      <c r="M457" s="227" t="str">
        <f t="shared" si="35"/>
        <v/>
      </c>
      <c r="P457" s="176" t="str">
        <f>IFERROR(VLOOKUP(O457,Cadastros!A:B,2),"")</f>
        <v/>
      </c>
      <c r="Q457" s="177" t="str">
        <f t="shared" si="31"/>
        <v/>
      </c>
      <c r="R457" s="177" t="str">
        <f>IFERROR(VLOOKUP(O457,Cadastros!A:E,5,0),"")</f>
        <v/>
      </c>
      <c r="S457" s="177" t="str">
        <f>IFERROR(VLOOKUP(O457,Cadastros!A:F,6,0),"")</f>
        <v/>
      </c>
      <c r="T457" s="177" t="str">
        <f>IFERROR(VLOOKUP(O457,Cadastros!A:I,9,0),"")</f>
        <v/>
      </c>
      <c r="U457" s="177" t="str">
        <f t="shared" si="32"/>
        <v/>
      </c>
      <c r="V457" s="177" t="str">
        <f t="shared" si="33"/>
        <v/>
      </c>
      <c r="W457" s="177" t="str">
        <f t="shared" si="34"/>
        <v/>
      </c>
      <c r="Y457" s="240" t="e">
        <f t="array" ref="Y457">INDEX(Tabela.abordagens[],SMALL(IF(Tabela.abordagens[Mês]=$L$2,ROW(Tabela.abordagens[id])-2),ROW(A410)),1)</f>
        <v>#NUM!</v>
      </c>
      <c r="Z457" s="240" t="e">
        <f t="array" ref="Z457">INDEX(Tabela.abordagens[],SMALL(IF(Tabela.abordagens[Mês]=$L$2,ROW(Tabela.abordagens[Idade])-2),ROW(A410)),6)</f>
        <v>#NUM!</v>
      </c>
      <c r="AA457" s="240" t="e">
        <f t="array" ref="AA457">INDEX(Tabela.abordagens[],SMALL(IF(Tabela.abordagens[Mês]=$L$2,ROW(Tabela.abordagens[Idade])-2),ROW(A410)),4)</f>
        <v>#NUM!</v>
      </c>
      <c r="AB457" s="240" t="e">
        <f t="array" ref="AB457">INDEX(Tabela.abordagens[],SMALL(IF(Tabela.abordagens[Mês]=$L$2,ROW(Tabela.abordagens[Idade])-2),ROW(A410)),5)</f>
        <v>#NUM!</v>
      </c>
    </row>
    <row r="458" spans="2:28" ht="15" x14ac:dyDescent="0.25">
      <c r="B458" s="223" t="e">
        <f t="array" ref="B458">INDEX(Tabela.frequencia[],SMALL(IF(Tabela.frequencia[Mês]=$L$2,ROW(Tabela.frequencia[id])-1),ROW(A411)),1)</f>
        <v>#NUM!</v>
      </c>
      <c r="C458" s="229" t="e">
        <f t="array" ref="C458">INDEX(Tabela.frequencia[],SMALL(IF(Tabela.frequencia[Mês]=$L$2,ROW(Tabela.frequencia[id])-1),ROW(A411)),4)</f>
        <v>#NUM!</v>
      </c>
      <c r="E458" s="176" t="str">
        <f>IFERROR(VLOOKUP(D458,Tabela.cadastro[[ID]:[Nome]],2,0),"")</f>
        <v/>
      </c>
      <c r="F458" s="177" t="str">
        <f>IFERROR(VLOOKUP(D458,Tabela66[#All],2,0),"")</f>
        <v/>
      </c>
      <c r="G458" s="177" t="str">
        <f>IFERROR(VLOOKUP(D458,Tabela.cadastro[[ID]:[CP ou M]],5,0),"")</f>
        <v/>
      </c>
      <c r="H458" s="177" t="str">
        <f>IFERROR(VLOOKUP(D458,Cadastros!A:F,6,0),"")</f>
        <v/>
      </c>
      <c r="I458" s="177" t="str">
        <f>IFERROR(VLOOKUP(D458,Cadastros!A:I,9,0),"")</f>
        <v/>
      </c>
      <c r="J458" s="177" t="str">
        <f>IFERROR(VLOOKUP(D458,Cadastros!A:J,10,0),"")</f>
        <v/>
      </c>
      <c r="K458" s="177" t="str">
        <f>IF(COUNTIF(Tabela66[id],D458)=0,"",COUNTIF(Tabela66[id],D458))</f>
        <v/>
      </c>
      <c r="L458" s="198"/>
      <c r="M458" s="227" t="str">
        <f t="shared" si="35"/>
        <v/>
      </c>
      <c r="P458" s="176" t="str">
        <f>IFERROR(VLOOKUP(O458,Cadastros!A:B,2),"")</f>
        <v/>
      </c>
      <c r="Q458" s="177" t="str">
        <f t="shared" si="31"/>
        <v/>
      </c>
      <c r="R458" s="177" t="str">
        <f>IFERROR(VLOOKUP(O458,Cadastros!A:E,5,0),"")</f>
        <v/>
      </c>
      <c r="S458" s="177" t="str">
        <f>IFERROR(VLOOKUP(O458,Cadastros!A:F,6,0),"")</f>
        <v/>
      </c>
      <c r="T458" s="177" t="str">
        <f>IFERROR(VLOOKUP(O458,Cadastros!A:I,9,0),"")</f>
        <v/>
      </c>
      <c r="U458" s="177" t="str">
        <f t="shared" si="32"/>
        <v/>
      </c>
      <c r="V458" s="177" t="str">
        <f t="shared" si="33"/>
        <v/>
      </c>
      <c r="W458" s="177" t="str">
        <f t="shared" si="34"/>
        <v/>
      </c>
      <c r="Y458" s="240" t="e">
        <f t="array" ref="Y458">INDEX(Tabela.abordagens[],SMALL(IF(Tabela.abordagens[Mês]=$L$2,ROW(Tabela.abordagens[id])-2),ROW(A411)),1)</f>
        <v>#NUM!</v>
      </c>
      <c r="Z458" s="240" t="e">
        <f t="array" ref="Z458">INDEX(Tabela.abordagens[],SMALL(IF(Tabela.abordagens[Mês]=$L$2,ROW(Tabela.abordagens[Idade])-2),ROW(A411)),6)</f>
        <v>#NUM!</v>
      </c>
      <c r="AA458" s="240" t="e">
        <f t="array" ref="AA458">INDEX(Tabela.abordagens[],SMALL(IF(Tabela.abordagens[Mês]=$L$2,ROW(Tabela.abordagens[Idade])-2),ROW(A411)),4)</f>
        <v>#NUM!</v>
      </c>
      <c r="AB458" s="240" t="e">
        <f t="array" ref="AB458">INDEX(Tabela.abordagens[],SMALL(IF(Tabela.abordagens[Mês]=$L$2,ROW(Tabela.abordagens[Idade])-2),ROW(A411)),5)</f>
        <v>#NUM!</v>
      </c>
    </row>
    <row r="459" spans="2:28" ht="15" x14ac:dyDescent="0.25">
      <c r="B459" s="223" t="e">
        <f t="array" ref="B459">INDEX(Tabela.frequencia[],SMALL(IF(Tabela.frequencia[Mês]=$L$2,ROW(Tabela.frequencia[id])-1),ROW(A412)),1)</f>
        <v>#NUM!</v>
      </c>
      <c r="C459" s="229" t="e">
        <f t="array" ref="C459">INDEX(Tabela.frequencia[],SMALL(IF(Tabela.frequencia[Mês]=$L$2,ROW(Tabela.frequencia[id])-1),ROW(A412)),4)</f>
        <v>#NUM!</v>
      </c>
      <c r="E459" s="176" t="str">
        <f>IFERROR(VLOOKUP(D459,Tabela.cadastro[[ID]:[Nome]],2,0),"")</f>
        <v/>
      </c>
      <c r="F459" s="177" t="str">
        <f>IFERROR(VLOOKUP(D459,Tabela66[#All],2,0),"")</f>
        <v/>
      </c>
      <c r="G459" s="177" t="str">
        <f>IFERROR(VLOOKUP(D459,Tabela.cadastro[[ID]:[CP ou M]],5,0),"")</f>
        <v/>
      </c>
      <c r="H459" s="177" t="str">
        <f>IFERROR(VLOOKUP(D459,Cadastros!A:F,6,0),"")</f>
        <v/>
      </c>
      <c r="I459" s="177" t="str">
        <f>IFERROR(VLOOKUP(D459,Cadastros!A:I,9,0),"")</f>
        <v/>
      </c>
      <c r="J459" s="177" t="str">
        <f>IFERROR(VLOOKUP(D459,Cadastros!A:J,10,0),"")</f>
        <v/>
      </c>
      <c r="K459" s="177" t="str">
        <f>IF(COUNTIF(Tabela66[id],D459)=0,"",COUNTIF(Tabela66[id],D459))</f>
        <v/>
      </c>
      <c r="L459" s="198"/>
      <c r="M459" s="227" t="str">
        <f t="shared" si="35"/>
        <v/>
      </c>
      <c r="P459" s="176" t="str">
        <f>IFERROR(VLOOKUP(O459,Cadastros!A:B,2),"")</f>
        <v/>
      </c>
      <c r="Q459" s="177" t="str">
        <f t="shared" si="31"/>
        <v/>
      </c>
      <c r="R459" s="177" t="str">
        <f>IFERROR(VLOOKUP(O459,Cadastros!A:E,5,0),"")</f>
        <v/>
      </c>
      <c r="S459" s="177" t="str">
        <f>IFERROR(VLOOKUP(O459,Cadastros!A:F,6,0),"")</f>
        <v/>
      </c>
      <c r="T459" s="177" t="str">
        <f>IFERROR(VLOOKUP(O459,Cadastros!A:I,9,0),"")</f>
        <v/>
      </c>
      <c r="U459" s="177" t="str">
        <f t="shared" si="32"/>
        <v/>
      </c>
      <c r="V459" s="177" t="str">
        <f t="shared" si="33"/>
        <v/>
      </c>
      <c r="W459" s="177" t="str">
        <f t="shared" si="34"/>
        <v/>
      </c>
      <c r="Y459" s="240" t="e">
        <f t="array" ref="Y459">INDEX(Tabela.abordagens[],SMALL(IF(Tabela.abordagens[Mês]=$L$2,ROW(Tabela.abordagens[id])-2),ROW(A412)),1)</f>
        <v>#NUM!</v>
      </c>
      <c r="Z459" s="240" t="e">
        <f t="array" ref="Z459">INDEX(Tabela.abordagens[],SMALL(IF(Tabela.abordagens[Mês]=$L$2,ROW(Tabela.abordagens[Idade])-2),ROW(A412)),6)</f>
        <v>#NUM!</v>
      </c>
      <c r="AA459" s="240" t="e">
        <f t="array" ref="AA459">INDEX(Tabela.abordagens[],SMALL(IF(Tabela.abordagens[Mês]=$L$2,ROW(Tabela.abordagens[Idade])-2),ROW(A412)),4)</f>
        <v>#NUM!</v>
      </c>
      <c r="AB459" s="240" t="e">
        <f t="array" ref="AB459">INDEX(Tabela.abordagens[],SMALL(IF(Tabela.abordagens[Mês]=$L$2,ROW(Tabela.abordagens[Idade])-2),ROW(A412)),5)</f>
        <v>#NUM!</v>
      </c>
    </row>
    <row r="460" spans="2:28" ht="15" x14ac:dyDescent="0.25">
      <c r="B460" s="223" t="e">
        <f t="array" ref="B460">INDEX(Tabela.frequencia[],SMALL(IF(Tabela.frequencia[Mês]=$L$2,ROW(Tabela.frequencia[id])-1),ROW(A413)),1)</f>
        <v>#NUM!</v>
      </c>
      <c r="C460" s="229" t="e">
        <f t="array" ref="C460">INDEX(Tabela.frequencia[],SMALL(IF(Tabela.frequencia[Mês]=$L$2,ROW(Tabela.frequencia[id])-1),ROW(A413)),4)</f>
        <v>#NUM!</v>
      </c>
      <c r="E460" s="176" t="str">
        <f>IFERROR(VLOOKUP(D460,Tabela.cadastro[[ID]:[Nome]],2,0),"")</f>
        <v/>
      </c>
      <c r="F460" s="177" t="str">
        <f>IFERROR(VLOOKUP(D460,Tabela66[#All],2,0),"")</f>
        <v/>
      </c>
      <c r="G460" s="177" t="str">
        <f>IFERROR(VLOOKUP(D460,Tabela.cadastro[[ID]:[CP ou M]],5,0),"")</f>
        <v/>
      </c>
      <c r="H460" s="177" t="str">
        <f>IFERROR(VLOOKUP(D460,Cadastros!A:F,6,0),"")</f>
        <v/>
      </c>
      <c r="I460" s="177" t="str">
        <f>IFERROR(VLOOKUP(D460,Cadastros!A:I,9,0),"")</f>
        <v/>
      </c>
      <c r="J460" s="177" t="str">
        <f>IFERROR(VLOOKUP(D460,Cadastros!A:J,10,0),"")</f>
        <v/>
      </c>
      <c r="K460" s="177" t="str">
        <f>IF(COUNTIF(Tabela66[id],D460)=0,"",COUNTIF(Tabela66[id],D460))</f>
        <v/>
      </c>
      <c r="L460" s="198"/>
      <c r="M460" s="227" t="str">
        <f t="shared" si="35"/>
        <v/>
      </c>
      <c r="P460" s="176" t="str">
        <f>IFERROR(VLOOKUP(O460,Cadastros!A:B,2),"")</f>
        <v/>
      </c>
      <c r="Q460" s="177" t="str">
        <f t="shared" si="31"/>
        <v/>
      </c>
      <c r="R460" s="177" t="str">
        <f>IFERROR(VLOOKUP(O460,Cadastros!A:E,5,0),"")</f>
        <v/>
      </c>
      <c r="S460" s="177" t="str">
        <f>IFERROR(VLOOKUP(O460,Cadastros!A:F,6,0),"")</f>
        <v/>
      </c>
      <c r="T460" s="177" t="str">
        <f>IFERROR(VLOOKUP(O460,Cadastros!A:I,9,0),"")</f>
        <v/>
      </c>
      <c r="U460" s="177" t="str">
        <f t="shared" si="32"/>
        <v/>
      </c>
      <c r="V460" s="177" t="str">
        <f t="shared" si="33"/>
        <v/>
      </c>
      <c r="W460" s="177" t="str">
        <f t="shared" si="34"/>
        <v/>
      </c>
      <c r="Y460" s="240" t="e">
        <f t="array" ref="Y460">INDEX(Tabela.abordagens[],SMALL(IF(Tabela.abordagens[Mês]=$L$2,ROW(Tabela.abordagens[id])-2),ROW(A413)),1)</f>
        <v>#NUM!</v>
      </c>
      <c r="Z460" s="240" t="e">
        <f t="array" ref="Z460">INDEX(Tabela.abordagens[],SMALL(IF(Tabela.abordagens[Mês]=$L$2,ROW(Tabela.abordagens[Idade])-2),ROW(A413)),6)</f>
        <v>#NUM!</v>
      </c>
      <c r="AA460" s="240" t="e">
        <f t="array" ref="AA460">INDEX(Tabela.abordagens[],SMALL(IF(Tabela.abordagens[Mês]=$L$2,ROW(Tabela.abordagens[Idade])-2),ROW(A413)),4)</f>
        <v>#NUM!</v>
      </c>
      <c r="AB460" s="240" t="e">
        <f t="array" ref="AB460">INDEX(Tabela.abordagens[],SMALL(IF(Tabela.abordagens[Mês]=$L$2,ROW(Tabela.abordagens[Idade])-2),ROW(A413)),5)</f>
        <v>#NUM!</v>
      </c>
    </row>
    <row r="461" spans="2:28" ht="15" x14ac:dyDescent="0.25">
      <c r="B461" s="223" t="e">
        <f t="array" ref="B461">INDEX(Tabela.frequencia[],SMALL(IF(Tabela.frequencia[Mês]=$L$2,ROW(Tabela.frequencia[id])-1),ROW(A414)),1)</f>
        <v>#NUM!</v>
      </c>
      <c r="C461" s="229" t="e">
        <f t="array" ref="C461">INDEX(Tabela.frequencia[],SMALL(IF(Tabela.frequencia[Mês]=$L$2,ROW(Tabela.frequencia[id])-1),ROW(A414)),4)</f>
        <v>#NUM!</v>
      </c>
      <c r="E461" s="176" t="str">
        <f>IFERROR(VLOOKUP(D461,Tabela.cadastro[[ID]:[Nome]],2,0),"")</f>
        <v/>
      </c>
      <c r="F461" s="177" t="str">
        <f>IFERROR(VLOOKUP(D461,Tabela66[#All],2,0),"")</f>
        <v/>
      </c>
      <c r="G461" s="177" t="str">
        <f>IFERROR(VLOOKUP(D461,Tabela.cadastro[[ID]:[CP ou M]],5,0),"")</f>
        <v/>
      </c>
      <c r="H461" s="177" t="str">
        <f>IFERROR(VLOOKUP(D461,Cadastros!A:F,6,0),"")</f>
        <v/>
      </c>
      <c r="I461" s="177" t="str">
        <f>IFERROR(VLOOKUP(D461,Cadastros!A:I,9,0),"")</f>
        <v/>
      </c>
      <c r="J461" s="177" t="str">
        <f>IFERROR(VLOOKUP(D461,Cadastros!A:J,10,0),"")</f>
        <v/>
      </c>
      <c r="K461" s="177" t="str">
        <f>IF(COUNTIF(Tabela66[id],D461)=0,"",COUNTIF(Tabela66[id],D461))</f>
        <v/>
      </c>
      <c r="L461" s="198"/>
      <c r="M461" s="227" t="str">
        <f t="shared" si="35"/>
        <v/>
      </c>
      <c r="P461" s="176" t="str">
        <f>IFERROR(VLOOKUP(O461,Cadastros!A:B,2),"")</f>
        <v/>
      </c>
      <c r="Q461" s="177" t="str">
        <f t="shared" si="31"/>
        <v/>
      </c>
      <c r="R461" s="177" t="str">
        <f>IFERROR(VLOOKUP(O461,Cadastros!A:E,5,0),"")</f>
        <v/>
      </c>
      <c r="S461" s="177" t="str">
        <f>IFERROR(VLOOKUP(O461,Cadastros!A:F,6,0),"")</f>
        <v/>
      </c>
      <c r="T461" s="177" t="str">
        <f>IFERROR(VLOOKUP(O461,Cadastros!A:I,9,0),"")</f>
        <v/>
      </c>
      <c r="U461" s="177" t="str">
        <f t="shared" si="32"/>
        <v/>
      </c>
      <c r="V461" s="177" t="str">
        <f t="shared" si="33"/>
        <v/>
      </c>
      <c r="W461" s="177" t="str">
        <f t="shared" si="34"/>
        <v/>
      </c>
      <c r="Y461" s="240" t="e">
        <f t="array" ref="Y461">INDEX(Tabela.abordagens[],SMALL(IF(Tabela.abordagens[Mês]=$L$2,ROW(Tabela.abordagens[id])-2),ROW(A414)),1)</f>
        <v>#NUM!</v>
      </c>
      <c r="Z461" s="240" t="e">
        <f t="array" ref="Z461">INDEX(Tabela.abordagens[],SMALL(IF(Tabela.abordagens[Mês]=$L$2,ROW(Tabela.abordagens[Idade])-2),ROW(A414)),6)</f>
        <v>#NUM!</v>
      </c>
      <c r="AA461" s="240" t="e">
        <f t="array" ref="AA461">INDEX(Tabela.abordagens[],SMALL(IF(Tabela.abordagens[Mês]=$L$2,ROW(Tabela.abordagens[Idade])-2),ROW(A414)),4)</f>
        <v>#NUM!</v>
      </c>
      <c r="AB461" s="240" t="e">
        <f t="array" ref="AB461">INDEX(Tabela.abordagens[],SMALL(IF(Tabela.abordagens[Mês]=$L$2,ROW(Tabela.abordagens[Idade])-2),ROW(A414)),5)</f>
        <v>#NUM!</v>
      </c>
    </row>
    <row r="462" spans="2:28" ht="15" x14ac:dyDescent="0.25">
      <c r="B462" s="223" t="e">
        <f t="array" ref="B462">INDEX(Tabela.frequencia[],SMALL(IF(Tabela.frequencia[Mês]=$L$2,ROW(Tabela.frequencia[id])-1),ROW(A415)),1)</f>
        <v>#NUM!</v>
      </c>
      <c r="C462" s="229" t="e">
        <f t="array" ref="C462">INDEX(Tabela.frequencia[],SMALL(IF(Tabela.frequencia[Mês]=$L$2,ROW(Tabela.frequencia[id])-1),ROW(A415)),4)</f>
        <v>#NUM!</v>
      </c>
      <c r="E462" s="176" t="str">
        <f>IFERROR(VLOOKUP(D462,Tabela.cadastro[[ID]:[Nome]],2,0),"")</f>
        <v/>
      </c>
      <c r="F462" s="177" t="str">
        <f>IFERROR(VLOOKUP(D462,Tabela66[#All],2,0),"")</f>
        <v/>
      </c>
      <c r="G462" s="177" t="str">
        <f>IFERROR(VLOOKUP(D462,Tabela.cadastro[[ID]:[CP ou M]],5,0),"")</f>
        <v/>
      </c>
      <c r="H462" s="177" t="str">
        <f>IFERROR(VLOOKUP(D462,Cadastros!A:F,6,0),"")</f>
        <v/>
      </c>
      <c r="I462" s="177" t="str">
        <f>IFERROR(VLOOKUP(D462,Cadastros!A:I,9,0),"")</f>
        <v/>
      </c>
      <c r="J462" s="177" t="str">
        <f>IFERROR(VLOOKUP(D462,Cadastros!A:J,10,0),"")</f>
        <v/>
      </c>
      <c r="K462" s="177" t="str">
        <f>IF(COUNTIF(Tabela66[id],D462)=0,"",COUNTIF(Tabela66[id],D462))</f>
        <v/>
      </c>
      <c r="L462" s="198"/>
      <c r="M462" s="227" t="str">
        <f t="shared" si="35"/>
        <v/>
      </c>
      <c r="P462" s="176" t="str">
        <f>IFERROR(VLOOKUP(O462,Cadastros!A:B,2),"")</f>
        <v/>
      </c>
      <c r="Q462" s="177" t="str">
        <f t="shared" si="31"/>
        <v/>
      </c>
      <c r="R462" s="177" t="str">
        <f>IFERROR(VLOOKUP(O462,Cadastros!A:E,5,0),"")</f>
        <v/>
      </c>
      <c r="S462" s="177" t="str">
        <f>IFERROR(VLOOKUP(O462,Cadastros!A:F,6,0),"")</f>
        <v/>
      </c>
      <c r="T462" s="177" t="str">
        <f>IFERROR(VLOOKUP(O462,Cadastros!A:I,9,0),"")</f>
        <v/>
      </c>
      <c r="U462" s="177" t="str">
        <f t="shared" si="32"/>
        <v/>
      </c>
      <c r="V462" s="177" t="str">
        <f t="shared" si="33"/>
        <v/>
      </c>
      <c r="W462" s="177" t="str">
        <f t="shared" si="34"/>
        <v/>
      </c>
      <c r="Y462" s="240" t="e">
        <f t="array" ref="Y462">INDEX(Tabela.abordagens[],SMALL(IF(Tabela.abordagens[Mês]=$L$2,ROW(Tabela.abordagens[id])-2),ROW(A415)),1)</f>
        <v>#NUM!</v>
      </c>
      <c r="Z462" s="240" t="e">
        <f t="array" ref="Z462">INDEX(Tabela.abordagens[],SMALL(IF(Tabela.abordagens[Mês]=$L$2,ROW(Tabela.abordagens[Idade])-2),ROW(A415)),6)</f>
        <v>#NUM!</v>
      </c>
      <c r="AA462" s="240" t="e">
        <f t="array" ref="AA462">INDEX(Tabela.abordagens[],SMALL(IF(Tabela.abordagens[Mês]=$L$2,ROW(Tabela.abordagens[Idade])-2),ROW(A415)),4)</f>
        <v>#NUM!</v>
      </c>
      <c r="AB462" s="240" t="e">
        <f t="array" ref="AB462">INDEX(Tabela.abordagens[],SMALL(IF(Tabela.abordagens[Mês]=$L$2,ROW(Tabela.abordagens[Idade])-2),ROW(A415)),5)</f>
        <v>#NUM!</v>
      </c>
    </row>
    <row r="463" spans="2:28" ht="15" x14ac:dyDescent="0.25">
      <c r="B463" s="223" t="e">
        <f t="array" ref="B463">INDEX(Tabela.frequencia[],SMALL(IF(Tabela.frequencia[Mês]=$L$2,ROW(Tabela.frequencia[id])-1),ROW(A416)),1)</f>
        <v>#NUM!</v>
      </c>
      <c r="C463" s="229" t="e">
        <f t="array" ref="C463">INDEX(Tabela.frequencia[],SMALL(IF(Tabela.frequencia[Mês]=$L$2,ROW(Tabela.frequencia[id])-1),ROW(A416)),4)</f>
        <v>#NUM!</v>
      </c>
      <c r="E463" s="176" t="str">
        <f>IFERROR(VLOOKUP(D463,Tabela.cadastro[[ID]:[Nome]],2,0),"")</f>
        <v/>
      </c>
      <c r="F463" s="177" t="str">
        <f>IFERROR(VLOOKUP(D463,Tabela66[#All],2,0),"")</f>
        <v/>
      </c>
      <c r="G463" s="177" t="str">
        <f>IFERROR(VLOOKUP(D463,Tabela.cadastro[[ID]:[CP ou M]],5,0),"")</f>
        <v/>
      </c>
      <c r="H463" s="177" t="str">
        <f>IFERROR(VLOOKUP(D463,Cadastros!A:F,6,0),"")</f>
        <v/>
      </c>
      <c r="I463" s="177" t="str">
        <f>IFERROR(VLOOKUP(D463,Cadastros!A:I,9,0),"")</f>
        <v/>
      </c>
      <c r="J463" s="177" t="str">
        <f>IFERROR(VLOOKUP(D463,Cadastros!A:J,10,0),"")</f>
        <v/>
      </c>
      <c r="K463" s="177" t="str">
        <f>IF(COUNTIF(Tabela66[id],D463)=0,"",COUNTIF(Tabela66[id],D463))</f>
        <v/>
      </c>
      <c r="L463" s="198"/>
      <c r="M463" s="227" t="str">
        <f t="shared" si="35"/>
        <v/>
      </c>
      <c r="P463" s="176" t="str">
        <f>IFERROR(VLOOKUP(O463,Cadastros!A:B,2),"")</f>
        <v/>
      </c>
      <c r="Q463" s="177" t="str">
        <f t="shared" si="31"/>
        <v/>
      </c>
      <c r="R463" s="177" t="str">
        <f>IFERROR(VLOOKUP(O463,Cadastros!A:E,5,0),"")</f>
        <v/>
      </c>
      <c r="S463" s="177" t="str">
        <f>IFERROR(VLOOKUP(O463,Cadastros!A:F,6,0),"")</f>
        <v/>
      </c>
      <c r="T463" s="177" t="str">
        <f>IFERROR(VLOOKUP(O463,Cadastros!A:I,9,0),"")</f>
        <v/>
      </c>
      <c r="U463" s="177" t="str">
        <f t="shared" si="32"/>
        <v/>
      </c>
      <c r="V463" s="177" t="str">
        <f t="shared" si="33"/>
        <v/>
      </c>
      <c r="W463" s="177" t="str">
        <f t="shared" si="34"/>
        <v/>
      </c>
      <c r="Y463" s="240" t="e">
        <f t="array" ref="Y463">INDEX(Tabela.abordagens[],SMALL(IF(Tabela.abordagens[Mês]=$L$2,ROW(Tabela.abordagens[id])-2),ROW(A416)),1)</f>
        <v>#NUM!</v>
      </c>
      <c r="Z463" s="240" t="e">
        <f t="array" ref="Z463">INDEX(Tabela.abordagens[],SMALL(IF(Tabela.abordagens[Mês]=$L$2,ROW(Tabela.abordagens[Idade])-2),ROW(A416)),6)</f>
        <v>#NUM!</v>
      </c>
      <c r="AA463" s="240" t="e">
        <f t="array" ref="AA463">INDEX(Tabela.abordagens[],SMALL(IF(Tabela.abordagens[Mês]=$L$2,ROW(Tabela.abordagens[Idade])-2),ROW(A416)),4)</f>
        <v>#NUM!</v>
      </c>
      <c r="AB463" s="240" t="e">
        <f t="array" ref="AB463">INDEX(Tabela.abordagens[],SMALL(IF(Tabela.abordagens[Mês]=$L$2,ROW(Tabela.abordagens[Idade])-2),ROW(A416)),5)</f>
        <v>#NUM!</v>
      </c>
    </row>
    <row r="464" spans="2:28" ht="15" x14ac:dyDescent="0.25">
      <c r="B464" s="223" t="e">
        <f t="array" ref="B464">INDEX(Tabela.frequencia[],SMALL(IF(Tabela.frequencia[Mês]=$L$2,ROW(Tabela.frequencia[id])-1),ROW(A417)),1)</f>
        <v>#NUM!</v>
      </c>
      <c r="C464" s="229" t="e">
        <f t="array" ref="C464">INDEX(Tabela.frequencia[],SMALL(IF(Tabela.frequencia[Mês]=$L$2,ROW(Tabela.frequencia[id])-1),ROW(A417)),4)</f>
        <v>#NUM!</v>
      </c>
      <c r="E464" s="176" t="str">
        <f>IFERROR(VLOOKUP(D464,Tabela.cadastro[[ID]:[Nome]],2,0),"")</f>
        <v/>
      </c>
      <c r="F464" s="177" t="str">
        <f>IFERROR(VLOOKUP(D464,Tabela66[#All],2,0),"")</f>
        <v/>
      </c>
      <c r="G464" s="177" t="str">
        <f>IFERROR(VLOOKUP(D464,Tabela.cadastro[[ID]:[CP ou M]],5,0),"")</f>
        <v/>
      </c>
      <c r="H464" s="177" t="str">
        <f>IFERROR(VLOOKUP(D464,Cadastros!A:F,6,0),"")</f>
        <v/>
      </c>
      <c r="I464" s="177" t="str">
        <f>IFERROR(VLOOKUP(D464,Cadastros!A:I,9,0),"")</f>
        <v/>
      </c>
      <c r="J464" s="177" t="str">
        <f>IFERROR(VLOOKUP(D464,Cadastros!A:J,10,0),"")</f>
        <v/>
      </c>
      <c r="K464" s="177" t="str">
        <f>IF(COUNTIF(Tabela66[id],D464)=0,"",COUNTIF(Tabela66[id],D464))</f>
        <v/>
      </c>
      <c r="L464" s="198"/>
      <c r="M464" s="227" t="str">
        <f t="shared" si="35"/>
        <v/>
      </c>
      <c r="P464" s="176" t="str">
        <f>IFERROR(VLOOKUP(O464,Cadastros!A:B,2),"")</f>
        <v/>
      </c>
      <c r="Q464" s="177" t="str">
        <f t="shared" si="31"/>
        <v/>
      </c>
      <c r="R464" s="177" t="str">
        <f>IFERROR(VLOOKUP(O464,Cadastros!A:E,5,0),"")</f>
        <v/>
      </c>
      <c r="S464" s="177" t="str">
        <f>IFERROR(VLOOKUP(O464,Cadastros!A:F,6,0),"")</f>
        <v/>
      </c>
      <c r="T464" s="177" t="str">
        <f>IFERROR(VLOOKUP(O464,Cadastros!A:I,9,0),"")</f>
        <v/>
      </c>
      <c r="U464" s="177" t="str">
        <f t="shared" si="32"/>
        <v/>
      </c>
      <c r="V464" s="177" t="str">
        <f t="shared" si="33"/>
        <v/>
      </c>
      <c r="W464" s="177" t="str">
        <f t="shared" si="34"/>
        <v/>
      </c>
      <c r="Y464" s="240" t="e">
        <f t="array" ref="Y464">INDEX(Tabela.abordagens[],SMALL(IF(Tabela.abordagens[Mês]=$L$2,ROW(Tabela.abordagens[id])-2),ROW(A417)),1)</f>
        <v>#NUM!</v>
      </c>
      <c r="Z464" s="240" t="e">
        <f t="array" ref="Z464">INDEX(Tabela.abordagens[],SMALL(IF(Tabela.abordagens[Mês]=$L$2,ROW(Tabela.abordagens[Idade])-2),ROW(A417)),6)</f>
        <v>#NUM!</v>
      </c>
      <c r="AA464" s="240" t="e">
        <f t="array" ref="AA464">INDEX(Tabela.abordagens[],SMALL(IF(Tabela.abordagens[Mês]=$L$2,ROW(Tabela.abordagens[Idade])-2),ROW(A417)),4)</f>
        <v>#NUM!</v>
      </c>
      <c r="AB464" s="240" t="e">
        <f t="array" ref="AB464">INDEX(Tabela.abordagens[],SMALL(IF(Tabela.abordagens[Mês]=$L$2,ROW(Tabela.abordagens[Idade])-2),ROW(A417)),5)</f>
        <v>#NUM!</v>
      </c>
    </row>
    <row r="465" spans="2:28" ht="15" x14ac:dyDescent="0.25">
      <c r="B465" s="223" t="e">
        <f t="array" ref="B465">INDEX(Tabela.frequencia[],SMALL(IF(Tabela.frequencia[Mês]=$L$2,ROW(Tabela.frequencia[id])-1),ROW(A418)),1)</f>
        <v>#NUM!</v>
      </c>
      <c r="C465" s="229" t="e">
        <f t="array" ref="C465">INDEX(Tabela.frequencia[],SMALL(IF(Tabela.frequencia[Mês]=$L$2,ROW(Tabela.frequencia[id])-1),ROW(A418)),4)</f>
        <v>#NUM!</v>
      </c>
      <c r="E465" s="176" t="str">
        <f>IFERROR(VLOOKUP(D465,Tabela.cadastro[[ID]:[Nome]],2,0),"")</f>
        <v/>
      </c>
      <c r="F465" s="177" t="str">
        <f>IFERROR(VLOOKUP(D465,Tabela66[#All],2,0),"")</f>
        <v/>
      </c>
      <c r="G465" s="177" t="str">
        <f>IFERROR(VLOOKUP(D465,Tabela.cadastro[[ID]:[CP ou M]],5,0),"")</f>
        <v/>
      </c>
      <c r="H465" s="177" t="str">
        <f>IFERROR(VLOOKUP(D465,Cadastros!A:F,6,0),"")</f>
        <v/>
      </c>
      <c r="I465" s="177" t="str">
        <f>IFERROR(VLOOKUP(D465,Cadastros!A:I,9,0),"")</f>
        <v/>
      </c>
      <c r="J465" s="177" t="str">
        <f>IFERROR(VLOOKUP(D465,Cadastros!A:J,10,0),"")</f>
        <v/>
      </c>
      <c r="K465" s="177" t="str">
        <f>IF(COUNTIF(Tabela66[id],D465)=0,"",COUNTIF(Tabela66[id],D465))</f>
        <v/>
      </c>
      <c r="L465" s="198"/>
      <c r="M465" s="227" t="str">
        <f t="shared" si="35"/>
        <v/>
      </c>
      <c r="P465" s="176" t="str">
        <f>IFERROR(VLOOKUP(O465,Cadastros!A:B,2),"")</f>
        <v/>
      </c>
      <c r="Q465" s="177" t="str">
        <f t="shared" si="31"/>
        <v/>
      </c>
      <c r="R465" s="177" t="str">
        <f>IFERROR(VLOOKUP(O465,Cadastros!A:E,5,0),"")</f>
        <v/>
      </c>
      <c r="S465" s="177" t="str">
        <f>IFERROR(VLOOKUP(O465,Cadastros!A:F,6,0),"")</f>
        <v/>
      </c>
      <c r="T465" s="177" t="str">
        <f>IFERROR(VLOOKUP(O465,Cadastros!A:I,9,0),"")</f>
        <v/>
      </c>
      <c r="U465" s="177" t="str">
        <f t="shared" si="32"/>
        <v/>
      </c>
      <c r="V465" s="177" t="str">
        <f t="shared" si="33"/>
        <v/>
      </c>
      <c r="W465" s="177" t="str">
        <f t="shared" si="34"/>
        <v/>
      </c>
      <c r="Y465" s="240" t="e">
        <f t="array" ref="Y465">INDEX(Tabela.abordagens[],SMALL(IF(Tabela.abordagens[Mês]=$L$2,ROW(Tabela.abordagens[id])-2),ROW(A418)),1)</f>
        <v>#NUM!</v>
      </c>
      <c r="Z465" s="240" t="e">
        <f t="array" ref="Z465">INDEX(Tabela.abordagens[],SMALL(IF(Tabela.abordagens[Mês]=$L$2,ROW(Tabela.abordagens[Idade])-2),ROW(A418)),6)</f>
        <v>#NUM!</v>
      </c>
      <c r="AA465" s="240" t="e">
        <f t="array" ref="AA465">INDEX(Tabela.abordagens[],SMALL(IF(Tabela.abordagens[Mês]=$L$2,ROW(Tabela.abordagens[Idade])-2),ROW(A418)),4)</f>
        <v>#NUM!</v>
      </c>
      <c r="AB465" s="240" t="e">
        <f t="array" ref="AB465">INDEX(Tabela.abordagens[],SMALL(IF(Tabela.abordagens[Mês]=$L$2,ROW(Tabela.abordagens[Idade])-2),ROW(A418)),5)</f>
        <v>#NUM!</v>
      </c>
    </row>
    <row r="466" spans="2:28" ht="15" x14ac:dyDescent="0.25">
      <c r="B466" s="223" t="e">
        <f t="array" ref="B466">INDEX(Tabela.frequencia[],SMALL(IF(Tabela.frequencia[Mês]=$L$2,ROW(Tabela.frequencia[id])-1),ROW(A419)),1)</f>
        <v>#NUM!</v>
      </c>
      <c r="C466" s="229" t="e">
        <f t="array" ref="C466">INDEX(Tabela.frequencia[],SMALL(IF(Tabela.frequencia[Mês]=$L$2,ROW(Tabela.frequencia[id])-1),ROW(A419)),4)</f>
        <v>#NUM!</v>
      </c>
      <c r="E466" s="176" t="str">
        <f>IFERROR(VLOOKUP(D466,Tabela.cadastro[[ID]:[Nome]],2,0),"")</f>
        <v/>
      </c>
      <c r="F466" s="177" t="str">
        <f>IFERROR(VLOOKUP(D466,Tabela66[#All],2,0),"")</f>
        <v/>
      </c>
      <c r="G466" s="177" t="str">
        <f>IFERROR(VLOOKUP(D466,Tabela.cadastro[[ID]:[CP ou M]],5,0),"")</f>
        <v/>
      </c>
      <c r="H466" s="177" t="str">
        <f>IFERROR(VLOOKUP(D466,Cadastros!A:F,6,0),"")</f>
        <v/>
      </c>
      <c r="I466" s="177" t="str">
        <f>IFERROR(VLOOKUP(D466,Cadastros!A:I,9,0),"")</f>
        <v/>
      </c>
      <c r="J466" s="177" t="str">
        <f>IFERROR(VLOOKUP(D466,Cadastros!A:J,10,0),"")</f>
        <v/>
      </c>
      <c r="K466" s="177" t="str">
        <f>IF(COUNTIF(Tabela66[id],D466)=0,"",COUNTIF(Tabela66[id],D466))</f>
        <v/>
      </c>
      <c r="L466" s="198"/>
      <c r="M466" s="227" t="str">
        <f t="shared" si="35"/>
        <v/>
      </c>
      <c r="P466" s="176" t="str">
        <f>IFERROR(VLOOKUP(O466,Cadastros!A:B,2),"")</f>
        <v/>
      </c>
      <c r="Q466" s="177" t="str">
        <f t="shared" si="31"/>
        <v/>
      </c>
      <c r="R466" s="177" t="str">
        <f>IFERROR(VLOOKUP(O466,Cadastros!A:E,5,0),"")</f>
        <v/>
      </c>
      <c r="S466" s="177" t="str">
        <f>IFERROR(VLOOKUP(O466,Cadastros!A:F,6,0),"")</f>
        <v/>
      </c>
      <c r="T466" s="177" t="str">
        <f>IFERROR(VLOOKUP(O466,Cadastros!A:I,9,0),"")</f>
        <v/>
      </c>
      <c r="U466" s="177" t="str">
        <f t="shared" si="32"/>
        <v/>
      </c>
      <c r="V466" s="177" t="str">
        <f t="shared" si="33"/>
        <v/>
      </c>
      <c r="W466" s="177" t="str">
        <f t="shared" si="34"/>
        <v/>
      </c>
      <c r="Y466" s="240" t="e">
        <f t="array" ref="Y466">INDEX(Tabela.abordagens[],SMALL(IF(Tabela.abordagens[Mês]=$L$2,ROW(Tabela.abordagens[id])-2),ROW(A419)),1)</f>
        <v>#NUM!</v>
      </c>
      <c r="Z466" s="240" t="e">
        <f t="array" ref="Z466">INDEX(Tabela.abordagens[],SMALL(IF(Tabela.abordagens[Mês]=$L$2,ROW(Tabela.abordagens[Idade])-2),ROW(A419)),6)</f>
        <v>#NUM!</v>
      </c>
      <c r="AA466" s="240" t="e">
        <f t="array" ref="AA466">INDEX(Tabela.abordagens[],SMALL(IF(Tabela.abordagens[Mês]=$L$2,ROW(Tabela.abordagens[Idade])-2),ROW(A419)),4)</f>
        <v>#NUM!</v>
      </c>
      <c r="AB466" s="240" t="e">
        <f t="array" ref="AB466">INDEX(Tabela.abordagens[],SMALL(IF(Tabela.abordagens[Mês]=$L$2,ROW(Tabela.abordagens[Idade])-2),ROW(A419)),5)</f>
        <v>#NUM!</v>
      </c>
    </row>
    <row r="467" spans="2:28" ht="15" x14ac:dyDescent="0.25">
      <c r="B467" s="223" t="e">
        <f t="array" ref="B467">INDEX(Tabela.frequencia[],SMALL(IF(Tabela.frequencia[Mês]=$L$2,ROW(Tabela.frequencia[id])-1),ROW(A420)),1)</f>
        <v>#NUM!</v>
      </c>
      <c r="C467" s="229" t="e">
        <f t="array" ref="C467">INDEX(Tabela.frequencia[],SMALL(IF(Tabela.frequencia[Mês]=$L$2,ROW(Tabela.frequencia[id])-1),ROW(A420)),4)</f>
        <v>#NUM!</v>
      </c>
      <c r="E467" s="176" t="str">
        <f>IFERROR(VLOOKUP(D467,Tabela.cadastro[[ID]:[Nome]],2,0),"")</f>
        <v/>
      </c>
      <c r="F467" s="177" t="str">
        <f>IFERROR(VLOOKUP(D467,Tabela66[#All],2,0),"")</f>
        <v/>
      </c>
      <c r="G467" s="177" t="str">
        <f>IFERROR(VLOOKUP(D467,Tabela.cadastro[[ID]:[CP ou M]],5,0),"")</f>
        <v/>
      </c>
      <c r="H467" s="177" t="str">
        <f>IFERROR(VLOOKUP(D467,Cadastros!A:F,6,0),"")</f>
        <v/>
      </c>
      <c r="I467" s="177" t="str">
        <f>IFERROR(VLOOKUP(D467,Cadastros!A:I,9,0),"")</f>
        <v/>
      </c>
      <c r="J467" s="177" t="str">
        <f>IFERROR(VLOOKUP(D467,Cadastros!A:J,10,0),"")</f>
        <v/>
      </c>
      <c r="K467" s="177" t="str">
        <f>IF(COUNTIF(Tabela66[id],D467)=0,"",COUNTIF(Tabela66[id],D467))</f>
        <v/>
      </c>
      <c r="L467" s="198"/>
      <c r="M467" s="227" t="str">
        <f t="shared" si="35"/>
        <v/>
      </c>
      <c r="P467" s="176" t="str">
        <f>IFERROR(VLOOKUP(O467,Cadastros!A:B,2),"")</f>
        <v/>
      </c>
      <c r="Q467" s="177" t="str">
        <f t="shared" si="31"/>
        <v/>
      </c>
      <c r="R467" s="177" t="str">
        <f>IFERROR(VLOOKUP(O467,Cadastros!A:E,5,0),"")</f>
        <v/>
      </c>
      <c r="S467" s="177" t="str">
        <f>IFERROR(VLOOKUP(O467,Cadastros!A:F,6,0),"")</f>
        <v/>
      </c>
      <c r="T467" s="177" t="str">
        <f>IFERROR(VLOOKUP(O467,Cadastros!A:I,9,0),"")</f>
        <v/>
      </c>
      <c r="U467" s="177" t="str">
        <f t="shared" si="32"/>
        <v/>
      </c>
      <c r="V467" s="177" t="str">
        <f t="shared" si="33"/>
        <v/>
      </c>
      <c r="W467" s="177" t="str">
        <f t="shared" si="34"/>
        <v/>
      </c>
      <c r="Y467" s="240" t="e">
        <f t="array" ref="Y467">INDEX(Tabela.abordagens[],SMALL(IF(Tabela.abordagens[Mês]=$L$2,ROW(Tabela.abordagens[id])-2),ROW(A420)),1)</f>
        <v>#NUM!</v>
      </c>
      <c r="Z467" s="240" t="e">
        <f t="array" ref="Z467">INDEX(Tabela.abordagens[],SMALL(IF(Tabela.abordagens[Mês]=$L$2,ROW(Tabela.abordagens[Idade])-2),ROW(A420)),6)</f>
        <v>#NUM!</v>
      </c>
      <c r="AA467" s="240" t="e">
        <f t="array" ref="AA467">INDEX(Tabela.abordagens[],SMALL(IF(Tabela.abordagens[Mês]=$L$2,ROW(Tabela.abordagens[Idade])-2),ROW(A420)),4)</f>
        <v>#NUM!</v>
      </c>
      <c r="AB467" s="240" t="e">
        <f t="array" ref="AB467">INDEX(Tabela.abordagens[],SMALL(IF(Tabela.abordagens[Mês]=$L$2,ROW(Tabela.abordagens[Idade])-2),ROW(A420)),5)</f>
        <v>#NUM!</v>
      </c>
    </row>
    <row r="468" spans="2:28" ht="15" x14ac:dyDescent="0.25">
      <c r="B468" s="223" t="e">
        <f t="array" ref="B468">INDEX(Tabela.frequencia[],SMALL(IF(Tabela.frequencia[Mês]=$L$2,ROW(Tabela.frequencia[id])-1),ROW(A421)),1)</f>
        <v>#NUM!</v>
      </c>
      <c r="C468" s="229" t="e">
        <f t="array" ref="C468">INDEX(Tabela.frequencia[],SMALL(IF(Tabela.frequencia[Mês]=$L$2,ROW(Tabela.frequencia[id])-1),ROW(A421)),4)</f>
        <v>#NUM!</v>
      </c>
      <c r="E468" s="176" t="str">
        <f>IFERROR(VLOOKUP(D468,Tabela.cadastro[[ID]:[Nome]],2,0),"")</f>
        <v/>
      </c>
      <c r="F468" s="177" t="str">
        <f>IFERROR(VLOOKUP(D468,Tabela66[#All],2,0),"")</f>
        <v/>
      </c>
      <c r="G468" s="177" t="str">
        <f>IFERROR(VLOOKUP(D468,Tabela.cadastro[[ID]:[CP ou M]],5,0),"")</f>
        <v/>
      </c>
      <c r="H468" s="177" t="str">
        <f>IFERROR(VLOOKUP(D468,Cadastros!A:F,6,0),"")</f>
        <v/>
      </c>
      <c r="I468" s="177" t="str">
        <f>IFERROR(VLOOKUP(D468,Cadastros!A:I,9,0),"")</f>
        <v/>
      </c>
      <c r="J468" s="177" t="str">
        <f>IFERROR(VLOOKUP(D468,Cadastros!A:J,10,0),"")</f>
        <v/>
      </c>
      <c r="K468" s="177" t="str">
        <f>IF(COUNTIF(Tabela66[id],D468)=0,"",COUNTIF(Tabela66[id],D468))</f>
        <v/>
      </c>
      <c r="L468" s="198"/>
      <c r="M468" s="227" t="str">
        <f t="shared" si="35"/>
        <v/>
      </c>
      <c r="P468" s="176" t="str">
        <f>IFERROR(VLOOKUP(O468,Cadastros!A:B,2),"")</f>
        <v/>
      </c>
      <c r="Q468" s="177" t="str">
        <f t="shared" si="31"/>
        <v/>
      </c>
      <c r="R468" s="177" t="str">
        <f>IFERROR(VLOOKUP(O468,Cadastros!A:E,5,0),"")</f>
        <v/>
      </c>
      <c r="S468" s="177" t="str">
        <f>IFERROR(VLOOKUP(O468,Cadastros!A:F,6,0),"")</f>
        <v/>
      </c>
      <c r="T468" s="177" t="str">
        <f>IFERROR(VLOOKUP(O468,Cadastros!A:I,9,0),"")</f>
        <v/>
      </c>
      <c r="U468" s="177" t="str">
        <f t="shared" si="32"/>
        <v/>
      </c>
      <c r="V468" s="177" t="str">
        <f t="shared" si="33"/>
        <v/>
      </c>
      <c r="W468" s="177" t="str">
        <f t="shared" si="34"/>
        <v/>
      </c>
      <c r="Y468" s="240" t="e">
        <f t="array" ref="Y468">INDEX(Tabela.abordagens[],SMALL(IF(Tabela.abordagens[Mês]=$L$2,ROW(Tabela.abordagens[id])-2),ROW(A421)),1)</f>
        <v>#NUM!</v>
      </c>
      <c r="Z468" s="240" t="e">
        <f t="array" ref="Z468">INDEX(Tabela.abordagens[],SMALL(IF(Tabela.abordagens[Mês]=$L$2,ROW(Tabela.abordagens[Idade])-2),ROW(A421)),6)</f>
        <v>#NUM!</v>
      </c>
      <c r="AA468" s="240" t="e">
        <f t="array" ref="AA468">INDEX(Tabela.abordagens[],SMALL(IF(Tabela.abordagens[Mês]=$L$2,ROW(Tabela.abordagens[Idade])-2),ROW(A421)),4)</f>
        <v>#NUM!</v>
      </c>
      <c r="AB468" s="240" t="e">
        <f t="array" ref="AB468">INDEX(Tabela.abordagens[],SMALL(IF(Tabela.abordagens[Mês]=$L$2,ROW(Tabela.abordagens[Idade])-2),ROW(A421)),5)</f>
        <v>#NUM!</v>
      </c>
    </row>
    <row r="469" spans="2:28" ht="15" x14ac:dyDescent="0.25">
      <c r="B469" s="223" t="e">
        <f t="array" ref="B469">INDEX(Tabela.frequencia[],SMALL(IF(Tabela.frequencia[Mês]=$L$2,ROW(Tabela.frequencia[id])-1),ROW(A422)),1)</f>
        <v>#NUM!</v>
      </c>
      <c r="C469" s="229" t="e">
        <f t="array" ref="C469">INDEX(Tabela.frequencia[],SMALL(IF(Tabela.frequencia[Mês]=$L$2,ROW(Tabela.frequencia[id])-1),ROW(A422)),4)</f>
        <v>#NUM!</v>
      </c>
      <c r="E469" s="176" t="str">
        <f>IFERROR(VLOOKUP(D469,Tabela.cadastro[[ID]:[Nome]],2,0),"")</f>
        <v/>
      </c>
      <c r="F469" s="177" t="str">
        <f>IFERROR(VLOOKUP(D469,Tabela66[#All],2,0),"")</f>
        <v/>
      </c>
      <c r="G469" s="177" t="str">
        <f>IFERROR(VLOOKUP(D469,Tabela.cadastro[[ID]:[CP ou M]],5,0),"")</f>
        <v/>
      </c>
      <c r="H469" s="177" t="str">
        <f>IFERROR(VLOOKUP(D469,Cadastros!A:F,6,0),"")</f>
        <v/>
      </c>
      <c r="I469" s="177" t="str">
        <f>IFERROR(VLOOKUP(D469,Cadastros!A:I,9,0),"")</f>
        <v/>
      </c>
      <c r="J469" s="177" t="str">
        <f>IFERROR(VLOOKUP(D469,Cadastros!A:J,10,0),"")</f>
        <v/>
      </c>
      <c r="K469" s="177" t="str">
        <f>IF(COUNTIF(Tabela66[id],D469)=0,"",COUNTIF(Tabela66[id],D469))</f>
        <v/>
      </c>
      <c r="L469" s="198"/>
      <c r="M469" s="227" t="str">
        <f t="shared" si="35"/>
        <v/>
      </c>
      <c r="P469" s="176" t="str">
        <f>IFERROR(VLOOKUP(O469,Cadastros!A:B,2),"")</f>
        <v/>
      </c>
      <c r="Q469" s="177" t="str">
        <f t="shared" si="31"/>
        <v/>
      </c>
      <c r="R469" s="177" t="str">
        <f>IFERROR(VLOOKUP(O469,Cadastros!A:E,5,0),"")</f>
        <v/>
      </c>
      <c r="S469" s="177" t="str">
        <f>IFERROR(VLOOKUP(O469,Cadastros!A:F,6,0),"")</f>
        <v/>
      </c>
      <c r="T469" s="177" t="str">
        <f>IFERROR(VLOOKUP(O469,Cadastros!A:I,9,0),"")</f>
        <v/>
      </c>
      <c r="U469" s="177" t="str">
        <f t="shared" si="32"/>
        <v/>
      </c>
      <c r="V469" s="177" t="str">
        <f t="shared" si="33"/>
        <v/>
      </c>
      <c r="W469" s="177" t="str">
        <f t="shared" si="34"/>
        <v/>
      </c>
      <c r="Y469" s="240" t="e">
        <f t="array" ref="Y469">INDEX(Tabela.abordagens[],SMALL(IF(Tabela.abordagens[Mês]=$L$2,ROW(Tabela.abordagens[id])-2),ROW(A422)),1)</f>
        <v>#NUM!</v>
      </c>
      <c r="Z469" s="240" t="e">
        <f t="array" ref="Z469">INDEX(Tabela.abordagens[],SMALL(IF(Tabela.abordagens[Mês]=$L$2,ROW(Tabela.abordagens[Idade])-2),ROW(A422)),6)</f>
        <v>#NUM!</v>
      </c>
      <c r="AA469" s="240" t="e">
        <f t="array" ref="AA469">INDEX(Tabela.abordagens[],SMALL(IF(Tabela.abordagens[Mês]=$L$2,ROW(Tabela.abordagens[Idade])-2),ROW(A422)),4)</f>
        <v>#NUM!</v>
      </c>
      <c r="AB469" s="240" t="e">
        <f t="array" ref="AB469">INDEX(Tabela.abordagens[],SMALL(IF(Tabela.abordagens[Mês]=$L$2,ROW(Tabela.abordagens[Idade])-2),ROW(A422)),5)</f>
        <v>#NUM!</v>
      </c>
    </row>
    <row r="470" spans="2:28" ht="15" x14ac:dyDescent="0.25">
      <c r="B470" s="223" t="e">
        <f t="array" ref="B470">INDEX(Tabela.frequencia[],SMALL(IF(Tabela.frequencia[Mês]=$L$2,ROW(Tabela.frequencia[id])-1),ROW(A423)),1)</f>
        <v>#NUM!</v>
      </c>
      <c r="C470" s="229" t="e">
        <f t="array" ref="C470">INDEX(Tabela.frequencia[],SMALL(IF(Tabela.frequencia[Mês]=$L$2,ROW(Tabela.frequencia[id])-1),ROW(A423)),4)</f>
        <v>#NUM!</v>
      </c>
      <c r="E470" s="176" t="str">
        <f>IFERROR(VLOOKUP(D470,Tabela.cadastro[[ID]:[Nome]],2,0),"")</f>
        <v/>
      </c>
      <c r="F470" s="177" t="str">
        <f>IFERROR(VLOOKUP(D470,Tabela66[#All],2,0),"")</f>
        <v/>
      </c>
      <c r="G470" s="177" t="str">
        <f>IFERROR(VLOOKUP(D470,Tabela.cadastro[[ID]:[CP ou M]],5,0),"")</f>
        <v/>
      </c>
      <c r="H470" s="177" t="str">
        <f>IFERROR(VLOOKUP(D470,Cadastros!A:F,6,0),"")</f>
        <v/>
      </c>
      <c r="I470" s="177" t="str">
        <f>IFERROR(VLOOKUP(D470,Cadastros!A:I,9,0),"")</f>
        <v/>
      </c>
      <c r="J470" s="177" t="str">
        <f>IFERROR(VLOOKUP(D470,Cadastros!A:J,10,0),"")</f>
        <v/>
      </c>
      <c r="K470" s="177" t="str">
        <f>IF(COUNTIF(Tabela66[id],D470)=0,"",COUNTIF(Tabela66[id],D470))</f>
        <v/>
      </c>
      <c r="L470" s="198"/>
      <c r="M470" s="227" t="str">
        <f t="shared" si="35"/>
        <v/>
      </c>
      <c r="P470" s="176" t="str">
        <f>IFERROR(VLOOKUP(O470,Cadastros!A:B,2),"")</f>
        <v/>
      </c>
      <c r="Q470" s="177" t="str">
        <f t="shared" si="31"/>
        <v/>
      </c>
      <c r="R470" s="177" t="str">
        <f>IFERROR(VLOOKUP(O470,Cadastros!A:E,5,0),"")</f>
        <v/>
      </c>
      <c r="S470" s="177" t="str">
        <f>IFERROR(VLOOKUP(O470,Cadastros!A:F,6,0),"")</f>
        <v/>
      </c>
      <c r="T470" s="177" t="str">
        <f>IFERROR(VLOOKUP(O470,Cadastros!A:I,9,0),"")</f>
        <v/>
      </c>
      <c r="U470" s="177" t="str">
        <f t="shared" si="32"/>
        <v/>
      </c>
      <c r="V470" s="177" t="str">
        <f t="shared" si="33"/>
        <v/>
      </c>
      <c r="W470" s="177" t="str">
        <f t="shared" si="34"/>
        <v/>
      </c>
      <c r="Y470" s="240" t="e">
        <f t="array" ref="Y470">INDEX(Tabela.abordagens[],SMALL(IF(Tabela.abordagens[Mês]=$L$2,ROW(Tabela.abordagens[id])-2),ROW(A423)),1)</f>
        <v>#NUM!</v>
      </c>
      <c r="Z470" s="240" t="e">
        <f t="array" ref="Z470">INDEX(Tabela.abordagens[],SMALL(IF(Tabela.abordagens[Mês]=$L$2,ROW(Tabela.abordagens[Idade])-2),ROW(A423)),6)</f>
        <v>#NUM!</v>
      </c>
      <c r="AA470" s="240" t="e">
        <f t="array" ref="AA470">INDEX(Tabela.abordagens[],SMALL(IF(Tabela.abordagens[Mês]=$L$2,ROW(Tabela.abordagens[Idade])-2),ROW(A423)),4)</f>
        <v>#NUM!</v>
      </c>
      <c r="AB470" s="240" t="e">
        <f t="array" ref="AB470">INDEX(Tabela.abordagens[],SMALL(IF(Tabela.abordagens[Mês]=$L$2,ROW(Tabela.abordagens[Idade])-2),ROW(A423)),5)</f>
        <v>#NUM!</v>
      </c>
    </row>
    <row r="471" spans="2:28" ht="15" x14ac:dyDescent="0.25">
      <c r="B471" s="223" t="e">
        <f t="array" ref="B471">INDEX(Tabela.frequencia[],SMALL(IF(Tabela.frequencia[Mês]=$L$2,ROW(Tabela.frequencia[id])-1),ROW(A424)),1)</f>
        <v>#NUM!</v>
      </c>
      <c r="C471" s="229" t="e">
        <f t="array" ref="C471">INDEX(Tabela.frequencia[],SMALL(IF(Tabela.frequencia[Mês]=$L$2,ROW(Tabela.frequencia[id])-1),ROW(A424)),4)</f>
        <v>#NUM!</v>
      </c>
      <c r="E471" s="176" t="str">
        <f>IFERROR(VLOOKUP(D471,Tabela.cadastro[[ID]:[Nome]],2,0),"")</f>
        <v/>
      </c>
      <c r="F471" s="177" t="str">
        <f>IFERROR(VLOOKUP(D471,Tabela66[#All],2,0),"")</f>
        <v/>
      </c>
      <c r="G471" s="177" t="str">
        <f>IFERROR(VLOOKUP(D471,Tabela.cadastro[[ID]:[CP ou M]],5,0),"")</f>
        <v/>
      </c>
      <c r="H471" s="177" t="str">
        <f>IFERROR(VLOOKUP(D471,Cadastros!A:F,6,0),"")</f>
        <v/>
      </c>
      <c r="I471" s="177" t="str">
        <f>IFERROR(VLOOKUP(D471,Cadastros!A:I,9,0),"")</f>
        <v/>
      </c>
      <c r="J471" s="177" t="str">
        <f>IFERROR(VLOOKUP(D471,Cadastros!A:J,10,0),"")</f>
        <v/>
      </c>
      <c r="K471" s="177" t="str">
        <f>IF(COUNTIF(Tabela66[id],D471)=0,"",COUNTIF(Tabela66[id],D471))</f>
        <v/>
      </c>
      <c r="L471" s="198"/>
      <c r="M471" s="227" t="str">
        <f t="shared" si="35"/>
        <v/>
      </c>
      <c r="P471" s="176" t="str">
        <f>IFERROR(VLOOKUP(O471,Cadastros!A:B,2),"")</f>
        <v/>
      </c>
      <c r="Q471" s="177" t="str">
        <f t="shared" si="31"/>
        <v/>
      </c>
      <c r="R471" s="177" t="str">
        <f>IFERROR(VLOOKUP(O471,Cadastros!A:E,5,0),"")</f>
        <v/>
      </c>
      <c r="S471" s="177" t="str">
        <f>IFERROR(VLOOKUP(O471,Cadastros!A:F,6,0),"")</f>
        <v/>
      </c>
      <c r="T471" s="177" t="str">
        <f>IFERROR(VLOOKUP(O471,Cadastros!A:I,9,0),"")</f>
        <v/>
      </c>
      <c r="U471" s="177" t="str">
        <f t="shared" si="32"/>
        <v/>
      </c>
      <c r="V471" s="177" t="str">
        <f t="shared" si="33"/>
        <v/>
      </c>
      <c r="W471" s="177" t="str">
        <f t="shared" si="34"/>
        <v/>
      </c>
      <c r="Y471" s="240" t="e">
        <f t="array" ref="Y471">INDEX(Tabela.abordagens[],SMALL(IF(Tabela.abordagens[Mês]=$L$2,ROW(Tabela.abordagens[id])-2),ROW(A424)),1)</f>
        <v>#NUM!</v>
      </c>
      <c r="Z471" s="240" t="e">
        <f t="array" ref="Z471">INDEX(Tabela.abordagens[],SMALL(IF(Tabela.abordagens[Mês]=$L$2,ROW(Tabela.abordagens[Idade])-2),ROW(A424)),6)</f>
        <v>#NUM!</v>
      </c>
      <c r="AA471" s="240" t="e">
        <f t="array" ref="AA471">INDEX(Tabela.abordagens[],SMALL(IF(Tabela.abordagens[Mês]=$L$2,ROW(Tabela.abordagens[Idade])-2),ROW(A424)),4)</f>
        <v>#NUM!</v>
      </c>
      <c r="AB471" s="240" t="e">
        <f t="array" ref="AB471">INDEX(Tabela.abordagens[],SMALL(IF(Tabela.abordagens[Mês]=$L$2,ROW(Tabela.abordagens[Idade])-2),ROW(A424)),5)</f>
        <v>#NUM!</v>
      </c>
    </row>
    <row r="472" spans="2:28" ht="15" x14ac:dyDescent="0.25">
      <c r="B472" s="223" t="e">
        <f t="array" ref="B472">INDEX(Tabela.frequencia[],SMALL(IF(Tabela.frequencia[Mês]=$L$2,ROW(Tabela.frequencia[id])-1),ROW(A425)),1)</f>
        <v>#NUM!</v>
      </c>
      <c r="C472" s="229" t="e">
        <f t="array" ref="C472">INDEX(Tabela.frequencia[],SMALL(IF(Tabela.frequencia[Mês]=$L$2,ROW(Tabela.frequencia[id])-1),ROW(A425)),4)</f>
        <v>#NUM!</v>
      </c>
      <c r="E472" s="176" t="str">
        <f>IFERROR(VLOOKUP(D472,Tabela.cadastro[[ID]:[Nome]],2,0),"")</f>
        <v/>
      </c>
      <c r="F472" s="177" t="str">
        <f>IFERROR(VLOOKUP(D472,Tabela66[#All],2,0),"")</f>
        <v/>
      </c>
      <c r="G472" s="177" t="str">
        <f>IFERROR(VLOOKUP(D472,Tabela.cadastro[[ID]:[CP ou M]],5,0),"")</f>
        <v/>
      </c>
      <c r="H472" s="177" t="str">
        <f>IFERROR(VLOOKUP(D472,Cadastros!A:F,6,0),"")</f>
        <v/>
      </c>
      <c r="I472" s="177" t="str">
        <f>IFERROR(VLOOKUP(D472,Cadastros!A:I,9,0),"")</f>
        <v/>
      </c>
      <c r="J472" s="177" t="str">
        <f>IFERROR(VLOOKUP(D472,Cadastros!A:J,10,0),"")</f>
        <v/>
      </c>
      <c r="K472" s="177" t="str">
        <f>IF(COUNTIF(Tabela66[id],D472)=0,"",COUNTIF(Tabela66[id],D472))</f>
        <v/>
      </c>
      <c r="L472" s="198"/>
      <c r="M472" s="227" t="str">
        <f t="shared" si="35"/>
        <v/>
      </c>
      <c r="P472" s="176" t="str">
        <f>IFERROR(VLOOKUP(O472,Cadastros!A:B,2),"")</f>
        <v/>
      </c>
      <c r="Q472" s="177" t="str">
        <f t="shared" si="31"/>
        <v/>
      </c>
      <c r="R472" s="177" t="str">
        <f>IFERROR(VLOOKUP(O472,Cadastros!A:E,5,0),"")</f>
        <v/>
      </c>
      <c r="S472" s="177" t="str">
        <f>IFERROR(VLOOKUP(O472,Cadastros!A:F,6,0),"")</f>
        <v/>
      </c>
      <c r="T472" s="177" t="str">
        <f>IFERROR(VLOOKUP(O472,Cadastros!A:I,9,0),"")</f>
        <v/>
      </c>
      <c r="U472" s="177" t="str">
        <f t="shared" si="32"/>
        <v/>
      </c>
      <c r="V472" s="177" t="str">
        <f t="shared" si="33"/>
        <v/>
      </c>
      <c r="W472" s="177" t="str">
        <f t="shared" si="34"/>
        <v/>
      </c>
      <c r="Y472" s="240" t="e">
        <f t="array" ref="Y472">INDEX(Tabela.abordagens[],SMALL(IF(Tabela.abordagens[Mês]=$L$2,ROW(Tabela.abordagens[id])-2),ROW(A425)),1)</f>
        <v>#NUM!</v>
      </c>
      <c r="Z472" s="240" t="e">
        <f t="array" ref="Z472">INDEX(Tabela.abordagens[],SMALL(IF(Tabela.abordagens[Mês]=$L$2,ROW(Tabela.abordagens[Idade])-2),ROW(A425)),6)</f>
        <v>#NUM!</v>
      </c>
      <c r="AA472" s="240" t="e">
        <f t="array" ref="AA472">INDEX(Tabela.abordagens[],SMALL(IF(Tabela.abordagens[Mês]=$L$2,ROW(Tabela.abordagens[Idade])-2),ROW(A425)),4)</f>
        <v>#NUM!</v>
      </c>
      <c r="AB472" s="240" t="e">
        <f t="array" ref="AB472">INDEX(Tabela.abordagens[],SMALL(IF(Tabela.abordagens[Mês]=$L$2,ROW(Tabela.abordagens[Idade])-2),ROW(A425)),5)</f>
        <v>#NUM!</v>
      </c>
    </row>
    <row r="473" spans="2:28" ht="15" x14ac:dyDescent="0.25">
      <c r="B473" s="223" t="e">
        <f t="array" ref="B473">INDEX(Tabela.frequencia[],SMALL(IF(Tabela.frequencia[Mês]=$L$2,ROW(Tabela.frequencia[id])-1),ROW(A426)),1)</f>
        <v>#NUM!</v>
      </c>
      <c r="C473" s="229" t="e">
        <f t="array" ref="C473">INDEX(Tabela.frequencia[],SMALL(IF(Tabela.frequencia[Mês]=$L$2,ROW(Tabela.frequencia[id])-1),ROW(A426)),4)</f>
        <v>#NUM!</v>
      </c>
      <c r="E473" s="176" t="str">
        <f>IFERROR(VLOOKUP(D473,Tabela.cadastro[[ID]:[Nome]],2,0),"")</f>
        <v/>
      </c>
      <c r="F473" s="177" t="str">
        <f>IFERROR(VLOOKUP(D473,Tabela66[#All],2,0),"")</f>
        <v/>
      </c>
      <c r="G473" s="177" t="str">
        <f>IFERROR(VLOOKUP(D473,Tabela.cadastro[[ID]:[CP ou M]],5,0),"")</f>
        <v/>
      </c>
      <c r="H473" s="177" t="str">
        <f>IFERROR(VLOOKUP(D473,Cadastros!A:F,6,0),"")</f>
        <v/>
      </c>
      <c r="I473" s="177" t="str">
        <f>IFERROR(VLOOKUP(D473,Cadastros!A:I,9,0),"")</f>
        <v/>
      </c>
      <c r="J473" s="177" t="str">
        <f>IFERROR(VLOOKUP(D473,Cadastros!A:J,10,0),"")</f>
        <v/>
      </c>
      <c r="K473" s="177" t="str">
        <f>IF(COUNTIF(Tabela66[id],D473)=0,"",COUNTIF(Tabela66[id],D473))</f>
        <v/>
      </c>
      <c r="L473" s="198"/>
      <c r="M473" s="227" t="str">
        <f t="shared" si="35"/>
        <v/>
      </c>
      <c r="P473" s="176" t="str">
        <f>IFERROR(VLOOKUP(O473,Cadastros!A:B,2),"")</f>
        <v/>
      </c>
      <c r="Q473" s="177" t="str">
        <f t="shared" si="31"/>
        <v/>
      </c>
      <c r="R473" s="177" t="str">
        <f>IFERROR(VLOOKUP(O473,Cadastros!A:E,5,0),"")</f>
        <v/>
      </c>
      <c r="S473" s="177" t="str">
        <f>IFERROR(VLOOKUP(O473,Cadastros!A:F,6,0),"")</f>
        <v/>
      </c>
      <c r="T473" s="177" t="str">
        <f>IFERROR(VLOOKUP(O473,Cadastros!A:I,9,0),"")</f>
        <v/>
      </c>
      <c r="U473" s="177" t="str">
        <f t="shared" si="32"/>
        <v/>
      </c>
      <c r="V473" s="177" t="str">
        <f t="shared" si="33"/>
        <v/>
      </c>
      <c r="W473" s="177" t="str">
        <f t="shared" si="34"/>
        <v/>
      </c>
      <c r="Y473" s="240" t="e">
        <f t="array" ref="Y473">INDEX(Tabela.abordagens[],SMALL(IF(Tabela.abordagens[Mês]=$L$2,ROW(Tabela.abordagens[id])-2),ROW(A426)),1)</f>
        <v>#NUM!</v>
      </c>
      <c r="Z473" s="240" t="e">
        <f t="array" ref="Z473">INDEX(Tabela.abordagens[],SMALL(IF(Tabela.abordagens[Mês]=$L$2,ROW(Tabela.abordagens[Idade])-2),ROW(A426)),6)</f>
        <v>#NUM!</v>
      </c>
      <c r="AA473" s="240" t="e">
        <f t="array" ref="AA473">INDEX(Tabela.abordagens[],SMALL(IF(Tabela.abordagens[Mês]=$L$2,ROW(Tabela.abordagens[Idade])-2),ROW(A426)),4)</f>
        <v>#NUM!</v>
      </c>
      <c r="AB473" s="240" t="e">
        <f t="array" ref="AB473">INDEX(Tabela.abordagens[],SMALL(IF(Tabela.abordagens[Mês]=$L$2,ROW(Tabela.abordagens[Idade])-2),ROW(A426)),5)</f>
        <v>#NUM!</v>
      </c>
    </row>
    <row r="474" spans="2:28" ht="15" x14ac:dyDescent="0.25">
      <c r="B474" s="223" t="e">
        <f t="array" ref="B474">INDEX(Tabela.frequencia[],SMALL(IF(Tabela.frequencia[Mês]=$L$2,ROW(Tabela.frequencia[id])-1),ROW(A427)),1)</f>
        <v>#NUM!</v>
      </c>
      <c r="C474" s="229" t="e">
        <f t="array" ref="C474">INDEX(Tabela.frequencia[],SMALL(IF(Tabela.frequencia[Mês]=$L$2,ROW(Tabela.frequencia[id])-1),ROW(A427)),4)</f>
        <v>#NUM!</v>
      </c>
      <c r="E474" s="176" t="str">
        <f>IFERROR(VLOOKUP(D474,Tabela.cadastro[[ID]:[Nome]],2,0),"")</f>
        <v/>
      </c>
      <c r="F474" s="177" t="str">
        <f>IFERROR(VLOOKUP(D474,Tabela66[#All],2,0),"")</f>
        <v/>
      </c>
      <c r="G474" s="177" t="str">
        <f>IFERROR(VLOOKUP(D474,Tabela.cadastro[[ID]:[CP ou M]],5,0),"")</f>
        <v/>
      </c>
      <c r="H474" s="177" t="str">
        <f>IFERROR(VLOOKUP(D474,Cadastros!A:F,6,0),"")</f>
        <v/>
      </c>
      <c r="I474" s="177" t="str">
        <f>IFERROR(VLOOKUP(D474,Cadastros!A:I,9,0),"")</f>
        <v/>
      </c>
      <c r="J474" s="177" t="str">
        <f>IFERROR(VLOOKUP(D474,Cadastros!A:J,10,0),"")</f>
        <v/>
      </c>
      <c r="K474" s="177" t="str">
        <f>IF(COUNTIF(Tabela66[id],D474)=0,"",COUNTIF(Tabela66[id],D474))</f>
        <v/>
      </c>
      <c r="L474" s="198"/>
      <c r="M474" s="227" t="str">
        <f t="shared" si="35"/>
        <v/>
      </c>
      <c r="P474" s="176" t="str">
        <f>IFERROR(VLOOKUP(O474,Cadastros!A:B,2),"")</f>
        <v/>
      </c>
      <c r="Q474" s="177" t="str">
        <f t="shared" si="31"/>
        <v/>
      </c>
      <c r="R474" s="177" t="str">
        <f>IFERROR(VLOOKUP(O474,Cadastros!A:E,5,0),"")</f>
        <v/>
      </c>
      <c r="S474" s="177" t="str">
        <f>IFERROR(VLOOKUP(O474,Cadastros!A:F,6,0),"")</f>
        <v/>
      </c>
      <c r="T474" s="177" t="str">
        <f>IFERROR(VLOOKUP(O474,Cadastros!A:I,9,0),"")</f>
        <v/>
      </c>
      <c r="U474" s="177" t="str">
        <f t="shared" si="32"/>
        <v/>
      </c>
      <c r="V474" s="177" t="str">
        <f t="shared" si="33"/>
        <v/>
      </c>
      <c r="W474" s="177" t="str">
        <f t="shared" si="34"/>
        <v/>
      </c>
      <c r="Y474" s="240" t="e">
        <f t="array" ref="Y474">INDEX(Tabela.abordagens[],SMALL(IF(Tabela.abordagens[Mês]=$L$2,ROW(Tabela.abordagens[id])-2),ROW(A427)),1)</f>
        <v>#NUM!</v>
      </c>
      <c r="Z474" s="240" t="e">
        <f t="array" ref="Z474">INDEX(Tabela.abordagens[],SMALL(IF(Tabela.abordagens[Mês]=$L$2,ROW(Tabela.abordagens[Idade])-2),ROW(A427)),6)</f>
        <v>#NUM!</v>
      </c>
      <c r="AA474" s="240" t="e">
        <f t="array" ref="AA474">INDEX(Tabela.abordagens[],SMALL(IF(Tabela.abordagens[Mês]=$L$2,ROW(Tabela.abordagens[Idade])-2),ROW(A427)),4)</f>
        <v>#NUM!</v>
      </c>
      <c r="AB474" s="240" t="e">
        <f t="array" ref="AB474">INDEX(Tabela.abordagens[],SMALL(IF(Tabela.abordagens[Mês]=$L$2,ROW(Tabela.abordagens[Idade])-2),ROW(A427)),5)</f>
        <v>#NUM!</v>
      </c>
    </row>
    <row r="475" spans="2:28" ht="15" x14ac:dyDescent="0.25">
      <c r="B475" s="223" t="e">
        <f t="array" ref="B475">INDEX(Tabela.frequencia[],SMALL(IF(Tabela.frequencia[Mês]=$L$2,ROW(Tabela.frequencia[id])-1),ROW(A428)),1)</f>
        <v>#NUM!</v>
      </c>
      <c r="C475" s="229" t="e">
        <f t="array" ref="C475">INDEX(Tabela.frequencia[],SMALL(IF(Tabela.frequencia[Mês]=$L$2,ROW(Tabela.frequencia[id])-1),ROW(A428)),4)</f>
        <v>#NUM!</v>
      </c>
      <c r="E475" s="176" t="str">
        <f>IFERROR(VLOOKUP(D475,Tabela.cadastro[[ID]:[Nome]],2,0),"")</f>
        <v/>
      </c>
      <c r="F475" s="177" t="str">
        <f>IFERROR(VLOOKUP(D475,Tabela66[#All],2,0),"")</f>
        <v/>
      </c>
      <c r="G475" s="177" t="str">
        <f>IFERROR(VLOOKUP(D475,Tabela.cadastro[[ID]:[CP ou M]],5,0),"")</f>
        <v/>
      </c>
      <c r="H475" s="177" t="str">
        <f>IFERROR(VLOOKUP(D475,Cadastros!A:F,6,0),"")</f>
        <v/>
      </c>
      <c r="I475" s="177" t="str">
        <f>IFERROR(VLOOKUP(D475,Cadastros!A:I,9,0),"")</f>
        <v/>
      </c>
      <c r="J475" s="177" t="str">
        <f>IFERROR(VLOOKUP(D475,Cadastros!A:J,10,0),"")</f>
        <v/>
      </c>
      <c r="K475" s="177" t="str">
        <f>IF(COUNTIF(Tabela66[id],D475)=0,"",COUNTIF(Tabela66[id],D475))</f>
        <v/>
      </c>
      <c r="L475" s="198"/>
      <c r="M475" s="227" t="str">
        <f t="shared" si="35"/>
        <v/>
      </c>
      <c r="P475" s="176" t="str">
        <f>IFERROR(VLOOKUP(O475,Cadastros!A:B,2),"")</f>
        <v/>
      </c>
      <c r="Q475" s="177" t="str">
        <f t="shared" si="31"/>
        <v/>
      </c>
      <c r="R475" s="177" t="str">
        <f>IFERROR(VLOOKUP(O475,Cadastros!A:E,5,0),"")</f>
        <v/>
      </c>
      <c r="S475" s="177" t="str">
        <f>IFERROR(VLOOKUP(O475,Cadastros!A:F,6,0),"")</f>
        <v/>
      </c>
      <c r="T475" s="177" t="str">
        <f>IFERROR(VLOOKUP(O475,Cadastros!A:I,9,0),"")</f>
        <v/>
      </c>
      <c r="U475" s="177" t="str">
        <f t="shared" si="32"/>
        <v/>
      </c>
      <c r="V475" s="177" t="str">
        <f t="shared" si="33"/>
        <v/>
      </c>
      <c r="W475" s="177" t="str">
        <f t="shared" si="34"/>
        <v/>
      </c>
      <c r="Y475" s="240" t="e">
        <f t="array" ref="Y475">INDEX(Tabela.abordagens[],SMALL(IF(Tabela.abordagens[Mês]=$L$2,ROW(Tabela.abordagens[id])-2),ROW(A428)),1)</f>
        <v>#NUM!</v>
      </c>
      <c r="Z475" s="240" t="e">
        <f t="array" ref="Z475">INDEX(Tabela.abordagens[],SMALL(IF(Tabela.abordagens[Mês]=$L$2,ROW(Tabela.abordagens[Idade])-2),ROW(A428)),6)</f>
        <v>#NUM!</v>
      </c>
      <c r="AA475" s="240" t="e">
        <f t="array" ref="AA475">INDEX(Tabela.abordagens[],SMALL(IF(Tabela.abordagens[Mês]=$L$2,ROW(Tabela.abordagens[Idade])-2),ROW(A428)),4)</f>
        <v>#NUM!</v>
      </c>
      <c r="AB475" s="240" t="e">
        <f t="array" ref="AB475">INDEX(Tabela.abordagens[],SMALL(IF(Tabela.abordagens[Mês]=$L$2,ROW(Tabela.abordagens[Idade])-2),ROW(A428)),5)</f>
        <v>#NUM!</v>
      </c>
    </row>
    <row r="476" spans="2:28" ht="15" x14ac:dyDescent="0.25">
      <c r="B476" s="223" t="e">
        <f t="array" ref="B476">INDEX(Tabela.frequencia[],SMALL(IF(Tabela.frequencia[Mês]=$L$2,ROW(Tabela.frequencia[id])-1),ROW(A429)),1)</f>
        <v>#NUM!</v>
      </c>
      <c r="C476" s="229" t="e">
        <f t="array" ref="C476">INDEX(Tabela.frequencia[],SMALL(IF(Tabela.frequencia[Mês]=$L$2,ROW(Tabela.frequencia[id])-1),ROW(A429)),4)</f>
        <v>#NUM!</v>
      </c>
      <c r="E476" s="176" t="str">
        <f>IFERROR(VLOOKUP(D476,Tabela.cadastro[[ID]:[Nome]],2,0),"")</f>
        <v/>
      </c>
      <c r="F476" s="177" t="str">
        <f>IFERROR(VLOOKUP(D476,Tabela66[#All],2,0),"")</f>
        <v/>
      </c>
      <c r="G476" s="177" t="str">
        <f>IFERROR(VLOOKUP(D476,Tabela.cadastro[[ID]:[CP ou M]],5,0),"")</f>
        <v/>
      </c>
      <c r="H476" s="177" t="str">
        <f>IFERROR(VLOOKUP(D476,Cadastros!A:F,6,0),"")</f>
        <v/>
      </c>
      <c r="I476" s="177" t="str">
        <f>IFERROR(VLOOKUP(D476,Cadastros!A:I,9,0),"")</f>
        <v/>
      </c>
      <c r="J476" s="177" t="str">
        <f>IFERROR(VLOOKUP(D476,Cadastros!A:J,10,0),"")</f>
        <v/>
      </c>
      <c r="K476" s="177" t="str">
        <f>IF(COUNTIF(Tabela66[id],D476)=0,"",COUNTIF(Tabela66[id],D476))</f>
        <v/>
      </c>
      <c r="L476" s="198"/>
      <c r="M476" s="227" t="str">
        <f t="shared" si="35"/>
        <v/>
      </c>
      <c r="P476" s="176" t="str">
        <f>IFERROR(VLOOKUP(O476,Cadastros!A:B,2),"")</f>
        <v/>
      </c>
      <c r="Q476" s="177" t="str">
        <f t="shared" si="31"/>
        <v/>
      </c>
      <c r="R476" s="177" t="str">
        <f>IFERROR(VLOOKUP(O476,Cadastros!A:E,5,0),"")</f>
        <v/>
      </c>
      <c r="S476" s="177" t="str">
        <f>IFERROR(VLOOKUP(O476,Cadastros!A:F,6,0),"")</f>
        <v/>
      </c>
      <c r="T476" s="177" t="str">
        <f>IFERROR(VLOOKUP(O476,Cadastros!A:I,9,0),"")</f>
        <v/>
      </c>
      <c r="U476" s="177" t="str">
        <f t="shared" si="32"/>
        <v/>
      </c>
      <c r="V476" s="177" t="str">
        <f t="shared" si="33"/>
        <v/>
      </c>
      <c r="W476" s="177" t="str">
        <f t="shared" si="34"/>
        <v/>
      </c>
      <c r="Y476" s="240" t="e">
        <f t="array" ref="Y476">INDEX(Tabela.abordagens[],SMALL(IF(Tabela.abordagens[Mês]=$L$2,ROW(Tabela.abordagens[id])-2),ROW(A429)),1)</f>
        <v>#NUM!</v>
      </c>
      <c r="Z476" s="240" t="e">
        <f t="array" ref="Z476">INDEX(Tabela.abordagens[],SMALL(IF(Tabela.abordagens[Mês]=$L$2,ROW(Tabela.abordagens[Idade])-2),ROW(A429)),6)</f>
        <v>#NUM!</v>
      </c>
      <c r="AA476" s="240" t="e">
        <f t="array" ref="AA476">INDEX(Tabela.abordagens[],SMALL(IF(Tabela.abordagens[Mês]=$L$2,ROW(Tabela.abordagens[Idade])-2),ROW(A429)),4)</f>
        <v>#NUM!</v>
      </c>
      <c r="AB476" s="240" t="e">
        <f t="array" ref="AB476">INDEX(Tabela.abordagens[],SMALL(IF(Tabela.abordagens[Mês]=$L$2,ROW(Tabela.abordagens[Idade])-2),ROW(A429)),5)</f>
        <v>#NUM!</v>
      </c>
    </row>
    <row r="477" spans="2:28" ht="15" x14ac:dyDescent="0.25">
      <c r="B477" s="223" t="e">
        <f t="array" ref="B477">INDEX(Tabela.frequencia[],SMALL(IF(Tabela.frequencia[Mês]=$L$2,ROW(Tabela.frequencia[id])-1),ROW(A430)),1)</f>
        <v>#NUM!</v>
      </c>
      <c r="C477" s="229" t="e">
        <f t="array" ref="C477">INDEX(Tabela.frequencia[],SMALL(IF(Tabela.frequencia[Mês]=$L$2,ROW(Tabela.frequencia[id])-1),ROW(A430)),4)</f>
        <v>#NUM!</v>
      </c>
      <c r="E477" s="176" t="str">
        <f>IFERROR(VLOOKUP(D477,Tabela.cadastro[[ID]:[Nome]],2,0),"")</f>
        <v/>
      </c>
      <c r="F477" s="177" t="str">
        <f>IFERROR(VLOOKUP(D477,Tabela66[#All],2,0),"")</f>
        <v/>
      </c>
      <c r="G477" s="177" t="str">
        <f>IFERROR(VLOOKUP(D477,Tabela.cadastro[[ID]:[CP ou M]],5,0),"")</f>
        <v/>
      </c>
      <c r="H477" s="177" t="str">
        <f>IFERROR(VLOOKUP(D477,Cadastros!A:F,6,0),"")</f>
        <v/>
      </c>
      <c r="I477" s="177" t="str">
        <f>IFERROR(VLOOKUP(D477,Cadastros!A:I,9,0),"")</f>
        <v/>
      </c>
      <c r="J477" s="177" t="str">
        <f>IFERROR(VLOOKUP(D477,Cadastros!A:J,10,0),"")</f>
        <v/>
      </c>
      <c r="K477" s="177" t="str">
        <f>IF(COUNTIF(Tabela66[id],D477)=0,"",COUNTIF(Tabela66[id],D477))</f>
        <v/>
      </c>
      <c r="L477" s="198"/>
      <c r="M477" s="227" t="str">
        <f t="shared" si="35"/>
        <v/>
      </c>
      <c r="P477" s="176" t="str">
        <f>IFERROR(VLOOKUP(O477,Cadastros!A:B,2),"")</f>
        <v/>
      </c>
      <c r="Q477" s="177" t="str">
        <f t="shared" si="31"/>
        <v/>
      </c>
      <c r="R477" s="177" t="str">
        <f>IFERROR(VLOOKUP(O477,Cadastros!A:E,5,0),"")</f>
        <v/>
      </c>
      <c r="S477" s="177" t="str">
        <f>IFERROR(VLOOKUP(O477,Cadastros!A:F,6,0),"")</f>
        <v/>
      </c>
      <c r="T477" s="177" t="str">
        <f>IFERROR(VLOOKUP(O477,Cadastros!A:I,9,0),"")</f>
        <v/>
      </c>
      <c r="U477" s="177" t="str">
        <f t="shared" si="32"/>
        <v/>
      </c>
      <c r="V477" s="177" t="str">
        <f t="shared" si="33"/>
        <v/>
      </c>
      <c r="W477" s="177" t="str">
        <f t="shared" si="34"/>
        <v/>
      </c>
      <c r="Y477" s="240" t="e">
        <f t="array" ref="Y477">INDEX(Tabela.abordagens[],SMALL(IF(Tabela.abordagens[Mês]=$L$2,ROW(Tabela.abordagens[id])-2),ROW(A430)),1)</f>
        <v>#NUM!</v>
      </c>
      <c r="Z477" s="240" t="e">
        <f t="array" ref="Z477">INDEX(Tabela.abordagens[],SMALL(IF(Tabela.abordagens[Mês]=$L$2,ROW(Tabela.abordagens[Idade])-2),ROW(A430)),6)</f>
        <v>#NUM!</v>
      </c>
      <c r="AA477" s="240" t="e">
        <f t="array" ref="AA477">INDEX(Tabela.abordagens[],SMALL(IF(Tabela.abordagens[Mês]=$L$2,ROW(Tabela.abordagens[Idade])-2),ROW(A430)),4)</f>
        <v>#NUM!</v>
      </c>
      <c r="AB477" s="240" t="e">
        <f t="array" ref="AB477">INDEX(Tabela.abordagens[],SMALL(IF(Tabela.abordagens[Mês]=$L$2,ROW(Tabela.abordagens[Idade])-2),ROW(A430)),5)</f>
        <v>#NUM!</v>
      </c>
    </row>
    <row r="478" spans="2:28" ht="15" x14ac:dyDescent="0.25">
      <c r="B478" s="223" t="e">
        <f t="array" ref="B478">INDEX(Tabela.frequencia[],SMALL(IF(Tabela.frequencia[Mês]=$L$2,ROW(Tabela.frequencia[id])-1),ROW(A431)),1)</f>
        <v>#NUM!</v>
      </c>
      <c r="C478" s="229" t="e">
        <f t="array" ref="C478">INDEX(Tabela.frequencia[],SMALL(IF(Tabela.frequencia[Mês]=$L$2,ROW(Tabela.frequencia[id])-1),ROW(A431)),4)</f>
        <v>#NUM!</v>
      </c>
      <c r="E478" s="176" t="str">
        <f>IFERROR(VLOOKUP(D478,Tabela.cadastro[[ID]:[Nome]],2,0),"")</f>
        <v/>
      </c>
      <c r="F478" s="177" t="str">
        <f>IFERROR(VLOOKUP(D478,Tabela66[#All],2,0),"")</f>
        <v/>
      </c>
      <c r="G478" s="177" t="str">
        <f>IFERROR(VLOOKUP(D478,Tabela.cadastro[[ID]:[CP ou M]],5,0),"")</f>
        <v/>
      </c>
      <c r="H478" s="177" t="str">
        <f>IFERROR(VLOOKUP(D478,Cadastros!A:F,6,0),"")</f>
        <v/>
      </c>
      <c r="I478" s="177" t="str">
        <f>IFERROR(VLOOKUP(D478,Cadastros!A:I,9,0),"")</f>
        <v/>
      </c>
      <c r="J478" s="177" t="str">
        <f>IFERROR(VLOOKUP(D478,Cadastros!A:J,10,0),"")</f>
        <v/>
      </c>
      <c r="K478" s="177" t="str">
        <f>IF(COUNTIF(Tabela66[id],D478)=0,"",COUNTIF(Tabela66[id],D478))</f>
        <v/>
      </c>
      <c r="L478" s="198"/>
      <c r="M478" s="227" t="str">
        <f t="shared" si="35"/>
        <v/>
      </c>
      <c r="P478" s="176" t="str">
        <f>IFERROR(VLOOKUP(O478,Cadastros!A:B,2),"")</f>
        <v/>
      </c>
      <c r="Q478" s="177" t="str">
        <f t="shared" si="31"/>
        <v/>
      </c>
      <c r="R478" s="177" t="str">
        <f>IFERROR(VLOOKUP(O478,Cadastros!A:E,5,0),"")</f>
        <v/>
      </c>
      <c r="S478" s="177" t="str">
        <f>IFERROR(VLOOKUP(O478,Cadastros!A:F,6,0),"")</f>
        <v/>
      </c>
      <c r="T478" s="177" t="str">
        <f>IFERROR(VLOOKUP(O478,Cadastros!A:I,9,0),"")</f>
        <v/>
      </c>
      <c r="U478" s="177" t="str">
        <f t="shared" si="32"/>
        <v/>
      </c>
      <c r="V478" s="177" t="str">
        <f t="shared" si="33"/>
        <v/>
      </c>
      <c r="W478" s="177" t="str">
        <f t="shared" si="34"/>
        <v/>
      </c>
      <c r="Y478" s="240" t="e">
        <f t="array" ref="Y478">INDEX(Tabela.abordagens[],SMALL(IF(Tabela.abordagens[Mês]=$L$2,ROW(Tabela.abordagens[id])-2),ROW(A431)),1)</f>
        <v>#NUM!</v>
      </c>
      <c r="Z478" s="240" t="e">
        <f t="array" ref="Z478">INDEX(Tabela.abordagens[],SMALL(IF(Tabela.abordagens[Mês]=$L$2,ROW(Tabela.abordagens[Idade])-2),ROW(A431)),6)</f>
        <v>#NUM!</v>
      </c>
      <c r="AA478" s="240" t="e">
        <f t="array" ref="AA478">INDEX(Tabela.abordagens[],SMALL(IF(Tabela.abordagens[Mês]=$L$2,ROW(Tabela.abordagens[Idade])-2),ROW(A431)),4)</f>
        <v>#NUM!</v>
      </c>
      <c r="AB478" s="240" t="e">
        <f t="array" ref="AB478">INDEX(Tabela.abordagens[],SMALL(IF(Tabela.abordagens[Mês]=$L$2,ROW(Tabela.abordagens[Idade])-2),ROW(A431)),5)</f>
        <v>#NUM!</v>
      </c>
    </row>
    <row r="479" spans="2:28" ht="15" x14ac:dyDescent="0.25">
      <c r="B479" s="223" t="e">
        <f t="array" ref="B479">INDEX(Tabela.frequencia[],SMALL(IF(Tabela.frequencia[Mês]=$L$2,ROW(Tabela.frequencia[id])-1),ROW(A432)),1)</f>
        <v>#NUM!</v>
      </c>
      <c r="C479" s="229" t="e">
        <f t="array" ref="C479">INDEX(Tabela.frequencia[],SMALL(IF(Tabela.frequencia[Mês]=$L$2,ROW(Tabela.frequencia[id])-1),ROW(A432)),4)</f>
        <v>#NUM!</v>
      </c>
      <c r="E479" s="176" t="str">
        <f>IFERROR(VLOOKUP(D479,Tabela.cadastro[[ID]:[Nome]],2,0),"")</f>
        <v/>
      </c>
      <c r="F479" s="177" t="str">
        <f>IFERROR(VLOOKUP(D479,Tabela66[#All],2,0),"")</f>
        <v/>
      </c>
      <c r="G479" s="177" t="str">
        <f>IFERROR(VLOOKUP(D479,Tabela.cadastro[[ID]:[CP ou M]],5,0),"")</f>
        <v/>
      </c>
      <c r="H479" s="177" t="str">
        <f>IFERROR(VLOOKUP(D479,Cadastros!A:F,6,0),"")</f>
        <v/>
      </c>
      <c r="I479" s="177" t="str">
        <f>IFERROR(VLOOKUP(D479,Cadastros!A:I,9,0),"")</f>
        <v/>
      </c>
      <c r="J479" s="177" t="str">
        <f>IFERROR(VLOOKUP(D479,Cadastros!A:J,10,0),"")</f>
        <v/>
      </c>
      <c r="K479" s="177" t="str">
        <f>IF(COUNTIF(Tabela66[id],D479)=0,"",COUNTIF(Tabela66[id],D479))</f>
        <v/>
      </c>
      <c r="L479" s="198"/>
      <c r="M479" s="227" t="str">
        <f t="shared" si="35"/>
        <v/>
      </c>
      <c r="P479" s="176" t="str">
        <f>IFERROR(VLOOKUP(O479,Cadastros!A:B,2),"")</f>
        <v/>
      </c>
      <c r="Q479" s="177" t="str">
        <f t="shared" si="31"/>
        <v/>
      </c>
      <c r="R479" s="177" t="str">
        <f>IFERROR(VLOOKUP(O479,Cadastros!A:E,5,0),"")</f>
        <v/>
      </c>
      <c r="S479" s="177" t="str">
        <f>IFERROR(VLOOKUP(O479,Cadastros!A:F,6,0),"")</f>
        <v/>
      </c>
      <c r="T479" s="177" t="str">
        <f>IFERROR(VLOOKUP(O479,Cadastros!A:I,9,0),"")</f>
        <v/>
      </c>
      <c r="U479" s="177" t="str">
        <f t="shared" si="32"/>
        <v/>
      </c>
      <c r="V479" s="177" t="str">
        <f t="shared" si="33"/>
        <v/>
      </c>
      <c r="W479" s="177" t="str">
        <f t="shared" si="34"/>
        <v/>
      </c>
      <c r="Y479" s="240" t="e">
        <f t="array" ref="Y479">INDEX(Tabela.abordagens[],SMALL(IF(Tabela.abordagens[Mês]=$L$2,ROW(Tabela.abordagens[id])-2),ROW(A432)),1)</f>
        <v>#NUM!</v>
      </c>
      <c r="Z479" s="240" t="e">
        <f t="array" ref="Z479">INDEX(Tabela.abordagens[],SMALL(IF(Tabela.abordagens[Mês]=$L$2,ROW(Tabela.abordagens[Idade])-2),ROW(A432)),6)</f>
        <v>#NUM!</v>
      </c>
      <c r="AA479" s="240" t="e">
        <f t="array" ref="AA479">INDEX(Tabela.abordagens[],SMALL(IF(Tabela.abordagens[Mês]=$L$2,ROW(Tabela.abordagens[Idade])-2),ROW(A432)),4)</f>
        <v>#NUM!</v>
      </c>
      <c r="AB479" s="240" t="e">
        <f t="array" ref="AB479">INDEX(Tabela.abordagens[],SMALL(IF(Tabela.abordagens[Mês]=$L$2,ROW(Tabela.abordagens[Idade])-2),ROW(A432)),5)</f>
        <v>#NUM!</v>
      </c>
    </row>
    <row r="480" spans="2:28" ht="15" x14ac:dyDescent="0.25">
      <c r="B480" s="223" t="e">
        <f t="array" ref="B480">INDEX(Tabela.frequencia[],SMALL(IF(Tabela.frequencia[Mês]=$L$2,ROW(Tabela.frequencia[id])-1),ROW(A433)),1)</f>
        <v>#NUM!</v>
      </c>
      <c r="C480" s="229" t="e">
        <f t="array" ref="C480">INDEX(Tabela.frequencia[],SMALL(IF(Tabela.frequencia[Mês]=$L$2,ROW(Tabela.frequencia[id])-1),ROW(A433)),4)</f>
        <v>#NUM!</v>
      </c>
      <c r="E480" s="176" t="str">
        <f>IFERROR(VLOOKUP(D480,Tabela.cadastro[[ID]:[Nome]],2,0),"")</f>
        <v/>
      </c>
      <c r="F480" s="177" t="str">
        <f>IFERROR(VLOOKUP(D480,Tabela66[#All],2,0),"")</f>
        <v/>
      </c>
      <c r="G480" s="177" t="str">
        <f>IFERROR(VLOOKUP(D480,Tabela.cadastro[[ID]:[CP ou M]],5,0),"")</f>
        <v/>
      </c>
      <c r="H480" s="177" t="str">
        <f>IFERROR(VLOOKUP(D480,Cadastros!A:F,6,0),"")</f>
        <v/>
      </c>
      <c r="I480" s="177" t="str">
        <f>IFERROR(VLOOKUP(D480,Cadastros!A:I,9,0),"")</f>
        <v/>
      </c>
      <c r="J480" s="177" t="str">
        <f>IFERROR(VLOOKUP(D480,Cadastros!A:J,10,0),"")</f>
        <v/>
      </c>
      <c r="K480" s="177" t="str">
        <f>IF(COUNTIF(Tabela66[id],D480)=0,"",COUNTIF(Tabela66[id],D480))</f>
        <v/>
      </c>
      <c r="L480" s="198"/>
      <c r="M480" s="227" t="str">
        <f t="shared" si="35"/>
        <v/>
      </c>
      <c r="P480" s="176" t="str">
        <f>IFERROR(VLOOKUP(O480,Cadastros!A:B,2),"")</f>
        <v/>
      </c>
      <c r="Q480" s="177" t="str">
        <f t="shared" si="31"/>
        <v/>
      </c>
      <c r="R480" s="177" t="str">
        <f>IFERROR(VLOOKUP(O480,Cadastros!A:E,5,0),"")</f>
        <v/>
      </c>
      <c r="S480" s="177" t="str">
        <f>IFERROR(VLOOKUP(O480,Cadastros!A:F,6,0),"")</f>
        <v/>
      </c>
      <c r="T480" s="177" t="str">
        <f>IFERROR(VLOOKUP(O480,Cadastros!A:I,9,0),"")</f>
        <v/>
      </c>
      <c r="U480" s="177" t="str">
        <f t="shared" si="32"/>
        <v/>
      </c>
      <c r="V480" s="177" t="str">
        <f t="shared" si="33"/>
        <v/>
      </c>
      <c r="W480" s="177" t="str">
        <f t="shared" si="34"/>
        <v/>
      </c>
      <c r="Y480" s="240" t="e">
        <f t="array" ref="Y480">INDEX(Tabela.abordagens[],SMALL(IF(Tabela.abordagens[Mês]=$L$2,ROW(Tabela.abordagens[id])-2),ROW(A433)),1)</f>
        <v>#NUM!</v>
      </c>
      <c r="Z480" s="240" t="e">
        <f t="array" ref="Z480">INDEX(Tabela.abordagens[],SMALL(IF(Tabela.abordagens[Mês]=$L$2,ROW(Tabela.abordagens[Idade])-2),ROW(A433)),6)</f>
        <v>#NUM!</v>
      </c>
      <c r="AA480" s="240" t="e">
        <f t="array" ref="AA480">INDEX(Tabela.abordagens[],SMALL(IF(Tabela.abordagens[Mês]=$L$2,ROW(Tabela.abordagens[Idade])-2),ROW(A433)),4)</f>
        <v>#NUM!</v>
      </c>
      <c r="AB480" s="240" t="e">
        <f t="array" ref="AB480">INDEX(Tabela.abordagens[],SMALL(IF(Tabela.abordagens[Mês]=$L$2,ROW(Tabela.abordagens[Idade])-2),ROW(A433)),5)</f>
        <v>#NUM!</v>
      </c>
    </row>
    <row r="481" spans="2:28" ht="15" x14ac:dyDescent="0.25">
      <c r="B481" s="223" t="e">
        <f t="array" ref="B481">INDEX(Tabela.frequencia[],SMALL(IF(Tabela.frequencia[Mês]=$L$2,ROW(Tabela.frequencia[id])-1),ROW(A434)),1)</f>
        <v>#NUM!</v>
      </c>
      <c r="C481" s="229" t="e">
        <f t="array" ref="C481">INDEX(Tabela.frequencia[],SMALL(IF(Tabela.frequencia[Mês]=$L$2,ROW(Tabela.frequencia[id])-1),ROW(A434)),4)</f>
        <v>#NUM!</v>
      </c>
      <c r="E481" s="176" t="str">
        <f>IFERROR(VLOOKUP(D481,Tabela.cadastro[[ID]:[Nome]],2,0),"")</f>
        <v/>
      </c>
      <c r="F481" s="177" t="str">
        <f>IFERROR(VLOOKUP(D481,Tabela66[#All],2,0),"")</f>
        <v/>
      </c>
      <c r="G481" s="177" t="str">
        <f>IFERROR(VLOOKUP(D481,Tabela.cadastro[[ID]:[CP ou M]],5,0),"")</f>
        <v/>
      </c>
      <c r="H481" s="177" t="str">
        <f>IFERROR(VLOOKUP(D481,Cadastros!A:F,6,0),"")</f>
        <v/>
      </c>
      <c r="I481" s="177" t="str">
        <f>IFERROR(VLOOKUP(D481,Cadastros!A:I,9,0),"")</f>
        <v/>
      </c>
      <c r="J481" s="177" t="str">
        <f>IFERROR(VLOOKUP(D481,Cadastros!A:J,10,0),"")</f>
        <v/>
      </c>
      <c r="K481" s="177" t="str">
        <f>IF(COUNTIF(Tabela66[id],D481)=0,"",COUNTIF(Tabela66[id],D481))</f>
        <v/>
      </c>
      <c r="L481" s="198"/>
      <c r="M481" s="227" t="str">
        <f t="shared" si="35"/>
        <v/>
      </c>
      <c r="P481" s="176" t="str">
        <f>IFERROR(VLOOKUP(O481,Cadastros!A:B,2),"")</f>
        <v/>
      </c>
      <c r="Q481" s="177" t="str">
        <f t="shared" si="31"/>
        <v/>
      </c>
      <c r="R481" s="177" t="str">
        <f>IFERROR(VLOOKUP(O481,Cadastros!A:E,5,0),"")</f>
        <v/>
      </c>
      <c r="S481" s="177" t="str">
        <f>IFERROR(VLOOKUP(O481,Cadastros!A:F,6,0),"")</f>
        <v/>
      </c>
      <c r="T481" s="177" t="str">
        <f>IFERROR(VLOOKUP(O481,Cadastros!A:I,9,0),"")</f>
        <v/>
      </c>
      <c r="U481" s="177" t="str">
        <f t="shared" si="32"/>
        <v/>
      </c>
      <c r="V481" s="177" t="str">
        <f t="shared" si="33"/>
        <v/>
      </c>
      <c r="W481" s="177" t="str">
        <f t="shared" si="34"/>
        <v/>
      </c>
      <c r="Y481" s="240" t="e">
        <f t="array" ref="Y481">INDEX(Tabela.abordagens[],SMALL(IF(Tabela.abordagens[Mês]=$L$2,ROW(Tabela.abordagens[id])-2),ROW(A434)),1)</f>
        <v>#NUM!</v>
      </c>
      <c r="Z481" s="240" t="e">
        <f t="array" ref="Z481">INDEX(Tabela.abordagens[],SMALL(IF(Tabela.abordagens[Mês]=$L$2,ROW(Tabela.abordagens[Idade])-2),ROW(A434)),6)</f>
        <v>#NUM!</v>
      </c>
      <c r="AA481" s="240" t="e">
        <f t="array" ref="AA481">INDEX(Tabela.abordagens[],SMALL(IF(Tabela.abordagens[Mês]=$L$2,ROW(Tabela.abordagens[Idade])-2),ROW(A434)),4)</f>
        <v>#NUM!</v>
      </c>
      <c r="AB481" s="240" t="e">
        <f t="array" ref="AB481">INDEX(Tabela.abordagens[],SMALL(IF(Tabela.abordagens[Mês]=$L$2,ROW(Tabela.abordagens[Idade])-2),ROW(A434)),5)</f>
        <v>#NUM!</v>
      </c>
    </row>
    <row r="482" spans="2:28" ht="15" x14ac:dyDescent="0.25">
      <c r="B482" s="223" t="e">
        <f t="array" ref="B482">INDEX(Tabela.frequencia[],SMALL(IF(Tabela.frequencia[Mês]=$L$2,ROW(Tabela.frequencia[id])-1),ROW(A435)),1)</f>
        <v>#NUM!</v>
      </c>
      <c r="C482" s="229" t="e">
        <f t="array" ref="C482">INDEX(Tabela.frequencia[],SMALL(IF(Tabela.frequencia[Mês]=$L$2,ROW(Tabela.frequencia[id])-1),ROW(A435)),4)</f>
        <v>#NUM!</v>
      </c>
      <c r="E482" s="176" t="str">
        <f>IFERROR(VLOOKUP(D482,Tabela.cadastro[[ID]:[Nome]],2,0),"")</f>
        <v/>
      </c>
      <c r="F482" s="177" t="str">
        <f>IFERROR(VLOOKUP(D482,Tabela66[#All],2,0),"")</f>
        <v/>
      </c>
      <c r="G482" s="177" t="str">
        <f>IFERROR(VLOOKUP(D482,Tabela.cadastro[[ID]:[CP ou M]],5,0),"")</f>
        <v/>
      </c>
      <c r="H482" s="177" t="str">
        <f>IFERROR(VLOOKUP(D482,Cadastros!A:F,6,0),"")</f>
        <v/>
      </c>
      <c r="I482" s="177" t="str">
        <f>IFERROR(VLOOKUP(D482,Cadastros!A:I,9,0),"")</f>
        <v/>
      </c>
      <c r="J482" s="177" t="str">
        <f>IFERROR(VLOOKUP(D482,Cadastros!A:J,10,0),"")</f>
        <v/>
      </c>
      <c r="K482" s="177" t="str">
        <f>IF(COUNTIF(Tabela66[id],D482)=0,"",COUNTIF(Tabela66[id],D482))</f>
        <v/>
      </c>
      <c r="L482" s="198"/>
      <c r="M482" s="227" t="str">
        <f t="shared" si="35"/>
        <v/>
      </c>
      <c r="P482" s="176" t="str">
        <f>IFERROR(VLOOKUP(O482,Cadastros!A:B,2),"")</f>
        <v/>
      </c>
      <c r="Q482" s="177" t="str">
        <f t="shared" ref="Q482:Q545" si="36">IFERROR(VLOOKUP(O482,$Y$33:$Z$866,2,0),"")</f>
        <v/>
      </c>
      <c r="R482" s="177" t="str">
        <f>IFERROR(VLOOKUP(O482,Cadastros!A:E,5,0),"")</f>
        <v/>
      </c>
      <c r="S482" s="177" t="str">
        <f>IFERROR(VLOOKUP(O482,Cadastros!A:F,6,0),"")</f>
        <v/>
      </c>
      <c r="T482" s="177" t="str">
        <f>IFERROR(VLOOKUP(O482,Cadastros!A:I,9,0),"")</f>
        <v/>
      </c>
      <c r="U482" s="177" t="str">
        <f t="shared" ref="U482:U545" si="37">IFERROR(VLOOKUP(O482,Y$33:AB$866,3,0),"")</f>
        <v/>
      </c>
      <c r="V482" s="177" t="str">
        <f t="shared" ref="V482:V545" si="38">IFERROR(VLOOKUP(O482,Y$33:AB$866,4,0),"")</f>
        <v/>
      </c>
      <c r="W482" s="177" t="str">
        <f t="shared" ref="W482:W545" si="39">IF(COUNTIF(Y$33:Y$866,O482)=0,"",COUNTIF(Y$33:Y$866,O482))</f>
        <v/>
      </c>
      <c r="Y482" s="240" t="e">
        <f t="array" ref="Y482">INDEX(Tabela.abordagens[],SMALL(IF(Tabela.abordagens[Mês]=$L$2,ROW(Tabela.abordagens[id])-2),ROW(A435)),1)</f>
        <v>#NUM!</v>
      </c>
      <c r="Z482" s="240" t="e">
        <f t="array" ref="Z482">INDEX(Tabela.abordagens[],SMALL(IF(Tabela.abordagens[Mês]=$L$2,ROW(Tabela.abordagens[Idade])-2),ROW(A435)),6)</f>
        <v>#NUM!</v>
      </c>
      <c r="AA482" s="240" t="e">
        <f t="array" ref="AA482">INDEX(Tabela.abordagens[],SMALL(IF(Tabela.abordagens[Mês]=$L$2,ROW(Tabela.abordagens[Idade])-2),ROW(A435)),4)</f>
        <v>#NUM!</v>
      </c>
      <c r="AB482" s="240" t="e">
        <f t="array" ref="AB482">INDEX(Tabela.abordagens[],SMALL(IF(Tabela.abordagens[Mês]=$L$2,ROW(Tabela.abordagens[Idade])-2),ROW(A435)),5)</f>
        <v>#NUM!</v>
      </c>
    </row>
    <row r="483" spans="2:28" ht="15" x14ac:dyDescent="0.25">
      <c r="B483" s="223" t="e">
        <f t="array" ref="B483">INDEX(Tabela.frequencia[],SMALL(IF(Tabela.frequencia[Mês]=$L$2,ROW(Tabela.frequencia[id])-1),ROW(A436)),1)</f>
        <v>#NUM!</v>
      </c>
      <c r="C483" s="229" t="e">
        <f t="array" ref="C483">INDEX(Tabela.frequencia[],SMALL(IF(Tabela.frequencia[Mês]=$L$2,ROW(Tabela.frequencia[id])-1),ROW(A436)),4)</f>
        <v>#NUM!</v>
      </c>
      <c r="E483" s="176" t="str">
        <f>IFERROR(VLOOKUP(D483,Tabela.cadastro[[ID]:[Nome]],2,0),"")</f>
        <v/>
      </c>
      <c r="F483" s="177" t="str">
        <f>IFERROR(VLOOKUP(D483,Tabela66[#All],2,0),"")</f>
        <v/>
      </c>
      <c r="G483" s="177" t="str">
        <f>IFERROR(VLOOKUP(D483,Tabela.cadastro[[ID]:[CP ou M]],5,0),"")</f>
        <v/>
      </c>
      <c r="H483" s="177" t="str">
        <f>IFERROR(VLOOKUP(D483,Cadastros!A:F,6,0),"")</f>
        <v/>
      </c>
      <c r="I483" s="177" t="str">
        <f>IFERROR(VLOOKUP(D483,Cadastros!A:I,9,0),"")</f>
        <v/>
      </c>
      <c r="J483" s="177" t="str">
        <f>IFERROR(VLOOKUP(D483,Cadastros!A:J,10,0),"")</f>
        <v/>
      </c>
      <c r="K483" s="177" t="str">
        <f>IF(COUNTIF(Tabela66[id],D483)=0,"",COUNTIF(Tabela66[id],D483))</f>
        <v/>
      </c>
      <c r="L483" s="198"/>
      <c r="M483" s="227" t="str">
        <f t="shared" si="35"/>
        <v/>
      </c>
      <c r="P483" s="176" t="str">
        <f>IFERROR(VLOOKUP(O483,Cadastros!A:B,2),"")</f>
        <v/>
      </c>
      <c r="Q483" s="177" t="str">
        <f t="shared" si="36"/>
        <v/>
      </c>
      <c r="R483" s="177" t="str">
        <f>IFERROR(VLOOKUP(O483,Cadastros!A:E,5,0),"")</f>
        <v/>
      </c>
      <c r="S483" s="177" t="str">
        <f>IFERROR(VLOOKUP(O483,Cadastros!A:F,6,0),"")</f>
        <v/>
      </c>
      <c r="T483" s="177" t="str">
        <f>IFERROR(VLOOKUP(O483,Cadastros!A:I,9,0),"")</f>
        <v/>
      </c>
      <c r="U483" s="177" t="str">
        <f t="shared" si="37"/>
        <v/>
      </c>
      <c r="V483" s="177" t="str">
        <f t="shared" si="38"/>
        <v/>
      </c>
      <c r="W483" s="177" t="str">
        <f t="shared" si="39"/>
        <v/>
      </c>
      <c r="Y483" s="240" t="e">
        <f t="array" ref="Y483">INDEX(Tabela.abordagens[],SMALL(IF(Tabela.abordagens[Mês]=$L$2,ROW(Tabela.abordagens[id])-2),ROW(A436)),1)</f>
        <v>#NUM!</v>
      </c>
      <c r="Z483" s="240" t="e">
        <f t="array" ref="Z483">INDEX(Tabela.abordagens[],SMALL(IF(Tabela.abordagens[Mês]=$L$2,ROW(Tabela.abordagens[Idade])-2),ROW(A436)),6)</f>
        <v>#NUM!</v>
      </c>
      <c r="AA483" s="240" t="e">
        <f t="array" ref="AA483">INDEX(Tabela.abordagens[],SMALL(IF(Tabela.abordagens[Mês]=$L$2,ROW(Tabela.abordagens[Idade])-2),ROW(A436)),4)</f>
        <v>#NUM!</v>
      </c>
      <c r="AB483" s="240" t="e">
        <f t="array" ref="AB483">INDEX(Tabela.abordagens[],SMALL(IF(Tabela.abordagens[Mês]=$L$2,ROW(Tabela.abordagens[Idade])-2),ROW(A436)),5)</f>
        <v>#NUM!</v>
      </c>
    </row>
    <row r="484" spans="2:28" ht="15" x14ac:dyDescent="0.25">
      <c r="B484" s="223" t="e">
        <f t="array" ref="B484">INDEX(Tabela.frequencia[],SMALL(IF(Tabela.frequencia[Mês]=$L$2,ROW(Tabela.frequencia[id])-1),ROW(A437)),1)</f>
        <v>#NUM!</v>
      </c>
      <c r="C484" s="229" t="e">
        <f t="array" ref="C484">INDEX(Tabela.frequencia[],SMALL(IF(Tabela.frequencia[Mês]=$L$2,ROW(Tabela.frequencia[id])-1),ROW(A437)),4)</f>
        <v>#NUM!</v>
      </c>
      <c r="E484" s="176" t="str">
        <f>IFERROR(VLOOKUP(D484,Tabela.cadastro[[ID]:[Nome]],2,0),"")</f>
        <v/>
      </c>
      <c r="F484" s="177" t="str">
        <f>IFERROR(VLOOKUP(D484,Tabela66[#All],2,0),"")</f>
        <v/>
      </c>
      <c r="G484" s="177" t="str">
        <f>IFERROR(VLOOKUP(D484,Tabela.cadastro[[ID]:[CP ou M]],5,0),"")</f>
        <v/>
      </c>
      <c r="H484" s="177" t="str">
        <f>IFERROR(VLOOKUP(D484,Cadastros!A:F,6,0),"")</f>
        <v/>
      </c>
      <c r="I484" s="177" t="str">
        <f>IFERROR(VLOOKUP(D484,Cadastros!A:I,9,0),"")</f>
        <v/>
      </c>
      <c r="J484" s="177" t="str">
        <f>IFERROR(VLOOKUP(D484,Cadastros!A:J,10,0),"")</f>
        <v/>
      </c>
      <c r="K484" s="177" t="str">
        <f>IF(COUNTIF(Tabela66[id],D484)=0,"",COUNTIF(Tabela66[id],D484))</f>
        <v/>
      </c>
      <c r="L484" s="198"/>
      <c r="M484" s="227" t="str">
        <f t="shared" si="35"/>
        <v/>
      </c>
      <c r="P484" s="176" t="str">
        <f>IFERROR(VLOOKUP(O484,Cadastros!A:B,2),"")</f>
        <v/>
      </c>
      <c r="Q484" s="177" t="str">
        <f t="shared" si="36"/>
        <v/>
      </c>
      <c r="R484" s="177" t="str">
        <f>IFERROR(VLOOKUP(O484,Cadastros!A:E,5,0),"")</f>
        <v/>
      </c>
      <c r="S484" s="177" t="str">
        <f>IFERROR(VLOOKUP(O484,Cadastros!A:F,6,0),"")</f>
        <v/>
      </c>
      <c r="T484" s="177" t="str">
        <f>IFERROR(VLOOKUP(O484,Cadastros!A:I,9,0),"")</f>
        <v/>
      </c>
      <c r="U484" s="177" t="str">
        <f t="shared" si="37"/>
        <v/>
      </c>
      <c r="V484" s="177" t="str">
        <f t="shared" si="38"/>
        <v/>
      </c>
      <c r="W484" s="177" t="str">
        <f t="shared" si="39"/>
        <v/>
      </c>
      <c r="Y484" s="240" t="e">
        <f t="array" ref="Y484">INDEX(Tabela.abordagens[],SMALL(IF(Tabela.abordagens[Mês]=$L$2,ROW(Tabela.abordagens[id])-2),ROW(A437)),1)</f>
        <v>#NUM!</v>
      </c>
      <c r="Z484" s="240" t="e">
        <f t="array" ref="Z484">INDEX(Tabela.abordagens[],SMALL(IF(Tabela.abordagens[Mês]=$L$2,ROW(Tabela.abordagens[Idade])-2),ROW(A437)),6)</f>
        <v>#NUM!</v>
      </c>
      <c r="AA484" s="240" t="e">
        <f t="array" ref="AA484">INDEX(Tabela.abordagens[],SMALL(IF(Tabela.abordagens[Mês]=$L$2,ROW(Tabela.abordagens[Idade])-2),ROW(A437)),4)</f>
        <v>#NUM!</v>
      </c>
      <c r="AB484" s="240" t="e">
        <f t="array" ref="AB484">INDEX(Tabela.abordagens[],SMALL(IF(Tabela.abordagens[Mês]=$L$2,ROW(Tabela.abordagens[Idade])-2),ROW(A437)),5)</f>
        <v>#NUM!</v>
      </c>
    </row>
    <row r="485" spans="2:28" ht="15" x14ac:dyDescent="0.25">
      <c r="B485" s="223" t="e">
        <f t="array" ref="B485">INDEX(Tabela.frequencia[],SMALL(IF(Tabela.frequencia[Mês]=$L$2,ROW(Tabela.frequencia[id])-1),ROW(A438)),1)</f>
        <v>#NUM!</v>
      </c>
      <c r="C485" s="229" t="e">
        <f t="array" ref="C485">INDEX(Tabela.frequencia[],SMALL(IF(Tabela.frequencia[Mês]=$L$2,ROW(Tabela.frequencia[id])-1),ROW(A438)),4)</f>
        <v>#NUM!</v>
      </c>
      <c r="E485" s="176" t="str">
        <f>IFERROR(VLOOKUP(D485,Tabela.cadastro[[ID]:[Nome]],2,0),"")</f>
        <v/>
      </c>
      <c r="F485" s="177" t="str">
        <f>IFERROR(VLOOKUP(D485,Tabela66[#All],2,0),"")</f>
        <v/>
      </c>
      <c r="G485" s="177" t="str">
        <f>IFERROR(VLOOKUP(D485,Tabela.cadastro[[ID]:[CP ou M]],5,0),"")</f>
        <v/>
      </c>
      <c r="H485" s="177" t="str">
        <f>IFERROR(VLOOKUP(D485,Cadastros!A:F,6,0),"")</f>
        <v/>
      </c>
      <c r="I485" s="177" t="str">
        <f>IFERROR(VLOOKUP(D485,Cadastros!A:I,9,0),"")</f>
        <v/>
      </c>
      <c r="J485" s="177" t="str">
        <f>IFERROR(VLOOKUP(D485,Cadastros!A:J,10,0),"")</f>
        <v/>
      </c>
      <c r="K485" s="177" t="str">
        <f>IF(COUNTIF(Tabela66[id],D485)=0,"",COUNTIF(Tabela66[id],D485))</f>
        <v/>
      </c>
      <c r="L485" s="198"/>
      <c r="M485" s="227" t="str">
        <f t="shared" si="35"/>
        <v/>
      </c>
      <c r="P485" s="176" t="str">
        <f>IFERROR(VLOOKUP(O485,Cadastros!A:B,2),"")</f>
        <v/>
      </c>
      <c r="Q485" s="177" t="str">
        <f t="shared" si="36"/>
        <v/>
      </c>
      <c r="R485" s="177" t="str">
        <f>IFERROR(VLOOKUP(O485,Cadastros!A:E,5,0),"")</f>
        <v/>
      </c>
      <c r="S485" s="177" t="str">
        <f>IFERROR(VLOOKUP(O485,Cadastros!A:F,6,0),"")</f>
        <v/>
      </c>
      <c r="T485" s="177" t="str">
        <f>IFERROR(VLOOKUP(O485,Cadastros!A:I,9,0),"")</f>
        <v/>
      </c>
      <c r="U485" s="177" t="str">
        <f t="shared" si="37"/>
        <v/>
      </c>
      <c r="V485" s="177" t="str">
        <f t="shared" si="38"/>
        <v/>
      </c>
      <c r="W485" s="177" t="str">
        <f t="shared" si="39"/>
        <v/>
      </c>
      <c r="Y485" s="240" t="e">
        <f t="array" ref="Y485">INDEX(Tabela.abordagens[],SMALL(IF(Tabela.abordagens[Mês]=$L$2,ROW(Tabela.abordagens[id])-2),ROW(A438)),1)</f>
        <v>#NUM!</v>
      </c>
      <c r="Z485" s="240" t="e">
        <f t="array" ref="Z485">INDEX(Tabela.abordagens[],SMALL(IF(Tabela.abordagens[Mês]=$L$2,ROW(Tabela.abordagens[Idade])-2),ROW(A438)),6)</f>
        <v>#NUM!</v>
      </c>
      <c r="AA485" s="240" t="e">
        <f t="array" ref="AA485">INDEX(Tabela.abordagens[],SMALL(IF(Tabela.abordagens[Mês]=$L$2,ROW(Tabela.abordagens[Idade])-2),ROW(A438)),4)</f>
        <v>#NUM!</v>
      </c>
      <c r="AB485" s="240" t="e">
        <f t="array" ref="AB485">INDEX(Tabela.abordagens[],SMALL(IF(Tabela.abordagens[Mês]=$L$2,ROW(Tabela.abordagens[Idade])-2),ROW(A438)),5)</f>
        <v>#NUM!</v>
      </c>
    </row>
    <row r="486" spans="2:28" ht="15" x14ac:dyDescent="0.25">
      <c r="B486" s="223" t="e">
        <f t="array" ref="B486">INDEX(Tabela.frequencia[],SMALL(IF(Tabela.frequencia[Mês]=$L$2,ROW(Tabela.frequencia[id])-1),ROW(A439)),1)</f>
        <v>#NUM!</v>
      </c>
      <c r="C486" s="229" t="e">
        <f t="array" ref="C486">INDEX(Tabela.frequencia[],SMALL(IF(Tabela.frequencia[Mês]=$L$2,ROW(Tabela.frequencia[id])-1),ROW(A439)),4)</f>
        <v>#NUM!</v>
      </c>
      <c r="E486" s="176" t="str">
        <f>IFERROR(VLOOKUP(D486,Tabela.cadastro[[ID]:[Nome]],2,0),"")</f>
        <v/>
      </c>
      <c r="F486" s="177" t="str">
        <f>IFERROR(VLOOKUP(D486,Tabela66[#All],2,0),"")</f>
        <v/>
      </c>
      <c r="G486" s="177" t="str">
        <f>IFERROR(VLOOKUP(D486,Tabela.cadastro[[ID]:[CP ou M]],5,0),"")</f>
        <v/>
      </c>
      <c r="H486" s="177" t="str">
        <f>IFERROR(VLOOKUP(D486,Cadastros!A:F,6,0),"")</f>
        <v/>
      </c>
      <c r="I486" s="177" t="str">
        <f>IFERROR(VLOOKUP(D486,Cadastros!A:I,9,0),"")</f>
        <v/>
      </c>
      <c r="J486" s="177" t="str">
        <f>IFERROR(VLOOKUP(D486,Cadastros!A:J,10,0),"")</f>
        <v/>
      </c>
      <c r="K486" s="177" t="str">
        <f>IF(COUNTIF(Tabela66[id],D486)=0,"",COUNTIF(Tabela66[id],D486))</f>
        <v/>
      </c>
      <c r="L486" s="198"/>
      <c r="M486" s="227" t="str">
        <f t="shared" si="35"/>
        <v/>
      </c>
      <c r="P486" s="176" t="str">
        <f>IFERROR(VLOOKUP(O486,Cadastros!A:B,2),"")</f>
        <v/>
      </c>
      <c r="Q486" s="177" t="str">
        <f t="shared" si="36"/>
        <v/>
      </c>
      <c r="R486" s="177" t="str">
        <f>IFERROR(VLOOKUP(O486,Cadastros!A:E,5,0),"")</f>
        <v/>
      </c>
      <c r="S486" s="177" t="str">
        <f>IFERROR(VLOOKUP(O486,Cadastros!A:F,6,0),"")</f>
        <v/>
      </c>
      <c r="T486" s="177" t="str">
        <f>IFERROR(VLOOKUP(O486,Cadastros!A:I,9,0),"")</f>
        <v/>
      </c>
      <c r="U486" s="177" t="str">
        <f t="shared" si="37"/>
        <v/>
      </c>
      <c r="V486" s="177" t="str">
        <f t="shared" si="38"/>
        <v/>
      </c>
      <c r="W486" s="177" t="str">
        <f t="shared" si="39"/>
        <v/>
      </c>
      <c r="Y486" s="240" t="e">
        <f t="array" ref="Y486">INDEX(Tabela.abordagens[],SMALL(IF(Tabela.abordagens[Mês]=$L$2,ROW(Tabela.abordagens[id])-2),ROW(A439)),1)</f>
        <v>#NUM!</v>
      </c>
      <c r="Z486" s="240" t="e">
        <f t="array" ref="Z486">INDEX(Tabela.abordagens[],SMALL(IF(Tabela.abordagens[Mês]=$L$2,ROW(Tabela.abordagens[Idade])-2),ROW(A439)),6)</f>
        <v>#NUM!</v>
      </c>
      <c r="AA486" s="240" t="e">
        <f t="array" ref="AA486">INDEX(Tabela.abordagens[],SMALL(IF(Tabela.abordagens[Mês]=$L$2,ROW(Tabela.abordagens[Idade])-2),ROW(A439)),4)</f>
        <v>#NUM!</v>
      </c>
      <c r="AB486" s="240" t="e">
        <f t="array" ref="AB486">INDEX(Tabela.abordagens[],SMALL(IF(Tabela.abordagens[Mês]=$L$2,ROW(Tabela.abordagens[Idade])-2),ROW(A439)),5)</f>
        <v>#NUM!</v>
      </c>
    </row>
    <row r="487" spans="2:28" ht="15" x14ac:dyDescent="0.25">
      <c r="B487" s="223" t="e">
        <f t="array" ref="B487">INDEX(Tabela.frequencia[],SMALL(IF(Tabela.frequencia[Mês]=$L$2,ROW(Tabela.frequencia[id])-1),ROW(A440)),1)</f>
        <v>#NUM!</v>
      </c>
      <c r="C487" s="229" t="e">
        <f t="array" ref="C487">INDEX(Tabela.frequencia[],SMALL(IF(Tabela.frequencia[Mês]=$L$2,ROW(Tabela.frequencia[id])-1),ROW(A440)),4)</f>
        <v>#NUM!</v>
      </c>
      <c r="E487" s="176" t="str">
        <f>IFERROR(VLOOKUP(D487,Tabela.cadastro[[ID]:[Nome]],2,0),"")</f>
        <v/>
      </c>
      <c r="F487" s="177" t="str">
        <f>IFERROR(VLOOKUP(D487,Tabela66[#All],2,0),"")</f>
        <v/>
      </c>
      <c r="G487" s="177" t="str">
        <f>IFERROR(VLOOKUP(D487,Tabela.cadastro[[ID]:[CP ou M]],5,0),"")</f>
        <v/>
      </c>
      <c r="H487" s="177" t="str">
        <f>IFERROR(VLOOKUP(D487,Cadastros!A:F,6,0),"")</f>
        <v/>
      </c>
      <c r="I487" s="177" t="str">
        <f>IFERROR(VLOOKUP(D487,Cadastros!A:I,9,0),"")</f>
        <v/>
      </c>
      <c r="J487" s="177" t="str">
        <f>IFERROR(VLOOKUP(D487,Cadastros!A:J,10,0),"")</f>
        <v/>
      </c>
      <c r="K487" s="177" t="str">
        <f>IF(COUNTIF(Tabela66[id],D487)=0,"",COUNTIF(Tabela66[id],D487))</f>
        <v/>
      </c>
      <c r="L487" s="198"/>
      <c r="M487" s="227" t="str">
        <f t="shared" si="35"/>
        <v/>
      </c>
      <c r="P487" s="176" t="str">
        <f>IFERROR(VLOOKUP(O487,Cadastros!A:B,2),"")</f>
        <v/>
      </c>
      <c r="Q487" s="177" t="str">
        <f t="shared" si="36"/>
        <v/>
      </c>
      <c r="R487" s="177" t="str">
        <f>IFERROR(VLOOKUP(O487,Cadastros!A:E,5,0),"")</f>
        <v/>
      </c>
      <c r="S487" s="177" t="str">
        <f>IFERROR(VLOOKUP(O487,Cadastros!A:F,6,0),"")</f>
        <v/>
      </c>
      <c r="T487" s="177" t="str">
        <f>IFERROR(VLOOKUP(O487,Cadastros!A:I,9,0),"")</f>
        <v/>
      </c>
      <c r="U487" s="177" t="str">
        <f t="shared" si="37"/>
        <v/>
      </c>
      <c r="V487" s="177" t="str">
        <f t="shared" si="38"/>
        <v/>
      </c>
      <c r="W487" s="177" t="str">
        <f t="shared" si="39"/>
        <v/>
      </c>
      <c r="Y487" s="240" t="e">
        <f t="array" ref="Y487">INDEX(Tabela.abordagens[],SMALL(IF(Tabela.abordagens[Mês]=$L$2,ROW(Tabela.abordagens[id])-2),ROW(A440)),1)</f>
        <v>#NUM!</v>
      </c>
      <c r="Z487" s="240" t="e">
        <f t="array" ref="Z487">INDEX(Tabela.abordagens[],SMALL(IF(Tabela.abordagens[Mês]=$L$2,ROW(Tabela.abordagens[Idade])-2),ROW(A440)),6)</f>
        <v>#NUM!</v>
      </c>
      <c r="AA487" s="240" t="e">
        <f t="array" ref="AA487">INDEX(Tabela.abordagens[],SMALL(IF(Tabela.abordagens[Mês]=$L$2,ROW(Tabela.abordagens[Idade])-2),ROW(A440)),4)</f>
        <v>#NUM!</v>
      </c>
      <c r="AB487" s="240" t="e">
        <f t="array" ref="AB487">INDEX(Tabela.abordagens[],SMALL(IF(Tabela.abordagens[Mês]=$L$2,ROW(Tabela.abordagens[Idade])-2),ROW(A440)),5)</f>
        <v>#NUM!</v>
      </c>
    </row>
    <row r="488" spans="2:28" ht="15" x14ac:dyDescent="0.25">
      <c r="B488" s="223" t="e">
        <f t="array" ref="B488">INDEX(Tabela.frequencia[],SMALL(IF(Tabela.frequencia[Mês]=$L$2,ROW(Tabela.frequencia[id])-1),ROW(A441)),1)</f>
        <v>#NUM!</v>
      </c>
      <c r="C488" s="229" t="e">
        <f t="array" ref="C488">INDEX(Tabela.frequencia[],SMALL(IF(Tabela.frequencia[Mês]=$L$2,ROW(Tabela.frequencia[id])-1),ROW(A441)),4)</f>
        <v>#NUM!</v>
      </c>
      <c r="E488" s="176" t="str">
        <f>IFERROR(VLOOKUP(D488,Tabela.cadastro[[ID]:[Nome]],2,0),"")</f>
        <v/>
      </c>
      <c r="F488" s="177" t="str">
        <f>IFERROR(VLOOKUP(D488,Tabela66[#All],2,0),"")</f>
        <v/>
      </c>
      <c r="G488" s="177" t="str">
        <f>IFERROR(VLOOKUP(D488,Tabela.cadastro[[ID]:[CP ou M]],5,0),"")</f>
        <v/>
      </c>
      <c r="H488" s="177" t="str">
        <f>IFERROR(VLOOKUP(D488,Cadastros!A:F,6,0),"")</f>
        <v/>
      </c>
      <c r="I488" s="177" t="str">
        <f>IFERROR(VLOOKUP(D488,Cadastros!A:I,9,0),"")</f>
        <v/>
      </c>
      <c r="J488" s="177" t="str">
        <f>IFERROR(VLOOKUP(D488,Cadastros!A:J,10,0),"")</f>
        <v/>
      </c>
      <c r="K488" s="177" t="str">
        <f>IF(COUNTIF(Tabela66[id],D488)=0,"",COUNTIF(Tabela66[id],D488))</f>
        <v/>
      </c>
      <c r="L488" s="198"/>
      <c r="M488" s="227" t="str">
        <f t="shared" si="35"/>
        <v/>
      </c>
      <c r="P488" s="176" t="str">
        <f>IFERROR(VLOOKUP(O488,Cadastros!A:B,2),"")</f>
        <v/>
      </c>
      <c r="Q488" s="177" t="str">
        <f t="shared" si="36"/>
        <v/>
      </c>
      <c r="R488" s="177" t="str">
        <f>IFERROR(VLOOKUP(O488,Cadastros!A:E,5,0),"")</f>
        <v/>
      </c>
      <c r="S488" s="177" t="str">
        <f>IFERROR(VLOOKUP(O488,Cadastros!A:F,6,0),"")</f>
        <v/>
      </c>
      <c r="T488" s="177" t="str">
        <f>IFERROR(VLOOKUP(O488,Cadastros!A:I,9,0),"")</f>
        <v/>
      </c>
      <c r="U488" s="177" t="str">
        <f t="shared" si="37"/>
        <v/>
      </c>
      <c r="V488" s="177" t="str">
        <f t="shared" si="38"/>
        <v/>
      </c>
      <c r="W488" s="177" t="str">
        <f t="shared" si="39"/>
        <v/>
      </c>
      <c r="Y488" s="240" t="e">
        <f t="array" ref="Y488">INDEX(Tabela.abordagens[],SMALL(IF(Tabela.abordagens[Mês]=$L$2,ROW(Tabela.abordagens[id])-2),ROW(A441)),1)</f>
        <v>#NUM!</v>
      </c>
      <c r="Z488" s="240" t="e">
        <f t="array" ref="Z488">INDEX(Tabela.abordagens[],SMALL(IF(Tabela.abordagens[Mês]=$L$2,ROW(Tabela.abordagens[Idade])-2),ROW(A441)),6)</f>
        <v>#NUM!</v>
      </c>
      <c r="AA488" s="240" t="e">
        <f t="array" ref="AA488">INDEX(Tabela.abordagens[],SMALL(IF(Tabela.abordagens[Mês]=$L$2,ROW(Tabela.abordagens[Idade])-2),ROW(A441)),4)</f>
        <v>#NUM!</v>
      </c>
      <c r="AB488" s="240" t="e">
        <f t="array" ref="AB488">INDEX(Tabela.abordagens[],SMALL(IF(Tabela.abordagens[Mês]=$L$2,ROW(Tabela.abordagens[Idade])-2),ROW(A441)),5)</f>
        <v>#NUM!</v>
      </c>
    </row>
    <row r="489" spans="2:28" ht="15" x14ac:dyDescent="0.25">
      <c r="B489" s="223" t="e">
        <f t="array" ref="B489">INDEX(Tabela.frequencia[],SMALL(IF(Tabela.frequencia[Mês]=$L$2,ROW(Tabela.frequencia[id])-1),ROW(A442)),1)</f>
        <v>#NUM!</v>
      </c>
      <c r="C489" s="229" t="e">
        <f t="array" ref="C489">INDEX(Tabela.frequencia[],SMALL(IF(Tabela.frequencia[Mês]=$L$2,ROW(Tabela.frequencia[id])-1),ROW(A442)),4)</f>
        <v>#NUM!</v>
      </c>
      <c r="E489" s="176" t="str">
        <f>IFERROR(VLOOKUP(D489,Tabela.cadastro[[ID]:[Nome]],2,0),"")</f>
        <v/>
      </c>
      <c r="F489" s="177" t="str">
        <f>IFERROR(VLOOKUP(D489,Tabela66[#All],2,0),"")</f>
        <v/>
      </c>
      <c r="G489" s="177" t="str">
        <f>IFERROR(VLOOKUP(D489,Tabela.cadastro[[ID]:[CP ou M]],5,0),"")</f>
        <v/>
      </c>
      <c r="H489" s="177" t="str">
        <f>IFERROR(VLOOKUP(D489,Cadastros!A:F,6,0),"")</f>
        <v/>
      </c>
      <c r="I489" s="177" t="str">
        <f>IFERROR(VLOOKUP(D489,Cadastros!A:I,9,0),"")</f>
        <v/>
      </c>
      <c r="J489" s="177" t="str">
        <f>IFERROR(VLOOKUP(D489,Cadastros!A:J,10,0),"")</f>
        <v/>
      </c>
      <c r="K489" s="177" t="str">
        <f>IF(COUNTIF(Tabela66[id],D489)=0,"",COUNTIF(Tabela66[id],D489))</f>
        <v/>
      </c>
      <c r="L489" s="198"/>
      <c r="M489" s="227" t="str">
        <f t="shared" si="35"/>
        <v/>
      </c>
      <c r="P489" s="176" t="str">
        <f>IFERROR(VLOOKUP(O489,Cadastros!A:B,2),"")</f>
        <v/>
      </c>
      <c r="Q489" s="177" t="str">
        <f t="shared" si="36"/>
        <v/>
      </c>
      <c r="R489" s="177" t="str">
        <f>IFERROR(VLOOKUP(O489,Cadastros!A:E,5,0),"")</f>
        <v/>
      </c>
      <c r="S489" s="177" t="str">
        <f>IFERROR(VLOOKUP(O489,Cadastros!A:F,6,0),"")</f>
        <v/>
      </c>
      <c r="T489" s="177" t="str">
        <f>IFERROR(VLOOKUP(O489,Cadastros!A:I,9,0),"")</f>
        <v/>
      </c>
      <c r="U489" s="177" t="str">
        <f t="shared" si="37"/>
        <v/>
      </c>
      <c r="V489" s="177" t="str">
        <f t="shared" si="38"/>
        <v/>
      </c>
      <c r="W489" s="177" t="str">
        <f t="shared" si="39"/>
        <v/>
      </c>
      <c r="Y489" s="240" t="e">
        <f t="array" ref="Y489">INDEX(Tabela.abordagens[],SMALL(IF(Tabela.abordagens[Mês]=$L$2,ROW(Tabela.abordagens[id])-2),ROW(A442)),1)</f>
        <v>#NUM!</v>
      </c>
      <c r="Z489" s="240" t="e">
        <f t="array" ref="Z489">INDEX(Tabela.abordagens[],SMALL(IF(Tabela.abordagens[Mês]=$L$2,ROW(Tabela.abordagens[Idade])-2),ROW(A442)),6)</f>
        <v>#NUM!</v>
      </c>
      <c r="AA489" s="240" t="e">
        <f t="array" ref="AA489">INDEX(Tabela.abordagens[],SMALL(IF(Tabela.abordagens[Mês]=$L$2,ROW(Tabela.abordagens[Idade])-2),ROW(A442)),4)</f>
        <v>#NUM!</v>
      </c>
      <c r="AB489" s="240" t="e">
        <f t="array" ref="AB489">INDEX(Tabela.abordagens[],SMALL(IF(Tabela.abordagens[Mês]=$L$2,ROW(Tabela.abordagens[Idade])-2),ROW(A442)),5)</f>
        <v>#NUM!</v>
      </c>
    </row>
    <row r="490" spans="2:28" ht="15" x14ac:dyDescent="0.25">
      <c r="B490" s="223" t="e">
        <f t="array" ref="B490">INDEX(Tabela.frequencia[],SMALL(IF(Tabela.frequencia[Mês]=$L$2,ROW(Tabela.frequencia[id])-1),ROW(A443)),1)</f>
        <v>#NUM!</v>
      </c>
      <c r="C490" s="229" t="e">
        <f t="array" ref="C490">INDEX(Tabela.frequencia[],SMALL(IF(Tabela.frequencia[Mês]=$L$2,ROW(Tabela.frequencia[id])-1),ROW(A443)),4)</f>
        <v>#NUM!</v>
      </c>
      <c r="E490" s="176" t="str">
        <f>IFERROR(VLOOKUP(D490,Tabela.cadastro[[ID]:[Nome]],2,0),"")</f>
        <v/>
      </c>
      <c r="F490" s="177" t="str">
        <f>IFERROR(VLOOKUP(D490,Tabela66[#All],2,0),"")</f>
        <v/>
      </c>
      <c r="G490" s="177" t="str">
        <f>IFERROR(VLOOKUP(D490,Tabela.cadastro[[ID]:[CP ou M]],5,0),"")</f>
        <v/>
      </c>
      <c r="H490" s="177" t="str">
        <f>IFERROR(VLOOKUP(D490,Cadastros!A:F,6,0),"")</f>
        <v/>
      </c>
      <c r="I490" s="177" t="str">
        <f>IFERROR(VLOOKUP(D490,Cadastros!A:I,9,0),"")</f>
        <v/>
      </c>
      <c r="J490" s="177" t="str">
        <f>IFERROR(VLOOKUP(D490,Cadastros!A:J,10,0),"")</f>
        <v/>
      </c>
      <c r="K490" s="177" t="str">
        <f>IF(COUNTIF(Tabela66[id],D490)=0,"",COUNTIF(Tabela66[id],D490))</f>
        <v/>
      </c>
      <c r="L490" s="198"/>
      <c r="M490" s="227" t="str">
        <f t="shared" ref="M490:M553" si="40">IF(AND(K490:K1321&gt;=5,L490:L1321="Não"),"*","")</f>
        <v/>
      </c>
      <c r="P490" s="176" t="str">
        <f>IFERROR(VLOOKUP(O490,Cadastros!A:B,2),"")</f>
        <v/>
      </c>
      <c r="Q490" s="177" t="str">
        <f t="shared" si="36"/>
        <v/>
      </c>
      <c r="R490" s="177" t="str">
        <f>IFERROR(VLOOKUP(O490,Cadastros!A:E,5,0),"")</f>
        <v/>
      </c>
      <c r="S490" s="177" t="str">
        <f>IFERROR(VLOOKUP(O490,Cadastros!A:F,6,0),"")</f>
        <v/>
      </c>
      <c r="T490" s="177" t="str">
        <f>IFERROR(VLOOKUP(O490,Cadastros!A:I,9,0),"")</f>
        <v/>
      </c>
      <c r="U490" s="177" t="str">
        <f t="shared" si="37"/>
        <v/>
      </c>
      <c r="V490" s="177" t="str">
        <f t="shared" si="38"/>
        <v/>
      </c>
      <c r="W490" s="177" t="str">
        <f t="shared" si="39"/>
        <v/>
      </c>
      <c r="Y490" s="240" t="e">
        <f t="array" ref="Y490">INDEX(Tabela.abordagens[],SMALL(IF(Tabela.abordagens[Mês]=$L$2,ROW(Tabela.abordagens[id])-2),ROW(A443)),1)</f>
        <v>#NUM!</v>
      </c>
      <c r="Z490" s="240" t="e">
        <f t="array" ref="Z490">INDEX(Tabela.abordagens[],SMALL(IF(Tabela.abordagens[Mês]=$L$2,ROW(Tabela.abordagens[Idade])-2),ROW(A443)),6)</f>
        <v>#NUM!</v>
      </c>
      <c r="AA490" s="240" t="e">
        <f t="array" ref="AA490">INDEX(Tabela.abordagens[],SMALL(IF(Tabela.abordagens[Mês]=$L$2,ROW(Tabela.abordagens[Idade])-2),ROW(A443)),4)</f>
        <v>#NUM!</v>
      </c>
      <c r="AB490" s="240" t="e">
        <f t="array" ref="AB490">INDEX(Tabela.abordagens[],SMALL(IF(Tabela.abordagens[Mês]=$L$2,ROW(Tabela.abordagens[Idade])-2),ROW(A443)),5)</f>
        <v>#NUM!</v>
      </c>
    </row>
    <row r="491" spans="2:28" ht="15" x14ac:dyDescent="0.25">
      <c r="B491" s="223" t="e">
        <f t="array" ref="B491">INDEX(Tabela.frequencia[],SMALL(IF(Tabela.frequencia[Mês]=$L$2,ROW(Tabela.frequencia[id])-1),ROW(A444)),1)</f>
        <v>#NUM!</v>
      </c>
      <c r="C491" s="229" t="e">
        <f t="array" ref="C491">INDEX(Tabela.frequencia[],SMALL(IF(Tabela.frequencia[Mês]=$L$2,ROW(Tabela.frequencia[id])-1),ROW(A444)),4)</f>
        <v>#NUM!</v>
      </c>
      <c r="E491" s="176" t="str">
        <f>IFERROR(VLOOKUP(D491,Tabela.cadastro[[ID]:[Nome]],2,0),"")</f>
        <v/>
      </c>
      <c r="F491" s="177" t="str">
        <f>IFERROR(VLOOKUP(D491,Tabela66[#All],2,0),"")</f>
        <v/>
      </c>
      <c r="G491" s="177" t="str">
        <f>IFERROR(VLOOKUP(D491,Tabela.cadastro[[ID]:[CP ou M]],5,0),"")</f>
        <v/>
      </c>
      <c r="H491" s="177" t="str">
        <f>IFERROR(VLOOKUP(D491,Cadastros!A:F,6,0),"")</f>
        <v/>
      </c>
      <c r="I491" s="177" t="str">
        <f>IFERROR(VLOOKUP(D491,Cadastros!A:I,9,0),"")</f>
        <v/>
      </c>
      <c r="J491" s="177" t="str">
        <f>IFERROR(VLOOKUP(D491,Cadastros!A:J,10,0),"")</f>
        <v/>
      </c>
      <c r="K491" s="177" t="str">
        <f>IF(COUNTIF(Tabela66[id],D491)=0,"",COUNTIF(Tabela66[id],D491))</f>
        <v/>
      </c>
      <c r="L491" s="198"/>
      <c r="M491" s="227" t="str">
        <f t="shared" si="40"/>
        <v/>
      </c>
      <c r="P491" s="176" t="str">
        <f>IFERROR(VLOOKUP(O491,Cadastros!A:B,2),"")</f>
        <v/>
      </c>
      <c r="Q491" s="177" t="str">
        <f t="shared" si="36"/>
        <v/>
      </c>
      <c r="R491" s="177" t="str">
        <f>IFERROR(VLOOKUP(O491,Cadastros!A:E,5,0),"")</f>
        <v/>
      </c>
      <c r="S491" s="177" t="str">
        <f>IFERROR(VLOOKUP(O491,Cadastros!A:F,6,0),"")</f>
        <v/>
      </c>
      <c r="T491" s="177" t="str">
        <f>IFERROR(VLOOKUP(O491,Cadastros!A:I,9,0),"")</f>
        <v/>
      </c>
      <c r="U491" s="177" t="str">
        <f t="shared" si="37"/>
        <v/>
      </c>
      <c r="V491" s="177" t="str">
        <f t="shared" si="38"/>
        <v/>
      </c>
      <c r="W491" s="177" t="str">
        <f t="shared" si="39"/>
        <v/>
      </c>
      <c r="Y491" s="240" t="e">
        <f t="array" ref="Y491">INDEX(Tabela.abordagens[],SMALL(IF(Tabela.abordagens[Mês]=$L$2,ROW(Tabela.abordagens[id])-2),ROW(A444)),1)</f>
        <v>#NUM!</v>
      </c>
      <c r="Z491" s="240" t="e">
        <f t="array" ref="Z491">INDEX(Tabela.abordagens[],SMALL(IF(Tabela.abordagens[Mês]=$L$2,ROW(Tabela.abordagens[Idade])-2),ROW(A444)),6)</f>
        <v>#NUM!</v>
      </c>
      <c r="AA491" s="240" t="e">
        <f t="array" ref="AA491">INDEX(Tabela.abordagens[],SMALL(IF(Tabela.abordagens[Mês]=$L$2,ROW(Tabela.abordagens[Idade])-2),ROW(A444)),4)</f>
        <v>#NUM!</v>
      </c>
      <c r="AB491" s="240" t="e">
        <f t="array" ref="AB491">INDEX(Tabela.abordagens[],SMALL(IF(Tabela.abordagens[Mês]=$L$2,ROW(Tabela.abordagens[Idade])-2),ROW(A444)),5)</f>
        <v>#NUM!</v>
      </c>
    </row>
    <row r="492" spans="2:28" ht="15" x14ac:dyDescent="0.25">
      <c r="B492" s="223" t="e">
        <f t="array" ref="B492">INDEX(Tabela.frequencia[],SMALL(IF(Tabela.frequencia[Mês]=$L$2,ROW(Tabela.frequencia[id])-1),ROW(A445)),1)</f>
        <v>#NUM!</v>
      </c>
      <c r="C492" s="229" t="e">
        <f t="array" ref="C492">INDEX(Tabela.frequencia[],SMALL(IF(Tabela.frequencia[Mês]=$L$2,ROW(Tabela.frequencia[id])-1),ROW(A445)),4)</f>
        <v>#NUM!</v>
      </c>
      <c r="E492" s="176" t="str">
        <f>IFERROR(VLOOKUP(D492,Tabela.cadastro[[ID]:[Nome]],2,0),"")</f>
        <v/>
      </c>
      <c r="F492" s="177" t="str">
        <f>IFERROR(VLOOKUP(D492,Tabela66[#All],2,0),"")</f>
        <v/>
      </c>
      <c r="G492" s="177" t="str">
        <f>IFERROR(VLOOKUP(D492,Tabela.cadastro[[ID]:[CP ou M]],5,0),"")</f>
        <v/>
      </c>
      <c r="H492" s="177" t="str">
        <f>IFERROR(VLOOKUP(D492,Cadastros!A:F,6,0),"")</f>
        <v/>
      </c>
      <c r="I492" s="177" t="str">
        <f>IFERROR(VLOOKUP(D492,Cadastros!A:I,9,0),"")</f>
        <v/>
      </c>
      <c r="J492" s="177" t="str">
        <f>IFERROR(VLOOKUP(D492,Cadastros!A:J,10,0),"")</f>
        <v/>
      </c>
      <c r="K492" s="177" t="str">
        <f>IF(COUNTIF(Tabela66[id],D492)=0,"",COUNTIF(Tabela66[id],D492))</f>
        <v/>
      </c>
      <c r="L492" s="198"/>
      <c r="M492" s="227" t="str">
        <f t="shared" si="40"/>
        <v/>
      </c>
      <c r="P492" s="176" t="str">
        <f>IFERROR(VLOOKUP(O492,Cadastros!A:B,2),"")</f>
        <v/>
      </c>
      <c r="Q492" s="177" t="str">
        <f t="shared" si="36"/>
        <v/>
      </c>
      <c r="R492" s="177" t="str">
        <f>IFERROR(VLOOKUP(O492,Cadastros!A:E,5,0),"")</f>
        <v/>
      </c>
      <c r="S492" s="177" t="str">
        <f>IFERROR(VLOOKUP(O492,Cadastros!A:F,6,0),"")</f>
        <v/>
      </c>
      <c r="T492" s="177" t="str">
        <f>IFERROR(VLOOKUP(O492,Cadastros!A:I,9,0),"")</f>
        <v/>
      </c>
      <c r="U492" s="177" t="str">
        <f t="shared" si="37"/>
        <v/>
      </c>
      <c r="V492" s="177" t="str">
        <f t="shared" si="38"/>
        <v/>
      </c>
      <c r="W492" s="177" t="str">
        <f t="shared" si="39"/>
        <v/>
      </c>
      <c r="Y492" s="240" t="e">
        <f t="array" ref="Y492">INDEX(Tabela.abordagens[],SMALL(IF(Tabela.abordagens[Mês]=$L$2,ROW(Tabela.abordagens[id])-2),ROW(A445)),1)</f>
        <v>#NUM!</v>
      </c>
      <c r="Z492" s="240" t="e">
        <f t="array" ref="Z492">INDEX(Tabela.abordagens[],SMALL(IF(Tabela.abordagens[Mês]=$L$2,ROW(Tabela.abordagens[Idade])-2),ROW(A445)),6)</f>
        <v>#NUM!</v>
      </c>
      <c r="AA492" s="240" t="e">
        <f t="array" ref="AA492">INDEX(Tabela.abordagens[],SMALL(IF(Tabela.abordagens[Mês]=$L$2,ROW(Tabela.abordagens[Idade])-2),ROW(A445)),4)</f>
        <v>#NUM!</v>
      </c>
      <c r="AB492" s="240" t="e">
        <f t="array" ref="AB492">INDEX(Tabela.abordagens[],SMALL(IF(Tabela.abordagens[Mês]=$L$2,ROW(Tabela.abordagens[Idade])-2),ROW(A445)),5)</f>
        <v>#NUM!</v>
      </c>
    </row>
    <row r="493" spans="2:28" ht="15" x14ac:dyDescent="0.25">
      <c r="B493" s="223" t="e">
        <f t="array" ref="B493">INDEX(Tabela.frequencia[],SMALL(IF(Tabela.frequencia[Mês]=$L$2,ROW(Tabela.frequencia[id])-1),ROW(A446)),1)</f>
        <v>#NUM!</v>
      </c>
      <c r="C493" s="229" t="e">
        <f t="array" ref="C493">INDEX(Tabela.frequencia[],SMALL(IF(Tabela.frequencia[Mês]=$L$2,ROW(Tabela.frequencia[id])-1),ROW(A446)),4)</f>
        <v>#NUM!</v>
      </c>
      <c r="E493" s="176" t="str">
        <f>IFERROR(VLOOKUP(D493,Tabela.cadastro[[ID]:[Nome]],2,0),"")</f>
        <v/>
      </c>
      <c r="F493" s="177" t="str">
        <f>IFERROR(VLOOKUP(D493,Tabela66[#All],2,0),"")</f>
        <v/>
      </c>
      <c r="G493" s="177" t="str">
        <f>IFERROR(VLOOKUP(D493,Tabela.cadastro[[ID]:[CP ou M]],5,0),"")</f>
        <v/>
      </c>
      <c r="H493" s="177" t="str">
        <f>IFERROR(VLOOKUP(D493,Cadastros!A:F,6,0),"")</f>
        <v/>
      </c>
      <c r="I493" s="177" t="str">
        <f>IFERROR(VLOOKUP(D493,Cadastros!A:I,9,0),"")</f>
        <v/>
      </c>
      <c r="J493" s="177" t="str">
        <f>IFERROR(VLOOKUP(D493,Cadastros!A:J,10,0),"")</f>
        <v/>
      </c>
      <c r="K493" s="177" t="str">
        <f>IF(COUNTIF(Tabela66[id],D493)=0,"",COUNTIF(Tabela66[id],D493))</f>
        <v/>
      </c>
      <c r="L493" s="198"/>
      <c r="M493" s="227" t="str">
        <f t="shared" si="40"/>
        <v/>
      </c>
      <c r="P493" s="176" t="str">
        <f>IFERROR(VLOOKUP(O493,Cadastros!A:B,2),"")</f>
        <v/>
      </c>
      <c r="Q493" s="177" t="str">
        <f t="shared" si="36"/>
        <v/>
      </c>
      <c r="R493" s="177" t="str">
        <f>IFERROR(VLOOKUP(O493,Cadastros!A:E,5,0),"")</f>
        <v/>
      </c>
      <c r="S493" s="177" t="str">
        <f>IFERROR(VLOOKUP(O493,Cadastros!A:F,6,0),"")</f>
        <v/>
      </c>
      <c r="T493" s="177" t="str">
        <f>IFERROR(VLOOKUP(O493,Cadastros!A:I,9,0),"")</f>
        <v/>
      </c>
      <c r="U493" s="177" t="str">
        <f t="shared" si="37"/>
        <v/>
      </c>
      <c r="V493" s="177" t="str">
        <f t="shared" si="38"/>
        <v/>
      </c>
      <c r="W493" s="177" t="str">
        <f t="shared" si="39"/>
        <v/>
      </c>
      <c r="Y493" s="240" t="e">
        <f t="array" ref="Y493">INDEX(Tabela.abordagens[],SMALL(IF(Tabela.abordagens[Mês]=$L$2,ROW(Tabela.abordagens[id])-2),ROW(A446)),1)</f>
        <v>#NUM!</v>
      </c>
      <c r="Z493" s="240" t="e">
        <f t="array" ref="Z493">INDEX(Tabela.abordagens[],SMALL(IF(Tabela.abordagens[Mês]=$L$2,ROW(Tabela.abordagens[Idade])-2),ROW(A446)),6)</f>
        <v>#NUM!</v>
      </c>
      <c r="AA493" s="240" t="e">
        <f t="array" ref="AA493">INDEX(Tabela.abordagens[],SMALL(IF(Tabela.abordagens[Mês]=$L$2,ROW(Tabela.abordagens[Idade])-2),ROW(A446)),4)</f>
        <v>#NUM!</v>
      </c>
      <c r="AB493" s="240" t="e">
        <f t="array" ref="AB493">INDEX(Tabela.abordagens[],SMALL(IF(Tabela.abordagens[Mês]=$L$2,ROW(Tabela.abordagens[Idade])-2),ROW(A446)),5)</f>
        <v>#NUM!</v>
      </c>
    </row>
    <row r="494" spans="2:28" ht="15" x14ac:dyDescent="0.25">
      <c r="B494" s="223" t="e">
        <f t="array" ref="B494">INDEX(Tabela.frequencia[],SMALL(IF(Tabela.frequencia[Mês]=$L$2,ROW(Tabela.frequencia[id])-1),ROW(A447)),1)</f>
        <v>#NUM!</v>
      </c>
      <c r="C494" s="229" t="e">
        <f t="array" ref="C494">INDEX(Tabela.frequencia[],SMALL(IF(Tabela.frequencia[Mês]=$L$2,ROW(Tabela.frequencia[id])-1),ROW(A447)),4)</f>
        <v>#NUM!</v>
      </c>
      <c r="E494" s="176" t="str">
        <f>IFERROR(VLOOKUP(D494,Tabela.cadastro[[ID]:[Nome]],2,0),"")</f>
        <v/>
      </c>
      <c r="F494" s="177" t="str">
        <f>IFERROR(VLOOKUP(D494,Tabela66[#All],2,0),"")</f>
        <v/>
      </c>
      <c r="G494" s="177" t="str">
        <f>IFERROR(VLOOKUP(D494,Tabela.cadastro[[ID]:[CP ou M]],5,0),"")</f>
        <v/>
      </c>
      <c r="H494" s="177" t="str">
        <f>IFERROR(VLOOKUP(D494,Cadastros!A:F,6,0),"")</f>
        <v/>
      </c>
      <c r="I494" s="177" t="str">
        <f>IFERROR(VLOOKUP(D494,Cadastros!A:I,9,0),"")</f>
        <v/>
      </c>
      <c r="J494" s="177" t="str">
        <f>IFERROR(VLOOKUP(D494,Cadastros!A:J,10,0),"")</f>
        <v/>
      </c>
      <c r="K494" s="177" t="str">
        <f>IF(COUNTIF(Tabela66[id],D494)=0,"",COUNTIF(Tabela66[id],D494))</f>
        <v/>
      </c>
      <c r="L494" s="198"/>
      <c r="M494" s="227" t="str">
        <f t="shared" si="40"/>
        <v/>
      </c>
      <c r="P494" s="176" t="str">
        <f>IFERROR(VLOOKUP(O494,Cadastros!A:B,2),"")</f>
        <v/>
      </c>
      <c r="Q494" s="177" t="str">
        <f t="shared" si="36"/>
        <v/>
      </c>
      <c r="R494" s="177" t="str">
        <f>IFERROR(VLOOKUP(O494,Cadastros!A:E,5,0),"")</f>
        <v/>
      </c>
      <c r="S494" s="177" t="str">
        <f>IFERROR(VLOOKUP(O494,Cadastros!A:F,6,0),"")</f>
        <v/>
      </c>
      <c r="T494" s="177" t="str">
        <f>IFERROR(VLOOKUP(O494,Cadastros!A:I,9,0),"")</f>
        <v/>
      </c>
      <c r="U494" s="177" t="str">
        <f t="shared" si="37"/>
        <v/>
      </c>
      <c r="V494" s="177" t="str">
        <f t="shared" si="38"/>
        <v/>
      </c>
      <c r="W494" s="177" t="str">
        <f t="shared" si="39"/>
        <v/>
      </c>
      <c r="Y494" s="240" t="e">
        <f t="array" ref="Y494">INDEX(Tabela.abordagens[],SMALL(IF(Tabela.abordagens[Mês]=$L$2,ROW(Tabela.abordagens[id])-2),ROW(A447)),1)</f>
        <v>#NUM!</v>
      </c>
      <c r="Z494" s="240" t="e">
        <f t="array" ref="Z494">INDEX(Tabela.abordagens[],SMALL(IF(Tabela.abordagens[Mês]=$L$2,ROW(Tabela.abordagens[Idade])-2),ROW(A447)),6)</f>
        <v>#NUM!</v>
      </c>
      <c r="AA494" s="240" t="e">
        <f t="array" ref="AA494">INDEX(Tabela.abordagens[],SMALL(IF(Tabela.abordagens[Mês]=$L$2,ROW(Tabela.abordagens[Idade])-2),ROW(A447)),4)</f>
        <v>#NUM!</v>
      </c>
      <c r="AB494" s="240" t="e">
        <f t="array" ref="AB494">INDEX(Tabela.abordagens[],SMALL(IF(Tabela.abordagens[Mês]=$L$2,ROW(Tabela.abordagens[Idade])-2),ROW(A447)),5)</f>
        <v>#NUM!</v>
      </c>
    </row>
    <row r="495" spans="2:28" ht="15" x14ac:dyDescent="0.25">
      <c r="B495" s="223" t="e">
        <f t="array" ref="B495">INDEX(Tabela.frequencia[],SMALL(IF(Tabela.frequencia[Mês]=$L$2,ROW(Tabela.frequencia[id])-1),ROW(A448)),1)</f>
        <v>#NUM!</v>
      </c>
      <c r="C495" s="229" t="e">
        <f t="array" ref="C495">INDEX(Tabela.frequencia[],SMALL(IF(Tabela.frequencia[Mês]=$L$2,ROW(Tabela.frequencia[id])-1),ROW(A448)),4)</f>
        <v>#NUM!</v>
      </c>
      <c r="E495" s="176" t="str">
        <f>IFERROR(VLOOKUP(D495,Tabela.cadastro[[ID]:[Nome]],2,0),"")</f>
        <v/>
      </c>
      <c r="F495" s="177" t="str">
        <f>IFERROR(VLOOKUP(D495,Tabela66[#All],2,0),"")</f>
        <v/>
      </c>
      <c r="G495" s="177" t="str">
        <f>IFERROR(VLOOKUP(D495,Tabela.cadastro[[ID]:[CP ou M]],5,0),"")</f>
        <v/>
      </c>
      <c r="H495" s="177" t="str">
        <f>IFERROR(VLOOKUP(D495,Cadastros!A:F,6,0),"")</f>
        <v/>
      </c>
      <c r="I495" s="177" t="str">
        <f>IFERROR(VLOOKUP(D495,Cadastros!A:I,9,0),"")</f>
        <v/>
      </c>
      <c r="J495" s="177" t="str">
        <f>IFERROR(VLOOKUP(D495,Cadastros!A:J,10,0),"")</f>
        <v/>
      </c>
      <c r="K495" s="177" t="str">
        <f>IF(COUNTIF(Tabela66[id],D495)=0,"",COUNTIF(Tabela66[id],D495))</f>
        <v/>
      </c>
      <c r="L495" s="198"/>
      <c r="M495" s="227" t="str">
        <f t="shared" si="40"/>
        <v/>
      </c>
      <c r="P495" s="176" t="str">
        <f>IFERROR(VLOOKUP(O495,Cadastros!A:B,2),"")</f>
        <v/>
      </c>
      <c r="Q495" s="177" t="str">
        <f t="shared" si="36"/>
        <v/>
      </c>
      <c r="R495" s="177" t="str">
        <f>IFERROR(VLOOKUP(O495,Cadastros!A:E,5,0),"")</f>
        <v/>
      </c>
      <c r="S495" s="177" t="str">
        <f>IFERROR(VLOOKUP(O495,Cadastros!A:F,6,0),"")</f>
        <v/>
      </c>
      <c r="T495" s="177" t="str">
        <f>IFERROR(VLOOKUP(O495,Cadastros!A:I,9,0),"")</f>
        <v/>
      </c>
      <c r="U495" s="177" t="str">
        <f t="shared" si="37"/>
        <v/>
      </c>
      <c r="V495" s="177" t="str">
        <f t="shared" si="38"/>
        <v/>
      </c>
      <c r="W495" s="177" t="str">
        <f t="shared" si="39"/>
        <v/>
      </c>
      <c r="Y495" s="240" t="e">
        <f t="array" ref="Y495">INDEX(Tabela.abordagens[],SMALL(IF(Tabela.abordagens[Mês]=$L$2,ROW(Tabela.abordagens[id])-2),ROW(A448)),1)</f>
        <v>#NUM!</v>
      </c>
      <c r="Z495" s="240" t="e">
        <f t="array" ref="Z495">INDEX(Tabela.abordagens[],SMALL(IF(Tabela.abordagens[Mês]=$L$2,ROW(Tabela.abordagens[Idade])-2),ROW(A448)),6)</f>
        <v>#NUM!</v>
      </c>
      <c r="AA495" s="240" t="e">
        <f t="array" ref="AA495">INDEX(Tabela.abordagens[],SMALL(IF(Tabela.abordagens[Mês]=$L$2,ROW(Tabela.abordagens[Idade])-2),ROW(A448)),4)</f>
        <v>#NUM!</v>
      </c>
      <c r="AB495" s="240" t="e">
        <f t="array" ref="AB495">INDEX(Tabela.abordagens[],SMALL(IF(Tabela.abordagens[Mês]=$L$2,ROW(Tabela.abordagens[Idade])-2),ROW(A448)),5)</f>
        <v>#NUM!</v>
      </c>
    </row>
    <row r="496" spans="2:28" ht="15" x14ac:dyDescent="0.25">
      <c r="B496" s="223" t="e">
        <f t="array" ref="B496">INDEX(Tabela.frequencia[],SMALL(IF(Tabela.frequencia[Mês]=$L$2,ROW(Tabela.frequencia[id])-1),ROW(A449)),1)</f>
        <v>#NUM!</v>
      </c>
      <c r="C496" s="229" t="e">
        <f t="array" ref="C496">INDEX(Tabela.frequencia[],SMALL(IF(Tabela.frequencia[Mês]=$L$2,ROW(Tabela.frequencia[id])-1),ROW(A449)),4)</f>
        <v>#NUM!</v>
      </c>
      <c r="E496" s="176" t="str">
        <f>IFERROR(VLOOKUP(D496,Tabela.cadastro[[ID]:[Nome]],2,0),"")</f>
        <v/>
      </c>
      <c r="F496" s="177" t="str">
        <f>IFERROR(VLOOKUP(D496,Tabela66[#All],2,0),"")</f>
        <v/>
      </c>
      <c r="G496" s="177" t="str">
        <f>IFERROR(VLOOKUP(D496,Tabela.cadastro[[ID]:[CP ou M]],5,0),"")</f>
        <v/>
      </c>
      <c r="H496" s="177" t="str">
        <f>IFERROR(VLOOKUP(D496,Cadastros!A:F,6,0),"")</f>
        <v/>
      </c>
      <c r="I496" s="177" t="str">
        <f>IFERROR(VLOOKUP(D496,Cadastros!A:I,9,0),"")</f>
        <v/>
      </c>
      <c r="J496" s="177" t="str">
        <f>IFERROR(VLOOKUP(D496,Cadastros!A:J,10,0),"")</f>
        <v/>
      </c>
      <c r="K496" s="177" t="str">
        <f>IF(COUNTIF(Tabela66[id],D496)=0,"",COUNTIF(Tabela66[id],D496))</f>
        <v/>
      </c>
      <c r="L496" s="198"/>
      <c r="M496" s="227" t="str">
        <f t="shared" si="40"/>
        <v/>
      </c>
      <c r="P496" s="176" t="str">
        <f>IFERROR(VLOOKUP(O496,Cadastros!A:B,2),"")</f>
        <v/>
      </c>
      <c r="Q496" s="177" t="str">
        <f t="shared" si="36"/>
        <v/>
      </c>
      <c r="R496" s="177" t="str">
        <f>IFERROR(VLOOKUP(O496,Cadastros!A:E,5,0),"")</f>
        <v/>
      </c>
      <c r="S496" s="177" t="str">
        <f>IFERROR(VLOOKUP(O496,Cadastros!A:F,6,0),"")</f>
        <v/>
      </c>
      <c r="T496" s="177" t="str">
        <f>IFERROR(VLOOKUP(O496,Cadastros!A:I,9,0),"")</f>
        <v/>
      </c>
      <c r="U496" s="177" t="str">
        <f t="shared" si="37"/>
        <v/>
      </c>
      <c r="V496" s="177" t="str">
        <f t="shared" si="38"/>
        <v/>
      </c>
      <c r="W496" s="177" t="str">
        <f t="shared" si="39"/>
        <v/>
      </c>
      <c r="Y496" s="240" t="e">
        <f t="array" ref="Y496">INDEX(Tabela.abordagens[],SMALL(IF(Tabela.abordagens[Mês]=$L$2,ROW(Tabela.abordagens[id])-2),ROW(A449)),1)</f>
        <v>#NUM!</v>
      </c>
      <c r="Z496" s="240" t="e">
        <f t="array" ref="Z496">INDEX(Tabela.abordagens[],SMALL(IF(Tabela.abordagens[Mês]=$L$2,ROW(Tabela.abordagens[Idade])-2),ROW(A449)),6)</f>
        <v>#NUM!</v>
      </c>
      <c r="AA496" s="240" t="e">
        <f t="array" ref="AA496">INDEX(Tabela.abordagens[],SMALL(IF(Tabela.abordagens[Mês]=$L$2,ROW(Tabela.abordagens[Idade])-2),ROW(A449)),4)</f>
        <v>#NUM!</v>
      </c>
      <c r="AB496" s="240" t="e">
        <f t="array" ref="AB496">INDEX(Tabela.abordagens[],SMALL(IF(Tabela.abordagens[Mês]=$L$2,ROW(Tabela.abordagens[Idade])-2),ROW(A449)),5)</f>
        <v>#NUM!</v>
      </c>
    </row>
    <row r="497" spans="2:28" ht="15" x14ac:dyDescent="0.25">
      <c r="B497" s="223" t="e">
        <f t="array" ref="B497">INDEX(Tabela.frequencia[],SMALL(IF(Tabela.frequencia[Mês]=$L$2,ROW(Tabela.frequencia[id])-1),ROW(A450)),1)</f>
        <v>#NUM!</v>
      </c>
      <c r="C497" s="229" t="e">
        <f t="array" ref="C497">INDEX(Tabela.frequencia[],SMALL(IF(Tabela.frequencia[Mês]=$L$2,ROW(Tabela.frequencia[id])-1),ROW(A450)),4)</f>
        <v>#NUM!</v>
      </c>
      <c r="E497" s="176" t="str">
        <f>IFERROR(VLOOKUP(D497,Tabela.cadastro[[ID]:[Nome]],2,0),"")</f>
        <v/>
      </c>
      <c r="F497" s="177" t="str">
        <f>IFERROR(VLOOKUP(D497,Tabela66[#All],2,0),"")</f>
        <v/>
      </c>
      <c r="G497" s="177" t="str">
        <f>IFERROR(VLOOKUP(D497,Tabela.cadastro[[ID]:[CP ou M]],5,0),"")</f>
        <v/>
      </c>
      <c r="H497" s="177" t="str">
        <f>IFERROR(VLOOKUP(D497,Cadastros!A:F,6,0),"")</f>
        <v/>
      </c>
      <c r="I497" s="177" t="str">
        <f>IFERROR(VLOOKUP(D497,Cadastros!A:I,9,0),"")</f>
        <v/>
      </c>
      <c r="J497" s="177" t="str">
        <f>IFERROR(VLOOKUP(D497,Cadastros!A:J,10,0),"")</f>
        <v/>
      </c>
      <c r="K497" s="177" t="str">
        <f>IF(COUNTIF(Tabela66[id],D497)=0,"",COUNTIF(Tabela66[id],D497))</f>
        <v/>
      </c>
      <c r="L497" s="198"/>
      <c r="M497" s="227" t="str">
        <f t="shared" si="40"/>
        <v/>
      </c>
      <c r="P497" s="176" t="str">
        <f>IFERROR(VLOOKUP(O497,Cadastros!A:B,2),"")</f>
        <v/>
      </c>
      <c r="Q497" s="177" t="str">
        <f t="shared" si="36"/>
        <v/>
      </c>
      <c r="R497" s="177" t="str">
        <f>IFERROR(VLOOKUP(O497,Cadastros!A:E,5,0),"")</f>
        <v/>
      </c>
      <c r="S497" s="177" t="str">
        <f>IFERROR(VLOOKUP(O497,Cadastros!A:F,6,0),"")</f>
        <v/>
      </c>
      <c r="T497" s="177" t="str">
        <f>IFERROR(VLOOKUP(O497,Cadastros!A:I,9,0),"")</f>
        <v/>
      </c>
      <c r="U497" s="177" t="str">
        <f t="shared" si="37"/>
        <v/>
      </c>
      <c r="V497" s="177" t="str">
        <f t="shared" si="38"/>
        <v/>
      </c>
      <c r="W497" s="177" t="str">
        <f t="shared" si="39"/>
        <v/>
      </c>
      <c r="Y497" s="240" t="e">
        <f t="array" ref="Y497">INDEX(Tabela.abordagens[],SMALL(IF(Tabela.abordagens[Mês]=$L$2,ROW(Tabela.abordagens[id])-2),ROW(A450)),1)</f>
        <v>#NUM!</v>
      </c>
      <c r="Z497" s="240" t="e">
        <f t="array" ref="Z497">INDEX(Tabela.abordagens[],SMALL(IF(Tabela.abordagens[Mês]=$L$2,ROW(Tabela.abordagens[Idade])-2),ROW(A450)),6)</f>
        <v>#NUM!</v>
      </c>
      <c r="AA497" s="240" t="e">
        <f t="array" ref="AA497">INDEX(Tabela.abordagens[],SMALL(IF(Tabela.abordagens[Mês]=$L$2,ROW(Tabela.abordagens[Idade])-2),ROW(A450)),4)</f>
        <v>#NUM!</v>
      </c>
      <c r="AB497" s="240" t="e">
        <f t="array" ref="AB497">INDEX(Tabela.abordagens[],SMALL(IF(Tabela.abordagens[Mês]=$L$2,ROW(Tabela.abordagens[Idade])-2),ROW(A450)),5)</f>
        <v>#NUM!</v>
      </c>
    </row>
    <row r="498" spans="2:28" ht="15" x14ac:dyDescent="0.25">
      <c r="B498" s="223" t="e">
        <f t="array" ref="B498">INDEX(Tabela.frequencia[],SMALL(IF(Tabela.frequencia[Mês]=$L$2,ROW(Tabela.frequencia[id])-1),ROW(A451)),1)</f>
        <v>#NUM!</v>
      </c>
      <c r="C498" s="229" t="e">
        <f t="array" ref="C498">INDEX(Tabela.frequencia[],SMALL(IF(Tabela.frequencia[Mês]=$L$2,ROW(Tabela.frequencia[id])-1),ROW(A451)),4)</f>
        <v>#NUM!</v>
      </c>
      <c r="E498" s="176" t="str">
        <f>IFERROR(VLOOKUP(D498,Tabela.cadastro[[ID]:[Nome]],2,0),"")</f>
        <v/>
      </c>
      <c r="F498" s="177" t="str">
        <f>IFERROR(VLOOKUP(D498,Tabela66[#All],2,0),"")</f>
        <v/>
      </c>
      <c r="G498" s="177" t="str">
        <f>IFERROR(VLOOKUP(D498,Tabela.cadastro[[ID]:[CP ou M]],5,0),"")</f>
        <v/>
      </c>
      <c r="H498" s="177" t="str">
        <f>IFERROR(VLOOKUP(D498,Cadastros!A:F,6,0),"")</f>
        <v/>
      </c>
      <c r="I498" s="177" t="str">
        <f>IFERROR(VLOOKUP(D498,Cadastros!A:I,9,0),"")</f>
        <v/>
      </c>
      <c r="J498" s="177" t="str">
        <f>IFERROR(VLOOKUP(D498,Cadastros!A:J,10,0),"")</f>
        <v/>
      </c>
      <c r="K498" s="177" t="str">
        <f>IF(COUNTIF(Tabela66[id],D498)=0,"",COUNTIF(Tabela66[id],D498))</f>
        <v/>
      </c>
      <c r="L498" s="198"/>
      <c r="M498" s="227" t="str">
        <f t="shared" si="40"/>
        <v/>
      </c>
      <c r="P498" s="176" t="str">
        <f>IFERROR(VLOOKUP(O498,Cadastros!A:B,2),"")</f>
        <v/>
      </c>
      <c r="Q498" s="177" t="str">
        <f t="shared" si="36"/>
        <v/>
      </c>
      <c r="R498" s="177" t="str">
        <f>IFERROR(VLOOKUP(O498,Cadastros!A:E,5,0),"")</f>
        <v/>
      </c>
      <c r="S498" s="177" t="str">
        <f>IFERROR(VLOOKUP(O498,Cadastros!A:F,6,0),"")</f>
        <v/>
      </c>
      <c r="T498" s="177" t="str">
        <f>IFERROR(VLOOKUP(O498,Cadastros!A:I,9,0),"")</f>
        <v/>
      </c>
      <c r="U498" s="177" t="str">
        <f t="shared" si="37"/>
        <v/>
      </c>
      <c r="V498" s="177" t="str">
        <f t="shared" si="38"/>
        <v/>
      </c>
      <c r="W498" s="177" t="str">
        <f t="shared" si="39"/>
        <v/>
      </c>
      <c r="Y498" s="240" t="e">
        <f t="array" ref="Y498">INDEX(Tabela.abordagens[],SMALL(IF(Tabela.abordagens[Mês]=$L$2,ROW(Tabela.abordagens[id])-2),ROW(A451)),1)</f>
        <v>#NUM!</v>
      </c>
      <c r="Z498" s="240" t="e">
        <f t="array" ref="Z498">INDEX(Tabela.abordagens[],SMALL(IF(Tabela.abordagens[Mês]=$L$2,ROW(Tabela.abordagens[Idade])-2),ROW(A451)),6)</f>
        <v>#NUM!</v>
      </c>
      <c r="AA498" s="240" t="e">
        <f t="array" ref="AA498">INDEX(Tabela.abordagens[],SMALL(IF(Tabela.abordagens[Mês]=$L$2,ROW(Tabela.abordagens[Idade])-2),ROW(A451)),4)</f>
        <v>#NUM!</v>
      </c>
      <c r="AB498" s="240" t="e">
        <f t="array" ref="AB498">INDEX(Tabela.abordagens[],SMALL(IF(Tabela.abordagens[Mês]=$L$2,ROW(Tabela.abordagens[Idade])-2),ROW(A451)),5)</f>
        <v>#NUM!</v>
      </c>
    </row>
    <row r="499" spans="2:28" ht="15" x14ac:dyDescent="0.25">
      <c r="B499" s="223" t="e">
        <f t="array" ref="B499">INDEX(Tabela.frequencia[],SMALL(IF(Tabela.frequencia[Mês]=$L$2,ROW(Tabela.frequencia[id])-1),ROW(A452)),1)</f>
        <v>#NUM!</v>
      </c>
      <c r="C499" s="229" t="e">
        <f t="array" ref="C499">INDEX(Tabela.frequencia[],SMALL(IF(Tabela.frequencia[Mês]=$L$2,ROW(Tabela.frequencia[id])-1),ROW(A452)),4)</f>
        <v>#NUM!</v>
      </c>
      <c r="E499" s="176" t="str">
        <f>IFERROR(VLOOKUP(D499,Tabela.cadastro[[ID]:[Nome]],2,0),"")</f>
        <v/>
      </c>
      <c r="F499" s="177" t="str">
        <f>IFERROR(VLOOKUP(D499,Tabela66[#All],2,0),"")</f>
        <v/>
      </c>
      <c r="G499" s="177" t="str">
        <f>IFERROR(VLOOKUP(D499,Tabela.cadastro[[ID]:[CP ou M]],5,0),"")</f>
        <v/>
      </c>
      <c r="H499" s="177" t="str">
        <f>IFERROR(VLOOKUP(D499,Cadastros!A:F,6,0),"")</f>
        <v/>
      </c>
      <c r="I499" s="177" t="str">
        <f>IFERROR(VLOOKUP(D499,Cadastros!A:I,9,0),"")</f>
        <v/>
      </c>
      <c r="J499" s="177" t="str">
        <f>IFERROR(VLOOKUP(D499,Cadastros!A:J,10,0),"")</f>
        <v/>
      </c>
      <c r="K499" s="177" t="str">
        <f>IF(COUNTIF(Tabela66[id],D499)=0,"",COUNTIF(Tabela66[id],D499))</f>
        <v/>
      </c>
      <c r="L499" s="198"/>
      <c r="M499" s="227" t="str">
        <f t="shared" si="40"/>
        <v/>
      </c>
      <c r="P499" s="176" t="str">
        <f>IFERROR(VLOOKUP(O499,Cadastros!A:B,2),"")</f>
        <v/>
      </c>
      <c r="Q499" s="177" t="str">
        <f t="shared" si="36"/>
        <v/>
      </c>
      <c r="R499" s="177" t="str">
        <f>IFERROR(VLOOKUP(O499,Cadastros!A:E,5,0),"")</f>
        <v/>
      </c>
      <c r="S499" s="177" t="str">
        <f>IFERROR(VLOOKUP(O499,Cadastros!A:F,6,0),"")</f>
        <v/>
      </c>
      <c r="T499" s="177" t="str">
        <f>IFERROR(VLOOKUP(O499,Cadastros!A:I,9,0),"")</f>
        <v/>
      </c>
      <c r="U499" s="177" t="str">
        <f t="shared" si="37"/>
        <v/>
      </c>
      <c r="V499" s="177" t="str">
        <f t="shared" si="38"/>
        <v/>
      </c>
      <c r="W499" s="177" t="str">
        <f t="shared" si="39"/>
        <v/>
      </c>
      <c r="Y499" s="240" t="e">
        <f t="array" ref="Y499">INDEX(Tabela.abordagens[],SMALL(IF(Tabela.abordagens[Mês]=$L$2,ROW(Tabela.abordagens[id])-2),ROW(A452)),1)</f>
        <v>#NUM!</v>
      </c>
      <c r="Z499" s="240" t="e">
        <f t="array" ref="Z499">INDEX(Tabela.abordagens[],SMALL(IF(Tabela.abordagens[Mês]=$L$2,ROW(Tabela.abordagens[Idade])-2),ROW(A452)),6)</f>
        <v>#NUM!</v>
      </c>
      <c r="AA499" s="240" t="e">
        <f t="array" ref="AA499">INDEX(Tabela.abordagens[],SMALL(IF(Tabela.abordagens[Mês]=$L$2,ROW(Tabela.abordagens[Idade])-2),ROW(A452)),4)</f>
        <v>#NUM!</v>
      </c>
      <c r="AB499" s="240" t="e">
        <f t="array" ref="AB499">INDEX(Tabela.abordagens[],SMALL(IF(Tabela.abordagens[Mês]=$L$2,ROW(Tabela.abordagens[Idade])-2),ROW(A452)),5)</f>
        <v>#NUM!</v>
      </c>
    </row>
    <row r="500" spans="2:28" ht="15" x14ac:dyDescent="0.25">
      <c r="B500" s="223" t="e">
        <f t="array" ref="B500">INDEX(Tabela.frequencia[],SMALL(IF(Tabela.frequencia[Mês]=$L$2,ROW(Tabela.frequencia[id])-1),ROW(A453)),1)</f>
        <v>#NUM!</v>
      </c>
      <c r="C500" s="229" t="e">
        <f t="array" ref="C500">INDEX(Tabela.frequencia[],SMALL(IF(Tabela.frequencia[Mês]=$L$2,ROW(Tabela.frequencia[id])-1),ROW(A453)),4)</f>
        <v>#NUM!</v>
      </c>
      <c r="E500" s="176" t="str">
        <f>IFERROR(VLOOKUP(D500,Tabela.cadastro[[ID]:[Nome]],2,0),"")</f>
        <v/>
      </c>
      <c r="F500" s="177" t="str">
        <f>IFERROR(VLOOKUP(D500,Tabela66[#All],2,0),"")</f>
        <v/>
      </c>
      <c r="G500" s="177" t="str">
        <f>IFERROR(VLOOKUP(D500,Tabela.cadastro[[ID]:[CP ou M]],5,0),"")</f>
        <v/>
      </c>
      <c r="H500" s="177" t="str">
        <f>IFERROR(VLOOKUP(D500,Cadastros!A:F,6,0),"")</f>
        <v/>
      </c>
      <c r="I500" s="177" t="str">
        <f>IFERROR(VLOOKUP(D500,Cadastros!A:I,9,0),"")</f>
        <v/>
      </c>
      <c r="J500" s="177" t="str">
        <f>IFERROR(VLOOKUP(D500,Cadastros!A:J,10,0),"")</f>
        <v/>
      </c>
      <c r="K500" s="177" t="str">
        <f>IF(COUNTIF(Tabela66[id],D500)=0,"",COUNTIF(Tabela66[id],D500))</f>
        <v/>
      </c>
      <c r="L500" s="198"/>
      <c r="M500" s="227" t="str">
        <f t="shared" si="40"/>
        <v/>
      </c>
      <c r="P500" s="176" t="str">
        <f>IFERROR(VLOOKUP(O500,Cadastros!A:B,2),"")</f>
        <v/>
      </c>
      <c r="Q500" s="177" t="str">
        <f t="shared" si="36"/>
        <v/>
      </c>
      <c r="R500" s="177" t="str">
        <f>IFERROR(VLOOKUP(O500,Cadastros!A:E,5,0),"")</f>
        <v/>
      </c>
      <c r="S500" s="177" t="str">
        <f>IFERROR(VLOOKUP(O500,Cadastros!A:F,6,0),"")</f>
        <v/>
      </c>
      <c r="T500" s="177" t="str">
        <f>IFERROR(VLOOKUP(O500,Cadastros!A:I,9,0),"")</f>
        <v/>
      </c>
      <c r="U500" s="177" t="str">
        <f t="shared" si="37"/>
        <v/>
      </c>
      <c r="V500" s="177" t="str">
        <f t="shared" si="38"/>
        <v/>
      </c>
      <c r="W500" s="177" t="str">
        <f t="shared" si="39"/>
        <v/>
      </c>
      <c r="Y500" s="240" t="e">
        <f t="array" ref="Y500">INDEX(Tabela.abordagens[],SMALL(IF(Tabela.abordagens[Mês]=$L$2,ROW(Tabela.abordagens[id])-2),ROW(A453)),1)</f>
        <v>#NUM!</v>
      </c>
      <c r="Z500" s="240" t="e">
        <f t="array" ref="Z500">INDEX(Tabela.abordagens[],SMALL(IF(Tabela.abordagens[Mês]=$L$2,ROW(Tabela.abordagens[Idade])-2),ROW(A453)),6)</f>
        <v>#NUM!</v>
      </c>
      <c r="AA500" s="240" t="e">
        <f t="array" ref="AA500">INDEX(Tabela.abordagens[],SMALL(IF(Tabela.abordagens[Mês]=$L$2,ROW(Tabela.abordagens[Idade])-2),ROW(A453)),4)</f>
        <v>#NUM!</v>
      </c>
      <c r="AB500" s="240" t="e">
        <f t="array" ref="AB500">INDEX(Tabela.abordagens[],SMALL(IF(Tabela.abordagens[Mês]=$L$2,ROW(Tabela.abordagens[Idade])-2),ROW(A453)),5)</f>
        <v>#NUM!</v>
      </c>
    </row>
    <row r="501" spans="2:28" ht="15" x14ac:dyDescent="0.25">
      <c r="B501" s="223" t="e">
        <f t="array" ref="B501">INDEX(Tabela.frequencia[],SMALL(IF(Tabela.frequencia[Mês]=$L$2,ROW(Tabela.frequencia[id])-1),ROW(A454)),1)</f>
        <v>#NUM!</v>
      </c>
      <c r="C501" s="229" t="e">
        <f t="array" ref="C501">INDEX(Tabela.frequencia[],SMALL(IF(Tabela.frequencia[Mês]=$L$2,ROW(Tabela.frequencia[id])-1),ROW(A454)),4)</f>
        <v>#NUM!</v>
      </c>
      <c r="E501" s="176" t="str">
        <f>IFERROR(VLOOKUP(D501,Tabela.cadastro[[ID]:[Nome]],2,0),"")</f>
        <v/>
      </c>
      <c r="F501" s="177" t="str">
        <f>IFERROR(VLOOKUP(D501,Tabela66[#All],2,0),"")</f>
        <v/>
      </c>
      <c r="G501" s="177" t="str">
        <f>IFERROR(VLOOKUP(D501,Tabela.cadastro[[ID]:[CP ou M]],5,0),"")</f>
        <v/>
      </c>
      <c r="H501" s="177" t="str">
        <f>IFERROR(VLOOKUP(D501,Cadastros!A:F,6,0),"")</f>
        <v/>
      </c>
      <c r="I501" s="177" t="str">
        <f>IFERROR(VLOOKUP(D501,Cadastros!A:I,9,0),"")</f>
        <v/>
      </c>
      <c r="J501" s="177" t="str">
        <f>IFERROR(VLOOKUP(D501,Cadastros!A:J,10,0),"")</f>
        <v/>
      </c>
      <c r="K501" s="177" t="str">
        <f>IF(COUNTIF(Tabela66[id],D501)=0,"",COUNTIF(Tabela66[id],D501))</f>
        <v/>
      </c>
      <c r="L501" s="198"/>
      <c r="M501" s="227" t="str">
        <f t="shared" si="40"/>
        <v/>
      </c>
      <c r="P501" s="176" t="str">
        <f>IFERROR(VLOOKUP(O501,Cadastros!A:B,2),"")</f>
        <v/>
      </c>
      <c r="Q501" s="177" t="str">
        <f t="shared" si="36"/>
        <v/>
      </c>
      <c r="R501" s="177" t="str">
        <f>IFERROR(VLOOKUP(O501,Cadastros!A:E,5,0),"")</f>
        <v/>
      </c>
      <c r="S501" s="177" t="str">
        <f>IFERROR(VLOOKUP(O501,Cadastros!A:F,6,0),"")</f>
        <v/>
      </c>
      <c r="T501" s="177" t="str">
        <f>IFERROR(VLOOKUP(O501,Cadastros!A:I,9,0),"")</f>
        <v/>
      </c>
      <c r="U501" s="177" t="str">
        <f t="shared" si="37"/>
        <v/>
      </c>
      <c r="V501" s="177" t="str">
        <f t="shared" si="38"/>
        <v/>
      </c>
      <c r="W501" s="177" t="str">
        <f t="shared" si="39"/>
        <v/>
      </c>
      <c r="Y501" s="240" t="e">
        <f t="array" ref="Y501">INDEX(Tabela.abordagens[],SMALL(IF(Tabela.abordagens[Mês]=$L$2,ROW(Tabela.abordagens[id])-2),ROW(A454)),1)</f>
        <v>#NUM!</v>
      </c>
      <c r="Z501" s="240" t="e">
        <f t="array" ref="Z501">INDEX(Tabela.abordagens[],SMALL(IF(Tabela.abordagens[Mês]=$L$2,ROW(Tabela.abordagens[Idade])-2),ROW(A454)),6)</f>
        <v>#NUM!</v>
      </c>
      <c r="AA501" s="240" t="e">
        <f t="array" ref="AA501">INDEX(Tabela.abordagens[],SMALL(IF(Tabela.abordagens[Mês]=$L$2,ROW(Tabela.abordagens[Idade])-2),ROW(A454)),4)</f>
        <v>#NUM!</v>
      </c>
      <c r="AB501" s="240" t="e">
        <f t="array" ref="AB501">INDEX(Tabela.abordagens[],SMALL(IF(Tabela.abordagens[Mês]=$L$2,ROW(Tabela.abordagens[Idade])-2),ROW(A454)),5)</f>
        <v>#NUM!</v>
      </c>
    </row>
    <row r="502" spans="2:28" ht="15" x14ac:dyDescent="0.25">
      <c r="B502" s="223" t="e">
        <f t="array" ref="B502">INDEX(Tabela.frequencia[],SMALL(IF(Tabela.frequencia[Mês]=$L$2,ROW(Tabela.frequencia[id])-1),ROW(A455)),1)</f>
        <v>#NUM!</v>
      </c>
      <c r="C502" s="229" t="e">
        <f t="array" ref="C502">INDEX(Tabela.frequencia[],SMALL(IF(Tabela.frequencia[Mês]=$L$2,ROW(Tabela.frequencia[id])-1),ROW(A455)),4)</f>
        <v>#NUM!</v>
      </c>
      <c r="E502" s="176" t="str">
        <f>IFERROR(VLOOKUP(D502,Tabela.cadastro[[ID]:[Nome]],2,0),"")</f>
        <v/>
      </c>
      <c r="F502" s="177" t="str">
        <f>IFERROR(VLOOKUP(D502,Tabela66[#All],2,0),"")</f>
        <v/>
      </c>
      <c r="G502" s="177" t="str">
        <f>IFERROR(VLOOKUP(D502,Tabela.cadastro[[ID]:[CP ou M]],5,0),"")</f>
        <v/>
      </c>
      <c r="H502" s="177" t="str">
        <f>IFERROR(VLOOKUP(D502,Cadastros!A:F,6,0),"")</f>
        <v/>
      </c>
      <c r="I502" s="177" t="str">
        <f>IFERROR(VLOOKUP(D502,Cadastros!A:I,9,0),"")</f>
        <v/>
      </c>
      <c r="J502" s="177" t="str">
        <f>IFERROR(VLOOKUP(D502,Cadastros!A:J,10,0),"")</f>
        <v/>
      </c>
      <c r="K502" s="177" t="str">
        <f>IF(COUNTIF(Tabela66[id],D502)=0,"",COUNTIF(Tabela66[id],D502))</f>
        <v/>
      </c>
      <c r="L502" s="198"/>
      <c r="M502" s="227" t="str">
        <f t="shared" si="40"/>
        <v/>
      </c>
      <c r="P502" s="176" t="str">
        <f>IFERROR(VLOOKUP(O502,Cadastros!A:B,2),"")</f>
        <v/>
      </c>
      <c r="Q502" s="177" t="str">
        <f t="shared" si="36"/>
        <v/>
      </c>
      <c r="R502" s="177" t="str">
        <f>IFERROR(VLOOKUP(O502,Cadastros!A:E,5,0),"")</f>
        <v/>
      </c>
      <c r="S502" s="177" t="str">
        <f>IFERROR(VLOOKUP(O502,Cadastros!A:F,6,0),"")</f>
        <v/>
      </c>
      <c r="T502" s="177" t="str">
        <f>IFERROR(VLOOKUP(O502,Cadastros!A:I,9,0),"")</f>
        <v/>
      </c>
      <c r="U502" s="177" t="str">
        <f t="shared" si="37"/>
        <v/>
      </c>
      <c r="V502" s="177" t="str">
        <f t="shared" si="38"/>
        <v/>
      </c>
      <c r="W502" s="177" t="str">
        <f t="shared" si="39"/>
        <v/>
      </c>
      <c r="Y502" s="240" t="e">
        <f t="array" ref="Y502">INDEX(Tabela.abordagens[],SMALL(IF(Tabela.abordagens[Mês]=$L$2,ROW(Tabela.abordagens[id])-2),ROW(A455)),1)</f>
        <v>#NUM!</v>
      </c>
      <c r="Z502" s="240" t="e">
        <f t="array" ref="Z502">INDEX(Tabela.abordagens[],SMALL(IF(Tabela.abordagens[Mês]=$L$2,ROW(Tabela.abordagens[Idade])-2),ROW(A455)),6)</f>
        <v>#NUM!</v>
      </c>
      <c r="AA502" s="240" t="e">
        <f t="array" ref="AA502">INDEX(Tabela.abordagens[],SMALL(IF(Tabela.abordagens[Mês]=$L$2,ROW(Tabela.abordagens[Idade])-2),ROW(A455)),4)</f>
        <v>#NUM!</v>
      </c>
      <c r="AB502" s="240" t="e">
        <f t="array" ref="AB502">INDEX(Tabela.abordagens[],SMALL(IF(Tabela.abordagens[Mês]=$L$2,ROW(Tabela.abordagens[Idade])-2),ROW(A455)),5)</f>
        <v>#NUM!</v>
      </c>
    </row>
    <row r="503" spans="2:28" ht="15" x14ac:dyDescent="0.25">
      <c r="B503" s="223" t="e">
        <f t="array" ref="B503">INDEX(Tabela.frequencia[],SMALL(IF(Tabela.frequencia[Mês]=$L$2,ROW(Tabela.frequencia[id])-1),ROW(A456)),1)</f>
        <v>#NUM!</v>
      </c>
      <c r="C503" s="229" t="e">
        <f t="array" ref="C503">INDEX(Tabela.frequencia[],SMALL(IF(Tabela.frequencia[Mês]=$L$2,ROW(Tabela.frequencia[id])-1),ROW(A456)),4)</f>
        <v>#NUM!</v>
      </c>
      <c r="E503" s="176" t="str">
        <f>IFERROR(VLOOKUP(D503,Tabela.cadastro[[ID]:[Nome]],2,0),"")</f>
        <v/>
      </c>
      <c r="F503" s="177" t="str">
        <f>IFERROR(VLOOKUP(D503,Tabela66[#All],2,0),"")</f>
        <v/>
      </c>
      <c r="G503" s="177" t="str">
        <f>IFERROR(VLOOKUP(D503,Tabela.cadastro[[ID]:[CP ou M]],5,0),"")</f>
        <v/>
      </c>
      <c r="H503" s="177" t="str">
        <f>IFERROR(VLOOKUP(D503,Cadastros!A:F,6,0),"")</f>
        <v/>
      </c>
      <c r="I503" s="177" t="str">
        <f>IFERROR(VLOOKUP(D503,Cadastros!A:I,9,0),"")</f>
        <v/>
      </c>
      <c r="J503" s="177" t="str">
        <f>IFERROR(VLOOKUP(D503,Cadastros!A:J,10,0),"")</f>
        <v/>
      </c>
      <c r="K503" s="177" t="str">
        <f>IF(COUNTIF(Tabela66[id],D503)=0,"",COUNTIF(Tabela66[id],D503))</f>
        <v/>
      </c>
      <c r="L503" s="198"/>
      <c r="M503" s="227" t="str">
        <f t="shared" si="40"/>
        <v/>
      </c>
      <c r="P503" s="176" t="str">
        <f>IFERROR(VLOOKUP(O503,Cadastros!A:B,2),"")</f>
        <v/>
      </c>
      <c r="Q503" s="177" t="str">
        <f t="shared" si="36"/>
        <v/>
      </c>
      <c r="R503" s="177" t="str">
        <f>IFERROR(VLOOKUP(O503,Cadastros!A:E,5,0),"")</f>
        <v/>
      </c>
      <c r="S503" s="177" t="str">
        <f>IFERROR(VLOOKUP(O503,Cadastros!A:F,6,0),"")</f>
        <v/>
      </c>
      <c r="T503" s="177" t="str">
        <f>IFERROR(VLOOKUP(O503,Cadastros!A:I,9,0),"")</f>
        <v/>
      </c>
      <c r="U503" s="177" t="str">
        <f t="shared" si="37"/>
        <v/>
      </c>
      <c r="V503" s="177" t="str">
        <f t="shared" si="38"/>
        <v/>
      </c>
      <c r="W503" s="177" t="str">
        <f t="shared" si="39"/>
        <v/>
      </c>
      <c r="Y503" s="240" t="e">
        <f t="array" ref="Y503">INDEX(Tabela.abordagens[],SMALL(IF(Tabela.abordagens[Mês]=$L$2,ROW(Tabela.abordagens[id])-2),ROW(A456)),1)</f>
        <v>#NUM!</v>
      </c>
      <c r="Z503" s="240" t="e">
        <f t="array" ref="Z503">INDEX(Tabela.abordagens[],SMALL(IF(Tabela.abordagens[Mês]=$L$2,ROW(Tabela.abordagens[Idade])-2),ROW(A456)),6)</f>
        <v>#NUM!</v>
      </c>
      <c r="AA503" s="240" t="e">
        <f t="array" ref="AA503">INDEX(Tabela.abordagens[],SMALL(IF(Tabela.abordagens[Mês]=$L$2,ROW(Tabela.abordagens[Idade])-2),ROW(A456)),4)</f>
        <v>#NUM!</v>
      </c>
      <c r="AB503" s="240" t="e">
        <f t="array" ref="AB503">INDEX(Tabela.abordagens[],SMALL(IF(Tabela.abordagens[Mês]=$L$2,ROW(Tabela.abordagens[Idade])-2),ROW(A456)),5)</f>
        <v>#NUM!</v>
      </c>
    </row>
    <row r="504" spans="2:28" ht="15" x14ac:dyDescent="0.25">
      <c r="B504" s="223" t="e">
        <f t="array" ref="B504">INDEX(Tabela.frequencia[],SMALL(IF(Tabela.frequencia[Mês]=$L$2,ROW(Tabela.frequencia[id])-1),ROW(A457)),1)</f>
        <v>#NUM!</v>
      </c>
      <c r="C504" s="229" t="e">
        <f t="array" ref="C504">INDEX(Tabela.frequencia[],SMALL(IF(Tabela.frequencia[Mês]=$L$2,ROW(Tabela.frequencia[id])-1),ROW(A457)),4)</f>
        <v>#NUM!</v>
      </c>
      <c r="E504" s="176" t="str">
        <f>IFERROR(VLOOKUP(D504,Tabela.cadastro[[ID]:[Nome]],2,0),"")</f>
        <v/>
      </c>
      <c r="F504" s="177" t="str">
        <f>IFERROR(VLOOKUP(D504,Tabela66[#All],2,0),"")</f>
        <v/>
      </c>
      <c r="G504" s="177" t="str">
        <f>IFERROR(VLOOKUP(D504,Tabela.cadastro[[ID]:[CP ou M]],5,0),"")</f>
        <v/>
      </c>
      <c r="H504" s="177" t="str">
        <f>IFERROR(VLOOKUP(D504,Cadastros!A:F,6,0),"")</f>
        <v/>
      </c>
      <c r="I504" s="177" t="str">
        <f>IFERROR(VLOOKUP(D504,Cadastros!A:I,9,0),"")</f>
        <v/>
      </c>
      <c r="J504" s="177" t="str">
        <f>IFERROR(VLOOKUP(D504,Cadastros!A:J,10,0),"")</f>
        <v/>
      </c>
      <c r="K504" s="177" t="str">
        <f>IF(COUNTIF(Tabela66[id],D504)=0,"",COUNTIF(Tabela66[id],D504))</f>
        <v/>
      </c>
      <c r="L504" s="198"/>
      <c r="M504" s="227" t="str">
        <f t="shared" si="40"/>
        <v/>
      </c>
      <c r="P504" s="176" t="str">
        <f>IFERROR(VLOOKUP(O504,Cadastros!A:B,2),"")</f>
        <v/>
      </c>
      <c r="Q504" s="177" t="str">
        <f t="shared" si="36"/>
        <v/>
      </c>
      <c r="R504" s="177" t="str">
        <f>IFERROR(VLOOKUP(O504,Cadastros!A:E,5,0),"")</f>
        <v/>
      </c>
      <c r="S504" s="177" t="str">
        <f>IFERROR(VLOOKUP(O504,Cadastros!A:F,6,0),"")</f>
        <v/>
      </c>
      <c r="T504" s="177" t="str">
        <f>IFERROR(VLOOKUP(O504,Cadastros!A:I,9,0),"")</f>
        <v/>
      </c>
      <c r="U504" s="177" t="str">
        <f t="shared" si="37"/>
        <v/>
      </c>
      <c r="V504" s="177" t="str">
        <f t="shared" si="38"/>
        <v/>
      </c>
      <c r="W504" s="177" t="str">
        <f t="shared" si="39"/>
        <v/>
      </c>
      <c r="Y504" s="240" t="e">
        <f t="array" ref="Y504">INDEX(Tabela.abordagens[],SMALL(IF(Tabela.abordagens[Mês]=$L$2,ROW(Tabela.abordagens[id])-2),ROW(A457)),1)</f>
        <v>#NUM!</v>
      </c>
      <c r="Z504" s="240" t="e">
        <f t="array" ref="Z504">INDEX(Tabela.abordagens[],SMALL(IF(Tabela.abordagens[Mês]=$L$2,ROW(Tabela.abordagens[Idade])-2),ROW(A457)),6)</f>
        <v>#NUM!</v>
      </c>
      <c r="AA504" s="240" t="e">
        <f t="array" ref="AA504">INDEX(Tabela.abordagens[],SMALL(IF(Tabela.abordagens[Mês]=$L$2,ROW(Tabela.abordagens[Idade])-2),ROW(A457)),4)</f>
        <v>#NUM!</v>
      </c>
      <c r="AB504" s="240" t="e">
        <f t="array" ref="AB504">INDEX(Tabela.abordagens[],SMALL(IF(Tabela.abordagens[Mês]=$L$2,ROW(Tabela.abordagens[Idade])-2),ROW(A457)),5)</f>
        <v>#NUM!</v>
      </c>
    </row>
    <row r="505" spans="2:28" ht="15" x14ac:dyDescent="0.25">
      <c r="B505" s="223" t="e">
        <f t="array" ref="B505">INDEX(Tabela.frequencia[],SMALL(IF(Tabela.frequencia[Mês]=$L$2,ROW(Tabela.frequencia[id])-1),ROW(A458)),1)</f>
        <v>#NUM!</v>
      </c>
      <c r="C505" s="229" t="e">
        <f t="array" ref="C505">INDEX(Tabela.frequencia[],SMALL(IF(Tabela.frequencia[Mês]=$L$2,ROW(Tabela.frequencia[id])-1),ROW(A458)),4)</f>
        <v>#NUM!</v>
      </c>
      <c r="E505" s="176" t="str">
        <f>IFERROR(VLOOKUP(D505,Tabela.cadastro[[ID]:[Nome]],2,0),"")</f>
        <v/>
      </c>
      <c r="F505" s="177" t="str">
        <f>IFERROR(VLOOKUP(D505,Tabela66[#All],2,0),"")</f>
        <v/>
      </c>
      <c r="G505" s="177" t="str">
        <f>IFERROR(VLOOKUP(D505,Tabela.cadastro[[ID]:[CP ou M]],5,0),"")</f>
        <v/>
      </c>
      <c r="H505" s="177" t="str">
        <f>IFERROR(VLOOKUP(D505,Cadastros!A:F,6,0),"")</f>
        <v/>
      </c>
      <c r="I505" s="177" t="str">
        <f>IFERROR(VLOOKUP(D505,Cadastros!A:I,9,0),"")</f>
        <v/>
      </c>
      <c r="J505" s="177" t="str">
        <f>IFERROR(VLOOKUP(D505,Cadastros!A:J,10,0),"")</f>
        <v/>
      </c>
      <c r="K505" s="177" t="str">
        <f>IF(COUNTIF(Tabela66[id],D505)=0,"",COUNTIF(Tabela66[id],D505))</f>
        <v/>
      </c>
      <c r="L505" s="198"/>
      <c r="M505" s="227" t="str">
        <f t="shared" si="40"/>
        <v/>
      </c>
      <c r="P505" s="176" t="str">
        <f>IFERROR(VLOOKUP(O505,Cadastros!A:B,2),"")</f>
        <v/>
      </c>
      <c r="Q505" s="177" t="str">
        <f t="shared" si="36"/>
        <v/>
      </c>
      <c r="R505" s="177" t="str">
        <f>IFERROR(VLOOKUP(O505,Cadastros!A:E,5,0),"")</f>
        <v/>
      </c>
      <c r="S505" s="177" t="str">
        <f>IFERROR(VLOOKUP(O505,Cadastros!A:F,6,0),"")</f>
        <v/>
      </c>
      <c r="T505" s="177" t="str">
        <f>IFERROR(VLOOKUP(O505,Cadastros!A:I,9,0),"")</f>
        <v/>
      </c>
      <c r="U505" s="177" t="str">
        <f t="shared" si="37"/>
        <v/>
      </c>
      <c r="V505" s="177" t="str">
        <f t="shared" si="38"/>
        <v/>
      </c>
      <c r="W505" s="177" t="str">
        <f t="shared" si="39"/>
        <v/>
      </c>
      <c r="Y505" s="240" t="e">
        <f t="array" ref="Y505">INDEX(Tabela.abordagens[],SMALL(IF(Tabela.abordagens[Mês]=$L$2,ROW(Tabela.abordagens[id])-2),ROW(A458)),1)</f>
        <v>#NUM!</v>
      </c>
      <c r="Z505" s="240" t="e">
        <f t="array" ref="Z505">INDEX(Tabela.abordagens[],SMALL(IF(Tabela.abordagens[Mês]=$L$2,ROW(Tabela.abordagens[Idade])-2),ROW(A458)),6)</f>
        <v>#NUM!</v>
      </c>
      <c r="AA505" s="240" t="e">
        <f t="array" ref="AA505">INDEX(Tabela.abordagens[],SMALL(IF(Tabela.abordagens[Mês]=$L$2,ROW(Tabela.abordagens[Idade])-2),ROW(A458)),4)</f>
        <v>#NUM!</v>
      </c>
      <c r="AB505" s="240" t="e">
        <f t="array" ref="AB505">INDEX(Tabela.abordagens[],SMALL(IF(Tabela.abordagens[Mês]=$L$2,ROW(Tabela.abordagens[Idade])-2),ROW(A458)),5)</f>
        <v>#NUM!</v>
      </c>
    </row>
    <row r="506" spans="2:28" ht="15" x14ac:dyDescent="0.25">
      <c r="B506" s="223" t="e">
        <f t="array" ref="B506">INDEX(Tabela.frequencia[],SMALL(IF(Tabela.frequencia[Mês]=$L$2,ROW(Tabela.frequencia[id])-1),ROW(A459)),1)</f>
        <v>#NUM!</v>
      </c>
      <c r="C506" s="229" t="e">
        <f t="array" ref="C506">INDEX(Tabela.frequencia[],SMALL(IF(Tabela.frequencia[Mês]=$L$2,ROW(Tabela.frequencia[id])-1),ROW(A459)),4)</f>
        <v>#NUM!</v>
      </c>
      <c r="E506" s="176" t="str">
        <f>IFERROR(VLOOKUP(D506,Tabela.cadastro[[ID]:[Nome]],2,0),"")</f>
        <v/>
      </c>
      <c r="F506" s="177" t="str">
        <f>IFERROR(VLOOKUP(D506,Tabela66[#All],2,0),"")</f>
        <v/>
      </c>
      <c r="G506" s="177" t="str">
        <f>IFERROR(VLOOKUP(D506,Tabela.cadastro[[ID]:[CP ou M]],5,0),"")</f>
        <v/>
      </c>
      <c r="H506" s="177" t="str">
        <f>IFERROR(VLOOKUP(D506,Cadastros!A:F,6,0),"")</f>
        <v/>
      </c>
      <c r="I506" s="177" t="str">
        <f>IFERROR(VLOOKUP(D506,Cadastros!A:I,9,0),"")</f>
        <v/>
      </c>
      <c r="J506" s="177" t="str">
        <f>IFERROR(VLOOKUP(D506,Cadastros!A:J,10,0),"")</f>
        <v/>
      </c>
      <c r="K506" s="177" t="str">
        <f>IF(COUNTIF(Tabela66[id],D506)=0,"",COUNTIF(Tabela66[id],D506))</f>
        <v/>
      </c>
      <c r="L506" s="198"/>
      <c r="M506" s="227" t="str">
        <f t="shared" si="40"/>
        <v/>
      </c>
      <c r="P506" s="176" t="str">
        <f>IFERROR(VLOOKUP(O506,Cadastros!A:B,2),"")</f>
        <v/>
      </c>
      <c r="Q506" s="177" t="str">
        <f t="shared" si="36"/>
        <v/>
      </c>
      <c r="R506" s="177" t="str">
        <f>IFERROR(VLOOKUP(O506,Cadastros!A:E,5,0),"")</f>
        <v/>
      </c>
      <c r="S506" s="177" t="str">
        <f>IFERROR(VLOOKUP(O506,Cadastros!A:F,6,0),"")</f>
        <v/>
      </c>
      <c r="T506" s="177" t="str">
        <f>IFERROR(VLOOKUP(O506,Cadastros!A:I,9,0),"")</f>
        <v/>
      </c>
      <c r="U506" s="177" t="str">
        <f t="shared" si="37"/>
        <v/>
      </c>
      <c r="V506" s="177" t="str">
        <f t="shared" si="38"/>
        <v/>
      </c>
      <c r="W506" s="177" t="str">
        <f t="shared" si="39"/>
        <v/>
      </c>
      <c r="Y506" s="240" t="e">
        <f t="array" ref="Y506">INDEX(Tabela.abordagens[],SMALL(IF(Tabela.abordagens[Mês]=$L$2,ROW(Tabela.abordagens[id])-2),ROW(A459)),1)</f>
        <v>#NUM!</v>
      </c>
      <c r="Z506" s="240" t="e">
        <f t="array" ref="Z506">INDEX(Tabela.abordagens[],SMALL(IF(Tabela.abordagens[Mês]=$L$2,ROW(Tabela.abordagens[Idade])-2),ROW(A459)),6)</f>
        <v>#NUM!</v>
      </c>
      <c r="AA506" s="240" t="e">
        <f t="array" ref="AA506">INDEX(Tabela.abordagens[],SMALL(IF(Tabela.abordagens[Mês]=$L$2,ROW(Tabela.abordagens[Idade])-2),ROW(A459)),4)</f>
        <v>#NUM!</v>
      </c>
      <c r="AB506" s="240" t="e">
        <f t="array" ref="AB506">INDEX(Tabela.abordagens[],SMALL(IF(Tabela.abordagens[Mês]=$L$2,ROW(Tabela.abordagens[Idade])-2),ROW(A459)),5)</f>
        <v>#NUM!</v>
      </c>
    </row>
    <row r="507" spans="2:28" ht="15" x14ac:dyDescent="0.25">
      <c r="B507" s="223" t="e">
        <f t="array" ref="B507">INDEX(Tabela.frequencia[],SMALL(IF(Tabela.frequencia[Mês]=$L$2,ROW(Tabela.frequencia[id])-1),ROW(A460)),1)</f>
        <v>#NUM!</v>
      </c>
      <c r="C507" s="229" t="e">
        <f t="array" ref="C507">INDEX(Tabela.frequencia[],SMALL(IF(Tabela.frequencia[Mês]=$L$2,ROW(Tabela.frequencia[id])-1),ROW(A460)),4)</f>
        <v>#NUM!</v>
      </c>
      <c r="E507" s="176" t="str">
        <f>IFERROR(VLOOKUP(D507,Tabela.cadastro[[ID]:[Nome]],2,0),"")</f>
        <v/>
      </c>
      <c r="F507" s="177" t="str">
        <f>IFERROR(VLOOKUP(D507,Tabela66[#All],2,0),"")</f>
        <v/>
      </c>
      <c r="G507" s="177" t="str">
        <f>IFERROR(VLOOKUP(D507,Tabela.cadastro[[ID]:[CP ou M]],5,0),"")</f>
        <v/>
      </c>
      <c r="H507" s="177" t="str">
        <f>IFERROR(VLOOKUP(D507,Cadastros!A:F,6,0),"")</f>
        <v/>
      </c>
      <c r="I507" s="177" t="str">
        <f>IFERROR(VLOOKUP(D507,Cadastros!A:I,9,0),"")</f>
        <v/>
      </c>
      <c r="J507" s="177" t="str">
        <f>IFERROR(VLOOKUP(D507,Cadastros!A:J,10,0),"")</f>
        <v/>
      </c>
      <c r="K507" s="177" t="str">
        <f>IF(COUNTIF(Tabela66[id],D507)=0,"",COUNTIF(Tabela66[id],D507))</f>
        <v/>
      </c>
      <c r="L507" s="198"/>
      <c r="M507" s="227" t="str">
        <f t="shared" si="40"/>
        <v/>
      </c>
      <c r="P507" s="176" t="str">
        <f>IFERROR(VLOOKUP(O507,Cadastros!A:B,2),"")</f>
        <v/>
      </c>
      <c r="Q507" s="177" t="str">
        <f t="shared" si="36"/>
        <v/>
      </c>
      <c r="R507" s="177" t="str">
        <f>IFERROR(VLOOKUP(O507,Cadastros!A:E,5,0),"")</f>
        <v/>
      </c>
      <c r="S507" s="177" t="str">
        <f>IFERROR(VLOOKUP(O507,Cadastros!A:F,6,0),"")</f>
        <v/>
      </c>
      <c r="T507" s="177" t="str">
        <f>IFERROR(VLOOKUP(O507,Cadastros!A:I,9,0),"")</f>
        <v/>
      </c>
      <c r="U507" s="177" t="str">
        <f t="shared" si="37"/>
        <v/>
      </c>
      <c r="V507" s="177" t="str">
        <f t="shared" si="38"/>
        <v/>
      </c>
      <c r="W507" s="177" t="str">
        <f t="shared" si="39"/>
        <v/>
      </c>
      <c r="Y507" s="240" t="e">
        <f t="array" ref="Y507">INDEX(Tabela.abordagens[],SMALL(IF(Tabela.abordagens[Mês]=$L$2,ROW(Tabela.abordagens[id])-2),ROW(A460)),1)</f>
        <v>#NUM!</v>
      </c>
      <c r="Z507" s="240" t="e">
        <f t="array" ref="Z507">INDEX(Tabela.abordagens[],SMALL(IF(Tabela.abordagens[Mês]=$L$2,ROW(Tabela.abordagens[Idade])-2),ROW(A460)),6)</f>
        <v>#NUM!</v>
      </c>
      <c r="AA507" s="240" t="e">
        <f t="array" ref="AA507">INDEX(Tabela.abordagens[],SMALL(IF(Tabela.abordagens[Mês]=$L$2,ROW(Tabela.abordagens[Idade])-2),ROW(A460)),4)</f>
        <v>#NUM!</v>
      </c>
      <c r="AB507" s="240" t="e">
        <f t="array" ref="AB507">INDEX(Tabela.abordagens[],SMALL(IF(Tabela.abordagens[Mês]=$L$2,ROW(Tabela.abordagens[Idade])-2),ROW(A460)),5)</f>
        <v>#NUM!</v>
      </c>
    </row>
    <row r="508" spans="2:28" ht="15" x14ac:dyDescent="0.25">
      <c r="B508" s="223" t="e">
        <f t="array" ref="B508">INDEX(Tabela.frequencia[],SMALL(IF(Tabela.frequencia[Mês]=$L$2,ROW(Tabela.frequencia[id])-1),ROW(A461)),1)</f>
        <v>#NUM!</v>
      </c>
      <c r="C508" s="229" t="e">
        <f t="array" ref="C508">INDEX(Tabela.frequencia[],SMALL(IF(Tabela.frequencia[Mês]=$L$2,ROW(Tabela.frequencia[id])-1),ROW(A461)),4)</f>
        <v>#NUM!</v>
      </c>
      <c r="E508" s="176" t="str">
        <f>IFERROR(VLOOKUP(D508,Tabela.cadastro[[ID]:[Nome]],2,0),"")</f>
        <v/>
      </c>
      <c r="F508" s="177" t="str">
        <f>IFERROR(VLOOKUP(D508,Tabela66[#All],2,0),"")</f>
        <v/>
      </c>
      <c r="G508" s="177" t="str">
        <f>IFERROR(VLOOKUP(D508,Tabela.cadastro[[ID]:[CP ou M]],5,0),"")</f>
        <v/>
      </c>
      <c r="H508" s="177" t="str">
        <f>IFERROR(VLOOKUP(D508,Cadastros!A:F,6,0),"")</f>
        <v/>
      </c>
      <c r="I508" s="177" t="str">
        <f>IFERROR(VLOOKUP(D508,Cadastros!A:I,9,0),"")</f>
        <v/>
      </c>
      <c r="J508" s="177" t="str">
        <f>IFERROR(VLOOKUP(D508,Cadastros!A:J,10,0),"")</f>
        <v/>
      </c>
      <c r="K508" s="177" t="str">
        <f>IF(COUNTIF(Tabela66[id],D508)=0,"",COUNTIF(Tabela66[id],D508))</f>
        <v/>
      </c>
      <c r="L508" s="198"/>
      <c r="M508" s="227" t="str">
        <f t="shared" si="40"/>
        <v/>
      </c>
      <c r="P508" s="176" t="str">
        <f>IFERROR(VLOOKUP(O508,Cadastros!A:B,2),"")</f>
        <v/>
      </c>
      <c r="Q508" s="177" t="str">
        <f t="shared" si="36"/>
        <v/>
      </c>
      <c r="R508" s="177" t="str">
        <f>IFERROR(VLOOKUP(O508,Cadastros!A:E,5,0),"")</f>
        <v/>
      </c>
      <c r="S508" s="177" t="str">
        <f>IFERROR(VLOOKUP(O508,Cadastros!A:F,6,0),"")</f>
        <v/>
      </c>
      <c r="T508" s="177" t="str">
        <f>IFERROR(VLOOKUP(O508,Cadastros!A:I,9,0),"")</f>
        <v/>
      </c>
      <c r="U508" s="177" t="str">
        <f t="shared" si="37"/>
        <v/>
      </c>
      <c r="V508" s="177" t="str">
        <f t="shared" si="38"/>
        <v/>
      </c>
      <c r="W508" s="177" t="str">
        <f t="shared" si="39"/>
        <v/>
      </c>
      <c r="Y508" s="240" t="e">
        <f t="array" ref="Y508">INDEX(Tabela.abordagens[],SMALL(IF(Tabela.abordagens[Mês]=$L$2,ROW(Tabela.abordagens[id])-2),ROW(A461)),1)</f>
        <v>#NUM!</v>
      </c>
      <c r="Z508" s="240" t="e">
        <f t="array" ref="Z508">INDEX(Tabela.abordagens[],SMALL(IF(Tabela.abordagens[Mês]=$L$2,ROW(Tabela.abordagens[Idade])-2),ROW(A461)),6)</f>
        <v>#NUM!</v>
      </c>
      <c r="AA508" s="240" t="e">
        <f t="array" ref="AA508">INDEX(Tabela.abordagens[],SMALL(IF(Tabela.abordagens[Mês]=$L$2,ROW(Tabela.abordagens[Idade])-2),ROW(A461)),4)</f>
        <v>#NUM!</v>
      </c>
      <c r="AB508" s="240" t="e">
        <f t="array" ref="AB508">INDEX(Tabela.abordagens[],SMALL(IF(Tabela.abordagens[Mês]=$L$2,ROW(Tabela.abordagens[Idade])-2),ROW(A461)),5)</f>
        <v>#NUM!</v>
      </c>
    </row>
    <row r="509" spans="2:28" ht="15" x14ac:dyDescent="0.25">
      <c r="B509" s="223" t="e">
        <f t="array" ref="B509">INDEX(Tabela.frequencia[],SMALL(IF(Tabela.frequencia[Mês]=$L$2,ROW(Tabela.frequencia[id])-1),ROW(A462)),1)</f>
        <v>#NUM!</v>
      </c>
      <c r="C509" s="229" t="e">
        <f t="array" ref="C509">INDEX(Tabela.frequencia[],SMALL(IF(Tabela.frequencia[Mês]=$L$2,ROW(Tabela.frequencia[id])-1),ROW(A462)),4)</f>
        <v>#NUM!</v>
      </c>
      <c r="E509" s="176" t="str">
        <f>IFERROR(VLOOKUP(D509,Tabela.cadastro[[ID]:[Nome]],2,0),"")</f>
        <v/>
      </c>
      <c r="F509" s="177" t="str">
        <f>IFERROR(VLOOKUP(D509,Tabela66[#All],2,0),"")</f>
        <v/>
      </c>
      <c r="G509" s="177" t="str">
        <f>IFERROR(VLOOKUP(D509,Tabela.cadastro[[ID]:[CP ou M]],5,0),"")</f>
        <v/>
      </c>
      <c r="H509" s="177" t="str">
        <f>IFERROR(VLOOKUP(D509,Cadastros!A:F,6,0),"")</f>
        <v/>
      </c>
      <c r="I509" s="177" t="str">
        <f>IFERROR(VLOOKUP(D509,Cadastros!A:I,9,0),"")</f>
        <v/>
      </c>
      <c r="J509" s="177" t="str">
        <f>IFERROR(VLOOKUP(D509,Cadastros!A:J,10,0),"")</f>
        <v/>
      </c>
      <c r="K509" s="177" t="str">
        <f>IF(COUNTIF(Tabela66[id],D509)=0,"",COUNTIF(Tabela66[id],D509))</f>
        <v/>
      </c>
      <c r="L509" s="198"/>
      <c r="M509" s="227" t="str">
        <f t="shared" si="40"/>
        <v/>
      </c>
      <c r="P509" s="176" t="str">
        <f>IFERROR(VLOOKUP(O509,Cadastros!A:B,2),"")</f>
        <v/>
      </c>
      <c r="Q509" s="177" t="str">
        <f t="shared" si="36"/>
        <v/>
      </c>
      <c r="R509" s="177" t="str">
        <f>IFERROR(VLOOKUP(O509,Cadastros!A:E,5,0),"")</f>
        <v/>
      </c>
      <c r="S509" s="177" t="str">
        <f>IFERROR(VLOOKUP(O509,Cadastros!A:F,6,0),"")</f>
        <v/>
      </c>
      <c r="T509" s="177" t="str">
        <f>IFERROR(VLOOKUP(O509,Cadastros!A:I,9,0),"")</f>
        <v/>
      </c>
      <c r="U509" s="177" t="str">
        <f t="shared" si="37"/>
        <v/>
      </c>
      <c r="V509" s="177" t="str">
        <f t="shared" si="38"/>
        <v/>
      </c>
      <c r="W509" s="177" t="str">
        <f t="shared" si="39"/>
        <v/>
      </c>
      <c r="Y509" s="240" t="e">
        <f t="array" ref="Y509">INDEX(Tabela.abordagens[],SMALL(IF(Tabela.abordagens[Mês]=$L$2,ROW(Tabela.abordagens[id])-2),ROW(A462)),1)</f>
        <v>#NUM!</v>
      </c>
      <c r="Z509" s="240" t="e">
        <f t="array" ref="Z509">INDEX(Tabela.abordagens[],SMALL(IF(Tabela.abordagens[Mês]=$L$2,ROW(Tabela.abordagens[Idade])-2),ROW(A462)),6)</f>
        <v>#NUM!</v>
      </c>
      <c r="AA509" s="240" t="e">
        <f t="array" ref="AA509">INDEX(Tabela.abordagens[],SMALL(IF(Tabela.abordagens[Mês]=$L$2,ROW(Tabela.abordagens[Idade])-2),ROW(A462)),4)</f>
        <v>#NUM!</v>
      </c>
      <c r="AB509" s="240" t="e">
        <f t="array" ref="AB509">INDEX(Tabela.abordagens[],SMALL(IF(Tabela.abordagens[Mês]=$L$2,ROW(Tabela.abordagens[Idade])-2),ROW(A462)),5)</f>
        <v>#NUM!</v>
      </c>
    </row>
    <row r="510" spans="2:28" ht="15" x14ac:dyDescent="0.25">
      <c r="B510" s="223" t="e">
        <f t="array" ref="B510">INDEX(Tabela.frequencia[],SMALL(IF(Tabela.frequencia[Mês]=$L$2,ROW(Tabela.frequencia[id])-1),ROW(A463)),1)</f>
        <v>#NUM!</v>
      </c>
      <c r="C510" s="229" t="e">
        <f t="array" ref="C510">INDEX(Tabela.frequencia[],SMALL(IF(Tabela.frequencia[Mês]=$L$2,ROW(Tabela.frequencia[id])-1),ROW(A463)),4)</f>
        <v>#NUM!</v>
      </c>
      <c r="E510" s="176" t="str">
        <f>IFERROR(VLOOKUP(D510,Tabela.cadastro[[ID]:[Nome]],2,0),"")</f>
        <v/>
      </c>
      <c r="F510" s="177" t="str">
        <f>IFERROR(VLOOKUP(D510,Tabela66[#All],2,0),"")</f>
        <v/>
      </c>
      <c r="G510" s="177" t="str">
        <f>IFERROR(VLOOKUP(D510,Tabela.cadastro[[ID]:[CP ou M]],5,0),"")</f>
        <v/>
      </c>
      <c r="H510" s="177" t="str">
        <f>IFERROR(VLOOKUP(D510,Cadastros!A:F,6,0),"")</f>
        <v/>
      </c>
      <c r="I510" s="177" t="str">
        <f>IFERROR(VLOOKUP(D510,Cadastros!A:I,9,0),"")</f>
        <v/>
      </c>
      <c r="J510" s="177" t="str">
        <f>IFERROR(VLOOKUP(D510,Cadastros!A:J,10,0),"")</f>
        <v/>
      </c>
      <c r="K510" s="177" t="str">
        <f>IF(COUNTIF(Tabela66[id],D510)=0,"",COUNTIF(Tabela66[id],D510))</f>
        <v/>
      </c>
      <c r="L510" s="198"/>
      <c r="M510" s="227" t="str">
        <f t="shared" si="40"/>
        <v/>
      </c>
      <c r="P510" s="176" t="str">
        <f>IFERROR(VLOOKUP(O510,Cadastros!A:B,2),"")</f>
        <v/>
      </c>
      <c r="Q510" s="177" t="str">
        <f t="shared" si="36"/>
        <v/>
      </c>
      <c r="R510" s="177" t="str">
        <f>IFERROR(VLOOKUP(O510,Cadastros!A:E,5,0),"")</f>
        <v/>
      </c>
      <c r="S510" s="177" t="str">
        <f>IFERROR(VLOOKUP(O510,Cadastros!A:F,6,0),"")</f>
        <v/>
      </c>
      <c r="T510" s="177" t="str">
        <f>IFERROR(VLOOKUP(O510,Cadastros!A:I,9,0),"")</f>
        <v/>
      </c>
      <c r="U510" s="177" t="str">
        <f t="shared" si="37"/>
        <v/>
      </c>
      <c r="V510" s="177" t="str">
        <f t="shared" si="38"/>
        <v/>
      </c>
      <c r="W510" s="177" t="str">
        <f t="shared" si="39"/>
        <v/>
      </c>
      <c r="Y510" s="240" t="e">
        <f t="array" ref="Y510">INDEX(Tabela.abordagens[],SMALL(IF(Tabela.abordagens[Mês]=$L$2,ROW(Tabela.abordagens[id])-2),ROW(A463)),1)</f>
        <v>#NUM!</v>
      </c>
      <c r="Z510" s="240" t="e">
        <f t="array" ref="Z510">INDEX(Tabela.abordagens[],SMALL(IF(Tabela.abordagens[Mês]=$L$2,ROW(Tabela.abordagens[Idade])-2),ROW(A463)),6)</f>
        <v>#NUM!</v>
      </c>
      <c r="AA510" s="240" t="e">
        <f t="array" ref="AA510">INDEX(Tabela.abordagens[],SMALL(IF(Tabela.abordagens[Mês]=$L$2,ROW(Tabela.abordagens[Idade])-2),ROW(A463)),4)</f>
        <v>#NUM!</v>
      </c>
      <c r="AB510" s="240" t="e">
        <f t="array" ref="AB510">INDEX(Tabela.abordagens[],SMALL(IF(Tabela.abordagens[Mês]=$L$2,ROW(Tabela.abordagens[Idade])-2),ROW(A463)),5)</f>
        <v>#NUM!</v>
      </c>
    </row>
    <row r="511" spans="2:28" ht="15" x14ac:dyDescent="0.25">
      <c r="B511" s="223" t="e">
        <f t="array" ref="B511">INDEX(Tabela.frequencia[],SMALL(IF(Tabela.frequencia[Mês]=$L$2,ROW(Tabela.frequencia[id])-1),ROW(A464)),1)</f>
        <v>#NUM!</v>
      </c>
      <c r="C511" s="229" t="e">
        <f t="array" ref="C511">INDEX(Tabela.frequencia[],SMALL(IF(Tabela.frequencia[Mês]=$L$2,ROW(Tabela.frequencia[id])-1),ROW(A464)),4)</f>
        <v>#NUM!</v>
      </c>
      <c r="E511" s="176" t="str">
        <f>IFERROR(VLOOKUP(D511,Tabela.cadastro[[ID]:[Nome]],2,0),"")</f>
        <v/>
      </c>
      <c r="F511" s="177" t="str">
        <f>IFERROR(VLOOKUP(D511,Tabela66[#All],2,0),"")</f>
        <v/>
      </c>
      <c r="G511" s="177" t="str">
        <f>IFERROR(VLOOKUP(D511,Tabela.cadastro[[ID]:[CP ou M]],5,0),"")</f>
        <v/>
      </c>
      <c r="H511" s="177" t="str">
        <f>IFERROR(VLOOKUP(D511,Cadastros!A:F,6,0),"")</f>
        <v/>
      </c>
      <c r="I511" s="177" t="str">
        <f>IFERROR(VLOOKUP(D511,Cadastros!A:I,9,0),"")</f>
        <v/>
      </c>
      <c r="J511" s="177" t="str">
        <f>IFERROR(VLOOKUP(D511,Cadastros!A:J,10,0),"")</f>
        <v/>
      </c>
      <c r="K511" s="177" t="str">
        <f>IF(COUNTIF(Tabela66[id],D511)=0,"",COUNTIF(Tabela66[id],D511))</f>
        <v/>
      </c>
      <c r="L511" s="198"/>
      <c r="M511" s="227" t="str">
        <f t="shared" si="40"/>
        <v/>
      </c>
      <c r="P511" s="176" t="str">
        <f>IFERROR(VLOOKUP(O511,Cadastros!A:B,2),"")</f>
        <v/>
      </c>
      <c r="Q511" s="177" t="str">
        <f t="shared" si="36"/>
        <v/>
      </c>
      <c r="R511" s="177" t="str">
        <f>IFERROR(VLOOKUP(O511,Cadastros!A:E,5,0),"")</f>
        <v/>
      </c>
      <c r="S511" s="177" t="str">
        <f>IFERROR(VLOOKUP(O511,Cadastros!A:F,6,0),"")</f>
        <v/>
      </c>
      <c r="T511" s="177" t="str">
        <f>IFERROR(VLOOKUP(O511,Cadastros!A:I,9,0),"")</f>
        <v/>
      </c>
      <c r="U511" s="177" t="str">
        <f t="shared" si="37"/>
        <v/>
      </c>
      <c r="V511" s="177" t="str">
        <f t="shared" si="38"/>
        <v/>
      </c>
      <c r="W511" s="177" t="str">
        <f t="shared" si="39"/>
        <v/>
      </c>
      <c r="Y511" s="240" t="e">
        <f t="array" ref="Y511">INDEX(Tabela.abordagens[],SMALL(IF(Tabela.abordagens[Mês]=$L$2,ROW(Tabela.abordagens[id])-2),ROW(A464)),1)</f>
        <v>#NUM!</v>
      </c>
      <c r="Z511" s="240" t="e">
        <f t="array" ref="Z511">INDEX(Tabela.abordagens[],SMALL(IF(Tabela.abordagens[Mês]=$L$2,ROW(Tabela.abordagens[Idade])-2),ROW(A464)),6)</f>
        <v>#NUM!</v>
      </c>
      <c r="AA511" s="240" t="e">
        <f t="array" ref="AA511">INDEX(Tabela.abordagens[],SMALL(IF(Tabela.abordagens[Mês]=$L$2,ROW(Tabela.abordagens[Idade])-2),ROW(A464)),4)</f>
        <v>#NUM!</v>
      </c>
      <c r="AB511" s="240" t="e">
        <f t="array" ref="AB511">INDEX(Tabela.abordagens[],SMALL(IF(Tabela.abordagens[Mês]=$L$2,ROW(Tabela.abordagens[Idade])-2),ROW(A464)),5)</f>
        <v>#NUM!</v>
      </c>
    </row>
    <row r="512" spans="2:28" ht="15" x14ac:dyDescent="0.25">
      <c r="B512" s="223" t="e">
        <f t="array" ref="B512">INDEX(Tabela.frequencia[],SMALL(IF(Tabela.frequencia[Mês]=$L$2,ROW(Tabela.frequencia[id])-1),ROW(A465)),1)</f>
        <v>#NUM!</v>
      </c>
      <c r="C512" s="229" t="e">
        <f t="array" ref="C512">INDEX(Tabela.frequencia[],SMALL(IF(Tabela.frequencia[Mês]=$L$2,ROW(Tabela.frequencia[id])-1),ROW(A465)),4)</f>
        <v>#NUM!</v>
      </c>
      <c r="E512" s="176" t="str">
        <f>IFERROR(VLOOKUP(D512,Tabela.cadastro[[ID]:[Nome]],2,0),"")</f>
        <v/>
      </c>
      <c r="F512" s="177" t="str">
        <f>IFERROR(VLOOKUP(D512,Tabela66[#All],2,0),"")</f>
        <v/>
      </c>
      <c r="G512" s="177" t="str">
        <f>IFERROR(VLOOKUP(D512,Tabela.cadastro[[ID]:[CP ou M]],5,0),"")</f>
        <v/>
      </c>
      <c r="H512" s="177" t="str">
        <f>IFERROR(VLOOKUP(D512,Cadastros!A:F,6,0),"")</f>
        <v/>
      </c>
      <c r="I512" s="177" t="str">
        <f>IFERROR(VLOOKUP(D512,Cadastros!A:I,9,0),"")</f>
        <v/>
      </c>
      <c r="J512" s="177" t="str">
        <f>IFERROR(VLOOKUP(D512,Cadastros!A:J,10,0),"")</f>
        <v/>
      </c>
      <c r="K512" s="177" t="str">
        <f>IF(COUNTIF(Tabela66[id],D512)=0,"",COUNTIF(Tabela66[id],D512))</f>
        <v/>
      </c>
      <c r="L512" s="198"/>
      <c r="M512" s="227" t="str">
        <f t="shared" si="40"/>
        <v/>
      </c>
      <c r="P512" s="176" t="str">
        <f>IFERROR(VLOOKUP(O512,Cadastros!A:B,2),"")</f>
        <v/>
      </c>
      <c r="Q512" s="177" t="str">
        <f t="shared" si="36"/>
        <v/>
      </c>
      <c r="R512" s="177" t="str">
        <f>IFERROR(VLOOKUP(O512,Cadastros!A:E,5,0),"")</f>
        <v/>
      </c>
      <c r="S512" s="177" t="str">
        <f>IFERROR(VLOOKUP(O512,Cadastros!A:F,6,0),"")</f>
        <v/>
      </c>
      <c r="T512" s="177" t="str">
        <f>IFERROR(VLOOKUP(O512,Cadastros!A:I,9,0),"")</f>
        <v/>
      </c>
      <c r="U512" s="177" t="str">
        <f t="shared" si="37"/>
        <v/>
      </c>
      <c r="V512" s="177" t="str">
        <f t="shared" si="38"/>
        <v/>
      </c>
      <c r="W512" s="177" t="str">
        <f t="shared" si="39"/>
        <v/>
      </c>
      <c r="Y512" s="240" t="e">
        <f t="array" ref="Y512">INDEX(Tabela.abordagens[],SMALL(IF(Tabela.abordagens[Mês]=$L$2,ROW(Tabela.abordagens[id])-2),ROW(A465)),1)</f>
        <v>#NUM!</v>
      </c>
      <c r="Z512" s="240" t="e">
        <f t="array" ref="Z512">INDEX(Tabela.abordagens[],SMALL(IF(Tabela.abordagens[Mês]=$L$2,ROW(Tabela.abordagens[Idade])-2),ROW(A465)),6)</f>
        <v>#NUM!</v>
      </c>
      <c r="AA512" s="240" t="e">
        <f t="array" ref="AA512">INDEX(Tabela.abordagens[],SMALL(IF(Tabela.abordagens[Mês]=$L$2,ROW(Tabela.abordagens[Idade])-2),ROW(A465)),4)</f>
        <v>#NUM!</v>
      </c>
      <c r="AB512" s="240" t="e">
        <f t="array" ref="AB512">INDEX(Tabela.abordagens[],SMALL(IF(Tabela.abordagens[Mês]=$L$2,ROW(Tabela.abordagens[Idade])-2),ROW(A465)),5)</f>
        <v>#NUM!</v>
      </c>
    </row>
    <row r="513" spans="2:28" ht="15" x14ac:dyDescent="0.25">
      <c r="B513" s="223" t="e">
        <f t="array" ref="B513">INDEX(Tabela.frequencia[],SMALL(IF(Tabela.frequencia[Mês]=$L$2,ROW(Tabela.frequencia[id])-1),ROW(A466)),1)</f>
        <v>#NUM!</v>
      </c>
      <c r="C513" s="229" t="e">
        <f t="array" ref="C513">INDEX(Tabela.frequencia[],SMALL(IF(Tabela.frequencia[Mês]=$L$2,ROW(Tabela.frequencia[id])-1),ROW(A466)),4)</f>
        <v>#NUM!</v>
      </c>
      <c r="E513" s="176" t="str">
        <f>IFERROR(VLOOKUP(D513,Tabela.cadastro[[ID]:[Nome]],2,0),"")</f>
        <v/>
      </c>
      <c r="F513" s="177" t="str">
        <f>IFERROR(VLOOKUP(D513,Tabela66[#All],2,0),"")</f>
        <v/>
      </c>
      <c r="G513" s="177" t="str">
        <f>IFERROR(VLOOKUP(D513,Tabela.cadastro[[ID]:[CP ou M]],5,0),"")</f>
        <v/>
      </c>
      <c r="H513" s="177" t="str">
        <f>IFERROR(VLOOKUP(D513,Cadastros!A:F,6,0),"")</f>
        <v/>
      </c>
      <c r="I513" s="177" t="str">
        <f>IFERROR(VLOOKUP(D513,Cadastros!A:I,9,0),"")</f>
        <v/>
      </c>
      <c r="J513" s="177" t="str">
        <f>IFERROR(VLOOKUP(D513,Cadastros!A:J,10,0),"")</f>
        <v/>
      </c>
      <c r="K513" s="177" t="str">
        <f>IF(COUNTIF(Tabela66[id],D513)=0,"",COUNTIF(Tabela66[id],D513))</f>
        <v/>
      </c>
      <c r="L513" s="198"/>
      <c r="M513" s="227" t="str">
        <f t="shared" si="40"/>
        <v/>
      </c>
      <c r="P513" s="176" t="str">
        <f>IFERROR(VLOOKUP(O513,Cadastros!A:B,2),"")</f>
        <v/>
      </c>
      <c r="Q513" s="177" t="str">
        <f t="shared" si="36"/>
        <v/>
      </c>
      <c r="R513" s="177" t="str">
        <f>IFERROR(VLOOKUP(O513,Cadastros!A:E,5,0),"")</f>
        <v/>
      </c>
      <c r="S513" s="177" t="str">
        <f>IFERROR(VLOOKUP(O513,Cadastros!A:F,6,0),"")</f>
        <v/>
      </c>
      <c r="T513" s="177" t="str">
        <f>IFERROR(VLOOKUP(O513,Cadastros!A:I,9,0),"")</f>
        <v/>
      </c>
      <c r="U513" s="177" t="str">
        <f t="shared" si="37"/>
        <v/>
      </c>
      <c r="V513" s="177" t="str">
        <f t="shared" si="38"/>
        <v/>
      </c>
      <c r="W513" s="177" t="str">
        <f t="shared" si="39"/>
        <v/>
      </c>
      <c r="Y513" s="240" t="e">
        <f t="array" ref="Y513">INDEX(Tabela.abordagens[],SMALL(IF(Tabela.abordagens[Mês]=$L$2,ROW(Tabela.abordagens[id])-2),ROW(A466)),1)</f>
        <v>#NUM!</v>
      </c>
      <c r="Z513" s="240" t="e">
        <f t="array" ref="Z513">INDEX(Tabela.abordagens[],SMALL(IF(Tabela.abordagens[Mês]=$L$2,ROW(Tabela.abordagens[Idade])-2),ROW(A466)),6)</f>
        <v>#NUM!</v>
      </c>
      <c r="AA513" s="240" t="e">
        <f t="array" ref="AA513">INDEX(Tabela.abordagens[],SMALL(IF(Tabela.abordagens[Mês]=$L$2,ROW(Tabela.abordagens[Idade])-2),ROW(A466)),4)</f>
        <v>#NUM!</v>
      </c>
      <c r="AB513" s="240" t="e">
        <f t="array" ref="AB513">INDEX(Tabela.abordagens[],SMALL(IF(Tabela.abordagens[Mês]=$L$2,ROW(Tabela.abordagens[Idade])-2),ROW(A466)),5)</f>
        <v>#NUM!</v>
      </c>
    </row>
    <row r="514" spans="2:28" ht="15" x14ac:dyDescent="0.25">
      <c r="B514" s="223" t="e">
        <f t="array" ref="B514">INDEX(Tabela.frequencia[],SMALL(IF(Tabela.frequencia[Mês]=$L$2,ROW(Tabela.frequencia[id])-1),ROW(A467)),1)</f>
        <v>#NUM!</v>
      </c>
      <c r="C514" s="229" t="e">
        <f t="array" ref="C514">INDEX(Tabela.frequencia[],SMALL(IF(Tabela.frequencia[Mês]=$L$2,ROW(Tabela.frequencia[id])-1),ROW(A467)),4)</f>
        <v>#NUM!</v>
      </c>
      <c r="E514" s="176" t="str">
        <f>IFERROR(VLOOKUP(D514,Tabela.cadastro[[ID]:[Nome]],2,0),"")</f>
        <v/>
      </c>
      <c r="F514" s="177" t="str">
        <f>IFERROR(VLOOKUP(D514,Tabela66[#All],2,0),"")</f>
        <v/>
      </c>
      <c r="G514" s="177" t="str">
        <f>IFERROR(VLOOKUP(D514,Tabela.cadastro[[ID]:[CP ou M]],5,0),"")</f>
        <v/>
      </c>
      <c r="H514" s="177" t="str">
        <f>IFERROR(VLOOKUP(D514,Cadastros!A:F,6,0),"")</f>
        <v/>
      </c>
      <c r="I514" s="177" t="str">
        <f>IFERROR(VLOOKUP(D514,Cadastros!A:I,9,0),"")</f>
        <v/>
      </c>
      <c r="J514" s="177" t="str">
        <f>IFERROR(VLOOKUP(D514,Cadastros!A:J,10,0),"")</f>
        <v/>
      </c>
      <c r="K514" s="177" t="str">
        <f>IF(COUNTIF(Tabela66[id],D514)=0,"",COUNTIF(Tabela66[id],D514))</f>
        <v/>
      </c>
      <c r="L514" s="198"/>
      <c r="M514" s="227" t="str">
        <f t="shared" si="40"/>
        <v/>
      </c>
      <c r="P514" s="176" t="str">
        <f>IFERROR(VLOOKUP(O514,Cadastros!A:B,2),"")</f>
        <v/>
      </c>
      <c r="Q514" s="177" t="str">
        <f t="shared" si="36"/>
        <v/>
      </c>
      <c r="R514" s="177" t="str">
        <f>IFERROR(VLOOKUP(O514,Cadastros!A:E,5,0),"")</f>
        <v/>
      </c>
      <c r="S514" s="177" t="str">
        <f>IFERROR(VLOOKUP(O514,Cadastros!A:F,6,0),"")</f>
        <v/>
      </c>
      <c r="T514" s="177" t="str">
        <f>IFERROR(VLOOKUP(O514,Cadastros!A:I,9,0),"")</f>
        <v/>
      </c>
      <c r="U514" s="177" t="str">
        <f t="shared" si="37"/>
        <v/>
      </c>
      <c r="V514" s="177" t="str">
        <f t="shared" si="38"/>
        <v/>
      </c>
      <c r="W514" s="177" t="str">
        <f t="shared" si="39"/>
        <v/>
      </c>
      <c r="Y514" s="240" t="e">
        <f t="array" ref="Y514">INDEX(Tabela.abordagens[],SMALL(IF(Tabela.abordagens[Mês]=$L$2,ROW(Tabela.abordagens[id])-2),ROW(A467)),1)</f>
        <v>#NUM!</v>
      </c>
      <c r="Z514" s="240" t="e">
        <f t="array" ref="Z514">INDEX(Tabela.abordagens[],SMALL(IF(Tabela.abordagens[Mês]=$L$2,ROW(Tabela.abordagens[Idade])-2),ROW(A467)),6)</f>
        <v>#NUM!</v>
      </c>
      <c r="AA514" s="240" t="e">
        <f t="array" ref="AA514">INDEX(Tabela.abordagens[],SMALL(IF(Tabela.abordagens[Mês]=$L$2,ROW(Tabela.abordagens[Idade])-2),ROW(A467)),4)</f>
        <v>#NUM!</v>
      </c>
      <c r="AB514" s="240" t="e">
        <f t="array" ref="AB514">INDEX(Tabela.abordagens[],SMALL(IF(Tabela.abordagens[Mês]=$L$2,ROW(Tabela.abordagens[Idade])-2),ROW(A467)),5)</f>
        <v>#NUM!</v>
      </c>
    </row>
    <row r="515" spans="2:28" ht="15" x14ac:dyDescent="0.25">
      <c r="B515" s="223" t="e">
        <f t="array" ref="B515">INDEX(Tabela.frequencia[],SMALL(IF(Tabela.frequencia[Mês]=$L$2,ROW(Tabela.frequencia[id])-1),ROW(A468)),1)</f>
        <v>#NUM!</v>
      </c>
      <c r="C515" s="229" t="e">
        <f t="array" ref="C515">INDEX(Tabela.frequencia[],SMALL(IF(Tabela.frequencia[Mês]=$L$2,ROW(Tabela.frequencia[id])-1),ROW(A468)),4)</f>
        <v>#NUM!</v>
      </c>
      <c r="E515" s="176" t="str">
        <f>IFERROR(VLOOKUP(D515,Tabela.cadastro[[ID]:[Nome]],2,0),"")</f>
        <v/>
      </c>
      <c r="F515" s="177" t="str">
        <f>IFERROR(VLOOKUP(D515,Tabela66[#All],2,0),"")</f>
        <v/>
      </c>
      <c r="G515" s="177" t="str">
        <f>IFERROR(VLOOKUP(D515,Tabela.cadastro[[ID]:[CP ou M]],5,0),"")</f>
        <v/>
      </c>
      <c r="H515" s="177" t="str">
        <f>IFERROR(VLOOKUP(D515,Cadastros!A:F,6,0),"")</f>
        <v/>
      </c>
      <c r="I515" s="177" t="str">
        <f>IFERROR(VLOOKUP(D515,Cadastros!A:I,9,0),"")</f>
        <v/>
      </c>
      <c r="J515" s="177" t="str">
        <f>IFERROR(VLOOKUP(D515,Cadastros!A:J,10,0),"")</f>
        <v/>
      </c>
      <c r="K515" s="177" t="str">
        <f>IF(COUNTIF(Tabela66[id],D515)=0,"",COUNTIF(Tabela66[id],D515))</f>
        <v/>
      </c>
      <c r="L515" s="198"/>
      <c r="M515" s="227" t="str">
        <f t="shared" si="40"/>
        <v/>
      </c>
      <c r="P515" s="176" t="str">
        <f>IFERROR(VLOOKUP(O515,Cadastros!A:B,2),"")</f>
        <v/>
      </c>
      <c r="Q515" s="177" t="str">
        <f t="shared" si="36"/>
        <v/>
      </c>
      <c r="R515" s="177" t="str">
        <f>IFERROR(VLOOKUP(O515,Cadastros!A:E,5,0),"")</f>
        <v/>
      </c>
      <c r="S515" s="177" t="str">
        <f>IFERROR(VLOOKUP(O515,Cadastros!A:F,6,0),"")</f>
        <v/>
      </c>
      <c r="T515" s="177" t="str">
        <f>IFERROR(VLOOKUP(O515,Cadastros!A:I,9,0),"")</f>
        <v/>
      </c>
      <c r="U515" s="177" t="str">
        <f t="shared" si="37"/>
        <v/>
      </c>
      <c r="V515" s="177" t="str">
        <f t="shared" si="38"/>
        <v/>
      </c>
      <c r="W515" s="177" t="str">
        <f t="shared" si="39"/>
        <v/>
      </c>
      <c r="Y515" s="240" t="e">
        <f t="array" ref="Y515">INDEX(Tabela.abordagens[],SMALL(IF(Tabela.abordagens[Mês]=$L$2,ROW(Tabela.abordagens[id])-2),ROW(A468)),1)</f>
        <v>#NUM!</v>
      </c>
      <c r="Z515" s="240" t="e">
        <f t="array" ref="Z515">INDEX(Tabela.abordagens[],SMALL(IF(Tabela.abordagens[Mês]=$L$2,ROW(Tabela.abordagens[Idade])-2),ROW(A468)),6)</f>
        <v>#NUM!</v>
      </c>
      <c r="AA515" s="240" t="e">
        <f t="array" ref="AA515">INDEX(Tabela.abordagens[],SMALL(IF(Tabela.abordagens[Mês]=$L$2,ROW(Tabela.abordagens[Idade])-2),ROW(A468)),4)</f>
        <v>#NUM!</v>
      </c>
      <c r="AB515" s="240" t="e">
        <f t="array" ref="AB515">INDEX(Tabela.abordagens[],SMALL(IF(Tabela.abordagens[Mês]=$L$2,ROW(Tabela.abordagens[Idade])-2),ROW(A468)),5)</f>
        <v>#NUM!</v>
      </c>
    </row>
    <row r="516" spans="2:28" ht="15" x14ac:dyDescent="0.25">
      <c r="B516" s="223" t="e">
        <f t="array" ref="B516">INDEX(Tabela.frequencia[],SMALL(IF(Tabela.frequencia[Mês]=$L$2,ROW(Tabela.frequencia[id])-1),ROW(A469)),1)</f>
        <v>#NUM!</v>
      </c>
      <c r="C516" s="229" t="e">
        <f t="array" ref="C516">INDEX(Tabela.frequencia[],SMALL(IF(Tabela.frequencia[Mês]=$L$2,ROW(Tabela.frequencia[id])-1),ROW(A469)),4)</f>
        <v>#NUM!</v>
      </c>
      <c r="E516" s="176" t="str">
        <f>IFERROR(VLOOKUP(D516,Tabela.cadastro[[ID]:[Nome]],2,0),"")</f>
        <v/>
      </c>
      <c r="F516" s="177" t="str">
        <f>IFERROR(VLOOKUP(D516,Tabela66[#All],2,0),"")</f>
        <v/>
      </c>
      <c r="G516" s="177" t="str">
        <f>IFERROR(VLOOKUP(D516,Tabela.cadastro[[ID]:[CP ou M]],5,0),"")</f>
        <v/>
      </c>
      <c r="H516" s="177" t="str">
        <f>IFERROR(VLOOKUP(D516,Cadastros!A:F,6,0),"")</f>
        <v/>
      </c>
      <c r="I516" s="177" t="str">
        <f>IFERROR(VLOOKUP(D516,Cadastros!A:I,9,0),"")</f>
        <v/>
      </c>
      <c r="J516" s="177" t="str">
        <f>IFERROR(VLOOKUP(D516,Cadastros!A:J,10,0),"")</f>
        <v/>
      </c>
      <c r="K516" s="177" t="str">
        <f>IF(COUNTIF(Tabela66[id],D516)=0,"",COUNTIF(Tabela66[id],D516))</f>
        <v/>
      </c>
      <c r="L516" s="198"/>
      <c r="M516" s="227" t="str">
        <f t="shared" si="40"/>
        <v/>
      </c>
      <c r="P516" s="176" t="str">
        <f>IFERROR(VLOOKUP(O516,Cadastros!A:B,2),"")</f>
        <v/>
      </c>
      <c r="Q516" s="177" t="str">
        <f t="shared" si="36"/>
        <v/>
      </c>
      <c r="R516" s="177" t="str">
        <f>IFERROR(VLOOKUP(O516,Cadastros!A:E,5,0),"")</f>
        <v/>
      </c>
      <c r="S516" s="177" t="str">
        <f>IFERROR(VLOOKUP(O516,Cadastros!A:F,6,0),"")</f>
        <v/>
      </c>
      <c r="T516" s="177" t="str">
        <f>IFERROR(VLOOKUP(O516,Cadastros!A:I,9,0),"")</f>
        <v/>
      </c>
      <c r="U516" s="177" t="str">
        <f t="shared" si="37"/>
        <v/>
      </c>
      <c r="V516" s="177" t="str">
        <f t="shared" si="38"/>
        <v/>
      </c>
      <c r="W516" s="177" t="str">
        <f t="shared" si="39"/>
        <v/>
      </c>
      <c r="Y516" s="240" t="e">
        <f t="array" ref="Y516">INDEX(Tabela.abordagens[],SMALL(IF(Tabela.abordagens[Mês]=$L$2,ROW(Tabela.abordagens[id])-2),ROW(A469)),1)</f>
        <v>#NUM!</v>
      </c>
      <c r="Z516" s="240" t="e">
        <f t="array" ref="Z516">INDEX(Tabela.abordagens[],SMALL(IF(Tabela.abordagens[Mês]=$L$2,ROW(Tabela.abordagens[Idade])-2),ROW(A469)),6)</f>
        <v>#NUM!</v>
      </c>
      <c r="AA516" s="240" t="e">
        <f t="array" ref="AA516">INDEX(Tabela.abordagens[],SMALL(IF(Tabela.abordagens[Mês]=$L$2,ROW(Tabela.abordagens[Idade])-2),ROW(A469)),4)</f>
        <v>#NUM!</v>
      </c>
      <c r="AB516" s="240" t="e">
        <f t="array" ref="AB516">INDEX(Tabela.abordagens[],SMALL(IF(Tabela.abordagens[Mês]=$L$2,ROW(Tabela.abordagens[Idade])-2),ROW(A469)),5)</f>
        <v>#NUM!</v>
      </c>
    </row>
    <row r="517" spans="2:28" ht="15" x14ac:dyDescent="0.25">
      <c r="B517" s="223" t="e">
        <f t="array" ref="B517">INDEX(Tabela.frequencia[],SMALL(IF(Tabela.frequencia[Mês]=$L$2,ROW(Tabela.frequencia[id])-1),ROW(A470)),1)</f>
        <v>#NUM!</v>
      </c>
      <c r="C517" s="229" t="e">
        <f t="array" ref="C517">INDEX(Tabela.frequencia[],SMALL(IF(Tabela.frequencia[Mês]=$L$2,ROW(Tabela.frequencia[id])-1),ROW(A470)),4)</f>
        <v>#NUM!</v>
      </c>
      <c r="E517" s="176" t="str">
        <f>IFERROR(VLOOKUP(D517,Tabela.cadastro[[ID]:[Nome]],2,0),"")</f>
        <v/>
      </c>
      <c r="F517" s="177" t="str">
        <f>IFERROR(VLOOKUP(D517,Tabela66[#All],2,0),"")</f>
        <v/>
      </c>
      <c r="G517" s="177" t="str">
        <f>IFERROR(VLOOKUP(D517,Tabela.cadastro[[ID]:[CP ou M]],5,0),"")</f>
        <v/>
      </c>
      <c r="H517" s="177" t="str">
        <f>IFERROR(VLOOKUP(D517,Cadastros!A:F,6,0),"")</f>
        <v/>
      </c>
      <c r="I517" s="177" t="str">
        <f>IFERROR(VLOOKUP(D517,Cadastros!A:I,9,0),"")</f>
        <v/>
      </c>
      <c r="J517" s="177" t="str">
        <f>IFERROR(VLOOKUP(D517,Cadastros!A:J,10,0),"")</f>
        <v/>
      </c>
      <c r="K517" s="177" t="str">
        <f>IF(COUNTIF(Tabela66[id],D517)=0,"",COUNTIF(Tabela66[id],D517))</f>
        <v/>
      </c>
      <c r="L517" s="198"/>
      <c r="M517" s="227" t="str">
        <f t="shared" si="40"/>
        <v/>
      </c>
      <c r="P517" s="176" t="str">
        <f>IFERROR(VLOOKUP(O517,Cadastros!A:B,2),"")</f>
        <v/>
      </c>
      <c r="Q517" s="177" t="str">
        <f t="shared" si="36"/>
        <v/>
      </c>
      <c r="R517" s="177" t="str">
        <f>IFERROR(VLOOKUP(O517,Cadastros!A:E,5,0),"")</f>
        <v/>
      </c>
      <c r="S517" s="177" t="str">
        <f>IFERROR(VLOOKUP(O517,Cadastros!A:F,6,0),"")</f>
        <v/>
      </c>
      <c r="T517" s="177" t="str">
        <f>IFERROR(VLOOKUP(O517,Cadastros!A:I,9,0),"")</f>
        <v/>
      </c>
      <c r="U517" s="177" t="str">
        <f t="shared" si="37"/>
        <v/>
      </c>
      <c r="V517" s="177" t="str">
        <f t="shared" si="38"/>
        <v/>
      </c>
      <c r="W517" s="177" t="str">
        <f t="shared" si="39"/>
        <v/>
      </c>
      <c r="Y517" s="240" t="e">
        <f t="array" ref="Y517">INDEX(Tabela.abordagens[],SMALL(IF(Tabela.abordagens[Mês]=$L$2,ROW(Tabela.abordagens[id])-2),ROW(A470)),1)</f>
        <v>#NUM!</v>
      </c>
      <c r="Z517" s="240" t="e">
        <f t="array" ref="Z517">INDEX(Tabela.abordagens[],SMALL(IF(Tabela.abordagens[Mês]=$L$2,ROW(Tabela.abordagens[Idade])-2),ROW(A470)),6)</f>
        <v>#NUM!</v>
      </c>
      <c r="AA517" s="240" t="e">
        <f t="array" ref="AA517">INDEX(Tabela.abordagens[],SMALL(IF(Tabela.abordagens[Mês]=$L$2,ROW(Tabela.abordagens[Idade])-2),ROW(A470)),4)</f>
        <v>#NUM!</v>
      </c>
      <c r="AB517" s="240" t="e">
        <f t="array" ref="AB517">INDEX(Tabela.abordagens[],SMALL(IF(Tabela.abordagens[Mês]=$L$2,ROW(Tabela.abordagens[Idade])-2),ROW(A470)),5)</f>
        <v>#NUM!</v>
      </c>
    </row>
    <row r="518" spans="2:28" ht="15" x14ac:dyDescent="0.25">
      <c r="B518" s="223" t="e">
        <f t="array" ref="B518">INDEX(Tabela.frequencia[],SMALL(IF(Tabela.frequencia[Mês]=$L$2,ROW(Tabela.frequencia[id])-1),ROW(A471)),1)</f>
        <v>#NUM!</v>
      </c>
      <c r="C518" s="229" t="e">
        <f t="array" ref="C518">INDEX(Tabela.frequencia[],SMALL(IF(Tabela.frequencia[Mês]=$L$2,ROW(Tabela.frequencia[id])-1),ROW(A471)),4)</f>
        <v>#NUM!</v>
      </c>
      <c r="E518" s="176" t="str">
        <f>IFERROR(VLOOKUP(D518,Tabela.cadastro[[ID]:[Nome]],2,0),"")</f>
        <v/>
      </c>
      <c r="F518" s="177" t="str">
        <f>IFERROR(VLOOKUP(D518,Tabela66[#All],2,0),"")</f>
        <v/>
      </c>
      <c r="G518" s="177" t="str">
        <f>IFERROR(VLOOKUP(D518,Tabela.cadastro[[ID]:[CP ou M]],5,0),"")</f>
        <v/>
      </c>
      <c r="H518" s="177" t="str">
        <f>IFERROR(VLOOKUP(D518,Cadastros!A:F,6,0),"")</f>
        <v/>
      </c>
      <c r="I518" s="177" t="str">
        <f>IFERROR(VLOOKUP(D518,Cadastros!A:I,9,0),"")</f>
        <v/>
      </c>
      <c r="J518" s="177" t="str">
        <f>IFERROR(VLOOKUP(D518,Cadastros!A:J,10,0),"")</f>
        <v/>
      </c>
      <c r="K518" s="177" t="str">
        <f>IF(COUNTIF(Tabela66[id],D518)=0,"",COUNTIF(Tabela66[id],D518))</f>
        <v/>
      </c>
      <c r="L518" s="198"/>
      <c r="M518" s="227" t="str">
        <f t="shared" si="40"/>
        <v/>
      </c>
      <c r="P518" s="176" t="str">
        <f>IFERROR(VLOOKUP(O518,Cadastros!A:B,2),"")</f>
        <v/>
      </c>
      <c r="Q518" s="177" t="str">
        <f t="shared" si="36"/>
        <v/>
      </c>
      <c r="R518" s="177" t="str">
        <f>IFERROR(VLOOKUP(O518,Cadastros!A:E,5,0),"")</f>
        <v/>
      </c>
      <c r="S518" s="177" t="str">
        <f>IFERROR(VLOOKUP(O518,Cadastros!A:F,6,0),"")</f>
        <v/>
      </c>
      <c r="T518" s="177" t="str">
        <f>IFERROR(VLOOKUP(O518,Cadastros!A:I,9,0),"")</f>
        <v/>
      </c>
      <c r="U518" s="177" t="str">
        <f t="shared" si="37"/>
        <v/>
      </c>
      <c r="V518" s="177" t="str">
        <f t="shared" si="38"/>
        <v/>
      </c>
      <c r="W518" s="177" t="str">
        <f t="shared" si="39"/>
        <v/>
      </c>
      <c r="Y518" s="240" t="e">
        <f t="array" ref="Y518">INDEX(Tabela.abordagens[],SMALL(IF(Tabela.abordagens[Mês]=$L$2,ROW(Tabela.abordagens[id])-2),ROW(A471)),1)</f>
        <v>#NUM!</v>
      </c>
      <c r="Z518" s="240" t="e">
        <f t="array" ref="Z518">INDEX(Tabela.abordagens[],SMALL(IF(Tabela.abordagens[Mês]=$L$2,ROW(Tabela.abordagens[Idade])-2),ROW(A471)),6)</f>
        <v>#NUM!</v>
      </c>
      <c r="AA518" s="240" t="e">
        <f t="array" ref="AA518">INDEX(Tabela.abordagens[],SMALL(IF(Tabela.abordagens[Mês]=$L$2,ROW(Tabela.abordagens[Idade])-2),ROW(A471)),4)</f>
        <v>#NUM!</v>
      </c>
      <c r="AB518" s="240" t="e">
        <f t="array" ref="AB518">INDEX(Tabela.abordagens[],SMALL(IF(Tabela.abordagens[Mês]=$L$2,ROW(Tabela.abordagens[Idade])-2),ROW(A471)),5)</f>
        <v>#NUM!</v>
      </c>
    </row>
    <row r="519" spans="2:28" ht="15" x14ac:dyDescent="0.25">
      <c r="B519" s="223" t="e">
        <f t="array" ref="B519">INDEX(Tabela.frequencia[],SMALL(IF(Tabela.frequencia[Mês]=$L$2,ROW(Tabela.frequencia[id])-1),ROW(A472)),1)</f>
        <v>#NUM!</v>
      </c>
      <c r="C519" s="229" t="e">
        <f t="array" ref="C519">INDEX(Tabela.frequencia[],SMALL(IF(Tabela.frequencia[Mês]=$L$2,ROW(Tabela.frequencia[id])-1),ROW(A472)),4)</f>
        <v>#NUM!</v>
      </c>
      <c r="E519" s="176" t="str">
        <f>IFERROR(VLOOKUP(D519,Tabela.cadastro[[ID]:[Nome]],2,0),"")</f>
        <v/>
      </c>
      <c r="F519" s="177" t="str">
        <f>IFERROR(VLOOKUP(D519,Tabela66[#All],2,0),"")</f>
        <v/>
      </c>
      <c r="G519" s="177" t="str">
        <f>IFERROR(VLOOKUP(D519,Tabela.cadastro[[ID]:[CP ou M]],5,0),"")</f>
        <v/>
      </c>
      <c r="H519" s="177" t="str">
        <f>IFERROR(VLOOKUP(D519,Cadastros!A:F,6,0),"")</f>
        <v/>
      </c>
      <c r="I519" s="177" t="str">
        <f>IFERROR(VLOOKUP(D519,Cadastros!A:I,9,0),"")</f>
        <v/>
      </c>
      <c r="J519" s="177" t="str">
        <f>IFERROR(VLOOKUP(D519,Cadastros!A:J,10,0),"")</f>
        <v/>
      </c>
      <c r="K519" s="177" t="str">
        <f>IF(COUNTIF(Tabela66[id],D519)=0,"",COUNTIF(Tabela66[id],D519))</f>
        <v/>
      </c>
      <c r="L519" s="198"/>
      <c r="M519" s="227" t="str">
        <f t="shared" si="40"/>
        <v/>
      </c>
      <c r="P519" s="176" t="str">
        <f>IFERROR(VLOOKUP(O519,Cadastros!A:B,2),"")</f>
        <v/>
      </c>
      <c r="Q519" s="177" t="str">
        <f t="shared" si="36"/>
        <v/>
      </c>
      <c r="R519" s="177" t="str">
        <f>IFERROR(VLOOKUP(O519,Cadastros!A:E,5,0),"")</f>
        <v/>
      </c>
      <c r="S519" s="177" t="str">
        <f>IFERROR(VLOOKUP(O519,Cadastros!A:F,6,0),"")</f>
        <v/>
      </c>
      <c r="T519" s="177" t="str">
        <f>IFERROR(VLOOKUP(O519,Cadastros!A:I,9,0),"")</f>
        <v/>
      </c>
      <c r="U519" s="177" t="str">
        <f t="shared" si="37"/>
        <v/>
      </c>
      <c r="V519" s="177" t="str">
        <f t="shared" si="38"/>
        <v/>
      </c>
      <c r="W519" s="177" t="str">
        <f t="shared" si="39"/>
        <v/>
      </c>
      <c r="Y519" s="240" t="e">
        <f t="array" ref="Y519">INDEX(Tabela.abordagens[],SMALL(IF(Tabela.abordagens[Mês]=$L$2,ROW(Tabela.abordagens[id])-2),ROW(A472)),1)</f>
        <v>#NUM!</v>
      </c>
      <c r="Z519" s="240" t="e">
        <f t="array" ref="Z519">INDEX(Tabela.abordagens[],SMALL(IF(Tabela.abordagens[Mês]=$L$2,ROW(Tabela.abordagens[Idade])-2),ROW(A472)),6)</f>
        <v>#NUM!</v>
      </c>
      <c r="AA519" s="240" t="e">
        <f t="array" ref="AA519">INDEX(Tabela.abordagens[],SMALL(IF(Tabela.abordagens[Mês]=$L$2,ROW(Tabela.abordagens[Idade])-2),ROW(A472)),4)</f>
        <v>#NUM!</v>
      </c>
      <c r="AB519" s="240" t="e">
        <f t="array" ref="AB519">INDEX(Tabela.abordagens[],SMALL(IF(Tabela.abordagens[Mês]=$L$2,ROW(Tabela.abordagens[Idade])-2),ROW(A472)),5)</f>
        <v>#NUM!</v>
      </c>
    </row>
    <row r="520" spans="2:28" ht="15" x14ac:dyDescent="0.25">
      <c r="B520" s="223" t="e">
        <f t="array" ref="B520">INDEX(Tabela.frequencia[],SMALL(IF(Tabela.frequencia[Mês]=$L$2,ROW(Tabela.frequencia[id])-1),ROW(A473)),1)</f>
        <v>#NUM!</v>
      </c>
      <c r="C520" s="229" t="e">
        <f t="array" ref="C520">INDEX(Tabela.frequencia[],SMALL(IF(Tabela.frequencia[Mês]=$L$2,ROW(Tabela.frequencia[id])-1),ROW(A473)),4)</f>
        <v>#NUM!</v>
      </c>
      <c r="E520" s="176" t="str">
        <f>IFERROR(VLOOKUP(D520,Tabela.cadastro[[ID]:[Nome]],2,0),"")</f>
        <v/>
      </c>
      <c r="F520" s="177" t="str">
        <f>IFERROR(VLOOKUP(D520,Tabela66[#All],2,0),"")</f>
        <v/>
      </c>
      <c r="G520" s="177" t="str">
        <f>IFERROR(VLOOKUP(D520,Tabela.cadastro[[ID]:[CP ou M]],5,0),"")</f>
        <v/>
      </c>
      <c r="H520" s="177" t="str">
        <f>IFERROR(VLOOKUP(D520,Cadastros!A:F,6,0),"")</f>
        <v/>
      </c>
      <c r="I520" s="177" t="str">
        <f>IFERROR(VLOOKUP(D520,Cadastros!A:I,9,0),"")</f>
        <v/>
      </c>
      <c r="J520" s="177" t="str">
        <f>IFERROR(VLOOKUP(D520,Cadastros!A:J,10,0),"")</f>
        <v/>
      </c>
      <c r="K520" s="177" t="str">
        <f>IF(COUNTIF(Tabela66[id],D520)=0,"",COUNTIF(Tabela66[id],D520))</f>
        <v/>
      </c>
      <c r="L520" s="198"/>
      <c r="M520" s="227" t="str">
        <f t="shared" si="40"/>
        <v/>
      </c>
      <c r="P520" s="176" t="str">
        <f>IFERROR(VLOOKUP(O520,Cadastros!A:B,2),"")</f>
        <v/>
      </c>
      <c r="Q520" s="177" t="str">
        <f t="shared" si="36"/>
        <v/>
      </c>
      <c r="R520" s="177" t="str">
        <f>IFERROR(VLOOKUP(O520,Cadastros!A:E,5,0),"")</f>
        <v/>
      </c>
      <c r="S520" s="177" t="str">
        <f>IFERROR(VLOOKUP(O520,Cadastros!A:F,6,0),"")</f>
        <v/>
      </c>
      <c r="T520" s="177" t="str">
        <f>IFERROR(VLOOKUP(O520,Cadastros!A:I,9,0),"")</f>
        <v/>
      </c>
      <c r="U520" s="177" t="str">
        <f t="shared" si="37"/>
        <v/>
      </c>
      <c r="V520" s="177" t="str">
        <f t="shared" si="38"/>
        <v/>
      </c>
      <c r="W520" s="177" t="str">
        <f t="shared" si="39"/>
        <v/>
      </c>
      <c r="Y520" s="240" t="e">
        <f t="array" ref="Y520">INDEX(Tabela.abordagens[],SMALL(IF(Tabela.abordagens[Mês]=$L$2,ROW(Tabela.abordagens[id])-2),ROW(A473)),1)</f>
        <v>#NUM!</v>
      </c>
      <c r="Z520" s="240" t="e">
        <f t="array" ref="Z520">INDEX(Tabela.abordagens[],SMALL(IF(Tabela.abordagens[Mês]=$L$2,ROW(Tabela.abordagens[Idade])-2),ROW(A473)),6)</f>
        <v>#NUM!</v>
      </c>
      <c r="AA520" s="240" t="e">
        <f t="array" ref="AA520">INDEX(Tabela.abordagens[],SMALL(IF(Tabela.abordagens[Mês]=$L$2,ROW(Tabela.abordagens[Idade])-2),ROW(A473)),4)</f>
        <v>#NUM!</v>
      </c>
      <c r="AB520" s="240" t="e">
        <f t="array" ref="AB520">INDEX(Tabela.abordagens[],SMALL(IF(Tabela.abordagens[Mês]=$L$2,ROW(Tabela.abordagens[Idade])-2),ROW(A473)),5)</f>
        <v>#NUM!</v>
      </c>
    </row>
    <row r="521" spans="2:28" ht="15" x14ac:dyDescent="0.25">
      <c r="B521" s="223" t="e">
        <f t="array" ref="B521">INDEX(Tabela.frequencia[],SMALL(IF(Tabela.frequencia[Mês]=$L$2,ROW(Tabela.frequencia[id])-1),ROW(A474)),1)</f>
        <v>#NUM!</v>
      </c>
      <c r="C521" s="229" t="e">
        <f t="array" ref="C521">INDEX(Tabela.frequencia[],SMALL(IF(Tabela.frequencia[Mês]=$L$2,ROW(Tabela.frequencia[id])-1),ROW(A474)),4)</f>
        <v>#NUM!</v>
      </c>
      <c r="E521" s="176" t="str">
        <f>IFERROR(VLOOKUP(D521,Tabela.cadastro[[ID]:[Nome]],2,0),"")</f>
        <v/>
      </c>
      <c r="F521" s="177" t="str">
        <f>IFERROR(VLOOKUP(D521,Tabela66[#All],2,0),"")</f>
        <v/>
      </c>
      <c r="G521" s="177" t="str">
        <f>IFERROR(VLOOKUP(D521,Tabela.cadastro[[ID]:[CP ou M]],5,0),"")</f>
        <v/>
      </c>
      <c r="H521" s="177" t="str">
        <f>IFERROR(VLOOKUP(D521,Cadastros!A:F,6,0),"")</f>
        <v/>
      </c>
      <c r="I521" s="177" t="str">
        <f>IFERROR(VLOOKUP(D521,Cadastros!A:I,9,0),"")</f>
        <v/>
      </c>
      <c r="J521" s="177" t="str">
        <f>IFERROR(VLOOKUP(D521,Cadastros!A:J,10,0),"")</f>
        <v/>
      </c>
      <c r="K521" s="177" t="str">
        <f>IF(COUNTIF(Tabela66[id],D521)=0,"",COUNTIF(Tabela66[id],D521))</f>
        <v/>
      </c>
      <c r="L521" s="198"/>
      <c r="M521" s="227" t="str">
        <f t="shared" si="40"/>
        <v/>
      </c>
      <c r="P521" s="176" t="str">
        <f>IFERROR(VLOOKUP(O521,Cadastros!A:B,2),"")</f>
        <v/>
      </c>
      <c r="Q521" s="177" t="str">
        <f t="shared" si="36"/>
        <v/>
      </c>
      <c r="R521" s="177" t="str">
        <f>IFERROR(VLOOKUP(O521,Cadastros!A:E,5,0),"")</f>
        <v/>
      </c>
      <c r="S521" s="177" t="str">
        <f>IFERROR(VLOOKUP(O521,Cadastros!A:F,6,0),"")</f>
        <v/>
      </c>
      <c r="T521" s="177" t="str">
        <f>IFERROR(VLOOKUP(O521,Cadastros!A:I,9,0),"")</f>
        <v/>
      </c>
      <c r="U521" s="177" t="str">
        <f t="shared" si="37"/>
        <v/>
      </c>
      <c r="V521" s="177" t="str">
        <f t="shared" si="38"/>
        <v/>
      </c>
      <c r="W521" s="177" t="str">
        <f t="shared" si="39"/>
        <v/>
      </c>
      <c r="Y521" s="240" t="e">
        <f t="array" ref="Y521">INDEX(Tabela.abordagens[],SMALL(IF(Tabela.abordagens[Mês]=$L$2,ROW(Tabela.abordagens[id])-2),ROW(A474)),1)</f>
        <v>#NUM!</v>
      </c>
      <c r="Z521" s="240" t="e">
        <f t="array" ref="Z521">INDEX(Tabela.abordagens[],SMALL(IF(Tabela.abordagens[Mês]=$L$2,ROW(Tabela.abordagens[Idade])-2),ROW(A474)),6)</f>
        <v>#NUM!</v>
      </c>
      <c r="AA521" s="240" t="e">
        <f t="array" ref="AA521">INDEX(Tabela.abordagens[],SMALL(IF(Tabela.abordagens[Mês]=$L$2,ROW(Tabela.abordagens[Idade])-2),ROW(A474)),4)</f>
        <v>#NUM!</v>
      </c>
      <c r="AB521" s="240" t="e">
        <f t="array" ref="AB521">INDEX(Tabela.abordagens[],SMALL(IF(Tabela.abordagens[Mês]=$L$2,ROW(Tabela.abordagens[Idade])-2),ROW(A474)),5)</f>
        <v>#NUM!</v>
      </c>
    </row>
    <row r="522" spans="2:28" ht="15" x14ac:dyDescent="0.25">
      <c r="B522" s="223" t="e">
        <f t="array" ref="B522">INDEX(Tabela.frequencia[],SMALL(IF(Tabela.frequencia[Mês]=$L$2,ROW(Tabela.frequencia[id])-1),ROW(A475)),1)</f>
        <v>#NUM!</v>
      </c>
      <c r="C522" s="229" t="e">
        <f t="array" ref="C522">INDEX(Tabela.frequencia[],SMALL(IF(Tabela.frequencia[Mês]=$L$2,ROW(Tabela.frequencia[id])-1),ROW(A475)),4)</f>
        <v>#NUM!</v>
      </c>
      <c r="E522" s="176" t="str">
        <f>IFERROR(VLOOKUP(D522,Tabela.cadastro[[ID]:[Nome]],2,0),"")</f>
        <v/>
      </c>
      <c r="F522" s="177" t="str">
        <f>IFERROR(VLOOKUP(D522,Tabela66[#All],2,0),"")</f>
        <v/>
      </c>
      <c r="G522" s="177" t="str">
        <f>IFERROR(VLOOKUP(D522,Tabela.cadastro[[ID]:[CP ou M]],5,0),"")</f>
        <v/>
      </c>
      <c r="H522" s="177" t="str">
        <f>IFERROR(VLOOKUP(D522,Cadastros!A:F,6,0),"")</f>
        <v/>
      </c>
      <c r="I522" s="177" t="str">
        <f>IFERROR(VLOOKUP(D522,Cadastros!A:I,9,0),"")</f>
        <v/>
      </c>
      <c r="J522" s="177" t="str">
        <f>IFERROR(VLOOKUP(D522,Cadastros!A:J,10,0),"")</f>
        <v/>
      </c>
      <c r="K522" s="177" t="str">
        <f>IF(COUNTIF(Tabela66[id],D522)=0,"",COUNTIF(Tabela66[id],D522))</f>
        <v/>
      </c>
      <c r="L522" s="198"/>
      <c r="M522" s="227" t="str">
        <f t="shared" si="40"/>
        <v/>
      </c>
      <c r="P522" s="176" t="str">
        <f>IFERROR(VLOOKUP(O522,Cadastros!A:B,2),"")</f>
        <v/>
      </c>
      <c r="Q522" s="177" t="str">
        <f t="shared" si="36"/>
        <v/>
      </c>
      <c r="R522" s="177" t="str">
        <f>IFERROR(VLOOKUP(O522,Cadastros!A:E,5,0),"")</f>
        <v/>
      </c>
      <c r="S522" s="177" t="str">
        <f>IFERROR(VLOOKUP(O522,Cadastros!A:F,6,0),"")</f>
        <v/>
      </c>
      <c r="T522" s="177" t="str">
        <f>IFERROR(VLOOKUP(O522,Cadastros!A:I,9,0),"")</f>
        <v/>
      </c>
      <c r="U522" s="177" t="str">
        <f t="shared" si="37"/>
        <v/>
      </c>
      <c r="V522" s="177" t="str">
        <f t="shared" si="38"/>
        <v/>
      </c>
      <c r="W522" s="177" t="str">
        <f t="shared" si="39"/>
        <v/>
      </c>
      <c r="Y522" s="240" t="e">
        <f t="array" ref="Y522">INDEX(Tabela.abordagens[],SMALL(IF(Tabela.abordagens[Mês]=$L$2,ROW(Tabela.abordagens[id])-2),ROW(A475)),1)</f>
        <v>#NUM!</v>
      </c>
      <c r="Z522" s="240" t="e">
        <f t="array" ref="Z522">INDEX(Tabela.abordagens[],SMALL(IF(Tabela.abordagens[Mês]=$L$2,ROW(Tabela.abordagens[Idade])-2),ROW(A475)),6)</f>
        <v>#NUM!</v>
      </c>
      <c r="AA522" s="240" t="e">
        <f t="array" ref="AA522">INDEX(Tabela.abordagens[],SMALL(IF(Tabela.abordagens[Mês]=$L$2,ROW(Tabela.abordagens[Idade])-2),ROW(A475)),4)</f>
        <v>#NUM!</v>
      </c>
      <c r="AB522" s="240" t="e">
        <f t="array" ref="AB522">INDEX(Tabela.abordagens[],SMALL(IF(Tabela.abordagens[Mês]=$L$2,ROW(Tabela.abordagens[Idade])-2),ROW(A475)),5)</f>
        <v>#NUM!</v>
      </c>
    </row>
    <row r="523" spans="2:28" ht="15" x14ac:dyDescent="0.25">
      <c r="B523" s="223" t="e">
        <f t="array" ref="B523">INDEX(Tabela.frequencia[],SMALL(IF(Tabela.frequencia[Mês]=$L$2,ROW(Tabela.frequencia[id])-1),ROW(A476)),1)</f>
        <v>#NUM!</v>
      </c>
      <c r="C523" s="229" t="e">
        <f t="array" ref="C523">INDEX(Tabela.frequencia[],SMALL(IF(Tabela.frequencia[Mês]=$L$2,ROW(Tabela.frequencia[id])-1),ROW(A476)),4)</f>
        <v>#NUM!</v>
      </c>
      <c r="E523" s="176" t="str">
        <f>IFERROR(VLOOKUP(D523,Tabela.cadastro[[ID]:[Nome]],2,0),"")</f>
        <v/>
      </c>
      <c r="F523" s="177" t="str">
        <f>IFERROR(VLOOKUP(D523,Tabela66[#All],2,0),"")</f>
        <v/>
      </c>
      <c r="G523" s="177" t="str">
        <f>IFERROR(VLOOKUP(D523,Tabela.cadastro[[ID]:[CP ou M]],5,0),"")</f>
        <v/>
      </c>
      <c r="H523" s="177" t="str">
        <f>IFERROR(VLOOKUP(D523,Cadastros!A:F,6,0),"")</f>
        <v/>
      </c>
      <c r="I523" s="177" t="str">
        <f>IFERROR(VLOOKUP(D523,Cadastros!A:I,9,0),"")</f>
        <v/>
      </c>
      <c r="J523" s="177" t="str">
        <f>IFERROR(VLOOKUP(D523,Cadastros!A:J,10,0),"")</f>
        <v/>
      </c>
      <c r="K523" s="177" t="str">
        <f>IF(COUNTIF(Tabela66[id],D523)=0,"",COUNTIF(Tabela66[id],D523))</f>
        <v/>
      </c>
      <c r="L523" s="198"/>
      <c r="M523" s="227" t="str">
        <f t="shared" si="40"/>
        <v/>
      </c>
      <c r="P523" s="176" t="str">
        <f>IFERROR(VLOOKUP(O523,Cadastros!A:B,2),"")</f>
        <v/>
      </c>
      <c r="Q523" s="177" t="str">
        <f t="shared" si="36"/>
        <v/>
      </c>
      <c r="R523" s="177" t="str">
        <f>IFERROR(VLOOKUP(O523,Cadastros!A:E,5,0),"")</f>
        <v/>
      </c>
      <c r="S523" s="177" t="str">
        <f>IFERROR(VLOOKUP(O523,Cadastros!A:F,6,0),"")</f>
        <v/>
      </c>
      <c r="T523" s="177" t="str">
        <f>IFERROR(VLOOKUP(O523,Cadastros!A:I,9,0),"")</f>
        <v/>
      </c>
      <c r="U523" s="177" t="str">
        <f t="shared" si="37"/>
        <v/>
      </c>
      <c r="V523" s="177" t="str">
        <f t="shared" si="38"/>
        <v/>
      </c>
      <c r="W523" s="177" t="str">
        <f t="shared" si="39"/>
        <v/>
      </c>
      <c r="Y523" s="240" t="e">
        <f t="array" ref="Y523">INDEX(Tabela.abordagens[],SMALL(IF(Tabela.abordagens[Mês]=$L$2,ROW(Tabela.abordagens[id])-2),ROW(A476)),1)</f>
        <v>#NUM!</v>
      </c>
      <c r="Z523" s="240" t="e">
        <f t="array" ref="Z523">INDEX(Tabela.abordagens[],SMALL(IF(Tabela.abordagens[Mês]=$L$2,ROW(Tabela.abordagens[Idade])-2),ROW(A476)),6)</f>
        <v>#NUM!</v>
      </c>
      <c r="AA523" s="240" t="e">
        <f t="array" ref="AA523">INDEX(Tabela.abordagens[],SMALL(IF(Tabela.abordagens[Mês]=$L$2,ROW(Tabela.abordagens[Idade])-2),ROW(A476)),4)</f>
        <v>#NUM!</v>
      </c>
      <c r="AB523" s="240" t="e">
        <f t="array" ref="AB523">INDEX(Tabela.abordagens[],SMALL(IF(Tabela.abordagens[Mês]=$L$2,ROW(Tabela.abordagens[Idade])-2),ROW(A476)),5)</f>
        <v>#NUM!</v>
      </c>
    </row>
    <row r="524" spans="2:28" ht="15" x14ac:dyDescent="0.25">
      <c r="B524" s="223" t="e">
        <f t="array" ref="B524">INDEX(Tabela.frequencia[],SMALL(IF(Tabela.frequencia[Mês]=$L$2,ROW(Tabela.frequencia[id])-1),ROW(A477)),1)</f>
        <v>#NUM!</v>
      </c>
      <c r="C524" s="229" t="e">
        <f t="array" ref="C524">INDEX(Tabela.frequencia[],SMALL(IF(Tabela.frequencia[Mês]=$L$2,ROW(Tabela.frequencia[id])-1),ROW(A477)),4)</f>
        <v>#NUM!</v>
      </c>
      <c r="E524" s="176" t="str">
        <f>IFERROR(VLOOKUP(D524,Tabela.cadastro[[ID]:[Nome]],2,0),"")</f>
        <v/>
      </c>
      <c r="F524" s="177" t="str">
        <f>IFERROR(VLOOKUP(D524,Tabela66[#All],2,0),"")</f>
        <v/>
      </c>
      <c r="G524" s="177" t="str">
        <f>IFERROR(VLOOKUP(D524,Tabela.cadastro[[ID]:[CP ou M]],5,0),"")</f>
        <v/>
      </c>
      <c r="H524" s="177" t="str">
        <f>IFERROR(VLOOKUP(D524,Cadastros!A:F,6,0),"")</f>
        <v/>
      </c>
      <c r="I524" s="177" t="str">
        <f>IFERROR(VLOOKUP(D524,Cadastros!A:I,9,0),"")</f>
        <v/>
      </c>
      <c r="J524" s="177" t="str">
        <f>IFERROR(VLOOKUP(D524,Cadastros!A:J,10,0),"")</f>
        <v/>
      </c>
      <c r="K524" s="177" t="str">
        <f>IF(COUNTIF(Tabela66[id],D524)=0,"",COUNTIF(Tabela66[id],D524))</f>
        <v/>
      </c>
      <c r="L524" s="198"/>
      <c r="M524" s="227" t="str">
        <f t="shared" si="40"/>
        <v/>
      </c>
      <c r="P524" s="176" t="str">
        <f>IFERROR(VLOOKUP(O524,Cadastros!A:B,2),"")</f>
        <v/>
      </c>
      <c r="Q524" s="177" t="str">
        <f t="shared" si="36"/>
        <v/>
      </c>
      <c r="R524" s="177" t="str">
        <f>IFERROR(VLOOKUP(O524,Cadastros!A:E,5,0),"")</f>
        <v/>
      </c>
      <c r="S524" s="177" t="str">
        <f>IFERROR(VLOOKUP(O524,Cadastros!A:F,6,0),"")</f>
        <v/>
      </c>
      <c r="T524" s="177" t="str">
        <f>IFERROR(VLOOKUP(O524,Cadastros!A:I,9,0),"")</f>
        <v/>
      </c>
      <c r="U524" s="177" t="str">
        <f t="shared" si="37"/>
        <v/>
      </c>
      <c r="V524" s="177" t="str">
        <f t="shared" si="38"/>
        <v/>
      </c>
      <c r="W524" s="177" t="str">
        <f t="shared" si="39"/>
        <v/>
      </c>
      <c r="Y524" s="240" t="e">
        <f t="array" ref="Y524">INDEX(Tabela.abordagens[],SMALL(IF(Tabela.abordagens[Mês]=$L$2,ROW(Tabela.abordagens[id])-2),ROW(A477)),1)</f>
        <v>#NUM!</v>
      </c>
      <c r="Z524" s="240" t="e">
        <f t="array" ref="Z524">INDEX(Tabela.abordagens[],SMALL(IF(Tabela.abordagens[Mês]=$L$2,ROW(Tabela.abordagens[Idade])-2),ROW(A477)),6)</f>
        <v>#NUM!</v>
      </c>
      <c r="AA524" s="240" t="e">
        <f t="array" ref="AA524">INDEX(Tabela.abordagens[],SMALL(IF(Tabela.abordagens[Mês]=$L$2,ROW(Tabela.abordagens[Idade])-2),ROW(A477)),4)</f>
        <v>#NUM!</v>
      </c>
      <c r="AB524" s="240" t="e">
        <f t="array" ref="AB524">INDEX(Tabela.abordagens[],SMALL(IF(Tabela.abordagens[Mês]=$L$2,ROW(Tabela.abordagens[Idade])-2),ROW(A477)),5)</f>
        <v>#NUM!</v>
      </c>
    </row>
    <row r="525" spans="2:28" ht="15" x14ac:dyDescent="0.25">
      <c r="B525" s="223" t="e">
        <f t="array" ref="B525">INDEX(Tabela.frequencia[],SMALL(IF(Tabela.frequencia[Mês]=$L$2,ROW(Tabela.frequencia[id])-1),ROW(A478)),1)</f>
        <v>#NUM!</v>
      </c>
      <c r="C525" s="229" t="e">
        <f t="array" ref="C525">INDEX(Tabela.frequencia[],SMALL(IF(Tabela.frequencia[Mês]=$L$2,ROW(Tabela.frequencia[id])-1),ROW(A478)),4)</f>
        <v>#NUM!</v>
      </c>
      <c r="E525" s="176" t="str">
        <f>IFERROR(VLOOKUP(D525,Tabela.cadastro[[ID]:[Nome]],2,0),"")</f>
        <v/>
      </c>
      <c r="F525" s="177" t="str">
        <f>IFERROR(VLOOKUP(D525,Tabela66[#All],2,0),"")</f>
        <v/>
      </c>
      <c r="G525" s="177" t="str">
        <f>IFERROR(VLOOKUP(D525,Tabela.cadastro[[ID]:[CP ou M]],5,0),"")</f>
        <v/>
      </c>
      <c r="H525" s="177" t="str">
        <f>IFERROR(VLOOKUP(D525,Cadastros!A:F,6,0),"")</f>
        <v/>
      </c>
      <c r="I525" s="177" t="str">
        <f>IFERROR(VLOOKUP(D525,Cadastros!A:I,9,0),"")</f>
        <v/>
      </c>
      <c r="J525" s="177" t="str">
        <f>IFERROR(VLOOKUP(D525,Cadastros!A:J,10,0),"")</f>
        <v/>
      </c>
      <c r="K525" s="177" t="str">
        <f>IF(COUNTIF(Tabela66[id],D525)=0,"",COUNTIF(Tabela66[id],D525))</f>
        <v/>
      </c>
      <c r="L525" s="198"/>
      <c r="M525" s="227" t="str">
        <f t="shared" si="40"/>
        <v/>
      </c>
      <c r="P525" s="176" t="str">
        <f>IFERROR(VLOOKUP(O525,Cadastros!A:B,2),"")</f>
        <v/>
      </c>
      <c r="Q525" s="177" t="str">
        <f t="shared" si="36"/>
        <v/>
      </c>
      <c r="R525" s="177" t="str">
        <f>IFERROR(VLOOKUP(O525,Cadastros!A:E,5,0),"")</f>
        <v/>
      </c>
      <c r="S525" s="177" t="str">
        <f>IFERROR(VLOOKUP(O525,Cadastros!A:F,6,0),"")</f>
        <v/>
      </c>
      <c r="T525" s="177" t="str">
        <f>IFERROR(VLOOKUP(O525,Cadastros!A:I,9,0),"")</f>
        <v/>
      </c>
      <c r="U525" s="177" t="str">
        <f t="shared" si="37"/>
        <v/>
      </c>
      <c r="V525" s="177" t="str">
        <f t="shared" si="38"/>
        <v/>
      </c>
      <c r="W525" s="177" t="str">
        <f t="shared" si="39"/>
        <v/>
      </c>
      <c r="Y525" s="240" t="e">
        <f t="array" ref="Y525">INDEX(Tabela.abordagens[],SMALL(IF(Tabela.abordagens[Mês]=$L$2,ROW(Tabela.abordagens[id])-2),ROW(A478)),1)</f>
        <v>#NUM!</v>
      </c>
      <c r="Z525" s="240" t="e">
        <f t="array" ref="Z525">INDEX(Tabela.abordagens[],SMALL(IF(Tabela.abordagens[Mês]=$L$2,ROW(Tabela.abordagens[Idade])-2),ROW(A478)),6)</f>
        <v>#NUM!</v>
      </c>
      <c r="AA525" s="240" t="e">
        <f t="array" ref="AA525">INDEX(Tabela.abordagens[],SMALL(IF(Tabela.abordagens[Mês]=$L$2,ROW(Tabela.abordagens[Idade])-2),ROW(A478)),4)</f>
        <v>#NUM!</v>
      </c>
      <c r="AB525" s="240" t="e">
        <f t="array" ref="AB525">INDEX(Tabela.abordagens[],SMALL(IF(Tabela.abordagens[Mês]=$L$2,ROW(Tabela.abordagens[Idade])-2),ROW(A478)),5)</f>
        <v>#NUM!</v>
      </c>
    </row>
    <row r="526" spans="2:28" ht="15" x14ac:dyDescent="0.25">
      <c r="B526" s="223" t="e">
        <f t="array" ref="B526">INDEX(Tabela.frequencia[],SMALL(IF(Tabela.frequencia[Mês]=$L$2,ROW(Tabela.frequencia[id])-1),ROW(A479)),1)</f>
        <v>#NUM!</v>
      </c>
      <c r="C526" s="229" t="e">
        <f t="array" ref="C526">INDEX(Tabela.frequencia[],SMALL(IF(Tabela.frequencia[Mês]=$L$2,ROW(Tabela.frequencia[id])-1),ROW(A479)),4)</f>
        <v>#NUM!</v>
      </c>
      <c r="E526" s="176" t="str">
        <f>IFERROR(VLOOKUP(D526,Tabela.cadastro[[ID]:[Nome]],2,0),"")</f>
        <v/>
      </c>
      <c r="F526" s="177" t="str">
        <f>IFERROR(VLOOKUP(D526,Tabela66[#All],2,0),"")</f>
        <v/>
      </c>
      <c r="G526" s="177" t="str">
        <f>IFERROR(VLOOKUP(D526,Tabela.cadastro[[ID]:[CP ou M]],5,0),"")</f>
        <v/>
      </c>
      <c r="H526" s="177" t="str">
        <f>IFERROR(VLOOKUP(D526,Cadastros!A:F,6,0),"")</f>
        <v/>
      </c>
      <c r="I526" s="177" t="str">
        <f>IFERROR(VLOOKUP(D526,Cadastros!A:I,9,0),"")</f>
        <v/>
      </c>
      <c r="J526" s="177" t="str">
        <f>IFERROR(VLOOKUP(D526,Cadastros!A:J,10,0),"")</f>
        <v/>
      </c>
      <c r="K526" s="177" t="str">
        <f>IF(COUNTIF(Tabela66[id],D526)=0,"",COUNTIF(Tabela66[id],D526))</f>
        <v/>
      </c>
      <c r="L526" s="198"/>
      <c r="M526" s="227" t="str">
        <f t="shared" si="40"/>
        <v/>
      </c>
      <c r="P526" s="176" t="str">
        <f>IFERROR(VLOOKUP(O526,Cadastros!A:B,2),"")</f>
        <v/>
      </c>
      <c r="Q526" s="177" t="str">
        <f t="shared" si="36"/>
        <v/>
      </c>
      <c r="R526" s="177" t="str">
        <f>IFERROR(VLOOKUP(O526,Cadastros!A:E,5,0),"")</f>
        <v/>
      </c>
      <c r="S526" s="177" t="str">
        <f>IFERROR(VLOOKUP(O526,Cadastros!A:F,6,0),"")</f>
        <v/>
      </c>
      <c r="T526" s="177" t="str">
        <f>IFERROR(VLOOKUP(O526,Cadastros!A:I,9,0),"")</f>
        <v/>
      </c>
      <c r="U526" s="177" t="str">
        <f t="shared" si="37"/>
        <v/>
      </c>
      <c r="V526" s="177" t="str">
        <f t="shared" si="38"/>
        <v/>
      </c>
      <c r="W526" s="177" t="str">
        <f t="shared" si="39"/>
        <v/>
      </c>
      <c r="Y526" s="240" t="e">
        <f t="array" ref="Y526">INDEX(Tabela.abordagens[],SMALL(IF(Tabela.abordagens[Mês]=$L$2,ROW(Tabela.abordagens[id])-2),ROW(A479)),1)</f>
        <v>#NUM!</v>
      </c>
      <c r="Z526" s="240" t="e">
        <f t="array" ref="Z526">INDEX(Tabela.abordagens[],SMALL(IF(Tabela.abordagens[Mês]=$L$2,ROW(Tabela.abordagens[Idade])-2),ROW(A479)),6)</f>
        <v>#NUM!</v>
      </c>
      <c r="AA526" s="240" t="e">
        <f t="array" ref="AA526">INDEX(Tabela.abordagens[],SMALL(IF(Tabela.abordagens[Mês]=$L$2,ROW(Tabela.abordagens[Idade])-2),ROW(A479)),4)</f>
        <v>#NUM!</v>
      </c>
      <c r="AB526" s="240" t="e">
        <f t="array" ref="AB526">INDEX(Tabela.abordagens[],SMALL(IF(Tabela.abordagens[Mês]=$L$2,ROW(Tabela.abordagens[Idade])-2),ROW(A479)),5)</f>
        <v>#NUM!</v>
      </c>
    </row>
    <row r="527" spans="2:28" ht="15" x14ac:dyDescent="0.25">
      <c r="B527" s="223" t="e">
        <f t="array" ref="B527">INDEX(Tabela.frequencia[],SMALL(IF(Tabela.frequencia[Mês]=$L$2,ROW(Tabela.frequencia[id])-1),ROW(A480)),1)</f>
        <v>#NUM!</v>
      </c>
      <c r="C527" s="229" t="e">
        <f t="array" ref="C527">INDEX(Tabela.frequencia[],SMALL(IF(Tabela.frequencia[Mês]=$L$2,ROW(Tabela.frequencia[id])-1),ROW(A480)),4)</f>
        <v>#NUM!</v>
      </c>
      <c r="E527" s="176" t="str">
        <f>IFERROR(VLOOKUP(D527,Tabela.cadastro[[ID]:[Nome]],2,0),"")</f>
        <v/>
      </c>
      <c r="F527" s="177" t="str">
        <f>IFERROR(VLOOKUP(D527,Tabela66[#All],2,0),"")</f>
        <v/>
      </c>
      <c r="G527" s="177" t="str">
        <f>IFERROR(VLOOKUP(D527,Tabela.cadastro[[ID]:[CP ou M]],5,0),"")</f>
        <v/>
      </c>
      <c r="H527" s="177" t="str">
        <f>IFERROR(VLOOKUP(D527,Cadastros!A:F,6,0),"")</f>
        <v/>
      </c>
      <c r="I527" s="177" t="str">
        <f>IFERROR(VLOOKUP(D527,Cadastros!A:I,9,0),"")</f>
        <v/>
      </c>
      <c r="J527" s="177" t="str">
        <f>IFERROR(VLOOKUP(D527,Cadastros!A:J,10,0),"")</f>
        <v/>
      </c>
      <c r="K527" s="177" t="str">
        <f>IF(COUNTIF(Tabela66[id],D527)=0,"",COUNTIF(Tabela66[id],D527))</f>
        <v/>
      </c>
      <c r="L527" s="198"/>
      <c r="M527" s="227" t="str">
        <f t="shared" si="40"/>
        <v/>
      </c>
      <c r="P527" s="176" t="str">
        <f>IFERROR(VLOOKUP(O527,Cadastros!A:B,2),"")</f>
        <v/>
      </c>
      <c r="Q527" s="177" t="str">
        <f t="shared" si="36"/>
        <v/>
      </c>
      <c r="R527" s="177" t="str">
        <f>IFERROR(VLOOKUP(O527,Cadastros!A:E,5,0),"")</f>
        <v/>
      </c>
      <c r="S527" s="177" t="str">
        <f>IFERROR(VLOOKUP(O527,Cadastros!A:F,6,0),"")</f>
        <v/>
      </c>
      <c r="T527" s="177" t="str">
        <f>IFERROR(VLOOKUP(O527,Cadastros!A:I,9,0),"")</f>
        <v/>
      </c>
      <c r="U527" s="177" t="str">
        <f t="shared" si="37"/>
        <v/>
      </c>
      <c r="V527" s="177" t="str">
        <f t="shared" si="38"/>
        <v/>
      </c>
      <c r="W527" s="177" t="str">
        <f t="shared" si="39"/>
        <v/>
      </c>
      <c r="Y527" s="240" t="e">
        <f t="array" ref="Y527">INDEX(Tabela.abordagens[],SMALL(IF(Tabela.abordagens[Mês]=$L$2,ROW(Tabela.abordagens[id])-2),ROW(A480)),1)</f>
        <v>#NUM!</v>
      </c>
      <c r="Z527" s="240" t="e">
        <f t="array" ref="Z527">INDEX(Tabela.abordagens[],SMALL(IF(Tabela.abordagens[Mês]=$L$2,ROW(Tabela.abordagens[Idade])-2),ROW(A480)),6)</f>
        <v>#NUM!</v>
      </c>
      <c r="AA527" s="240" t="e">
        <f t="array" ref="AA527">INDEX(Tabela.abordagens[],SMALL(IF(Tabela.abordagens[Mês]=$L$2,ROW(Tabela.abordagens[Idade])-2),ROW(A480)),4)</f>
        <v>#NUM!</v>
      </c>
      <c r="AB527" s="240" t="e">
        <f t="array" ref="AB527">INDEX(Tabela.abordagens[],SMALL(IF(Tabela.abordagens[Mês]=$L$2,ROW(Tabela.abordagens[Idade])-2),ROW(A480)),5)</f>
        <v>#NUM!</v>
      </c>
    </row>
    <row r="528" spans="2:28" ht="15" x14ac:dyDescent="0.25">
      <c r="B528" s="223" t="e">
        <f t="array" ref="B528">INDEX(Tabela.frequencia[],SMALL(IF(Tabela.frequencia[Mês]=$L$2,ROW(Tabela.frequencia[id])-1),ROW(A481)),1)</f>
        <v>#NUM!</v>
      </c>
      <c r="C528" s="229" t="e">
        <f t="array" ref="C528">INDEX(Tabela.frequencia[],SMALL(IF(Tabela.frequencia[Mês]=$L$2,ROW(Tabela.frequencia[id])-1),ROW(A481)),4)</f>
        <v>#NUM!</v>
      </c>
      <c r="E528" s="176" t="str">
        <f>IFERROR(VLOOKUP(D528,Tabela.cadastro[[ID]:[Nome]],2,0),"")</f>
        <v/>
      </c>
      <c r="F528" s="177" t="str">
        <f>IFERROR(VLOOKUP(D528,Tabela66[#All],2,0),"")</f>
        <v/>
      </c>
      <c r="G528" s="177" t="str">
        <f>IFERROR(VLOOKUP(D528,Tabela.cadastro[[ID]:[CP ou M]],5,0),"")</f>
        <v/>
      </c>
      <c r="H528" s="177" t="str">
        <f>IFERROR(VLOOKUP(D528,Cadastros!A:F,6,0),"")</f>
        <v/>
      </c>
      <c r="I528" s="177" t="str">
        <f>IFERROR(VLOOKUP(D528,Cadastros!A:I,9,0),"")</f>
        <v/>
      </c>
      <c r="J528" s="177" t="str">
        <f>IFERROR(VLOOKUP(D528,Cadastros!A:J,10,0),"")</f>
        <v/>
      </c>
      <c r="K528" s="177" t="str">
        <f>IF(COUNTIF(Tabela66[id],D528)=0,"",COUNTIF(Tabela66[id],D528))</f>
        <v/>
      </c>
      <c r="L528" s="198"/>
      <c r="M528" s="227" t="str">
        <f t="shared" si="40"/>
        <v/>
      </c>
      <c r="P528" s="176" t="str">
        <f>IFERROR(VLOOKUP(O528,Cadastros!A:B,2),"")</f>
        <v/>
      </c>
      <c r="Q528" s="177" t="str">
        <f t="shared" si="36"/>
        <v/>
      </c>
      <c r="R528" s="177" t="str">
        <f>IFERROR(VLOOKUP(O528,Cadastros!A:E,5,0),"")</f>
        <v/>
      </c>
      <c r="S528" s="177" t="str">
        <f>IFERROR(VLOOKUP(O528,Cadastros!A:F,6,0),"")</f>
        <v/>
      </c>
      <c r="T528" s="177" t="str">
        <f>IFERROR(VLOOKUP(O528,Cadastros!A:I,9,0),"")</f>
        <v/>
      </c>
      <c r="U528" s="177" t="str">
        <f t="shared" si="37"/>
        <v/>
      </c>
      <c r="V528" s="177" t="str">
        <f t="shared" si="38"/>
        <v/>
      </c>
      <c r="W528" s="177" t="str">
        <f t="shared" si="39"/>
        <v/>
      </c>
      <c r="Y528" s="240" t="e">
        <f t="array" ref="Y528">INDEX(Tabela.abordagens[],SMALL(IF(Tabela.abordagens[Mês]=$L$2,ROW(Tabela.abordagens[id])-2),ROW(A481)),1)</f>
        <v>#NUM!</v>
      </c>
      <c r="Z528" s="240" t="e">
        <f t="array" ref="Z528">INDEX(Tabela.abordagens[],SMALL(IF(Tabela.abordagens[Mês]=$L$2,ROW(Tabela.abordagens[Idade])-2),ROW(A481)),6)</f>
        <v>#NUM!</v>
      </c>
      <c r="AA528" s="240" t="e">
        <f t="array" ref="AA528">INDEX(Tabela.abordagens[],SMALL(IF(Tabela.abordagens[Mês]=$L$2,ROW(Tabela.abordagens[Idade])-2),ROW(A481)),4)</f>
        <v>#NUM!</v>
      </c>
      <c r="AB528" s="240" t="e">
        <f t="array" ref="AB528">INDEX(Tabela.abordagens[],SMALL(IF(Tabela.abordagens[Mês]=$L$2,ROW(Tabela.abordagens[Idade])-2),ROW(A481)),5)</f>
        <v>#NUM!</v>
      </c>
    </row>
    <row r="529" spans="2:28" ht="15" x14ac:dyDescent="0.25">
      <c r="B529" s="223" t="e">
        <f t="array" ref="B529">INDEX(Tabela.frequencia[],SMALL(IF(Tabela.frequencia[Mês]=$L$2,ROW(Tabela.frequencia[id])-1),ROW(A482)),1)</f>
        <v>#NUM!</v>
      </c>
      <c r="C529" s="229" t="e">
        <f t="array" ref="C529">INDEX(Tabela.frequencia[],SMALL(IF(Tabela.frequencia[Mês]=$L$2,ROW(Tabela.frequencia[id])-1),ROW(A482)),4)</f>
        <v>#NUM!</v>
      </c>
      <c r="E529" s="176" t="str">
        <f>IFERROR(VLOOKUP(D529,Tabela.cadastro[[ID]:[Nome]],2,0),"")</f>
        <v/>
      </c>
      <c r="F529" s="177" t="str">
        <f>IFERROR(VLOOKUP(D529,Tabela66[#All],2,0),"")</f>
        <v/>
      </c>
      <c r="G529" s="177" t="str">
        <f>IFERROR(VLOOKUP(D529,Tabela.cadastro[[ID]:[CP ou M]],5,0),"")</f>
        <v/>
      </c>
      <c r="H529" s="177" t="str">
        <f>IFERROR(VLOOKUP(D529,Cadastros!A:F,6,0),"")</f>
        <v/>
      </c>
      <c r="I529" s="177" t="str">
        <f>IFERROR(VLOOKUP(D529,Cadastros!A:I,9,0),"")</f>
        <v/>
      </c>
      <c r="J529" s="177" t="str">
        <f>IFERROR(VLOOKUP(D529,Cadastros!A:J,10,0),"")</f>
        <v/>
      </c>
      <c r="K529" s="177" t="str">
        <f>IF(COUNTIF(Tabela66[id],D529)=0,"",COUNTIF(Tabela66[id],D529))</f>
        <v/>
      </c>
      <c r="L529" s="198"/>
      <c r="M529" s="227" t="str">
        <f t="shared" si="40"/>
        <v/>
      </c>
      <c r="P529" s="176" t="str">
        <f>IFERROR(VLOOKUP(O529,Cadastros!A:B,2),"")</f>
        <v/>
      </c>
      <c r="Q529" s="177" t="str">
        <f t="shared" si="36"/>
        <v/>
      </c>
      <c r="R529" s="177" t="str">
        <f>IFERROR(VLOOKUP(O529,Cadastros!A:E,5,0),"")</f>
        <v/>
      </c>
      <c r="S529" s="177" t="str">
        <f>IFERROR(VLOOKUP(O529,Cadastros!A:F,6,0),"")</f>
        <v/>
      </c>
      <c r="T529" s="177" t="str">
        <f>IFERROR(VLOOKUP(O529,Cadastros!A:I,9,0),"")</f>
        <v/>
      </c>
      <c r="U529" s="177" t="str">
        <f t="shared" si="37"/>
        <v/>
      </c>
      <c r="V529" s="177" t="str">
        <f t="shared" si="38"/>
        <v/>
      </c>
      <c r="W529" s="177" t="str">
        <f t="shared" si="39"/>
        <v/>
      </c>
      <c r="Y529" s="240" t="e">
        <f t="array" ref="Y529">INDEX(Tabela.abordagens[],SMALL(IF(Tabela.abordagens[Mês]=$L$2,ROW(Tabela.abordagens[id])-2),ROW(A482)),1)</f>
        <v>#NUM!</v>
      </c>
      <c r="Z529" s="240" t="e">
        <f t="array" ref="Z529">INDEX(Tabela.abordagens[],SMALL(IF(Tabela.abordagens[Mês]=$L$2,ROW(Tabela.abordagens[Idade])-2),ROW(A482)),6)</f>
        <v>#NUM!</v>
      </c>
      <c r="AA529" s="240" t="e">
        <f t="array" ref="AA529">INDEX(Tabela.abordagens[],SMALL(IF(Tabela.abordagens[Mês]=$L$2,ROW(Tabela.abordagens[Idade])-2),ROW(A482)),4)</f>
        <v>#NUM!</v>
      </c>
      <c r="AB529" s="240" t="e">
        <f t="array" ref="AB529">INDEX(Tabela.abordagens[],SMALL(IF(Tabela.abordagens[Mês]=$L$2,ROW(Tabela.abordagens[Idade])-2),ROW(A482)),5)</f>
        <v>#NUM!</v>
      </c>
    </row>
    <row r="530" spans="2:28" ht="15" x14ac:dyDescent="0.25">
      <c r="B530" s="223" t="e">
        <f t="array" ref="B530">INDEX(Tabela.frequencia[],SMALL(IF(Tabela.frequencia[Mês]=$L$2,ROW(Tabela.frequencia[id])-1),ROW(A483)),1)</f>
        <v>#NUM!</v>
      </c>
      <c r="C530" s="229" t="e">
        <f t="array" ref="C530">INDEX(Tabela.frequencia[],SMALL(IF(Tabela.frequencia[Mês]=$L$2,ROW(Tabela.frequencia[id])-1),ROW(A483)),4)</f>
        <v>#NUM!</v>
      </c>
      <c r="E530" s="176" t="str">
        <f>IFERROR(VLOOKUP(D530,Tabela.cadastro[[ID]:[Nome]],2,0),"")</f>
        <v/>
      </c>
      <c r="F530" s="177" t="str">
        <f>IFERROR(VLOOKUP(D530,Tabela66[#All],2,0),"")</f>
        <v/>
      </c>
      <c r="G530" s="177" t="str">
        <f>IFERROR(VLOOKUP(D530,Tabela.cadastro[[ID]:[CP ou M]],5,0),"")</f>
        <v/>
      </c>
      <c r="H530" s="177" t="str">
        <f>IFERROR(VLOOKUP(D530,Cadastros!A:F,6,0),"")</f>
        <v/>
      </c>
      <c r="I530" s="177" t="str">
        <f>IFERROR(VLOOKUP(D530,Cadastros!A:I,9,0),"")</f>
        <v/>
      </c>
      <c r="J530" s="177" t="str">
        <f>IFERROR(VLOOKUP(D530,Cadastros!A:J,10,0),"")</f>
        <v/>
      </c>
      <c r="K530" s="177" t="str">
        <f>IF(COUNTIF(Tabela66[id],D530)=0,"",COUNTIF(Tabela66[id],D530))</f>
        <v/>
      </c>
      <c r="L530" s="198"/>
      <c r="M530" s="227" t="str">
        <f t="shared" si="40"/>
        <v/>
      </c>
      <c r="P530" s="176" t="str">
        <f>IFERROR(VLOOKUP(O530,Cadastros!A:B,2),"")</f>
        <v/>
      </c>
      <c r="Q530" s="177" t="str">
        <f t="shared" si="36"/>
        <v/>
      </c>
      <c r="R530" s="177" t="str">
        <f>IFERROR(VLOOKUP(O530,Cadastros!A:E,5,0),"")</f>
        <v/>
      </c>
      <c r="S530" s="177" t="str">
        <f>IFERROR(VLOOKUP(O530,Cadastros!A:F,6,0),"")</f>
        <v/>
      </c>
      <c r="T530" s="177" t="str">
        <f>IFERROR(VLOOKUP(O530,Cadastros!A:I,9,0),"")</f>
        <v/>
      </c>
      <c r="U530" s="177" t="str">
        <f t="shared" si="37"/>
        <v/>
      </c>
      <c r="V530" s="177" t="str">
        <f t="shared" si="38"/>
        <v/>
      </c>
      <c r="W530" s="177" t="str">
        <f t="shared" si="39"/>
        <v/>
      </c>
      <c r="Y530" s="240" t="e">
        <f t="array" ref="Y530">INDEX(Tabela.abordagens[],SMALL(IF(Tabela.abordagens[Mês]=$L$2,ROW(Tabela.abordagens[id])-2),ROW(A483)),1)</f>
        <v>#NUM!</v>
      </c>
      <c r="Z530" s="240" t="e">
        <f t="array" ref="Z530">INDEX(Tabela.abordagens[],SMALL(IF(Tabela.abordagens[Mês]=$L$2,ROW(Tabela.abordagens[Idade])-2),ROW(A483)),6)</f>
        <v>#NUM!</v>
      </c>
      <c r="AA530" s="240" t="e">
        <f t="array" ref="AA530">INDEX(Tabela.abordagens[],SMALL(IF(Tabela.abordagens[Mês]=$L$2,ROW(Tabela.abordagens[Idade])-2),ROW(A483)),4)</f>
        <v>#NUM!</v>
      </c>
      <c r="AB530" s="240" t="e">
        <f t="array" ref="AB530">INDEX(Tabela.abordagens[],SMALL(IF(Tabela.abordagens[Mês]=$L$2,ROW(Tabela.abordagens[Idade])-2),ROW(A483)),5)</f>
        <v>#NUM!</v>
      </c>
    </row>
    <row r="531" spans="2:28" ht="15" x14ac:dyDescent="0.25">
      <c r="B531" s="223" t="e">
        <f t="array" ref="B531">INDEX(Tabela.frequencia[],SMALL(IF(Tabela.frequencia[Mês]=$L$2,ROW(Tabela.frequencia[id])-1),ROW(A484)),1)</f>
        <v>#NUM!</v>
      </c>
      <c r="C531" s="229" t="e">
        <f t="array" ref="C531">INDEX(Tabela.frequencia[],SMALL(IF(Tabela.frequencia[Mês]=$L$2,ROW(Tabela.frequencia[id])-1),ROW(A484)),4)</f>
        <v>#NUM!</v>
      </c>
      <c r="E531" s="176" t="str">
        <f>IFERROR(VLOOKUP(D531,Tabela.cadastro[[ID]:[Nome]],2,0),"")</f>
        <v/>
      </c>
      <c r="F531" s="177" t="str">
        <f>IFERROR(VLOOKUP(D531,Tabela66[#All],2,0),"")</f>
        <v/>
      </c>
      <c r="G531" s="177" t="str">
        <f>IFERROR(VLOOKUP(D531,Tabela.cadastro[[ID]:[CP ou M]],5,0),"")</f>
        <v/>
      </c>
      <c r="H531" s="177" t="str">
        <f>IFERROR(VLOOKUP(D531,Cadastros!A:F,6,0),"")</f>
        <v/>
      </c>
      <c r="I531" s="177" t="str">
        <f>IFERROR(VLOOKUP(D531,Cadastros!A:I,9,0),"")</f>
        <v/>
      </c>
      <c r="J531" s="177" t="str">
        <f>IFERROR(VLOOKUP(D531,Cadastros!A:J,10,0),"")</f>
        <v/>
      </c>
      <c r="K531" s="177" t="str">
        <f>IF(COUNTIF(Tabela66[id],D531)=0,"",COUNTIF(Tabela66[id],D531))</f>
        <v/>
      </c>
      <c r="L531" s="198"/>
      <c r="M531" s="227" t="str">
        <f t="shared" si="40"/>
        <v/>
      </c>
      <c r="P531" s="176" t="str">
        <f>IFERROR(VLOOKUP(O531,Cadastros!A:B,2),"")</f>
        <v/>
      </c>
      <c r="Q531" s="177" t="str">
        <f t="shared" si="36"/>
        <v/>
      </c>
      <c r="R531" s="177" t="str">
        <f>IFERROR(VLOOKUP(O531,Cadastros!A:E,5,0),"")</f>
        <v/>
      </c>
      <c r="S531" s="177" t="str">
        <f>IFERROR(VLOOKUP(O531,Cadastros!A:F,6,0),"")</f>
        <v/>
      </c>
      <c r="T531" s="177" t="str">
        <f>IFERROR(VLOOKUP(O531,Cadastros!A:I,9,0),"")</f>
        <v/>
      </c>
      <c r="U531" s="177" t="str">
        <f t="shared" si="37"/>
        <v/>
      </c>
      <c r="V531" s="177" t="str">
        <f t="shared" si="38"/>
        <v/>
      </c>
      <c r="W531" s="177" t="str">
        <f t="shared" si="39"/>
        <v/>
      </c>
      <c r="Y531" s="240" t="e">
        <f t="array" ref="Y531">INDEX(Tabela.abordagens[],SMALL(IF(Tabela.abordagens[Mês]=$L$2,ROW(Tabela.abordagens[id])-2),ROW(A484)),1)</f>
        <v>#NUM!</v>
      </c>
      <c r="Z531" s="240" t="e">
        <f t="array" ref="Z531">INDEX(Tabela.abordagens[],SMALL(IF(Tabela.abordagens[Mês]=$L$2,ROW(Tabela.abordagens[Idade])-2),ROW(A484)),6)</f>
        <v>#NUM!</v>
      </c>
      <c r="AA531" s="240" t="e">
        <f t="array" ref="AA531">INDEX(Tabela.abordagens[],SMALL(IF(Tabela.abordagens[Mês]=$L$2,ROW(Tabela.abordagens[Idade])-2),ROW(A484)),4)</f>
        <v>#NUM!</v>
      </c>
      <c r="AB531" s="240" t="e">
        <f t="array" ref="AB531">INDEX(Tabela.abordagens[],SMALL(IF(Tabela.abordagens[Mês]=$L$2,ROW(Tabela.abordagens[Idade])-2),ROW(A484)),5)</f>
        <v>#NUM!</v>
      </c>
    </row>
    <row r="532" spans="2:28" ht="15" x14ac:dyDescent="0.25">
      <c r="B532" s="223" t="e">
        <f t="array" ref="B532">INDEX(Tabela.frequencia[],SMALL(IF(Tabela.frequencia[Mês]=$L$2,ROW(Tabela.frequencia[id])-1),ROW(A485)),1)</f>
        <v>#NUM!</v>
      </c>
      <c r="C532" s="229" t="e">
        <f t="array" ref="C532">INDEX(Tabela.frequencia[],SMALL(IF(Tabela.frequencia[Mês]=$L$2,ROW(Tabela.frequencia[id])-1),ROW(A485)),4)</f>
        <v>#NUM!</v>
      </c>
      <c r="E532" s="176" t="str">
        <f>IFERROR(VLOOKUP(D532,Tabela.cadastro[[ID]:[Nome]],2,0),"")</f>
        <v/>
      </c>
      <c r="F532" s="177" t="str">
        <f>IFERROR(VLOOKUP(D532,Tabela66[#All],2,0),"")</f>
        <v/>
      </c>
      <c r="G532" s="177" t="str">
        <f>IFERROR(VLOOKUP(D532,Tabela.cadastro[[ID]:[CP ou M]],5,0),"")</f>
        <v/>
      </c>
      <c r="H532" s="177" t="str">
        <f>IFERROR(VLOOKUP(D532,Cadastros!A:F,6,0),"")</f>
        <v/>
      </c>
      <c r="I532" s="177" t="str">
        <f>IFERROR(VLOOKUP(D532,Cadastros!A:I,9,0),"")</f>
        <v/>
      </c>
      <c r="J532" s="177" t="str">
        <f>IFERROR(VLOOKUP(D532,Cadastros!A:J,10,0),"")</f>
        <v/>
      </c>
      <c r="K532" s="177" t="str">
        <f>IF(COUNTIF(Tabela66[id],D532)=0,"",COUNTIF(Tabela66[id],D532))</f>
        <v/>
      </c>
      <c r="L532" s="198"/>
      <c r="M532" s="227" t="str">
        <f t="shared" si="40"/>
        <v/>
      </c>
      <c r="P532" s="176" t="str">
        <f>IFERROR(VLOOKUP(O532,Cadastros!A:B,2),"")</f>
        <v/>
      </c>
      <c r="Q532" s="177" t="str">
        <f t="shared" si="36"/>
        <v/>
      </c>
      <c r="R532" s="177" t="str">
        <f>IFERROR(VLOOKUP(O532,Cadastros!A:E,5,0),"")</f>
        <v/>
      </c>
      <c r="S532" s="177" t="str">
        <f>IFERROR(VLOOKUP(O532,Cadastros!A:F,6,0),"")</f>
        <v/>
      </c>
      <c r="T532" s="177" t="str">
        <f>IFERROR(VLOOKUP(O532,Cadastros!A:I,9,0),"")</f>
        <v/>
      </c>
      <c r="U532" s="177" t="str">
        <f t="shared" si="37"/>
        <v/>
      </c>
      <c r="V532" s="177" t="str">
        <f t="shared" si="38"/>
        <v/>
      </c>
      <c r="W532" s="177" t="str">
        <f t="shared" si="39"/>
        <v/>
      </c>
      <c r="Y532" s="240" t="e">
        <f t="array" ref="Y532">INDEX(Tabela.abordagens[],SMALL(IF(Tabela.abordagens[Mês]=$L$2,ROW(Tabela.abordagens[id])-2),ROW(A485)),1)</f>
        <v>#NUM!</v>
      </c>
      <c r="Z532" s="240" t="e">
        <f t="array" ref="Z532">INDEX(Tabela.abordagens[],SMALL(IF(Tabela.abordagens[Mês]=$L$2,ROW(Tabela.abordagens[Idade])-2),ROW(A485)),6)</f>
        <v>#NUM!</v>
      </c>
      <c r="AA532" s="240" t="e">
        <f t="array" ref="AA532">INDEX(Tabela.abordagens[],SMALL(IF(Tabela.abordagens[Mês]=$L$2,ROW(Tabela.abordagens[Idade])-2),ROW(A485)),4)</f>
        <v>#NUM!</v>
      </c>
      <c r="AB532" s="240" t="e">
        <f t="array" ref="AB532">INDEX(Tabela.abordagens[],SMALL(IF(Tabela.abordagens[Mês]=$L$2,ROW(Tabela.abordagens[Idade])-2),ROW(A485)),5)</f>
        <v>#NUM!</v>
      </c>
    </row>
    <row r="533" spans="2:28" ht="15" x14ac:dyDescent="0.25">
      <c r="B533" s="223" t="e">
        <f t="array" ref="B533">INDEX(Tabela.frequencia[],SMALL(IF(Tabela.frequencia[Mês]=$L$2,ROW(Tabela.frequencia[id])-1),ROW(A486)),1)</f>
        <v>#NUM!</v>
      </c>
      <c r="C533" s="229" t="e">
        <f t="array" ref="C533">INDEX(Tabela.frequencia[],SMALL(IF(Tabela.frequencia[Mês]=$L$2,ROW(Tabela.frequencia[id])-1),ROW(A486)),4)</f>
        <v>#NUM!</v>
      </c>
      <c r="E533" s="176" t="str">
        <f>IFERROR(VLOOKUP(D533,Tabela.cadastro[[ID]:[Nome]],2,0),"")</f>
        <v/>
      </c>
      <c r="F533" s="177" t="str">
        <f>IFERROR(VLOOKUP(D533,Tabela66[#All],2,0),"")</f>
        <v/>
      </c>
      <c r="G533" s="177" t="str">
        <f>IFERROR(VLOOKUP(D533,Tabela.cadastro[[ID]:[CP ou M]],5,0),"")</f>
        <v/>
      </c>
      <c r="H533" s="177" t="str">
        <f>IFERROR(VLOOKUP(D533,Cadastros!A:F,6,0),"")</f>
        <v/>
      </c>
      <c r="I533" s="177" t="str">
        <f>IFERROR(VLOOKUP(D533,Cadastros!A:I,9,0),"")</f>
        <v/>
      </c>
      <c r="J533" s="177" t="str">
        <f>IFERROR(VLOOKUP(D533,Cadastros!A:J,10,0),"")</f>
        <v/>
      </c>
      <c r="K533" s="177" t="str">
        <f>IF(COUNTIF(Tabela66[id],D533)=0,"",COUNTIF(Tabela66[id],D533))</f>
        <v/>
      </c>
      <c r="L533" s="198"/>
      <c r="M533" s="227" t="str">
        <f t="shared" si="40"/>
        <v/>
      </c>
      <c r="P533" s="176" t="str">
        <f>IFERROR(VLOOKUP(O533,Cadastros!A:B,2),"")</f>
        <v/>
      </c>
      <c r="Q533" s="177" t="str">
        <f t="shared" si="36"/>
        <v/>
      </c>
      <c r="R533" s="177" t="str">
        <f>IFERROR(VLOOKUP(O533,Cadastros!A:E,5,0),"")</f>
        <v/>
      </c>
      <c r="S533" s="177" t="str">
        <f>IFERROR(VLOOKUP(O533,Cadastros!A:F,6,0),"")</f>
        <v/>
      </c>
      <c r="T533" s="177" t="str">
        <f>IFERROR(VLOOKUP(O533,Cadastros!A:I,9,0),"")</f>
        <v/>
      </c>
      <c r="U533" s="177" t="str">
        <f t="shared" si="37"/>
        <v/>
      </c>
      <c r="V533" s="177" t="str">
        <f t="shared" si="38"/>
        <v/>
      </c>
      <c r="W533" s="177" t="str">
        <f t="shared" si="39"/>
        <v/>
      </c>
      <c r="Y533" s="240" t="e">
        <f t="array" ref="Y533">INDEX(Tabela.abordagens[],SMALL(IF(Tabela.abordagens[Mês]=$L$2,ROW(Tabela.abordagens[id])-2),ROW(A486)),1)</f>
        <v>#NUM!</v>
      </c>
      <c r="Z533" s="240" t="e">
        <f t="array" ref="Z533">INDEX(Tabela.abordagens[],SMALL(IF(Tabela.abordagens[Mês]=$L$2,ROW(Tabela.abordagens[Idade])-2),ROW(A486)),6)</f>
        <v>#NUM!</v>
      </c>
      <c r="AA533" s="240" t="e">
        <f t="array" ref="AA533">INDEX(Tabela.abordagens[],SMALL(IF(Tabela.abordagens[Mês]=$L$2,ROW(Tabela.abordagens[Idade])-2),ROW(A486)),4)</f>
        <v>#NUM!</v>
      </c>
      <c r="AB533" s="240" t="e">
        <f t="array" ref="AB533">INDEX(Tabela.abordagens[],SMALL(IF(Tabela.abordagens[Mês]=$L$2,ROW(Tabela.abordagens[Idade])-2),ROW(A486)),5)</f>
        <v>#NUM!</v>
      </c>
    </row>
    <row r="534" spans="2:28" ht="15" x14ac:dyDescent="0.25">
      <c r="B534" s="223" t="e">
        <f t="array" ref="B534">INDEX(Tabela.frequencia[],SMALL(IF(Tabela.frequencia[Mês]=$L$2,ROW(Tabela.frequencia[id])-1),ROW(A487)),1)</f>
        <v>#NUM!</v>
      </c>
      <c r="C534" s="229" t="e">
        <f t="array" ref="C534">INDEX(Tabela.frequencia[],SMALL(IF(Tabela.frequencia[Mês]=$L$2,ROW(Tabela.frequencia[id])-1),ROW(A487)),4)</f>
        <v>#NUM!</v>
      </c>
      <c r="E534" s="176" t="str">
        <f>IFERROR(VLOOKUP(D534,Tabela.cadastro[[ID]:[Nome]],2,0),"")</f>
        <v/>
      </c>
      <c r="F534" s="177" t="str">
        <f>IFERROR(VLOOKUP(D534,Tabela66[#All],2,0),"")</f>
        <v/>
      </c>
      <c r="G534" s="177" t="str">
        <f>IFERROR(VLOOKUP(D534,Tabela.cadastro[[ID]:[CP ou M]],5,0),"")</f>
        <v/>
      </c>
      <c r="H534" s="177" t="str">
        <f>IFERROR(VLOOKUP(D534,Cadastros!A:F,6,0),"")</f>
        <v/>
      </c>
      <c r="I534" s="177" t="str">
        <f>IFERROR(VLOOKUP(D534,Cadastros!A:I,9,0),"")</f>
        <v/>
      </c>
      <c r="J534" s="177" t="str">
        <f>IFERROR(VLOOKUP(D534,Cadastros!A:J,10,0),"")</f>
        <v/>
      </c>
      <c r="K534" s="177" t="str">
        <f>IF(COUNTIF(Tabela66[id],D534)=0,"",COUNTIF(Tabela66[id],D534))</f>
        <v/>
      </c>
      <c r="L534" s="198"/>
      <c r="M534" s="227" t="str">
        <f t="shared" si="40"/>
        <v/>
      </c>
      <c r="P534" s="176" t="str">
        <f>IFERROR(VLOOKUP(O534,Cadastros!A:B,2),"")</f>
        <v/>
      </c>
      <c r="Q534" s="177" t="str">
        <f t="shared" si="36"/>
        <v/>
      </c>
      <c r="R534" s="177" t="str">
        <f>IFERROR(VLOOKUP(O534,Cadastros!A:E,5,0),"")</f>
        <v/>
      </c>
      <c r="S534" s="177" t="str">
        <f>IFERROR(VLOOKUP(O534,Cadastros!A:F,6,0),"")</f>
        <v/>
      </c>
      <c r="T534" s="177" t="str">
        <f>IFERROR(VLOOKUP(O534,Cadastros!A:I,9,0),"")</f>
        <v/>
      </c>
      <c r="U534" s="177" t="str">
        <f t="shared" si="37"/>
        <v/>
      </c>
      <c r="V534" s="177" t="str">
        <f t="shared" si="38"/>
        <v/>
      </c>
      <c r="W534" s="177" t="str">
        <f t="shared" si="39"/>
        <v/>
      </c>
      <c r="Y534" s="240" t="e">
        <f t="array" ref="Y534">INDEX(Tabela.abordagens[],SMALL(IF(Tabela.abordagens[Mês]=$L$2,ROW(Tabela.abordagens[id])-2),ROW(A487)),1)</f>
        <v>#NUM!</v>
      </c>
      <c r="Z534" s="240" t="e">
        <f t="array" ref="Z534">INDEX(Tabela.abordagens[],SMALL(IF(Tabela.abordagens[Mês]=$L$2,ROW(Tabela.abordagens[Idade])-2),ROW(A487)),6)</f>
        <v>#NUM!</v>
      </c>
      <c r="AA534" s="240" t="e">
        <f t="array" ref="AA534">INDEX(Tabela.abordagens[],SMALL(IF(Tabela.abordagens[Mês]=$L$2,ROW(Tabela.abordagens[Idade])-2),ROW(A487)),4)</f>
        <v>#NUM!</v>
      </c>
      <c r="AB534" s="240" t="e">
        <f t="array" ref="AB534">INDEX(Tabela.abordagens[],SMALL(IF(Tabela.abordagens[Mês]=$L$2,ROW(Tabela.abordagens[Idade])-2),ROW(A487)),5)</f>
        <v>#NUM!</v>
      </c>
    </row>
    <row r="535" spans="2:28" ht="15" x14ac:dyDescent="0.25">
      <c r="B535" s="223" t="e">
        <f t="array" ref="B535">INDEX(Tabela.frequencia[],SMALL(IF(Tabela.frequencia[Mês]=$L$2,ROW(Tabela.frequencia[id])-1),ROW(A488)),1)</f>
        <v>#NUM!</v>
      </c>
      <c r="C535" s="229" t="e">
        <f t="array" ref="C535">INDEX(Tabela.frequencia[],SMALL(IF(Tabela.frequencia[Mês]=$L$2,ROW(Tabela.frequencia[id])-1),ROW(A488)),4)</f>
        <v>#NUM!</v>
      </c>
      <c r="E535" s="176" t="str">
        <f>IFERROR(VLOOKUP(D535,Tabela.cadastro[[ID]:[Nome]],2,0),"")</f>
        <v/>
      </c>
      <c r="F535" s="177" t="str">
        <f>IFERROR(VLOOKUP(D535,Tabela66[#All],2,0),"")</f>
        <v/>
      </c>
      <c r="G535" s="177" t="str">
        <f>IFERROR(VLOOKUP(D535,Tabela.cadastro[[ID]:[CP ou M]],5,0),"")</f>
        <v/>
      </c>
      <c r="H535" s="177" t="str">
        <f>IFERROR(VLOOKUP(D535,Cadastros!A:F,6,0),"")</f>
        <v/>
      </c>
      <c r="I535" s="177" t="str">
        <f>IFERROR(VLOOKUP(D535,Cadastros!A:I,9,0),"")</f>
        <v/>
      </c>
      <c r="J535" s="177" t="str">
        <f>IFERROR(VLOOKUP(D535,Cadastros!A:J,10,0),"")</f>
        <v/>
      </c>
      <c r="K535" s="177" t="str">
        <f>IF(COUNTIF(Tabela66[id],D535)=0,"",COUNTIF(Tabela66[id],D535))</f>
        <v/>
      </c>
      <c r="L535" s="198"/>
      <c r="M535" s="227" t="str">
        <f t="shared" si="40"/>
        <v/>
      </c>
      <c r="P535" s="176" t="str">
        <f>IFERROR(VLOOKUP(O535,Cadastros!A:B,2),"")</f>
        <v/>
      </c>
      <c r="Q535" s="177" t="str">
        <f t="shared" si="36"/>
        <v/>
      </c>
      <c r="R535" s="177" t="str">
        <f>IFERROR(VLOOKUP(O535,Cadastros!A:E,5,0),"")</f>
        <v/>
      </c>
      <c r="S535" s="177" t="str">
        <f>IFERROR(VLOOKUP(O535,Cadastros!A:F,6,0),"")</f>
        <v/>
      </c>
      <c r="T535" s="177" t="str">
        <f>IFERROR(VLOOKUP(O535,Cadastros!A:I,9,0),"")</f>
        <v/>
      </c>
      <c r="U535" s="177" t="str">
        <f t="shared" si="37"/>
        <v/>
      </c>
      <c r="V535" s="177" t="str">
        <f t="shared" si="38"/>
        <v/>
      </c>
      <c r="W535" s="177" t="str">
        <f t="shared" si="39"/>
        <v/>
      </c>
      <c r="Y535" s="240" t="e">
        <f t="array" ref="Y535">INDEX(Tabela.abordagens[],SMALL(IF(Tabela.abordagens[Mês]=$L$2,ROW(Tabela.abordagens[id])-2),ROW(A488)),1)</f>
        <v>#NUM!</v>
      </c>
      <c r="Z535" s="240" t="e">
        <f t="array" ref="Z535">INDEX(Tabela.abordagens[],SMALL(IF(Tabela.abordagens[Mês]=$L$2,ROW(Tabela.abordagens[Idade])-2),ROW(A488)),6)</f>
        <v>#NUM!</v>
      </c>
      <c r="AA535" s="240" t="e">
        <f t="array" ref="AA535">INDEX(Tabela.abordagens[],SMALL(IF(Tabela.abordagens[Mês]=$L$2,ROW(Tabela.abordagens[Idade])-2),ROW(A488)),4)</f>
        <v>#NUM!</v>
      </c>
      <c r="AB535" s="240" t="e">
        <f t="array" ref="AB535">INDEX(Tabela.abordagens[],SMALL(IF(Tabela.abordagens[Mês]=$L$2,ROW(Tabela.abordagens[Idade])-2),ROW(A488)),5)</f>
        <v>#NUM!</v>
      </c>
    </row>
    <row r="536" spans="2:28" ht="15" x14ac:dyDescent="0.25">
      <c r="B536" s="223" t="e">
        <f t="array" ref="B536">INDEX(Tabela.frequencia[],SMALL(IF(Tabela.frequencia[Mês]=$L$2,ROW(Tabela.frequencia[id])-1),ROW(A489)),1)</f>
        <v>#NUM!</v>
      </c>
      <c r="C536" s="229" t="e">
        <f t="array" ref="C536">INDEX(Tabela.frequencia[],SMALL(IF(Tabela.frequencia[Mês]=$L$2,ROW(Tabela.frequencia[id])-1),ROW(A489)),4)</f>
        <v>#NUM!</v>
      </c>
      <c r="E536" s="176" t="str">
        <f>IFERROR(VLOOKUP(D536,Tabela.cadastro[[ID]:[Nome]],2,0),"")</f>
        <v/>
      </c>
      <c r="F536" s="177" t="str">
        <f>IFERROR(VLOOKUP(D536,Tabela66[#All],2,0),"")</f>
        <v/>
      </c>
      <c r="G536" s="177" t="str">
        <f>IFERROR(VLOOKUP(D536,Tabela.cadastro[[ID]:[CP ou M]],5,0),"")</f>
        <v/>
      </c>
      <c r="H536" s="177" t="str">
        <f>IFERROR(VLOOKUP(D536,Cadastros!A:F,6,0),"")</f>
        <v/>
      </c>
      <c r="I536" s="177" t="str">
        <f>IFERROR(VLOOKUP(D536,Cadastros!A:I,9,0),"")</f>
        <v/>
      </c>
      <c r="J536" s="177" t="str">
        <f>IFERROR(VLOOKUP(D536,Cadastros!A:J,10,0),"")</f>
        <v/>
      </c>
      <c r="K536" s="177" t="str">
        <f>IF(COUNTIF(Tabela66[id],D536)=0,"",COUNTIF(Tabela66[id],D536))</f>
        <v/>
      </c>
      <c r="L536" s="198"/>
      <c r="M536" s="227" t="str">
        <f t="shared" si="40"/>
        <v/>
      </c>
      <c r="P536" s="176" t="str">
        <f>IFERROR(VLOOKUP(O536,Cadastros!A:B,2),"")</f>
        <v/>
      </c>
      <c r="Q536" s="177" t="str">
        <f t="shared" si="36"/>
        <v/>
      </c>
      <c r="R536" s="177" t="str">
        <f>IFERROR(VLOOKUP(O536,Cadastros!A:E,5,0),"")</f>
        <v/>
      </c>
      <c r="S536" s="177" t="str">
        <f>IFERROR(VLOOKUP(O536,Cadastros!A:F,6,0),"")</f>
        <v/>
      </c>
      <c r="T536" s="177" t="str">
        <f>IFERROR(VLOOKUP(O536,Cadastros!A:I,9,0),"")</f>
        <v/>
      </c>
      <c r="U536" s="177" t="str">
        <f t="shared" si="37"/>
        <v/>
      </c>
      <c r="V536" s="177" t="str">
        <f t="shared" si="38"/>
        <v/>
      </c>
      <c r="W536" s="177" t="str">
        <f t="shared" si="39"/>
        <v/>
      </c>
      <c r="Y536" s="240" t="e">
        <f t="array" ref="Y536">INDEX(Tabela.abordagens[],SMALL(IF(Tabela.abordagens[Mês]=$L$2,ROW(Tabela.abordagens[id])-2),ROW(A489)),1)</f>
        <v>#NUM!</v>
      </c>
      <c r="Z536" s="240" t="e">
        <f t="array" ref="Z536">INDEX(Tabela.abordagens[],SMALL(IF(Tabela.abordagens[Mês]=$L$2,ROW(Tabela.abordagens[Idade])-2),ROW(A489)),6)</f>
        <v>#NUM!</v>
      </c>
      <c r="AA536" s="240" t="e">
        <f t="array" ref="AA536">INDEX(Tabela.abordagens[],SMALL(IF(Tabela.abordagens[Mês]=$L$2,ROW(Tabela.abordagens[Idade])-2),ROW(A489)),4)</f>
        <v>#NUM!</v>
      </c>
      <c r="AB536" s="240" t="e">
        <f t="array" ref="AB536">INDEX(Tabela.abordagens[],SMALL(IF(Tabela.abordagens[Mês]=$L$2,ROW(Tabela.abordagens[Idade])-2),ROW(A489)),5)</f>
        <v>#NUM!</v>
      </c>
    </row>
    <row r="537" spans="2:28" ht="15" x14ac:dyDescent="0.25">
      <c r="B537" s="223" t="e">
        <f t="array" ref="B537">INDEX(Tabela.frequencia[],SMALL(IF(Tabela.frequencia[Mês]=$L$2,ROW(Tabela.frequencia[id])-1),ROW(A490)),1)</f>
        <v>#NUM!</v>
      </c>
      <c r="C537" s="229" t="e">
        <f t="array" ref="C537">INDEX(Tabela.frequencia[],SMALL(IF(Tabela.frequencia[Mês]=$L$2,ROW(Tabela.frequencia[id])-1),ROW(A490)),4)</f>
        <v>#NUM!</v>
      </c>
      <c r="E537" s="176" t="str">
        <f>IFERROR(VLOOKUP(D537,Tabela.cadastro[[ID]:[Nome]],2,0),"")</f>
        <v/>
      </c>
      <c r="F537" s="177" t="str">
        <f>IFERROR(VLOOKUP(D537,Tabela66[#All],2,0),"")</f>
        <v/>
      </c>
      <c r="G537" s="177" t="str">
        <f>IFERROR(VLOOKUP(D537,Tabela.cadastro[[ID]:[CP ou M]],5,0),"")</f>
        <v/>
      </c>
      <c r="H537" s="177" t="str">
        <f>IFERROR(VLOOKUP(D537,Cadastros!A:F,6,0),"")</f>
        <v/>
      </c>
      <c r="I537" s="177" t="str">
        <f>IFERROR(VLOOKUP(D537,Cadastros!A:I,9,0),"")</f>
        <v/>
      </c>
      <c r="J537" s="177" t="str">
        <f>IFERROR(VLOOKUP(D537,Cadastros!A:J,10,0),"")</f>
        <v/>
      </c>
      <c r="K537" s="177" t="str">
        <f>IF(COUNTIF(Tabela66[id],D537)=0,"",COUNTIF(Tabela66[id],D537))</f>
        <v/>
      </c>
      <c r="L537" s="198"/>
      <c r="M537" s="227" t="str">
        <f t="shared" si="40"/>
        <v/>
      </c>
      <c r="P537" s="176" t="str">
        <f>IFERROR(VLOOKUP(O537,Cadastros!A:B,2),"")</f>
        <v/>
      </c>
      <c r="Q537" s="177" t="str">
        <f t="shared" si="36"/>
        <v/>
      </c>
      <c r="R537" s="177" t="str">
        <f>IFERROR(VLOOKUP(O537,Cadastros!A:E,5,0),"")</f>
        <v/>
      </c>
      <c r="S537" s="177" t="str">
        <f>IFERROR(VLOOKUP(O537,Cadastros!A:F,6,0),"")</f>
        <v/>
      </c>
      <c r="T537" s="177" t="str">
        <f>IFERROR(VLOOKUP(O537,Cadastros!A:I,9,0),"")</f>
        <v/>
      </c>
      <c r="U537" s="177" t="str">
        <f t="shared" si="37"/>
        <v/>
      </c>
      <c r="V537" s="177" t="str">
        <f t="shared" si="38"/>
        <v/>
      </c>
      <c r="W537" s="177" t="str">
        <f t="shared" si="39"/>
        <v/>
      </c>
      <c r="Y537" s="240" t="e">
        <f t="array" ref="Y537">INDEX(Tabela.abordagens[],SMALL(IF(Tabela.abordagens[Mês]=$L$2,ROW(Tabela.abordagens[id])-2),ROW(A490)),1)</f>
        <v>#NUM!</v>
      </c>
      <c r="Z537" s="240" t="e">
        <f t="array" ref="Z537">INDEX(Tabela.abordagens[],SMALL(IF(Tabela.abordagens[Mês]=$L$2,ROW(Tabela.abordagens[Idade])-2),ROW(A490)),6)</f>
        <v>#NUM!</v>
      </c>
      <c r="AA537" s="240" t="e">
        <f t="array" ref="AA537">INDEX(Tabela.abordagens[],SMALL(IF(Tabela.abordagens[Mês]=$L$2,ROW(Tabela.abordagens[Idade])-2),ROW(A490)),4)</f>
        <v>#NUM!</v>
      </c>
      <c r="AB537" s="240" t="e">
        <f t="array" ref="AB537">INDEX(Tabela.abordagens[],SMALL(IF(Tabela.abordagens[Mês]=$L$2,ROW(Tabela.abordagens[Idade])-2),ROW(A490)),5)</f>
        <v>#NUM!</v>
      </c>
    </row>
    <row r="538" spans="2:28" ht="15" x14ac:dyDescent="0.25">
      <c r="B538" s="223" t="e">
        <f t="array" ref="B538">INDEX(Tabela.frequencia[],SMALL(IF(Tabela.frequencia[Mês]=$L$2,ROW(Tabela.frequencia[id])-1),ROW(A491)),1)</f>
        <v>#NUM!</v>
      </c>
      <c r="C538" s="229" t="e">
        <f t="array" ref="C538">INDEX(Tabela.frequencia[],SMALL(IF(Tabela.frequencia[Mês]=$L$2,ROW(Tabela.frequencia[id])-1),ROW(A491)),4)</f>
        <v>#NUM!</v>
      </c>
      <c r="E538" s="176" t="str">
        <f>IFERROR(VLOOKUP(D538,Tabela.cadastro[[ID]:[Nome]],2,0),"")</f>
        <v/>
      </c>
      <c r="F538" s="177" t="str">
        <f>IFERROR(VLOOKUP(D538,Tabela66[#All],2,0),"")</f>
        <v/>
      </c>
      <c r="G538" s="177" t="str">
        <f>IFERROR(VLOOKUP(D538,Tabela.cadastro[[ID]:[CP ou M]],5,0),"")</f>
        <v/>
      </c>
      <c r="H538" s="177" t="str">
        <f>IFERROR(VLOOKUP(D538,Cadastros!A:F,6,0),"")</f>
        <v/>
      </c>
      <c r="I538" s="177" t="str">
        <f>IFERROR(VLOOKUP(D538,Cadastros!A:I,9,0),"")</f>
        <v/>
      </c>
      <c r="J538" s="177" t="str">
        <f>IFERROR(VLOOKUP(D538,Cadastros!A:J,10,0),"")</f>
        <v/>
      </c>
      <c r="K538" s="177" t="str">
        <f>IF(COUNTIF(Tabela66[id],D538)=0,"",COUNTIF(Tabela66[id],D538))</f>
        <v/>
      </c>
      <c r="L538" s="198"/>
      <c r="M538" s="227" t="str">
        <f t="shared" si="40"/>
        <v/>
      </c>
      <c r="P538" s="176" t="str">
        <f>IFERROR(VLOOKUP(O538,Cadastros!A:B,2),"")</f>
        <v/>
      </c>
      <c r="Q538" s="177" t="str">
        <f t="shared" si="36"/>
        <v/>
      </c>
      <c r="R538" s="177" t="str">
        <f>IFERROR(VLOOKUP(O538,Cadastros!A:E,5,0),"")</f>
        <v/>
      </c>
      <c r="S538" s="177" t="str">
        <f>IFERROR(VLOOKUP(O538,Cadastros!A:F,6,0),"")</f>
        <v/>
      </c>
      <c r="T538" s="177" t="str">
        <f>IFERROR(VLOOKUP(O538,Cadastros!A:I,9,0),"")</f>
        <v/>
      </c>
      <c r="U538" s="177" t="str">
        <f t="shared" si="37"/>
        <v/>
      </c>
      <c r="V538" s="177" t="str">
        <f t="shared" si="38"/>
        <v/>
      </c>
      <c r="W538" s="177" t="str">
        <f t="shared" si="39"/>
        <v/>
      </c>
      <c r="Y538" s="240" t="e">
        <f t="array" ref="Y538">INDEX(Tabela.abordagens[],SMALL(IF(Tabela.abordagens[Mês]=$L$2,ROW(Tabela.abordagens[id])-2),ROW(A491)),1)</f>
        <v>#NUM!</v>
      </c>
      <c r="Z538" s="240" t="e">
        <f t="array" ref="Z538">INDEX(Tabela.abordagens[],SMALL(IF(Tabela.abordagens[Mês]=$L$2,ROW(Tabela.abordagens[Idade])-2),ROW(A491)),6)</f>
        <v>#NUM!</v>
      </c>
      <c r="AA538" s="240" t="e">
        <f t="array" ref="AA538">INDEX(Tabela.abordagens[],SMALL(IF(Tabela.abordagens[Mês]=$L$2,ROW(Tabela.abordagens[Idade])-2),ROW(A491)),4)</f>
        <v>#NUM!</v>
      </c>
      <c r="AB538" s="240" t="e">
        <f t="array" ref="AB538">INDEX(Tabela.abordagens[],SMALL(IF(Tabela.abordagens[Mês]=$L$2,ROW(Tabela.abordagens[Idade])-2),ROW(A491)),5)</f>
        <v>#NUM!</v>
      </c>
    </row>
    <row r="539" spans="2:28" ht="15" x14ac:dyDescent="0.25">
      <c r="B539" s="223" t="e">
        <f t="array" ref="B539">INDEX(Tabela.frequencia[],SMALL(IF(Tabela.frequencia[Mês]=$L$2,ROW(Tabela.frequencia[id])-1),ROW(A492)),1)</f>
        <v>#NUM!</v>
      </c>
      <c r="C539" s="229" t="e">
        <f t="array" ref="C539">INDEX(Tabela.frequencia[],SMALL(IF(Tabela.frequencia[Mês]=$L$2,ROW(Tabela.frequencia[id])-1),ROW(A492)),4)</f>
        <v>#NUM!</v>
      </c>
      <c r="E539" s="176" t="str">
        <f>IFERROR(VLOOKUP(D539,Tabela.cadastro[[ID]:[Nome]],2,0),"")</f>
        <v/>
      </c>
      <c r="F539" s="177" t="str">
        <f>IFERROR(VLOOKUP(D539,Tabela66[#All],2,0),"")</f>
        <v/>
      </c>
      <c r="G539" s="177" t="str">
        <f>IFERROR(VLOOKUP(D539,Tabela.cadastro[[ID]:[CP ou M]],5,0),"")</f>
        <v/>
      </c>
      <c r="H539" s="177" t="str">
        <f>IFERROR(VLOOKUP(D539,Cadastros!A:F,6,0),"")</f>
        <v/>
      </c>
      <c r="I539" s="177" t="str">
        <f>IFERROR(VLOOKUP(D539,Cadastros!A:I,9,0),"")</f>
        <v/>
      </c>
      <c r="J539" s="177" t="str">
        <f>IFERROR(VLOOKUP(D539,Cadastros!A:J,10,0),"")</f>
        <v/>
      </c>
      <c r="K539" s="177" t="str">
        <f>IF(COUNTIF(Tabela66[id],D539)=0,"",COUNTIF(Tabela66[id],D539))</f>
        <v/>
      </c>
      <c r="L539" s="198"/>
      <c r="M539" s="227" t="str">
        <f t="shared" si="40"/>
        <v/>
      </c>
      <c r="P539" s="176" t="str">
        <f>IFERROR(VLOOKUP(O539,Cadastros!A:B,2),"")</f>
        <v/>
      </c>
      <c r="Q539" s="177" t="str">
        <f t="shared" si="36"/>
        <v/>
      </c>
      <c r="R539" s="177" t="str">
        <f>IFERROR(VLOOKUP(O539,Cadastros!A:E,5,0),"")</f>
        <v/>
      </c>
      <c r="S539" s="177" t="str">
        <f>IFERROR(VLOOKUP(O539,Cadastros!A:F,6,0),"")</f>
        <v/>
      </c>
      <c r="T539" s="177" t="str">
        <f>IFERROR(VLOOKUP(O539,Cadastros!A:I,9,0),"")</f>
        <v/>
      </c>
      <c r="U539" s="177" t="str">
        <f t="shared" si="37"/>
        <v/>
      </c>
      <c r="V539" s="177" t="str">
        <f t="shared" si="38"/>
        <v/>
      </c>
      <c r="W539" s="177" t="str">
        <f t="shared" si="39"/>
        <v/>
      </c>
      <c r="Y539" s="240" t="e">
        <f t="array" ref="Y539">INDEX(Tabela.abordagens[],SMALL(IF(Tabela.abordagens[Mês]=$L$2,ROW(Tabela.abordagens[id])-2),ROW(A492)),1)</f>
        <v>#NUM!</v>
      </c>
      <c r="Z539" s="240" t="e">
        <f t="array" ref="Z539">INDEX(Tabela.abordagens[],SMALL(IF(Tabela.abordagens[Mês]=$L$2,ROW(Tabela.abordagens[Idade])-2),ROW(A492)),6)</f>
        <v>#NUM!</v>
      </c>
      <c r="AA539" s="240" t="e">
        <f t="array" ref="AA539">INDEX(Tabela.abordagens[],SMALL(IF(Tabela.abordagens[Mês]=$L$2,ROW(Tabela.abordagens[Idade])-2),ROW(A492)),4)</f>
        <v>#NUM!</v>
      </c>
      <c r="AB539" s="240" t="e">
        <f t="array" ref="AB539">INDEX(Tabela.abordagens[],SMALL(IF(Tabela.abordagens[Mês]=$L$2,ROW(Tabela.abordagens[Idade])-2),ROW(A492)),5)</f>
        <v>#NUM!</v>
      </c>
    </row>
    <row r="540" spans="2:28" ht="15" x14ac:dyDescent="0.25">
      <c r="B540" s="223" t="e">
        <f t="array" ref="B540">INDEX(Tabela.frequencia[],SMALL(IF(Tabela.frequencia[Mês]=$L$2,ROW(Tabela.frequencia[id])-1),ROW(A493)),1)</f>
        <v>#NUM!</v>
      </c>
      <c r="C540" s="229" t="e">
        <f t="array" ref="C540">INDEX(Tabela.frequencia[],SMALL(IF(Tabela.frequencia[Mês]=$L$2,ROW(Tabela.frequencia[id])-1),ROW(A493)),4)</f>
        <v>#NUM!</v>
      </c>
      <c r="E540" s="176" t="str">
        <f>IFERROR(VLOOKUP(D540,Tabela.cadastro[[ID]:[Nome]],2,0),"")</f>
        <v/>
      </c>
      <c r="F540" s="177" t="str">
        <f>IFERROR(VLOOKUP(D540,Tabela66[#All],2,0),"")</f>
        <v/>
      </c>
      <c r="G540" s="177" t="str">
        <f>IFERROR(VLOOKUP(D540,Tabela.cadastro[[ID]:[CP ou M]],5,0),"")</f>
        <v/>
      </c>
      <c r="H540" s="177" t="str">
        <f>IFERROR(VLOOKUP(D540,Cadastros!A:F,6,0),"")</f>
        <v/>
      </c>
      <c r="I540" s="177" t="str">
        <f>IFERROR(VLOOKUP(D540,Cadastros!A:I,9,0),"")</f>
        <v/>
      </c>
      <c r="J540" s="177" t="str">
        <f>IFERROR(VLOOKUP(D540,Cadastros!A:J,10,0),"")</f>
        <v/>
      </c>
      <c r="K540" s="177" t="str">
        <f>IF(COUNTIF(Tabela66[id],D540)=0,"",COUNTIF(Tabela66[id],D540))</f>
        <v/>
      </c>
      <c r="L540" s="198"/>
      <c r="M540" s="227" t="str">
        <f t="shared" si="40"/>
        <v/>
      </c>
      <c r="P540" s="176" t="str">
        <f>IFERROR(VLOOKUP(O540,Cadastros!A:B,2),"")</f>
        <v/>
      </c>
      <c r="Q540" s="177" t="str">
        <f t="shared" si="36"/>
        <v/>
      </c>
      <c r="R540" s="177" t="str">
        <f>IFERROR(VLOOKUP(O540,Cadastros!A:E,5,0),"")</f>
        <v/>
      </c>
      <c r="S540" s="177" t="str">
        <f>IFERROR(VLOOKUP(O540,Cadastros!A:F,6,0),"")</f>
        <v/>
      </c>
      <c r="T540" s="177" t="str">
        <f>IFERROR(VLOOKUP(O540,Cadastros!A:I,9,0),"")</f>
        <v/>
      </c>
      <c r="U540" s="177" t="str">
        <f t="shared" si="37"/>
        <v/>
      </c>
      <c r="V540" s="177" t="str">
        <f t="shared" si="38"/>
        <v/>
      </c>
      <c r="W540" s="177" t="str">
        <f t="shared" si="39"/>
        <v/>
      </c>
      <c r="Y540" s="240" t="e">
        <f t="array" ref="Y540">INDEX(Tabela.abordagens[],SMALL(IF(Tabela.abordagens[Mês]=$L$2,ROW(Tabela.abordagens[id])-2),ROW(A493)),1)</f>
        <v>#NUM!</v>
      </c>
      <c r="Z540" s="240" t="e">
        <f t="array" ref="Z540">INDEX(Tabela.abordagens[],SMALL(IF(Tabela.abordagens[Mês]=$L$2,ROW(Tabela.abordagens[Idade])-2),ROW(A493)),6)</f>
        <v>#NUM!</v>
      </c>
      <c r="AA540" s="240" t="e">
        <f t="array" ref="AA540">INDEX(Tabela.abordagens[],SMALL(IF(Tabela.abordagens[Mês]=$L$2,ROW(Tabela.abordagens[Idade])-2),ROW(A493)),4)</f>
        <v>#NUM!</v>
      </c>
      <c r="AB540" s="240" t="e">
        <f t="array" ref="AB540">INDEX(Tabela.abordagens[],SMALL(IF(Tabela.abordagens[Mês]=$L$2,ROW(Tabela.abordagens[Idade])-2),ROW(A493)),5)</f>
        <v>#NUM!</v>
      </c>
    </row>
    <row r="541" spans="2:28" ht="15" x14ac:dyDescent="0.25">
      <c r="B541" s="223" t="e">
        <f t="array" ref="B541">INDEX(Tabela.frequencia[],SMALL(IF(Tabela.frequencia[Mês]=$L$2,ROW(Tabela.frequencia[id])-1),ROW(A494)),1)</f>
        <v>#NUM!</v>
      </c>
      <c r="C541" s="229" t="e">
        <f t="array" ref="C541">INDEX(Tabela.frequencia[],SMALL(IF(Tabela.frequencia[Mês]=$L$2,ROW(Tabela.frequencia[id])-1),ROW(A494)),4)</f>
        <v>#NUM!</v>
      </c>
      <c r="E541" s="176" t="str">
        <f>IFERROR(VLOOKUP(D541,Tabela.cadastro[[ID]:[Nome]],2,0),"")</f>
        <v/>
      </c>
      <c r="F541" s="177" t="str">
        <f>IFERROR(VLOOKUP(D541,Tabela66[#All],2,0),"")</f>
        <v/>
      </c>
      <c r="G541" s="177" t="str">
        <f>IFERROR(VLOOKUP(D541,Tabela.cadastro[[ID]:[CP ou M]],5,0),"")</f>
        <v/>
      </c>
      <c r="H541" s="177" t="str">
        <f>IFERROR(VLOOKUP(D541,Cadastros!A:F,6,0),"")</f>
        <v/>
      </c>
      <c r="I541" s="177" t="str">
        <f>IFERROR(VLOOKUP(D541,Cadastros!A:I,9,0),"")</f>
        <v/>
      </c>
      <c r="J541" s="177" t="str">
        <f>IFERROR(VLOOKUP(D541,Cadastros!A:J,10,0),"")</f>
        <v/>
      </c>
      <c r="K541" s="177" t="str">
        <f>IF(COUNTIF(Tabela66[id],D541)=0,"",COUNTIF(Tabela66[id],D541))</f>
        <v/>
      </c>
      <c r="L541" s="198"/>
      <c r="M541" s="227" t="str">
        <f t="shared" si="40"/>
        <v/>
      </c>
      <c r="P541" s="176" t="str">
        <f>IFERROR(VLOOKUP(O541,Cadastros!A:B,2),"")</f>
        <v/>
      </c>
      <c r="Q541" s="177" t="str">
        <f t="shared" si="36"/>
        <v/>
      </c>
      <c r="R541" s="177" t="str">
        <f>IFERROR(VLOOKUP(O541,Cadastros!A:E,5,0),"")</f>
        <v/>
      </c>
      <c r="S541" s="177" t="str">
        <f>IFERROR(VLOOKUP(O541,Cadastros!A:F,6,0),"")</f>
        <v/>
      </c>
      <c r="T541" s="177" t="str">
        <f>IFERROR(VLOOKUP(O541,Cadastros!A:I,9,0),"")</f>
        <v/>
      </c>
      <c r="U541" s="177" t="str">
        <f t="shared" si="37"/>
        <v/>
      </c>
      <c r="V541" s="177" t="str">
        <f t="shared" si="38"/>
        <v/>
      </c>
      <c r="W541" s="177" t="str">
        <f t="shared" si="39"/>
        <v/>
      </c>
      <c r="Y541" s="240" t="e">
        <f t="array" ref="Y541">INDEX(Tabela.abordagens[],SMALL(IF(Tabela.abordagens[Mês]=$L$2,ROW(Tabela.abordagens[id])-2),ROW(A494)),1)</f>
        <v>#NUM!</v>
      </c>
      <c r="Z541" s="240" t="e">
        <f t="array" ref="Z541">INDEX(Tabela.abordagens[],SMALL(IF(Tabela.abordagens[Mês]=$L$2,ROW(Tabela.abordagens[Idade])-2),ROW(A494)),6)</f>
        <v>#NUM!</v>
      </c>
      <c r="AA541" s="240" t="e">
        <f t="array" ref="AA541">INDEX(Tabela.abordagens[],SMALL(IF(Tabela.abordagens[Mês]=$L$2,ROW(Tabela.abordagens[Idade])-2),ROW(A494)),4)</f>
        <v>#NUM!</v>
      </c>
      <c r="AB541" s="240" t="e">
        <f t="array" ref="AB541">INDEX(Tabela.abordagens[],SMALL(IF(Tabela.abordagens[Mês]=$L$2,ROW(Tabela.abordagens[Idade])-2),ROW(A494)),5)</f>
        <v>#NUM!</v>
      </c>
    </row>
    <row r="542" spans="2:28" ht="15" x14ac:dyDescent="0.25">
      <c r="B542" s="223" t="e">
        <f t="array" ref="B542">INDEX(Tabela.frequencia[],SMALL(IF(Tabela.frequencia[Mês]=$L$2,ROW(Tabela.frequencia[id])-1),ROW(A495)),1)</f>
        <v>#NUM!</v>
      </c>
      <c r="C542" s="229" t="e">
        <f t="array" ref="C542">INDEX(Tabela.frequencia[],SMALL(IF(Tabela.frequencia[Mês]=$L$2,ROW(Tabela.frequencia[id])-1),ROW(A495)),4)</f>
        <v>#NUM!</v>
      </c>
      <c r="E542" s="176" t="str">
        <f>IFERROR(VLOOKUP(D542,Tabela.cadastro[[ID]:[Nome]],2,0),"")</f>
        <v/>
      </c>
      <c r="F542" s="177" t="str">
        <f>IFERROR(VLOOKUP(D542,Tabela66[#All],2,0),"")</f>
        <v/>
      </c>
      <c r="G542" s="177" t="str">
        <f>IFERROR(VLOOKUP(D542,Tabela.cadastro[[ID]:[CP ou M]],5,0),"")</f>
        <v/>
      </c>
      <c r="H542" s="177" t="str">
        <f>IFERROR(VLOOKUP(D542,Cadastros!A:F,6,0),"")</f>
        <v/>
      </c>
      <c r="I542" s="177" t="str">
        <f>IFERROR(VLOOKUP(D542,Cadastros!A:I,9,0),"")</f>
        <v/>
      </c>
      <c r="J542" s="177" t="str">
        <f>IFERROR(VLOOKUP(D542,Cadastros!A:J,10,0),"")</f>
        <v/>
      </c>
      <c r="K542" s="177" t="str">
        <f>IF(COUNTIF(Tabela66[id],D542)=0,"",COUNTIF(Tabela66[id],D542))</f>
        <v/>
      </c>
      <c r="L542" s="198"/>
      <c r="M542" s="227" t="str">
        <f t="shared" si="40"/>
        <v/>
      </c>
      <c r="P542" s="176" t="str">
        <f>IFERROR(VLOOKUP(O542,Cadastros!A:B,2),"")</f>
        <v/>
      </c>
      <c r="Q542" s="177" t="str">
        <f t="shared" si="36"/>
        <v/>
      </c>
      <c r="R542" s="177" t="str">
        <f>IFERROR(VLOOKUP(O542,Cadastros!A:E,5,0),"")</f>
        <v/>
      </c>
      <c r="S542" s="177" t="str">
        <f>IFERROR(VLOOKUP(O542,Cadastros!A:F,6,0),"")</f>
        <v/>
      </c>
      <c r="T542" s="177" t="str">
        <f>IFERROR(VLOOKUP(O542,Cadastros!A:I,9,0),"")</f>
        <v/>
      </c>
      <c r="U542" s="177" t="str">
        <f t="shared" si="37"/>
        <v/>
      </c>
      <c r="V542" s="177" t="str">
        <f t="shared" si="38"/>
        <v/>
      </c>
      <c r="W542" s="177" t="str">
        <f t="shared" si="39"/>
        <v/>
      </c>
      <c r="Y542" s="240" t="e">
        <f t="array" ref="Y542">INDEX(Tabela.abordagens[],SMALL(IF(Tabela.abordagens[Mês]=$L$2,ROW(Tabela.abordagens[id])-2),ROW(A495)),1)</f>
        <v>#NUM!</v>
      </c>
      <c r="Z542" s="240" t="e">
        <f t="array" ref="Z542">INDEX(Tabela.abordagens[],SMALL(IF(Tabela.abordagens[Mês]=$L$2,ROW(Tabela.abordagens[Idade])-2),ROW(A495)),6)</f>
        <v>#NUM!</v>
      </c>
      <c r="AA542" s="240" t="e">
        <f t="array" ref="AA542">INDEX(Tabela.abordagens[],SMALL(IF(Tabela.abordagens[Mês]=$L$2,ROW(Tabela.abordagens[Idade])-2),ROW(A495)),4)</f>
        <v>#NUM!</v>
      </c>
      <c r="AB542" s="240" t="e">
        <f t="array" ref="AB542">INDEX(Tabela.abordagens[],SMALL(IF(Tabela.abordagens[Mês]=$L$2,ROW(Tabela.abordagens[Idade])-2),ROW(A495)),5)</f>
        <v>#NUM!</v>
      </c>
    </row>
    <row r="543" spans="2:28" ht="15" x14ac:dyDescent="0.25">
      <c r="B543" s="223" t="e">
        <f t="array" ref="B543">INDEX(Tabela.frequencia[],SMALL(IF(Tabela.frequencia[Mês]=$L$2,ROW(Tabela.frequencia[id])-1),ROW(A496)),1)</f>
        <v>#NUM!</v>
      </c>
      <c r="C543" s="229" t="e">
        <f t="array" ref="C543">INDEX(Tabela.frequencia[],SMALL(IF(Tabela.frequencia[Mês]=$L$2,ROW(Tabela.frequencia[id])-1),ROW(A496)),4)</f>
        <v>#NUM!</v>
      </c>
      <c r="E543" s="176" t="str">
        <f>IFERROR(VLOOKUP(D543,Tabela.cadastro[[ID]:[Nome]],2,0),"")</f>
        <v/>
      </c>
      <c r="F543" s="177" t="str">
        <f>IFERROR(VLOOKUP(D543,Tabela66[#All],2,0),"")</f>
        <v/>
      </c>
      <c r="G543" s="177" t="str">
        <f>IFERROR(VLOOKUP(D543,Tabela.cadastro[[ID]:[CP ou M]],5,0),"")</f>
        <v/>
      </c>
      <c r="H543" s="177" t="str">
        <f>IFERROR(VLOOKUP(D543,Cadastros!A:F,6,0),"")</f>
        <v/>
      </c>
      <c r="I543" s="177" t="str">
        <f>IFERROR(VLOOKUP(D543,Cadastros!A:I,9,0),"")</f>
        <v/>
      </c>
      <c r="J543" s="177" t="str">
        <f>IFERROR(VLOOKUP(D543,Cadastros!A:J,10,0),"")</f>
        <v/>
      </c>
      <c r="K543" s="177" t="str">
        <f>IF(COUNTIF(Tabela66[id],D543)=0,"",COUNTIF(Tabela66[id],D543))</f>
        <v/>
      </c>
      <c r="L543" s="198"/>
      <c r="M543" s="227" t="str">
        <f t="shared" si="40"/>
        <v/>
      </c>
      <c r="P543" s="176" t="str">
        <f>IFERROR(VLOOKUP(O543,Cadastros!A:B,2),"")</f>
        <v/>
      </c>
      <c r="Q543" s="177" t="str">
        <f t="shared" si="36"/>
        <v/>
      </c>
      <c r="R543" s="177" t="str">
        <f>IFERROR(VLOOKUP(O543,Cadastros!A:E,5,0),"")</f>
        <v/>
      </c>
      <c r="S543" s="177" t="str">
        <f>IFERROR(VLOOKUP(O543,Cadastros!A:F,6,0),"")</f>
        <v/>
      </c>
      <c r="T543" s="177" t="str">
        <f>IFERROR(VLOOKUP(O543,Cadastros!A:I,9,0),"")</f>
        <v/>
      </c>
      <c r="U543" s="177" t="str">
        <f t="shared" si="37"/>
        <v/>
      </c>
      <c r="V543" s="177" t="str">
        <f t="shared" si="38"/>
        <v/>
      </c>
      <c r="W543" s="177" t="str">
        <f t="shared" si="39"/>
        <v/>
      </c>
      <c r="Y543" s="240" t="e">
        <f t="array" ref="Y543">INDEX(Tabela.abordagens[],SMALL(IF(Tabela.abordagens[Mês]=$L$2,ROW(Tabela.abordagens[id])-2),ROW(A496)),1)</f>
        <v>#NUM!</v>
      </c>
      <c r="Z543" s="240" t="e">
        <f t="array" ref="Z543">INDEX(Tabela.abordagens[],SMALL(IF(Tabela.abordagens[Mês]=$L$2,ROW(Tabela.abordagens[Idade])-2),ROW(A496)),6)</f>
        <v>#NUM!</v>
      </c>
      <c r="AA543" s="240" t="e">
        <f t="array" ref="AA543">INDEX(Tabela.abordagens[],SMALL(IF(Tabela.abordagens[Mês]=$L$2,ROW(Tabela.abordagens[Idade])-2),ROW(A496)),4)</f>
        <v>#NUM!</v>
      </c>
      <c r="AB543" s="240" t="e">
        <f t="array" ref="AB543">INDEX(Tabela.abordagens[],SMALL(IF(Tabela.abordagens[Mês]=$L$2,ROW(Tabela.abordagens[Idade])-2),ROW(A496)),5)</f>
        <v>#NUM!</v>
      </c>
    </row>
    <row r="544" spans="2:28" ht="15" x14ac:dyDescent="0.25">
      <c r="B544" s="223" t="e">
        <f t="array" ref="B544">INDEX(Tabela.frequencia[],SMALL(IF(Tabela.frequencia[Mês]=$L$2,ROW(Tabela.frequencia[id])-1),ROW(A497)),1)</f>
        <v>#NUM!</v>
      </c>
      <c r="C544" s="229" t="e">
        <f t="array" ref="C544">INDEX(Tabela.frequencia[],SMALL(IF(Tabela.frequencia[Mês]=$L$2,ROW(Tabela.frequencia[id])-1),ROW(A497)),4)</f>
        <v>#NUM!</v>
      </c>
      <c r="E544" s="176" t="str">
        <f>IFERROR(VLOOKUP(D544,Tabela.cadastro[[ID]:[Nome]],2,0),"")</f>
        <v/>
      </c>
      <c r="F544" s="177" t="str">
        <f>IFERROR(VLOOKUP(D544,Tabela66[#All],2,0),"")</f>
        <v/>
      </c>
      <c r="G544" s="177" t="str">
        <f>IFERROR(VLOOKUP(D544,Tabela.cadastro[[ID]:[CP ou M]],5,0),"")</f>
        <v/>
      </c>
      <c r="H544" s="177" t="str">
        <f>IFERROR(VLOOKUP(D544,Cadastros!A:F,6,0),"")</f>
        <v/>
      </c>
      <c r="I544" s="177" t="str">
        <f>IFERROR(VLOOKUP(D544,Cadastros!A:I,9,0),"")</f>
        <v/>
      </c>
      <c r="J544" s="177" t="str">
        <f>IFERROR(VLOOKUP(D544,Cadastros!A:J,10,0),"")</f>
        <v/>
      </c>
      <c r="K544" s="177" t="str">
        <f>IF(COUNTIF(Tabela66[id],D544)=0,"",COUNTIF(Tabela66[id],D544))</f>
        <v/>
      </c>
      <c r="L544" s="198"/>
      <c r="M544" s="227" t="str">
        <f t="shared" si="40"/>
        <v/>
      </c>
      <c r="P544" s="176" t="str">
        <f>IFERROR(VLOOKUP(O544,Cadastros!A:B,2),"")</f>
        <v/>
      </c>
      <c r="Q544" s="177" t="str">
        <f t="shared" si="36"/>
        <v/>
      </c>
      <c r="R544" s="177" t="str">
        <f>IFERROR(VLOOKUP(O544,Cadastros!A:E,5,0),"")</f>
        <v/>
      </c>
      <c r="S544" s="177" t="str">
        <f>IFERROR(VLOOKUP(O544,Cadastros!A:F,6,0),"")</f>
        <v/>
      </c>
      <c r="T544" s="177" t="str">
        <f>IFERROR(VLOOKUP(O544,Cadastros!A:I,9,0),"")</f>
        <v/>
      </c>
      <c r="U544" s="177" t="str">
        <f t="shared" si="37"/>
        <v/>
      </c>
      <c r="V544" s="177" t="str">
        <f t="shared" si="38"/>
        <v/>
      </c>
      <c r="W544" s="177" t="str">
        <f t="shared" si="39"/>
        <v/>
      </c>
      <c r="Y544" s="240" t="e">
        <f t="array" ref="Y544">INDEX(Tabela.abordagens[],SMALL(IF(Tabela.abordagens[Mês]=$L$2,ROW(Tabela.abordagens[id])-2),ROW(A497)),1)</f>
        <v>#NUM!</v>
      </c>
      <c r="Z544" s="240" t="e">
        <f t="array" ref="Z544">INDEX(Tabela.abordagens[],SMALL(IF(Tabela.abordagens[Mês]=$L$2,ROW(Tabela.abordagens[Idade])-2),ROW(A497)),6)</f>
        <v>#NUM!</v>
      </c>
      <c r="AA544" s="240" t="e">
        <f t="array" ref="AA544">INDEX(Tabela.abordagens[],SMALL(IF(Tabela.abordagens[Mês]=$L$2,ROW(Tabela.abordagens[Idade])-2),ROW(A497)),4)</f>
        <v>#NUM!</v>
      </c>
      <c r="AB544" s="240" t="e">
        <f t="array" ref="AB544">INDEX(Tabela.abordagens[],SMALL(IF(Tabela.abordagens[Mês]=$L$2,ROW(Tabela.abordagens[Idade])-2),ROW(A497)),5)</f>
        <v>#NUM!</v>
      </c>
    </row>
    <row r="545" spans="2:28" ht="15" x14ac:dyDescent="0.25">
      <c r="B545" s="223" t="e">
        <f t="array" ref="B545">INDEX(Tabela.frequencia[],SMALL(IF(Tabela.frequencia[Mês]=$L$2,ROW(Tabela.frequencia[id])-1),ROW(A498)),1)</f>
        <v>#NUM!</v>
      </c>
      <c r="C545" s="229" t="e">
        <f t="array" ref="C545">INDEX(Tabela.frequencia[],SMALL(IF(Tabela.frequencia[Mês]=$L$2,ROW(Tabela.frequencia[id])-1),ROW(A498)),4)</f>
        <v>#NUM!</v>
      </c>
      <c r="E545" s="176" t="str">
        <f>IFERROR(VLOOKUP(D545,Tabela.cadastro[[ID]:[Nome]],2,0),"")</f>
        <v/>
      </c>
      <c r="F545" s="177" t="str">
        <f>IFERROR(VLOOKUP(D545,Tabela66[#All],2,0),"")</f>
        <v/>
      </c>
      <c r="G545" s="177" t="str">
        <f>IFERROR(VLOOKUP(D545,Tabela.cadastro[[ID]:[CP ou M]],5,0),"")</f>
        <v/>
      </c>
      <c r="H545" s="177" t="str">
        <f>IFERROR(VLOOKUP(D545,Cadastros!A:F,6,0),"")</f>
        <v/>
      </c>
      <c r="I545" s="177" t="str">
        <f>IFERROR(VLOOKUP(D545,Cadastros!A:I,9,0),"")</f>
        <v/>
      </c>
      <c r="J545" s="177" t="str">
        <f>IFERROR(VLOOKUP(D545,Cadastros!A:J,10,0),"")</f>
        <v/>
      </c>
      <c r="K545" s="177" t="str">
        <f>IF(COUNTIF(Tabela66[id],D545)=0,"",COUNTIF(Tabela66[id],D545))</f>
        <v/>
      </c>
      <c r="L545" s="198"/>
      <c r="M545" s="227" t="str">
        <f t="shared" si="40"/>
        <v/>
      </c>
      <c r="P545" s="176" t="str">
        <f>IFERROR(VLOOKUP(O545,Cadastros!A:B,2),"")</f>
        <v/>
      </c>
      <c r="Q545" s="177" t="str">
        <f t="shared" si="36"/>
        <v/>
      </c>
      <c r="R545" s="177" t="str">
        <f>IFERROR(VLOOKUP(O545,Cadastros!A:E,5,0),"")</f>
        <v/>
      </c>
      <c r="S545" s="177" t="str">
        <f>IFERROR(VLOOKUP(O545,Cadastros!A:F,6,0),"")</f>
        <v/>
      </c>
      <c r="T545" s="177" t="str">
        <f>IFERROR(VLOOKUP(O545,Cadastros!A:I,9,0),"")</f>
        <v/>
      </c>
      <c r="U545" s="177" t="str">
        <f t="shared" si="37"/>
        <v/>
      </c>
      <c r="V545" s="177" t="str">
        <f t="shared" si="38"/>
        <v/>
      </c>
      <c r="W545" s="177" t="str">
        <f t="shared" si="39"/>
        <v/>
      </c>
      <c r="Y545" s="240" t="e">
        <f t="array" ref="Y545">INDEX(Tabela.abordagens[],SMALL(IF(Tabela.abordagens[Mês]=$L$2,ROW(Tabela.abordagens[id])-2),ROW(A498)),1)</f>
        <v>#NUM!</v>
      </c>
      <c r="Z545" s="240" t="e">
        <f t="array" ref="Z545">INDEX(Tabela.abordagens[],SMALL(IF(Tabela.abordagens[Mês]=$L$2,ROW(Tabela.abordagens[Idade])-2),ROW(A498)),6)</f>
        <v>#NUM!</v>
      </c>
      <c r="AA545" s="240" t="e">
        <f t="array" ref="AA545">INDEX(Tabela.abordagens[],SMALL(IF(Tabela.abordagens[Mês]=$L$2,ROW(Tabela.abordagens[Idade])-2),ROW(A498)),4)</f>
        <v>#NUM!</v>
      </c>
      <c r="AB545" s="240" t="e">
        <f t="array" ref="AB545">INDEX(Tabela.abordagens[],SMALL(IF(Tabela.abordagens[Mês]=$L$2,ROW(Tabela.abordagens[Idade])-2),ROW(A498)),5)</f>
        <v>#NUM!</v>
      </c>
    </row>
    <row r="546" spans="2:28" ht="15" x14ac:dyDescent="0.25">
      <c r="B546" s="223" t="e">
        <f t="array" ref="B546">INDEX(Tabela.frequencia[],SMALL(IF(Tabela.frequencia[Mês]=$L$2,ROW(Tabela.frequencia[id])-1),ROW(A499)),1)</f>
        <v>#NUM!</v>
      </c>
      <c r="C546" s="229" t="e">
        <f t="array" ref="C546">INDEX(Tabela.frequencia[],SMALL(IF(Tabela.frequencia[Mês]=$L$2,ROW(Tabela.frequencia[id])-1),ROW(A499)),4)</f>
        <v>#NUM!</v>
      </c>
      <c r="E546" s="176" t="str">
        <f>IFERROR(VLOOKUP(D546,Tabela.cadastro[[ID]:[Nome]],2,0),"")</f>
        <v/>
      </c>
      <c r="F546" s="177" t="str">
        <f>IFERROR(VLOOKUP(D546,Tabela66[#All],2,0),"")</f>
        <v/>
      </c>
      <c r="G546" s="177" t="str">
        <f>IFERROR(VLOOKUP(D546,Tabela.cadastro[[ID]:[CP ou M]],5,0),"")</f>
        <v/>
      </c>
      <c r="H546" s="177" t="str">
        <f>IFERROR(VLOOKUP(D546,Cadastros!A:F,6,0),"")</f>
        <v/>
      </c>
      <c r="I546" s="177" t="str">
        <f>IFERROR(VLOOKUP(D546,Cadastros!A:I,9,0),"")</f>
        <v/>
      </c>
      <c r="J546" s="177" t="str">
        <f>IFERROR(VLOOKUP(D546,Cadastros!A:J,10,0),"")</f>
        <v/>
      </c>
      <c r="K546" s="177" t="str">
        <f>IF(COUNTIF(Tabela66[id],D546)=0,"",COUNTIF(Tabela66[id],D546))</f>
        <v/>
      </c>
      <c r="L546" s="198"/>
      <c r="M546" s="227" t="str">
        <f t="shared" si="40"/>
        <v/>
      </c>
      <c r="P546" s="176" t="str">
        <f>IFERROR(VLOOKUP(O546,Cadastros!A:B,2),"")</f>
        <v/>
      </c>
      <c r="Q546" s="177" t="str">
        <f t="shared" ref="Q546:Q609" si="41">IFERROR(VLOOKUP(O546,$Y$33:$Z$866,2,0),"")</f>
        <v/>
      </c>
      <c r="R546" s="177" t="str">
        <f>IFERROR(VLOOKUP(O546,Cadastros!A:E,5,0),"")</f>
        <v/>
      </c>
      <c r="S546" s="177" t="str">
        <f>IFERROR(VLOOKUP(O546,Cadastros!A:F,6,0),"")</f>
        <v/>
      </c>
      <c r="T546" s="177" t="str">
        <f>IFERROR(VLOOKUP(O546,Cadastros!A:I,9,0),"")</f>
        <v/>
      </c>
      <c r="U546" s="177" t="str">
        <f t="shared" ref="U546:U609" si="42">IFERROR(VLOOKUP(O546,Y$33:AB$866,3,0),"")</f>
        <v/>
      </c>
      <c r="V546" s="177" t="str">
        <f t="shared" ref="V546:V609" si="43">IFERROR(VLOOKUP(O546,Y$33:AB$866,4,0),"")</f>
        <v/>
      </c>
      <c r="W546" s="177" t="str">
        <f t="shared" ref="W546:W609" si="44">IF(COUNTIF(Y$33:Y$866,O546)=0,"",COUNTIF(Y$33:Y$866,O546))</f>
        <v/>
      </c>
      <c r="Y546" s="240" t="e">
        <f t="array" ref="Y546">INDEX(Tabela.abordagens[],SMALL(IF(Tabela.abordagens[Mês]=$L$2,ROW(Tabela.abordagens[id])-2),ROW(A499)),1)</f>
        <v>#NUM!</v>
      </c>
      <c r="Z546" s="240" t="e">
        <f t="array" ref="Z546">INDEX(Tabela.abordagens[],SMALL(IF(Tabela.abordagens[Mês]=$L$2,ROW(Tabela.abordagens[Idade])-2),ROW(A499)),6)</f>
        <v>#NUM!</v>
      </c>
      <c r="AA546" s="240" t="e">
        <f t="array" ref="AA546">INDEX(Tabela.abordagens[],SMALL(IF(Tabela.abordagens[Mês]=$L$2,ROW(Tabela.abordagens[Idade])-2),ROW(A499)),4)</f>
        <v>#NUM!</v>
      </c>
      <c r="AB546" s="240" t="e">
        <f t="array" ref="AB546">INDEX(Tabela.abordagens[],SMALL(IF(Tabela.abordagens[Mês]=$L$2,ROW(Tabela.abordagens[Idade])-2),ROW(A499)),5)</f>
        <v>#NUM!</v>
      </c>
    </row>
    <row r="547" spans="2:28" ht="15" x14ac:dyDescent="0.25">
      <c r="B547" s="223" t="e">
        <f t="array" ref="B547">INDEX(Tabela.frequencia[],SMALL(IF(Tabela.frequencia[Mês]=$L$2,ROW(Tabela.frequencia[id])-1),ROW(A500)),1)</f>
        <v>#NUM!</v>
      </c>
      <c r="C547" s="229" t="e">
        <f t="array" ref="C547">INDEX(Tabela.frequencia[],SMALL(IF(Tabela.frequencia[Mês]=$L$2,ROW(Tabela.frequencia[id])-1),ROW(A500)),4)</f>
        <v>#NUM!</v>
      </c>
      <c r="E547" s="176" t="str">
        <f>IFERROR(VLOOKUP(D547,Tabela.cadastro[[ID]:[Nome]],2,0),"")</f>
        <v/>
      </c>
      <c r="F547" s="177" t="str">
        <f>IFERROR(VLOOKUP(D547,Tabela66[#All],2,0),"")</f>
        <v/>
      </c>
      <c r="G547" s="177" t="str">
        <f>IFERROR(VLOOKUP(D547,Tabela.cadastro[[ID]:[CP ou M]],5,0),"")</f>
        <v/>
      </c>
      <c r="H547" s="177" t="str">
        <f>IFERROR(VLOOKUP(D547,Cadastros!A:F,6,0),"")</f>
        <v/>
      </c>
      <c r="I547" s="177" t="str">
        <f>IFERROR(VLOOKUP(D547,Cadastros!A:I,9,0),"")</f>
        <v/>
      </c>
      <c r="J547" s="177" t="str">
        <f>IFERROR(VLOOKUP(D547,Cadastros!A:J,10,0),"")</f>
        <v/>
      </c>
      <c r="K547" s="177" t="str">
        <f>IF(COUNTIF(Tabela66[id],D547)=0,"",COUNTIF(Tabela66[id],D547))</f>
        <v/>
      </c>
      <c r="L547" s="198"/>
      <c r="M547" s="227" t="str">
        <f t="shared" si="40"/>
        <v/>
      </c>
      <c r="P547" s="176" t="str">
        <f>IFERROR(VLOOKUP(O547,Cadastros!A:B,2),"")</f>
        <v/>
      </c>
      <c r="Q547" s="177" t="str">
        <f t="shared" si="41"/>
        <v/>
      </c>
      <c r="R547" s="177" t="str">
        <f>IFERROR(VLOOKUP(O547,Cadastros!A:E,5,0),"")</f>
        <v/>
      </c>
      <c r="S547" s="177" t="str">
        <f>IFERROR(VLOOKUP(O547,Cadastros!A:F,6,0),"")</f>
        <v/>
      </c>
      <c r="T547" s="177" t="str">
        <f>IFERROR(VLOOKUP(O547,Cadastros!A:I,9,0),"")</f>
        <v/>
      </c>
      <c r="U547" s="177" t="str">
        <f t="shared" si="42"/>
        <v/>
      </c>
      <c r="V547" s="177" t="str">
        <f t="shared" si="43"/>
        <v/>
      </c>
      <c r="W547" s="177" t="str">
        <f t="shared" si="44"/>
        <v/>
      </c>
      <c r="Y547" s="240" t="e">
        <f t="array" ref="Y547">INDEX(Tabela.abordagens[],SMALL(IF(Tabela.abordagens[Mês]=$L$2,ROW(Tabela.abordagens[id])-2),ROW(A500)),1)</f>
        <v>#NUM!</v>
      </c>
      <c r="Z547" s="240" t="e">
        <f t="array" ref="Z547">INDEX(Tabela.abordagens[],SMALL(IF(Tabela.abordagens[Mês]=$L$2,ROW(Tabela.abordagens[Idade])-2),ROW(A500)),6)</f>
        <v>#NUM!</v>
      </c>
      <c r="AA547" s="240" t="e">
        <f t="array" ref="AA547">INDEX(Tabela.abordagens[],SMALL(IF(Tabela.abordagens[Mês]=$L$2,ROW(Tabela.abordagens[Idade])-2),ROW(A500)),4)</f>
        <v>#NUM!</v>
      </c>
      <c r="AB547" s="240" t="e">
        <f t="array" ref="AB547">INDEX(Tabela.abordagens[],SMALL(IF(Tabela.abordagens[Mês]=$L$2,ROW(Tabela.abordagens[Idade])-2),ROW(A500)),5)</f>
        <v>#NUM!</v>
      </c>
    </row>
    <row r="548" spans="2:28" ht="15" x14ac:dyDescent="0.25">
      <c r="B548" s="223" t="e">
        <f t="array" ref="B548">INDEX(Tabela.frequencia[],SMALL(IF(Tabela.frequencia[Mês]=$L$2,ROW(Tabela.frequencia[id])-1),ROW(A501)),1)</f>
        <v>#NUM!</v>
      </c>
      <c r="C548" s="229" t="e">
        <f t="array" ref="C548">INDEX(Tabela.frequencia[],SMALL(IF(Tabela.frequencia[Mês]=$L$2,ROW(Tabela.frequencia[id])-1),ROW(A501)),4)</f>
        <v>#NUM!</v>
      </c>
      <c r="E548" s="176" t="str">
        <f>IFERROR(VLOOKUP(D548,Tabela.cadastro[[ID]:[Nome]],2,0),"")</f>
        <v/>
      </c>
      <c r="F548" s="177" t="str">
        <f>IFERROR(VLOOKUP(D548,Tabela66[#All],2,0),"")</f>
        <v/>
      </c>
      <c r="G548" s="177" t="str">
        <f>IFERROR(VLOOKUP(D548,Tabela.cadastro[[ID]:[CP ou M]],5,0),"")</f>
        <v/>
      </c>
      <c r="H548" s="177" t="str">
        <f>IFERROR(VLOOKUP(D548,Cadastros!A:F,6,0),"")</f>
        <v/>
      </c>
      <c r="I548" s="177" t="str">
        <f>IFERROR(VLOOKUP(D548,Cadastros!A:I,9,0),"")</f>
        <v/>
      </c>
      <c r="J548" s="177" t="str">
        <f>IFERROR(VLOOKUP(D548,Cadastros!A:J,10,0),"")</f>
        <v/>
      </c>
      <c r="K548" s="177" t="str">
        <f>IF(COUNTIF(Tabela66[id],D548)=0,"",COUNTIF(Tabela66[id],D548))</f>
        <v/>
      </c>
      <c r="L548" s="198"/>
      <c r="M548" s="227" t="str">
        <f t="shared" si="40"/>
        <v/>
      </c>
      <c r="P548" s="176" t="str">
        <f>IFERROR(VLOOKUP(O548,Cadastros!A:B,2),"")</f>
        <v/>
      </c>
      <c r="Q548" s="177" t="str">
        <f t="shared" si="41"/>
        <v/>
      </c>
      <c r="R548" s="177" t="str">
        <f>IFERROR(VLOOKUP(O548,Cadastros!A:E,5,0),"")</f>
        <v/>
      </c>
      <c r="S548" s="177" t="str">
        <f>IFERROR(VLOOKUP(O548,Cadastros!A:F,6,0),"")</f>
        <v/>
      </c>
      <c r="T548" s="177" t="str">
        <f>IFERROR(VLOOKUP(O548,Cadastros!A:I,9,0),"")</f>
        <v/>
      </c>
      <c r="U548" s="177" t="str">
        <f t="shared" si="42"/>
        <v/>
      </c>
      <c r="V548" s="177" t="str">
        <f t="shared" si="43"/>
        <v/>
      </c>
      <c r="W548" s="177" t="str">
        <f t="shared" si="44"/>
        <v/>
      </c>
      <c r="Y548" s="240" t="e">
        <f t="array" ref="Y548">INDEX(Tabela.abordagens[],SMALL(IF(Tabela.abordagens[Mês]=$L$2,ROW(Tabela.abordagens[id])-2),ROW(A501)),1)</f>
        <v>#NUM!</v>
      </c>
      <c r="Z548" s="240" t="e">
        <f t="array" ref="Z548">INDEX(Tabela.abordagens[],SMALL(IF(Tabela.abordagens[Mês]=$L$2,ROW(Tabela.abordagens[Idade])-2),ROW(A501)),6)</f>
        <v>#NUM!</v>
      </c>
      <c r="AA548" s="240" t="e">
        <f t="array" ref="AA548">INDEX(Tabela.abordagens[],SMALL(IF(Tabela.abordagens[Mês]=$L$2,ROW(Tabela.abordagens[Idade])-2),ROW(A501)),4)</f>
        <v>#NUM!</v>
      </c>
      <c r="AB548" s="240" t="e">
        <f t="array" ref="AB548">INDEX(Tabela.abordagens[],SMALL(IF(Tabela.abordagens[Mês]=$L$2,ROW(Tabela.abordagens[Idade])-2),ROW(A501)),5)</f>
        <v>#NUM!</v>
      </c>
    </row>
    <row r="549" spans="2:28" ht="15" x14ac:dyDescent="0.25">
      <c r="B549" s="223" t="e">
        <f t="array" ref="B549">INDEX(Tabela.frequencia[],SMALL(IF(Tabela.frequencia[Mês]=$L$2,ROW(Tabela.frequencia[id])-1),ROW(A502)),1)</f>
        <v>#NUM!</v>
      </c>
      <c r="C549" s="229" t="e">
        <f t="array" ref="C549">INDEX(Tabela.frequencia[],SMALL(IF(Tabela.frequencia[Mês]=$L$2,ROW(Tabela.frequencia[id])-1),ROW(A502)),4)</f>
        <v>#NUM!</v>
      </c>
      <c r="E549" s="176" t="str">
        <f>IFERROR(VLOOKUP(D549,Tabela.cadastro[[ID]:[Nome]],2,0),"")</f>
        <v/>
      </c>
      <c r="F549" s="177" t="str">
        <f>IFERROR(VLOOKUP(D549,Tabela66[#All],2,0),"")</f>
        <v/>
      </c>
      <c r="G549" s="177" t="str">
        <f>IFERROR(VLOOKUP(D549,Tabela.cadastro[[ID]:[CP ou M]],5,0),"")</f>
        <v/>
      </c>
      <c r="H549" s="177" t="str">
        <f>IFERROR(VLOOKUP(D549,Cadastros!A:F,6,0),"")</f>
        <v/>
      </c>
      <c r="I549" s="177" t="str">
        <f>IFERROR(VLOOKUP(D549,Cadastros!A:I,9,0),"")</f>
        <v/>
      </c>
      <c r="J549" s="177" t="str">
        <f>IFERROR(VLOOKUP(D549,Cadastros!A:J,10,0),"")</f>
        <v/>
      </c>
      <c r="K549" s="177" t="str">
        <f>IF(COUNTIF(Tabela66[id],D549)=0,"",COUNTIF(Tabela66[id],D549))</f>
        <v/>
      </c>
      <c r="L549" s="198"/>
      <c r="M549" s="227" t="str">
        <f t="shared" si="40"/>
        <v/>
      </c>
      <c r="P549" s="176" t="str">
        <f>IFERROR(VLOOKUP(O549,Cadastros!A:B,2),"")</f>
        <v/>
      </c>
      <c r="Q549" s="177" t="str">
        <f t="shared" si="41"/>
        <v/>
      </c>
      <c r="R549" s="177" t="str">
        <f>IFERROR(VLOOKUP(O549,Cadastros!A:E,5,0),"")</f>
        <v/>
      </c>
      <c r="S549" s="177" t="str">
        <f>IFERROR(VLOOKUP(O549,Cadastros!A:F,6,0),"")</f>
        <v/>
      </c>
      <c r="T549" s="177" t="str">
        <f>IFERROR(VLOOKUP(O549,Cadastros!A:I,9,0),"")</f>
        <v/>
      </c>
      <c r="U549" s="177" t="str">
        <f t="shared" si="42"/>
        <v/>
      </c>
      <c r="V549" s="177" t="str">
        <f t="shared" si="43"/>
        <v/>
      </c>
      <c r="W549" s="177" t="str">
        <f t="shared" si="44"/>
        <v/>
      </c>
      <c r="Y549" s="240" t="e">
        <f t="array" ref="Y549">INDEX(Tabela.abordagens[],SMALL(IF(Tabela.abordagens[Mês]=$L$2,ROW(Tabela.abordagens[id])-2),ROW(A502)),1)</f>
        <v>#NUM!</v>
      </c>
      <c r="Z549" s="240" t="e">
        <f t="array" ref="Z549">INDEX(Tabela.abordagens[],SMALL(IF(Tabela.abordagens[Mês]=$L$2,ROW(Tabela.abordagens[Idade])-2),ROW(A502)),6)</f>
        <v>#NUM!</v>
      </c>
      <c r="AA549" s="240" t="e">
        <f t="array" ref="AA549">INDEX(Tabela.abordagens[],SMALL(IF(Tabela.abordagens[Mês]=$L$2,ROW(Tabela.abordagens[Idade])-2),ROW(A502)),4)</f>
        <v>#NUM!</v>
      </c>
      <c r="AB549" s="240" t="e">
        <f t="array" ref="AB549">INDEX(Tabela.abordagens[],SMALL(IF(Tabela.abordagens[Mês]=$L$2,ROW(Tabela.abordagens[Idade])-2),ROW(A502)),5)</f>
        <v>#NUM!</v>
      </c>
    </row>
    <row r="550" spans="2:28" ht="15" x14ac:dyDescent="0.25">
      <c r="B550" s="223" t="e">
        <f t="array" ref="B550">INDEX(Tabela.frequencia[],SMALL(IF(Tabela.frequencia[Mês]=$L$2,ROW(Tabela.frequencia[id])-1),ROW(A503)),1)</f>
        <v>#NUM!</v>
      </c>
      <c r="C550" s="229" t="e">
        <f t="array" ref="C550">INDEX(Tabela.frequencia[],SMALL(IF(Tabela.frequencia[Mês]=$L$2,ROW(Tabela.frequencia[id])-1),ROW(A503)),4)</f>
        <v>#NUM!</v>
      </c>
      <c r="E550" s="176" t="str">
        <f>IFERROR(VLOOKUP(D550,Tabela.cadastro[[ID]:[Nome]],2,0),"")</f>
        <v/>
      </c>
      <c r="F550" s="177" t="str">
        <f>IFERROR(VLOOKUP(D550,Tabela66[#All],2,0),"")</f>
        <v/>
      </c>
      <c r="G550" s="177" t="str">
        <f>IFERROR(VLOOKUP(D550,Tabela.cadastro[[ID]:[CP ou M]],5,0),"")</f>
        <v/>
      </c>
      <c r="H550" s="177" t="str">
        <f>IFERROR(VLOOKUP(D550,Cadastros!A:F,6,0),"")</f>
        <v/>
      </c>
      <c r="I550" s="177" t="str">
        <f>IFERROR(VLOOKUP(D550,Cadastros!A:I,9,0),"")</f>
        <v/>
      </c>
      <c r="J550" s="177" t="str">
        <f>IFERROR(VLOOKUP(D550,Cadastros!A:J,10,0),"")</f>
        <v/>
      </c>
      <c r="K550" s="177" t="str">
        <f>IF(COUNTIF(Tabela66[id],D550)=0,"",COUNTIF(Tabela66[id],D550))</f>
        <v/>
      </c>
      <c r="L550" s="198"/>
      <c r="M550" s="227" t="str">
        <f t="shared" si="40"/>
        <v/>
      </c>
      <c r="P550" s="176" t="str">
        <f>IFERROR(VLOOKUP(O550,Cadastros!A:B,2),"")</f>
        <v/>
      </c>
      <c r="Q550" s="177" t="str">
        <f t="shared" si="41"/>
        <v/>
      </c>
      <c r="R550" s="177" t="str">
        <f>IFERROR(VLOOKUP(O550,Cadastros!A:E,5,0),"")</f>
        <v/>
      </c>
      <c r="S550" s="177" t="str">
        <f>IFERROR(VLOOKUP(O550,Cadastros!A:F,6,0),"")</f>
        <v/>
      </c>
      <c r="T550" s="177" t="str">
        <f>IFERROR(VLOOKUP(O550,Cadastros!A:I,9,0),"")</f>
        <v/>
      </c>
      <c r="U550" s="177" t="str">
        <f t="shared" si="42"/>
        <v/>
      </c>
      <c r="V550" s="177" t="str">
        <f t="shared" si="43"/>
        <v/>
      </c>
      <c r="W550" s="177" t="str">
        <f t="shared" si="44"/>
        <v/>
      </c>
      <c r="Y550" s="240" t="e">
        <f t="array" ref="Y550">INDEX(Tabela.abordagens[],SMALL(IF(Tabela.abordagens[Mês]=$L$2,ROW(Tabela.abordagens[id])-2),ROW(A503)),1)</f>
        <v>#NUM!</v>
      </c>
      <c r="Z550" s="240" t="e">
        <f t="array" ref="Z550">INDEX(Tabela.abordagens[],SMALL(IF(Tabela.abordagens[Mês]=$L$2,ROW(Tabela.abordagens[Idade])-2),ROW(A503)),6)</f>
        <v>#NUM!</v>
      </c>
      <c r="AA550" s="240" t="e">
        <f t="array" ref="AA550">INDEX(Tabela.abordagens[],SMALL(IF(Tabela.abordagens[Mês]=$L$2,ROW(Tabela.abordagens[Idade])-2),ROW(A503)),4)</f>
        <v>#NUM!</v>
      </c>
      <c r="AB550" s="240" t="e">
        <f t="array" ref="AB550">INDEX(Tabela.abordagens[],SMALL(IF(Tabela.abordagens[Mês]=$L$2,ROW(Tabela.abordagens[Idade])-2),ROW(A503)),5)</f>
        <v>#NUM!</v>
      </c>
    </row>
    <row r="551" spans="2:28" ht="15" x14ac:dyDescent="0.25">
      <c r="B551" s="223" t="e">
        <f t="array" ref="B551">INDEX(Tabela.frequencia[],SMALL(IF(Tabela.frequencia[Mês]=$L$2,ROW(Tabela.frequencia[id])-1),ROW(A504)),1)</f>
        <v>#NUM!</v>
      </c>
      <c r="C551" s="229" t="e">
        <f t="array" ref="C551">INDEX(Tabela.frequencia[],SMALL(IF(Tabela.frequencia[Mês]=$L$2,ROW(Tabela.frequencia[id])-1),ROW(A504)),4)</f>
        <v>#NUM!</v>
      </c>
      <c r="E551" s="176" t="str">
        <f>IFERROR(VLOOKUP(D551,Tabela.cadastro[[ID]:[Nome]],2,0),"")</f>
        <v/>
      </c>
      <c r="F551" s="177" t="str">
        <f>IFERROR(VLOOKUP(D551,Tabela66[#All],2,0),"")</f>
        <v/>
      </c>
      <c r="G551" s="177" t="str">
        <f>IFERROR(VLOOKUP(D551,Tabela.cadastro[[ID]:[CP ou M]],5,0),"")</f>
        <v/>
      </c>
      <c r="H551" s="177" t="str">
        <f>IFERROR(VLOOKUP(D551,Cadastros!A:F,6,0),"")</f>
        <v/>
      </c>
      <c r="I551" s="177" t="str">
        <f>IFERROR(VLOOKUP(D551,Cadastros!A:I,9,0),"")</f>
        <v/>
      </c>
      <c r="J551" s="177" t="str">
        <f>IFERROR(VLOOKUP(D551,Cadastros!A:J,10,0),"")</f>
        <v/>
      </c>
      <c r="K551" s="177" t="str">
        <f>IF(COUNTIF(Tabela66[id],D551)=0,"",COUNTIF(Tabela66[id],D551))</f>
        <v/>
      </c>
      <c r="L551" s="198"/>
      <c r="M551" s="227" t="str">
        <f t="shared" si="40"/>
        <v/>
      </c>
      <c r="P551" s="176" t="str">
        <f>IFERROR(VLOOKUP(O551,Cadastros!A:B,2),"")</f>
        <v/>
      </c>
      <c r="Q551" s="177" t="str">
        <f t="shared" si="41"/>
        <v/>
      </c>
      <c r="R551" s="177" t="str">
        <f>IFERROR(VLOOKUP(O551,Cadastros!A:E,5,0),"")</f>
        <v/>
      </c>
      <c r="S551" s="177" t="str">
        <f>IFERROR(VLOOKUP(O551,Cadastros!A:F,6,0),"")</f>
        <v/>
      </c>
      <c r="T551" s="177" t="str">
        <f>IFERROR(VLOOKUP(O551,Cadastros!A:I,9,0),"")</f>
        <v/>
      </c>
      <c r="U551" s="177" t="str">
        <f t="shared" si="42"/>
        <v/>
      </c>
      <c r="V551" s="177" t="str">
        <f t="shared" si="43"/>
        <v/>
      </c>
      <c r="W551" s="177" t="str">
        <f t="shared" si="44"/>
        <v/>
      </c>
      <c r="Y551" s="240" t="e">
        <f t="array" ref="Y551">INDEX(Tabela.abordagens[],SMALL(IF(Tabela.abordagens[Mês]=$L$2,ROW(Tabela.abordagens[id])-2),ROW(A504)),1)</f>
        <v>#NUM!</v>
      </c>
      <c r="Z551" s="240" t="e">
        <f t="array" ref="Z551">INDEX(Tabela.abordagens[],SMALL(IF(Tabela.abordagens[Mês]=$L$2,ROW(Tabela.abordagens[Idade])-2),ROW(A504)),6)</f>
        <v>#NUM!</v>
      </c>
      <c r="AA551" s="240" t="e">
        <f t="array" ref="AA551">INDEX(Tabela.abordagens[],SMALL(IF(Tabela.abordagens[Mês]=$L$2,ROW(Tabela.abordagens[Idade])-2),ROW(A504)),4)</f>
        <v>#NUM!</v>
      </c>
      <c r="AB551" s="240" t="e">
        <f t="array" ref="AB551">INDEX(Tabela.abordagens[],SMALL(IF(Tabela.abordagens[Mês]=$L$2,ROW(Tabela.abordagens[Idade])-2),ROW(A504)),5)</f>
        <v>#NUM!</v>
      </c>
    </row>
    <row r="552" spans="2:28" ht="15" x14ac:dyDescent="0.25">
      <c r="B552" s="223" t="e">
        <f t="array" ref="B552">INDEX(Tabela.frequencia[],SMALL(IF(Tabela.frequencia[Mês]=$L$2,ROW(Tabela.frequencia[id])-1),ROW(A505)),1)</f>
        <v>#NUM!</v>
      </c>
      <c r="C552" s="229" t="e">
        <f t="array" ref="C552">INDEX(Tabela.frequencia[],SMALL(IF(Tabela.frequencia[Mês]=$L$2,ROW(Tabela.frequencia[id])-1),ROW(A505)),4)</f>
        <v>#NUM!</v>
      </c>
      <c r="E552" s="176" t="str">
        <f>IFERROR(VLOOKUP(D552,Tabela.cadastro[[ID]:[Nome]],2,0),"")</f>
        <v/>
      </c>
      <c r="F552" s="177" t="str">
        <f>IFERROR(VLOOKUP(D552,Tabela66[#All],2,0),"")</f>
        <v/>
      </c>
      <c r="G552" s="177" t="str">
        <f>IFERROR(VLOOKUP(D552,Tabela.cadastro[[ID]:[CP ou M]],5,0),"")</f>
        <v/>
      </c>
      <c r="H552" s="177" t="str">
        <f>IFERROR(VLOOKUP(D552,Cadastros!A:F,6,0),"")</f>
        <v/>
      </c>
      <c r="I552" s="177" t="str">
        <f>IFERROR(VLOOKUP(D552,Cadastros!A:I,9,0),"")</f>
        <v/>
      </c>
      <c r="J552" s="177" t="str">
        <f>IFERROR(VLOOKUP(D552,Cadastros!A:J,10,0),"")</f>
        <v/>
      </c>
      <c r="K552" s="177" t="str">
        <f>IF(COUNTIF(Tabela66[id],D552)=0,"",COUNTIF(Tabela66[id],D552))</f>
        <v/>
      </c>
      <c r="L552" s="198"/>
      <c r="M552" s="227" t="str">
        <f t="shared" si="40"/>
        <v/>
      </c>
      <c r="P552" s="176" t="str">
        <f>IFERROR(VLOOKUP(O552,Cadastros!A:B,2),"")</f>
        <v/>
      </c>
      <c r="Q552" s="177" t="str">
        <f t="shared" si="41"/>
        <v/>
      </c>
      <c r="R552" s="177" t="str">
        <f>IFERROR(VLOOKUP(O552,Cadastros!A:E,5,0),"")</f>
        <v/>
      </c>
      <c r="S552" s="177" t="str">
        <f>IFERROR(VLOOKUP(O552,Cadastros!A:F,6,0),"")</f>
        <v/>
      </c>
      <c r="T552" s="177" t="str">
        <f>IFERROR(VLOOKUP(O552,Cadastros!A:I,9,0),"")</f>
        <v/>
      </c>
      <c r="U552" s="177" t="str">
        <f t="shared" si="42"/>
        <v/>
      </c>
      <c r="V552" s="177" t="str">
        <f t="shared" si="43"/>
        <v/>
      </c>
      <c r="W552" s="177" t="str">
        <f t="shared" si="44"/>
        <v/>
      </c>
      <c r="Y552" s="240" t="e">
        <f t="array" ref="Y552">INDEX(Tabela.abordagens[],SMALL(IF(Tabela.abordagens[Mês]=$L$2,ROW(Tabela.abordagens[id])-2),ROW(A505)),1)</f>
        <v>#NUM!</v>
      </c>
      <c r="Z552" s="240" t="e">
        <f t="array" ref="Z552">INDEX(Tabela.abordagens[],SMALL(IF(Tabela.abordagens[Mês]=$L$2,ROW(Tabela.abordagens[Idade])-2),ROW(A505)),6)</f>
        <v>#NUM!</v>
      </c>
      <c r="AA552" s="240" t="e">
        <f t="array" ref="AA552">INDEX(Tabela.abordagens[],SMALL(IF(Tabela.abordagens[Mês]=$L$2,ROW(Tabela.abordagens[Idade])-2),ROW(A505)),4)</f>
        <v>#NUM!</v>
      </c>
      <c r="AB552" s="240" t="e">
        <f t="array" ref="AB552">INDEX(Tabela.abordagens[],SMALL(IF(Tabela.abordagens[Mês]=$L$2,ROW(Tabela.abordagens[Idade])-2),ROW(A505)),5)</f>
        <v>#NUM!</v>
      </c>
    </row>
    <row r="553" spans="2:28" ht="15" x14ac:dyDescent="0.25">
      <c r="B553" s="223" t="e">
        <f t="array" ref="B553">INDEX(Tabela.frequencia[],SMALL(IF(Tabela.frequencia[Mês]=$L$2,ROW(Tabela.frequencia[id])-1),ROW(A506)),1)</f>
        <v>#NUM!</v>
      </c>
      <c r="C553" s="229" t="e">
        <f t="array" ref="C553">INDEX(Tabela.frequencia[],SMALL(IF(Tabela.frequencia[Mês]=$L$2,ROW(Tabela.frequencia[id])-1),ROW(A506)),4)</f>
        <v>#NUM!</v>
      </c>
      <c r="E553" s="176" t="str">
        <f>IFERROR(VLOOKUP(D553,Tabela.cadastro[[ID]:[Nome]],2,0),"")</f>
        <v/>
      </c>
      <c r="F553" s="177" t="str">
        <f>IFERROR(VLOOKUP(D553,Tabela66[#All],2,0),"")</f>
        <v/>
      </c>
      <c r="G553" s="177" t="str">
        <f>IFERROR(VLOOKUP(D553,Tabela.cadastro[[ID]:[CP ou M]],5,0),"")</f>
        <v/>
      </c>
      <c r="H553" s="177" t="str">
        <f>IFERROR(VLOOKUP(D553,Cadastros!A:F,6,0),"")</f>
        <v/>
      </c>
      <c r="I553" s="177" t="str">
        <f>IFERROR(VLOOKUP(D553,Cadastros!A:I,9,0),"")</f>
        <v/>
      </c>
      <c r="J553" s="177" t="str">
        <f>IFERROR(VLOOKUP(D553,Cadastros!A:J,10,0),"")</f>
        <v/>
      </c>
      <c r="K553" s="177" t="str">
        <f>IF(COUNTIF(Tabela66[id],D553)=0,"",COUNTIF(Tabela66[id],D553))</f>
        <v/>
      </c>
      <c r="L553" s="198"/>
      <c r="M553" s="227" t="str">
        <f t="shared" si="40"/>
        <v/>
      </c>
      <c r="P553" s="176" t="str">
        <f>IFERROR(VLOOKUP(O553,Cadastros!A:B,2),"")</f>
        <v/>
      </c>
      <c r="Q553" s="177" t="str">
        <f t="shared" si="41"/>
        <v/>
      </c>
      <c r="R553" s="177" t="str">
        <f>IFERROR(VLOOKUP(O553,Cadastros!A:E,5,0),"")</f>
        <v/>
      </c>
      <c r="S553" s="177" t="str">
        <f>IFERROR(VLOOKUP(O553,Cadastros!A:F,6,0),"")</f>
        <v/>
      </c>
      <c r="T553" s="177" t="str">
        <f>IFERROR(VLOOKUP(O553,Cadastros!A:I,9,0),"")</f>
        <v/>
      </c>
      <c r="U553" s="177" t="str">
        <f t="shared" si="42"/>
        <v/>
      </c>
      <c r="V553" s="177" t="str">
        <f t="shared" si="43"/>
        <v/>
      </c>
      <c r="W553" s="177" t="str">
        <f t="shared" si="44"/>
        <v/>
      </c>
      <c r="Y553" s="240" t="e">
        <f t="array" ref="Y553">INDEX(Tabela.abordagens[],SMALL(IF(Tabela.abordagens[Mês]=$L$2,ROW(Tabela.abordagens[id])-2),ROW(A506)),1)</f>
        <v>#NUM!</v>
      </c>
      <c r="Z553" s="240" t="e">
        <f t="array" ref="Z553">INDEX(Tabela.abordagens[],SMALL(IF(Tabela.abordagens[Mês]=$L$2,ROW(Tabela.abordagens[Idade])-2),ROW(A506)),6)</f>
        <v>#NUM!</v>
      </c>
      <c r="AA553" s="240" t="e">
        <f t="array" ref="AA553">INDEX(Tabela.abordagens[],SMALL(IF(Tabela.abordagens[Mês]=$L$2,ROW(Tabela.abordagens[Idade])-2),ROW(A506)),4)</f>
        <v>#NUM!</v>
      </c>
      <c r="AB553" s="240" t="e">
        <f t="array" ref="AB553">INDEX(Tabela.abordagens[],SMALL(IF(Tabela.abordagens[Mês]=$L$2,ROW(Tabela.abordagens[Idade])-2),ROW(A506)),5)</f>
        <v>#NUM!</v>
      </c>
    </row>
    <row r="554" spans="2:28" ht="15" x14ac:dyDescent="0.25">
      <c r="B554" s="223" t="e">
        <f t="array" ref="B554">INDEX(Tabela.frequencia[],SMALL(IF(Tabela.frequencia[Mês]=$L$2,ROW(Tabela.frequencia[id])-1),ROW(A507)),1)</f>
        <v>#NUM!</v>
      </c>
      <c r="C554" s="229" t="e">
        <f t="array" ref="C554">INDEX(Tabela.frequencia[],SMALL(IF(Tabela.frequencia[Mês]=$L$2,ROW(Tabela.frequencia[id])-1),ROW(A507)),4)</f>
        <v>#NUM!</v>
      </c>
      <c r="E554" s="176" t="str">
        <f>IFERROR(VLOOKUP(D554,Tabela.cadastro[[ID]:[Nome]],2,0),"")</f>
        <v/>
      </c>
      <c r="F554" s="177" t="str">
        <f>IFERROR(VLOOKUP(D554,Tabela66[#All],2,0),"")</f>
        <v/>
      </c>
      <c r="G554" s="177" t="str">
        <f>IFERROR(VLOOKUP(D554,Tabela.cadastro[[ID]:[CP ou M]],5,0),"")</f>
        <v/>
      </c>
      <c r="H554" s="177" t="str">
        <f>IFERROR(VLOOKUP(D554,Cadastros!A:F,6,0),"")</f>
        <v/>
      </c>
      <c r="I554" s="177" t="str">
        <f>IFERROR(VLOOKUP(D554,Cadastros!A:I,9,0),"")</f>
        <v/>
      </c>
      <c r="J554" s="177" t="str">
        <f>IFERROR(VLOOKUP(D554,Cadastros!A:J,10,0),"")</f>
        <v/>
      </c>
      <c r="K554" s="177" t="str">
        <f>IF(COUNTIF(Tabela66[id],D554)=0,"",COUNTIF(Tabela66[id],D554))</f>
        <v/>
      </c>
      <c r="L554" s="198"/>
      <c r="M554" s="227" t="str">
        <f t="shared" ref="M554:M617" si="45">IF(AND(K554:K1385&gt;=5,L554:L1385="Não"),"*","")</f>
        <v/>
      </c>
      <c r="P554" s="176" t="str">
        <f>IFERROR(VLOOKUP(O554,Cadastros!A:B,2),"")</f>
        <v/>
      </c>
      <c r="Q554" s="177" t="str">
        <f t="shared" si="41"/>
        <v/>
      </c>
      <c r="R554" s="177" t="str">
        <f>IFERROR(VLOOKUP(O554,Cadastros!A:E,5,0),"")</f>
        <v/>
      </c>
      <c r="S554" s="177" t="str">
        <f>IFERROR(VLOOKUP(O554,Cadastros!A:F,6,0),"")</f>
        <v/>
      </c>
      <c r="T554" s="177" t="str">
        <f>IFERROR(VLOOKUP(O554,Cadastros!A:I,9,0),"")</f>
        <v/>
      </c>
      <c r="U554" s="177" t="str">
        <f t="shared" si="42"/>
        <v/>
      </c>
      <c r="V554" s="177" t="str">
        <f t="shared" si="43"/>
        <v/>
      </c>
      <c r="W554" s="177" t="str">
        <f t="shared" si="44"/>
        <v/>
      </c>
      <c r="Y554" s="240" t="e">
        <f t="array" ref="Y554">INDEX(Tabela.abordagens[],SMALL(IF(Tabela.abordagens[Mês]=$L$2,ROW(Tabela.abordagens[id])-2),ROW(A507)),1)</f>
        <v>#NUM!</v>
      </c>
      <c r="Z554" s="240" t="e">
        <f t="array" ref="Z554">INDEX(Tabela.abordagens[],SMALL(IF(Tabela.abordagens[Mês]=$L$2,ROW(Tabela.abordagens[Idade])-2),ROW(A507)),6)</f>
        <v>#NUM!</v>
      </c>
      <c r="AA554" s="240" t="e">
        <f t="array" ref="AA554">INDEX(Tabela.abordagens[],SMALL(IF(Tabela.abordagens[Mês]=$L$2,ROW(Tabela.abordagens[Idade])-2),ROW(A507)),4)</f>
        <v>#NUM!</v>
      </c>
      <c r="AB554" s="240" t="e">
        <f t="array" ref="AB554">INDEX(Tabela.abordagens[],SMALL(IF(Tabela.abordagens[Mês]=$L$2,ROW(Tabela.abordagens[Idade])-2),ROW(A507)),5)</f>
        <v>#NUM!</v>
      </c>
    </row>
    <row r="555" spans="2:28" ht="15" x14ac:dyDescent="0.25">
      <c r="B555" s="223" t="e">
        <f t="array" ref="B555">INDEX(Tabela.frequencia[],SMALL(IF(Tabela.frequencia[Mês]=$L$2,ROW(Tabela.frequencia[id])-1),ROW(A508)),1)</f>
        <v>#NUM!</v>
      </c>
      <c r="C555" s="229" t="e">
        <f t="array" ref="C555">INDEX(Tabela.frequencia[],SMALL(IF(Tabela.frequencia[Mês]=$L$2,ROW(Tabela.frequencia[id])-1),ROW(A508)),4)</f>
        <v>#NUM!</v>
      </c>
      <c r="E555" s="176" t="str">
        <f>IFERROR(VLOOKUP(D555,Tabela.cadastro[[ID]:[Nome]],2,0),"")</f>
        <v/>
      </c>
      <c r="F555" s="177" t="str">
        <f>IFERROR(VLOOKUP(D555,Tabela66[#All],2,0),"")</f>
        <v/>
      </c>
      <c r="G555" s="177" t="str">
        <f>IFERROR(VLOOKUP(D555,Tabela.cadastro[[ID]:[CP ou M]],5,0),"")</f>
        <v/>
      </c>
      <c r="H555" s="177" t="str">
        <f>IFERROR(VLOOKUP(D555,Cadastros!A:F,6,0),"")</f>
        <v/>
      </c>
      <c r="I555" s="177" t="str">
        <f>IFERROR(VLOOKUP(D555,Cadastros!A:I,9,0),"")</f>
        <v/>
      </c>
      <c r="J555" s="177" t="str">
        <f>IFERROR(VLOOKUP(D555,Cadastros!A:J,10,0),"")</f>
        <v/>
      </c>
      <c r="K555" s="177" t="str">
        <f>IF(COUNTIF(Tabela66[id],D555)=0,"",COUNTIF(Tabela66[id],D555))</f>
        <v/>
      </c>
      <c r="L555" s="198"/>
      <c r="M555" s="227" t="str">
        <f t="shared" si="45"/>
        <v/>
      </c>
      <c r="P555" s="176" t="str">
        <f>IFERROR(VLOOKUP(O555,Cadastros!A:B,2),"")</f>
        <v/>
      </c>
      <c r="Q555" s="177" t="str">
        <f t="shared" si="41"/>
        <v/>
      </c>
      <c r="R555" s="177" t="str">
        <f>IFERROR(VLOOKUP(O555,Cadastros!A:E,5,0),"")</f>
        <v/>
      </c>
      <c r="S555" s="177" t="str">
        <f>IFERROR(VLOOKUP(O555,Cadastros!A:F,6,0),"")</f>
        <v/>
      </c>
      <c r="T555" s="177" t="str">
        <f>IFERROR(VLOOKUP(O555,Cadastros!A:I,9,0),"")</f>
        <v/>
      </c>
      <c r="U555" s="177" t="str">
        <f t="shared" si="42"/>
        <v/>
      </c>
      <c r="V555" s="177" t="str">
        <f t="shared" si="43"/>
        <v/>
      </c>
      <c r="W555" s="177" t="str">
        <f t="shared" si="44"/>
        <v/>
      </c>
      <c r="Y555" s="240" t="e">
        <f t="array" ref="Y555">INDEX(Tabela.abordagens[],SMALL(IF(Tabela.abordagens[Mês]=$L$2,ROW(Tabela.abordagens[id])-2),ROW(A508)),1)</f>
        <v>#NUM!</v>
      </c>
      <c r="Z555" s="240" t="e">
        <f t="array" ref="Z555">INDEX(Tabela.abordagens[],SMALL(IF(Tabela.abordagens[Mês]=$L$2,ROW(Tabela.abordagens[Idade])-2),ROW(A508)),6)</f>
        <v>#NUM!</v>
      </c>
      <c r="AA555" s="240" t="e">
        <f t="array" ref="AA555">INDEX(Tabela.abordagens[],SMALL(IF(Tabela.abordagens[Mês]=$L$2,ROW(Tabela.abordagens[Idade])-2),ROW(A508)),4)</f>
        <v>#NUM!</v>
      </c>
      <c r="AB555" s="240" t="e">
        <f t="array" ref="AB555">INDEX(Tabela.abordagens[],SMALL(IF(Tabela.abordagens[Mês]=$L$2,ROW(Tabela.abordagens[Idade])-2),ROW(A508)),5)</f>
        <v>#NUM!</v>
      </c>
    </row>
    <row r="556" spans="2:28" ht="15" x14ac:dyDescent="0.25">
      <c r="B556" s="223" t="e">
        <f t="array" ref="B556">INDEX(Tabela.frequencia[],SMALL(IF(Tabela.frequencia[Mês]=$L$2,ROW(Tabela.frequencia[id])-1),ROW(A509)),1)</f>
        <v>#NUM!</v>
      </c>
      <c r="C556" s="229" t="e">
        <f t="array" ref="C556">INDEX(Tabela.frequencia[],SMALL(IF(Tabela.frequencia[Mês]=$L$2,ROW(Tabela.frequencia[id])-1),ROW(A509)),4)</f>
        <v>#NUM!</v>
      </c>
      <c r="E556" s="176" t="str">
        <f>IFERROR(VLOOKUP(D556,Tabela.cadastro[[ID]:[Nome]],2,0),"")</f>
        <v/>
      </c>
      <c r="F556" s="177" t="str">
        <f>IFERROR(VLOOKUP(D556,Tabela66[#All],2,0),"")</f>
        <v/>
      </c>
      <c r="G556" s="177" t="str">
        <f>IFERROR(VLOOKUP(D556,Tabela.cadastro[[ID]:[CP ou M]],5,0),"")</f>
        <v/>
      </c>
      <c r="H556" s="177" t="str">
        <f>IFERROR(VLOOKUP(D556,Cadastros!A:F,6,0),"")</f>
        <v/>
      </c>
      <c r="I556" s="177" t="str">
        <f>IFERROR(VLOOKUP(D556,Cadastros!A:I,9,0),"")</f>
        <v/>
      </c>
      <c r="J556" s="177" t="str">
        <f>IFERROR(VLOOKUP(D556,Cadastros!A:J,10,0),"")</f>
        <v/>
      </c>
      <c r="K556" s="177" t="str">
        <f>IF(COUNTIF(Tabela66[id],D556)=0,"",COUNTIF(Tabela66[id],D556))</f>
        <v/>
      </c>
      <c r="L556" s="198"/>
      <c r="M556" s="227" t="str">
        <f t="shared" si="45"/>
        <v/>
      </c>
      <c r="P556" s="176" t="str">
        <f>IFERROR(VLOOKUP(O556,Cadastros!A:B,2),"")</f>
        <v/>
      </c>
      <c r="Q556" s="177" t="str">
        <f t="shared" si="41"/>
        <v/>
      </c>
      <c r="R556" s="177" t="str">
        <f>IFERROR(VLOOKUP(O556,Cadastros!A:E,5,0),"")</f>
        <v/>
      </c>
      <c r="S556" s="177" t="str">
        <f>IFERROR(VLOOKUP(O556,Cadastros!A:F,6,0),"")</f>
        <v/>
      </c>
      <c r="T556" s="177" t="str">
        <f>IFERROR(VLOOKUP(O556,Cadastros!A:I,9,0),"")</f>
        <v/>
      </c>
      <c r="U556" s="177" t="str">
        <f t="shared" si="42"/>
        <v/>
      </c>
      <c r="V556" s="177" t="str">
        <f t="shared" si="43"/>
        <v/>
      </c>
      <c r="W556" s="177" t="str">
        <f t="shared" si="44"/>
        <v/>
      </c>
      <c r="Y556" s="240" t="e">
        <f t="array" ref="Y556">INDEX(Tabela.abordagens[],SMALL(IF(Tabela.abordagens[Mês]=$L$2,ROW(Tabela.abordagens[id])-2),ROW(A509)),1)</f>
        <v>#NUM!</v>
      </c>
      <c r="Z556" s="240" t="e">
        <f t="array" ref="Z556">INDEX(Tabela.abordagens[],SMALL(IF(Tabela.abordagens[Mês]=$L$2,ROW(Tabela.abordagens[Idade])-2),ROW(A509)),6)</f>
        <v>#NUM!</v>
      </c>
      <c r="AA556" s="240" t="e">
        <f t="array" ref="AA556">INDEX(Tabela.abordagens[],SMALL(IF(Tabela.abordagens[Mês]=$L$2,ROW(Tabela.abordagens[Idade])-2),ROW(A509)),4)</f>
        <v>#NUM!</v>
      </c>
      <c r="AB556" s="240" t="e">
        <f t="array" ref="AB556">INDEX(Tabela.abordagens[],SMALL(IF(Tabela.abordagens[Mês]=$L$2,ROW(Tabela.abordagens[Idade])-2),ROW(A509)),5)</f>
        <v>#NUM!</v>
      </c>
    </row>
    <row r="557" spans="2:28" ht="15" x14ac:dyDescent="0.25">
      <c r="B557" s="223" t="e">
        <f t="array" ref="B557">INDEX(Tabela.frequencia[],SMALL(IF(Tabela.frequencia[Mês]=$L$2,ROW(Tabela.frequencia[id])-1),ROW(A510)),1)</f>
        <v>#NUM!</v>
      </c>
      <c r="C557" s="229" t="e">
        <f t="array" ref="C557">INDEX(Tabela.frequencia[],SMALL(IF(Tabela.frequencia[Mês]=$L$2,ROW(Tabela.frequencia[id])-1),ROW(A510)),4)</f>
        <v>#NUM!</v>
      </c>
      <c r="E557" s="176" t="str">
        <f>IFERROR(VLOOKUP(D557,Tabela.cadastro[[ID]:[Nome]],2,0),"")</f>
        <v/>
      </c>
      <c r="F557" s="177" t="str">
        <f>IFERROR(VLOOKUP(D557,Tabela66[#All],2,0),"")</f>
        <v/>
      </c>
      <c r="G557" s="177" t="str">
        <f>IFERROR(VLOOKUP(D557,Tabela.cadastro[[ID]:[CP ou M]],5,0),"")</f>
        <v/>
      </c>
      <c r="H557" s="177" t="str">
        <f>IFERROR(VLOOKUP(D557,Cadastros!A:F,6,0),"")</f>
        <v/>
      </c>
      <c r="I557" s="177" t="str">
        <f>IFERROR(VLOOKUP(D557,Cadastros!A:I,9,0),"")</f>
        <v/>
      </c>
      <c r="J557" s="177" t="str">
        <f>IFERROR(VLOOKUP(D557,Cadastros!A:J,10,0),"")</f>
        <v/>
      </c>
      <c r="K557" s="177" t="str">
        <f>IF(COUNTIF(Tabela66[id],D557)=0,"",COUNTIF(Tabela66[id],D557))</f>
        <v/>
      </c>
      <c r="L557" s="198"/>
      <c r="M557" s="227" t="str">
        <f t="shared" si="45"/>
        <v/>
      </c>
      <c r="P557" s="176" t="str">
        <f>IFERROR(VLOOKUP(O557,Cadastros!A:B,2),"")</f>
        <v/>
      </c>
      <c r="Q557" s="177" t="str">
        <f t="shared" si="41"/>
        <v/>
      </c>
      <c r="R557" s="177" t="str">
        <f>IFERROR(VLOOKUP(O557,Cadastros!A:E,5,0),"")</f>
        <v/>
      </c>
      <c r="S557" s="177" t="str">
        <f>IFERROR(VLOOKUP(O557,Cadastros!A:F,6,0),"")</f>
        <v/>
      </c>
      <c r="T557" s="177" t="str">
        <f>IFERROR(VLOOKUP(O557,Cadastros!A:I,9,0),"")</f>
        <v/>
      </c>
      <c r="U557" s="177" t="str">
        <f t="shared" si="42"/>
        <v/>
      </c>
      <c r="V557" s="177" t="str">
        <f t="shared" si="43"/>
        <v/>
      </c>
      <c r="W557" s="177" t="str">
        <f t="shared" si="44"/>
        <v/>
      </c>
      <c r="Y557" s="240" t="e">
        <f t="array" ref="Y557">INDEX(Tabela.abordagens[],SMALL(IF(Tabela.abordagens[Mês]=$L$2,ROW(Tabela.abordagens[id])-2),ROW(A510)),1)</f>
        <v>#NUM!</v>
      </c>
      <c r="Z557" s="240" t="e">
        <f t="array" ref="Z557">INDEX(Tabela.abordagens[],SMALL(IF(Tabela.abordagens[Mês]=$L$2,ROW(Tabela.abordagens[Idade])-2),ROW(A510)),6)</f>
        <v>#NUM!</v>
      </c>
      <c r="AA557" s="240" t="e">
        <f t="array" ref="AA557">INDEX(Tabela.abordagens[],SMALL(IF(Tabela.abordagens[Mês]=$L$2,ROW(Tabela.abordagens[Idade])-2),ROW(A510)),4)</f>
        <v>#NUM!</v>
      </c>
      <c r="AB557" s="240" t="e">
        <f t="array" ref="AB557">INDEX(Tabela.abordagens[],SMALL(IF(Tabela.abordagens[Mês]=$L$2,ROW(Tabela.abordagens[Idade])-2),ROW(A510)),5)</f>
        <v>#NUM!</v>
      </c>
    </row>
    <row r="558" spans="2:28" ht="15" x14ac:dyDescent="0.25">
      <c r="B558" s="223" t="e">
        <f t="array" ref="B558">INDEX(Tabela.frequencia[],SMALL(IF(Tabela.frequencia[Mês]=$L$2,ROW(Tabela.frequencia[id])-1),ROW(A511)),1)</f>
        <v>#NUM!</v>
      </c>
      <c r="C558" s="229" t="e">
        <f t="array" ref="C558">INDEX(Tabela.frequencia[],SMALL(IF(Tabela.frequencia[Mês]=$L$2,ROW(Tabela.frequencia[id])-1),ROW(A511)),4)</f>
        <v>#NUM!</v>
      </c>
      <c r="E558" s="176" t="str">
        <f>IFERROR(VLOOKUP(D558,Tabela.cadastro[[ID]:[Nome]],2,0),"")</f>
        <v/>
      </c>
      <c r="F558" s="177" t="str">
        <f>IFERROR(VLOOKUP(D558,Tabela66[#All],2,0),"")</f>
        <v/>
      </c>
      <c r="G558" s="177" t="str">
        <f>IFERROR(VLOOKUP(D558,Tabela.cadastro[[ID]:[CP ou M]],5,0),"")</f>
        <v/>
      </c>
      <c r="H558" s="177" t="str">
        <f>IFERROR(VLOOKUP(D558,Cadastros!A:F,6,0),"")</f>
        <v/>
      </c>
      <c r="I558" s="177" t="str">
        <f>IFERROR(VLOOKUP(D558,Cadastros!A:I,9,0),"")</f>
        <v/>
      </c>
      <c r="J558" s="177" t="str">
        <f>IFERROR(VLOOKUP(D558,Cadastros!A:J,10,0),"")</f>
        <v/>
      </c>
      <c r="K558" s="177" t="str">
        <f>IF(COUNTIF(Tabela66[id],D558)=0,"",COUNTIF(Tabela66[id],D558))</f>
        <v/>
      </c>
      <c r="L558" s="198"/>
      <c r="M558" s="227" t="str">
        <f t="shared" si="45"/>
        <v/>
      </c>
      <c r="P558" s="176" t="str">
        <f>IFERROR(VLOOKUP(O558,Cadastros!A:B,2),"")</f>
        <v/>
      </c>
      <c r="Q558" s="177" t="str">
        <f t="shared" si="41"/>
        <v/>
      </c>
      <c r="R558" s="177" t="str">
        <f>IFERROR(VLOOKUP(O558,Cadastros!A:E,5,0),"")</f>
        <v/>
      </c>
      <c r="S558" s="177" t="str">
        <f>IFERROR(VLOOKUP(O558,Cadastros!A:F,6,0),"")</f>
        <v/>
      </c>
      <c r="T558" s="177" t="str">
        <f>IFERROR(VLOOKUP(O558,Cadastros!A:I,9,0),"")</f>
        <v/>
      </c>
      <c r="U558" s="177" t="str">
        <f t="shared" si="42"/>
        <v/>
      </c>
      <c r="V558" s="177" t="str">
        <f t="shared" si="43"/>
        <v/>
      </c>
      <c r="W558" s="177" t="str">
        <f t="shared" si="44"/>
        <v/>
      </c>
      <c r="Y558" s="240" t="e">
        <f t="array" ref="Y558">INDEX(Tabela.abordagens[],SMALL(IF(Tabela.abordagens[Mês]=$L$2,ROW(Tabela.abordagens[id])-2),ROW(A511)),1)</f>
        <v>#NUM!</v>
      </c>
      <c r="Z558" s="240" t="e">
        <f t="array" ref="Z558">INDEX(Tabela.abordagens[],SMALL(IF(Tabela.abordagens[Mês]=$L$2,ROW(Tabela.abordagens[Idade])-2),ROW(A511)),6)</f>
        <v>#NUM!</v>
      </c>
      <c r="AA558" s="240" t="e">
        <f t="array" ref="AA558">INDEX(Tabela.abordagens[],SMALL(IF(Tabela.abordagens[Mês]=$L$2,ROW(Tabela.abordagens[Idade])-2),ROW(A511)),4)</f>
        <v>#NUM!</v>
      </c>
      <c r="AB558" s="240" t="e">
        <f t="array" ref="AB558">INDEX(Tabela.abordagens[],SMALL(IF(Tabela.abordagens[Mês]=$L$2,ROW(Tabela.abordagens[Idade])-2),ROW(A511)),5)</f>
        <v>#NUM!</v>
      </c>
    </row>
    <row r="559" spans="2:28" ht="15" x14ac:dyDescent="0.25">
      <c r="B559" s="223" t="e">
        <f t="array" ref="B559">INDEX(Tabela.frequencia[],SMALL(IF(Tabela.frequencia[Mês]=$L$2,ROW(Tabela.frequencia[id])-1),ROW(A512)),1)</f>
        <v>#NUM!</v>
      </c>
      <c r="C559" s="229" t="e">
        <f t="array" ref="C559">INDEX(Tabela.frequencia[],SMALL(IF(Tabela.frequencia[Mês]=$L$2,ROW(Tabela.frequencia[id])-1),ROW(A512)),4)</f>
        <v>#NUM!</v>
      </c>
      <c r="E559" s="176" t="str">
        <f>IFERROR(VLOOKUP(D559,Tabela.cadastro[[ID]:[Nome]],2,0),"")</f>
        <v/>
      </c>
      <c r="F559" s="177" t="str">
        <f>IFERROR(VLOOKUP(D559,Tabela66[#All],2,0),"")</f>
        <v/>
      </c>
      <c r="G559" s="177" t="str">
        <f>IFERROR(VLOOKUP(D559,Tabela.cadastro[[ID]:[CP ou M]],5,0),"")</f>
        <v/>
      </c>
      <c r="H559" s="177" t="str">
        <f>IFERROR(VLOOKUP(D559,Cadastros!A:F,6,0),"")</f>
        <v/>
      </c>
      <c r="I559" s="177" t="str">
        <f>IFERROR(VLOOKUP(D559,Cadastros!A:I,9,0),"")</f>
        <v/>
      </c>
      <c r="J559" s="177" t="str">
        <f>IFERROR(VLOOKUP(D559,Cadastros!A:J,10,0),"")</f>
        <v/>
      </c>
      <c r="K559" s="177" t="str">
        <f>IF(COUNTIF(Tabela66[id],D559)=0,"",COUNTIF(Tabela66[id],D559))</f>
        <v/>
      </c>
      <c r="L559" s="198"/>
      <c r="M559" s="227" t="str">
        <f t="shared" si="45"/>
        <v/>
      </c>
      <c r="P559" s="176" t="str">
        <f>IFERROR(VLOOKUP(O559,Cadastros!A:B,2),"")</f>
        <v/>
      </c>
      <c r="Q559" s="177" t="str">
        <f t="shared" si="41"/>
        <v/>
      </c>
      <c r="R559" s="177" t="str">
        <f>IFERROR(VLOOKUP(O559,Cadastros!A:E,5,0),"")</f>
        <v/>
      </c>
      <c r="S559" s="177" t="str">
        <f>IFERROR(VLOOKUP(O559,Cadastros!A:F,6,0),"")</f>
        <v/>
      </c>
      <c r="T559" s="177" t="str">
        <f>IFERROR(VLOOKUP(O559,Cadastros!A:I,9,0),"")</f>
        <v/>
      </c>
      <c r="U559" s="177" t="str">
        <f t="shared" si="42"/>
        <v/>
      </c>
      <c r="V559" s="177" t="str">
        <f t="shared" si="43"/>
        <v/>
      </c>
      <c r="W559" s="177" t="str">
        <f t="shared" si="44"/>
        <v/>
      </c>
      <c r="Y559" s="240" t="e">
        <f t="array" ref="Y559">INDEX(Tabela.abordagens[],SMALL(IF(Tabela.abordagens[Mês]=$L$2,ROW(Tabela.abordagens[id])-2),ROW(A512)),1)</f>
        <v>#NUM!</v>
      </c>
      <c r="Z559" s="240" t="e">
        <f t="array" ref="Z559">INDEX(Tabela.abordagens[],SMALL(IF(Tabela.abordagens[Mês]=$L$2,ROW(Tabela.abordagens[Idade])-2),ROW(A512)),6)</f>
        <v>#NUM!</v>
      </c>
      <c r="AA559" s="240" t="e">
        <f t="array" ref="AA559">INDEX(Tabela.abordagens[],SMALL(IF(Tabela.abordagens[Mês]=$L$2,ROW(Tabela.abordagens[Idade])-2),ROW(A512)),4)</f>
        <v>#NUM!</v>
      </c>
      <c r="AB559" s="240" t="e">
        <f t="array" ref="AB559">INDEX(Tabela.abordagens[],SMALL(IF(Tabela.abordagens[Mês]=$L$2,ROW(Tabela.abordagens[Idade])-2),ROW(A512)),5)</f>
        <v>#NUM!</v>
      </c>
    </row>
    <row r="560" spans="2:28" ht="15" x14ac:dyDescent="0.25">
      <c r="B560" s="223" t="e">
        <f t="array" ref="B560">INDEX(Tabela.frequencia[],SMALL(IF(Tabela.frequencia[Mês]=$L$2,ROW(Tabela.frequencia[id])-1),ROW(A513)),1)</f>
        <v>#NUM!</v>
      </c>
      <c r="C560" s="229" t="e">
        <f t="array" ref="C560">INDEX(Tabela.frequencia[],SMALL(IF(Tabela.frequencia[Mês]=$L$2,ROW(Tabela.frequencia[id])-1),ROW(A513)),4)</f>
        <v>#NUM!</v>
      </c>
      <c r="E560" s="176" t="str">
        <f>IFERROR(VLOOKUP(D560,Tabela.cadastro[[ID]:[Nome]],2,0),"")</f>
        <v/>
      </c>
      <c r="F560" s="177" t="str">
        <f>IFERROR(VLOOKUP(D560,Tabela66[#All],2,0),"")</f>
        <v/>
      </c>
      <c r="G560" s="177" t="str">
        <f>IFERROR(VLOOKUP(D560,Tabela.cadastro[[ID]:[CP ou M]],5,0),"")</f>
        <v/>
      </c>
      <c r="H560" s="177" t="str">
        <f>IFERROR(VLOOKUP(D560,Cadastros!A:F,6,0),"")</f>
        <v/>
      </c>
      <c r="I560" s="177" t="str">
        <f>IFERROR(VLOOKUP(D560,Cadastros!A:I,9,0),"")</f>
        <v/>
      </c>
      <c r="J560" s="177" t="str">
        <f>IFERROR(VLOOKUP(D560,Cadastros!A:J,10,0),"")</f>
        <v/>
      </c>
      <c r="K560" s="177" t="str">
        <f>IF(COUNTIF(Tabela66[id],D560)=0,"",COUNTIF(Tabela66[id],D560))</f>
        <v/>
      </c>
      <c r="L560" s="198"/>
      <c r="M560" s="227" t="str">
        <f t="shared" si="45"/>
        <v/>
      </c>
      <c r="P560" s="176" t="str">
        <f>IFERROR(VLOOKUP(O560,Cadastros!A:B,2),"")</f>
        <v/>
      </c>
      <c r="Q560" s="177" t="str">
        <f t="shared" si="41"/>
        <v/>
      </c>
      <c r="R560" s="177" t="str">
        <f>IFERROR(VLOOKUP(O560,Cadastros!A:E,5,0),"")</f>
        <v/>
      </c>
      <c r="S560" s="177" t="str">
        <f>IFERROR(VLOOKUP(O560,Cadastros!A:F,6,0),"")</f>
        <v/>
      </c>
      <c r="T560" s="177" t="str">
        <f>IFERROR(VLOOKUP(O560,Cadastros!A:I,9,0),"")</f>
        <v/>
      </c>
      <c r="U560" s="177" t="str">
        <f t="shared" si="42"/>
        <v/>
      </c>
      <c r="V560" s="177" t="str">
        <f t="shared" si="43"/>
        <v/>
      </c>
      <c r="W560" s="177" t="str">
        <f t="shared" si="44"/>
        <v/>
      </c>
      <c r="Y560" s="240" t="e">
        <f t="array" ref="Y560">INDEX(Tabela.abordagens[],SMALL(IF(Tabela.abordagens[Mês]=$L$2,ROW(Tabela.abordagens[id])-2),ROW(A513)),1)</f>
        <v>#NUM!</v>
      </c>
      <c r="Z560" s="240" t="e">
        <f t="array" ref="Z560">INDEX(Tabela.abordagens[],SMALL(IF(Tabela.abordagens[Mês]=$L$2,ROW(Tabela.abordagens[Idade])-2),ROW(A513)),6)</f>
        <v>#NUM!</v>
      </c>
      <c r="AA560" s="240" t="e">
        <f t="array" ref="AA560">INDEX(Tabela.abordagens[],SMALL(IF(Tabela.abordagens[Mês]=$L$2,ROW(Tabela.abordagens[Idade])-2),ROW(A513)),4)</f>
        <v>#NUM!</v>
      </c>
      <c r="AB560" s="240" t="e">
        <f t="array" ref="AB560">INDEX(Tabela.abordagens[],SMALL(IF(Tabela.abordagens[Mês]=$L$2,ROW(Tabela.abordagens[Idade])-2),ROW(A513)),5)</f>
        <v>#NUM!</v>
      </c>
    </row>
    <row r="561" spans="2:28" ht="15" x14ac:dyDescent="0.25">
      <c r="B561" s="223" t="e">
        <f t="array" ref="B561">INDEX(Tabela.frequencia[],SMALL(IF(Tabela.frequencia[Mês]=$L$2,ROW(Tabela.frequencia[id])-1),ROW(A514)),1)</f>
        <v>#NUM!</v>
      </c>
      <c r="C561" s="229" t="e">
        <f t="array" ref="C561">INDEX(Tabela.frequencia[],SMALL(IF(Tabela.frequencia[Mês]=$L$2,ROW(Tabela.frequencia[id])-1),ROW(A514)),4)</f>
        <v>#NUM!</v>
      </c>
      <c r="E561" s="176" t="str">
        <f>IFERROR(VLOOKUP(D561,Tabela.cadastro[[ID]:[Nome]],2,0),"")</f>
        <v/>
      </c>
      <c r="F561" s="177" t="str">
        <f>IFERROR(VLOOKUP(D561,Tabela66[#All],2,0),"")</f>
        <v/>
      </c>
      <c r="G561" s="177" t="str">
        <f>IFERROR(VLOOKUP(D561,Tabela.cadastro[[ID]:[CP ou M]],5,0),"")</f>
        <v/>
      </c>
      <c r="H561" s="177" t="str">
        <f>IFERROR(VLOOKUP(D561,Cadastros!A:F,6,0),"")</f>
        <v/>
      </c>
      <c r="I561" s="177" t="str">
        <f>IFERROR(VLOOKUP(D561,Cadastros!A:I,9,0),"")</f>
        <v/>
      </c>
      <c r="J561" s="177" t="str">
        <f>IFERROR(VLOOKUP(D561,Cadastros!A:J,10,0),"")</f>
        <v/>
      </c>
      <c r="K561" s="177" t="str">
        <f>IF(COUNTIF(Tabela66[id],D561)=0,"",COUNTIF(Tabela66[id],D561))</f>
        <v/>
      </c>
      <c r="L561" s="198"/>
      <c r="M561" s="227" t="str">
        <f t="shared" si="45"/>
        <v/>
      </c>
      <c r="P561" s="176" t="str">
        <f>IFERROR(VLOOKUP(O561,Cadastros!A:B,2),"")</f>
        <v/>
      </c>
      <c r="Q561" s="177" t="str">
        <f t="shared" si="41"/>
        <v/>
      </c>
      <c r="R561" s="177" t="str">
        <f>IFERROR(VLOOKUP(O561,Cadastros!A:E,5,0),"")</f>
        <v/>
      </c>
      <c r="S561" s="177" t="str">
        <f>IFERROR(VLOOKUP(O561,Cadastros!A:F,6,0),"")</f>
        <v/>
      </c>
      <c r="T561" s="177" t="str">
        <f>IFERROR(VLOOKUP(O561,Cadastros!A:I,9,0),"")</f>
        <v/>
      </c>
      <c r="U561" s="177" t="str">
        <f t="shared" si="42"/>
        <v/>
      </c>
      <c r="V561" s="177" t="str">
        <f t="shared" si="43"/>
        <v/>
      </c>
      <c r="W561" s="177" t="str">
        <f t="shared" si="44"/>
        <v/>
      </c>
      <c r="Y561" s="240" t="e">
        <f t="array" ref="Y561">INDEX(Tabela.abordagens[],SMALL(IF(Tabela.abordagens[Mês]=$L$2,ROW(Tabela.abordagens[id])-2),ROW(A514)),1)</f>
        <v>#NUM!</v>
      </c>
      <c r="Z561" s="240" t="e">
        <f t="array" ref="Z561">INDEX(Tabela.abordagens[],SMALL(IF(Tabela.abordagens[Mês]=$L$2,ROW(Tabela.abordagens[Idade])-2),ROW(A514)),6)</f>
        <v>#NUM!</v>
      </c>
      <c r="AA561" s="240" t="e">
        <f t="array" ref="AA561">INDEX(Tabela.abordagens[],SMALL(IF(Tabela.abordagens[Mês]=$L$2,ROW(Tabela.abordagens[Idade])-2),ROW(A514)),4)</f>
        <v>#NUM!</v>
      </c>
      <c r="AB561" s="240" t="e">
        <f t="array" ref="AB561">INDEX(Tabela.abordagens[],SMALL(IF(Tabela.abordagens[Mês]=$L$2,ROW(Tabela.abordagens[Idade])-2),ROW(A514)),5)</f>
        <v>#NUM!</v>
      </c>
    </row>
    <row r="562" spans="2:28" ht="15" x14ac:dyDescent="0.25">
      <c r="B562" s="223" t="e">
        <f t="array" ref="B562">INDEX(Tabela.frequencia[],SMALL(IF(Tabela.frequencia[Mês]=$L$2,ROW(Tabela.frequencia[id])-1),ROW(A515)),1)</f>
        <v>#NUM!</v>
      </c>
      <c r="C562" s="229" t="e">
        <f t="array" ref="C562">INDEX(Tabela.frequencia[],SMALL(IF(Tabela.frequencia[Mês]=$L$2,ROW(Tabela.frequencia[id])-1),ROW(A515)),4)</f>
        <v>#NUM!</v>
      </c>
      <c r="E562" s="176" t="str">
        <f>IFERROR(VLOOKUP(D562,Tabela.cadastro[[ID]:[Nome]],2,0),"")</f>
        <v/>
      </c>
      <c r="F562" s="177" t="str">
        <f>IFERROR(VLOOKUP(D562,Tabela66[#All],2,0),"")</f>
        <v/>
      </c>
      <c r="G562" s="177" t="str">
        <f>IFERROR(VLOOKUP(D562,Tabela.cadastro[[ID]:[CP ou M]],5,0),"")</f>
        <v/>
      </c>
      <c r="H562" s="177" t="str">
        <f>IFERROR(VLOOKUP(D562,Cadastros!A:F,6,0),"")</f>
        <v/>
      </c>
      <c r="I562" s="177" t="str">
        <f>IFERROR(VLOOKUP(D562,Cadastros!A:I,9,0),"")</f>
        <v/>
      </c>
      <c r="J562" s="177" t="str">
        <f>IFERROR(VLOOKUP(D562,Cadastros!A:J,10,0),"")</f>
        <v/>
      </c>
      <c r="K562" s="177" t="str">
        <f>IF(COUNTIF(Tabela66[id],D562)=0,"",COUNTIF(Tabela66[id],D562))</f>
        <v/>
      </c>
      <c r="L562" s="198"/>
      <c r="M562" s="227" t="str">
        <f t="shared" si="45"/>
        <v/>
      </c>
      <c r="P562" s="176" t="str">
        <f>IFERROR(VLOOKUP(O562,Cadastros!A:B,2),"")</f>
        <v/>
      </c>
      <c r="Q562" s="177" t="str">
        <f t="shared" si="41"/>
        <v/>
      </c>
      <c r="R562" s="177" t="str">
        <f>IFERROR(VLOOKUP(O562,Cadastros!A:E,5,0),"")</f>
        <v/>
      </c>
      <c r="S562" s="177" t="str">
        <f>IFERROR(VLOOKUP(O562,Cadastros!A:F,6,0),"")</f>
        <v/>
      </c>
      <c r="T562" s="177" t="str">
        <f>IFERROR(VLOOKUP(O562,Cadastros!A:I,9,0),"")</f>
        <v/>
      </c>
      <c r="U562" s="177" t="str">
        <f t="shared" si="42"/>
        <v/>
      </c>
      <c r="V562" s="177" t="str">
        <f t="shared" si="43"/>
        <v/>
      </c>
      <c r="W562" s="177" t="str">
        <f t="shared" si="44"/>
        <v/>
      </c>
      <c r="Y562" s="240" t="e">
        <f t="array" ref="Y562">INDEX(Tabela.abordagens[],SMALL(IF(Tabela.abordagens[Mês]=$L$2,ROW(Tabela.abordagens[id])-2),ROW(A515)),1)</f>
        <v>#NUM!</v>
      </c>
      <c r="Z562" s="240" t="e">
        <f t="array" ref="Z562">INDEX(Tabela.abordagens[],SMALL(IF(Tabela.abordagens[Mês]=$L$2,ROW(Tabela.abordagens[Idade])-2),ROW(A515)),6)</f>
        <v>#NUM!</v>
      </c>
      <c r="AA562" s="240" t="e">
        <f t="array" ref="AA562">INDEX(Tabela.abordagens[],SMALL(IF(Tabela.abordagens[Mês]=$L$2,ROW(Tabela.abordagens[Idade])-2),ROW(A515)),4)</f>
        <v>#NUM!</v>
      </c>
      <c r="AB562" s="240" t="e">
        <f t="array" ref="AB562">INDEX(Tabela.abordagens[],SMALL(IF(Tabela.abordagens[Mês]=$L$2,ROW(Tabela.abordagens[Idade])-2),ROW(A515)),5)</f>
        <v>#NUM!</v>
      </c>
    </row>
    <row r="563" spans="2:28" ht="15" x14ac:dyDescent="0.25">
      <c r="B563" s="223" t="e">
        <f t="array" ref="B563">INDEX(Tabela.frequencia[],SMALL(IF(Tabela.frequencia[Mês]=$L$2,ROW(Tabela.frequencia[id])-1),ROW(A516)),1)</f>
        <v>#NUM!</v>
      </c>
      <c r="C563" s="229" t="e">
        <f t="array" ref="C563">INDEX(Tabela.frequencia[],SMALL(IF(Tabela.frequencia[Mês]=$L$2,ROW(Tabela.frequencia[id])-1),ROW(A516)),4)</f>
        <v>#NUM!</v>
      </c>
      <c r="E563" s="176" t="str">
        <f>IFERROR(VLOOKUP(D563,Tabela.cadastro[[ID]:[Nome]],2,0),"")</f>
        <v/>
      </c>
      <c r="F563" s="177" t="str">
        <f>IFERROR(VLOOKUP(D563,Tabela66[#All],2,0),"")</f>
        <v/>
      </c>
      <c r="G563" s="177" t="str">
        <f>IFERROR(VLOOKUP(D563,Tabela.cadastro[[ID]:[CP ou M]],5,0),"")</f>
        <v/>
      </c>
      <c r="H563" s="177" t="str">
        <f>IFERROR(VLOOKUP(D563,Cadastros!A:F,6,0),"")</f>
        <v/>
      </c>
      <c r="I563" s="177" t="str">
        <f>IFERROR(VLOOKUP(D563,Cadastros!A:I,9,0),"")</f>
        <v/>
      </c>
      <c r="J563" s="177" t="str">
        <f>IFERROR(VLOOKUP(D563,Cadastros!A:J,10,0),"")</f>
        <v/>
      </c>
      <c r="K563" s="177" t="str">
        <f>IF(COUNTIF(Tabela66[id],D563)=0,"",COUNTIF(Tabela66[id],D563))</f>
        <v/>
      </c>
      <c r="L563" s="198"/>
      <c r="M563" s="227" t="str">
        <f t="shared" si="45"/>
        <v/>
      </c>
      <c r="P563" s="176" t="str">
        <f>IFERROR(VLOOKUP(O563,Cadastros!A:B,2),"")</f>
        <v/>
      </c>
      <c r="Q563" s="177" t="str">
        <f t="shared" si="41"/>
        <v/>
      </c>
      <c r="R563" s="177" t="str">
        <f>IFERROR(VLOOKUP(O563,Cadastros!A:E,5,0),"")</f>
        <v/>
      </c>
      <c r="S563" s="177" t="str">
        <f>IFERROR(VLOOKUP(O563,Cadastros!A:F,6,0),"")</f>
        <v/>
      </c>
      <c r="T563" s="177" t="str">
        <f>IFERROR(VLOOKUP(O563,Cadastros!A:I,9,0),"")</f>
        <v/>
      </c>
      <c r="U563" s="177" t="str">
        <f t="shared" si="42"/>
        <v/>
      </c>
      <c r="V563" s="177" t="str">
        <f t="shared" si="43"/>
        <v/>
      </c>
      <c r="W563" s="177" t="str">
        <f t="shared" si="44"/>
        <v/>
      </c>
      <c r="Y563" s="240" t="e">
        <f t="array" ref="Y563">INDEX(Tabela.abordagens[],SMALL(IF(Tabela.abordagens[Mês]=$L$2,ROW(Tabela.abordagens[id])-2),ROW(A516)),1)</f>
        <v>#NUM!</v>
      </c>
      <c r="Z563" s="240" t="e">
        <f t="array" ref="Z563">INDEX(Tabela.abordagens[],SMALL(IF(Tabela.abordagens[Mês]=$L$2,ROW(Tabela.abordagens[Idade])-2),ROW(A516)),6)</f>
        <v>#NUM!</v>
      </c>
      <c r="AA563" s="240" t="e">
        <f t="array" ref="AA563">INDEX(Tabela.abordagens[],SMALL(IF(Tabela.abordagens[Mês]=$L$2,ROW(Tabela.abordagens[Idade])-2),ROW(A516)),4)</f>
        <v>#NUM!</v>
      </c>
      <c r="AB563" s="240" t="e">
        <f t="array" ref="AB563">INDEX(Tabela.abordagens[],SMALL(IF(Tabela.abordagens[Mês]=$L$2,ROW(Tabela.abordagens[Idade])-2),ROW(A516)),5)</f>
        <v>#NUM!</v>
      </c>
    </row>
    <row r="564" spans="2:28" ht="15" x14ac:dyDescent="0.25">
      <c r="B564" s="223" t="e">
        <f t="array" ref="B564">INDEX(Tabela.frequencia[],SMALL(IF(Tabela.frequencia[Mês]=$L$2,ROW(Tabela.frequencia[id])-1),ROW(A517)),1)</f>
        <v>#NUM!</v>
      </c>
      <c r="C564" s="229" t="e">
        <f t="array" ref="C564">INDEX(Tabela.frequencia[],SMALL(IF(Tabela.frequencia[Mês]=$L$2,ROW(Tabela.frequencia[id])-1),ROW(A517)),4)</f>
        <v>#NUM!</v>
      </c>
      <c r="E564" s="176" t="str">
        <f>IFERROR(VLOOKUP(D564,Tabela.cadastro[[ID]:[Nome]],2,0),"")</f>
        <v/>
      </c>
      <c r="F564" s="177" t="str">
        <f>IFERROR(VLOOKUP(D564,Tabela66[#All],2,0),"")</f>
        <v/>
      </c>
      <c r="G564" s="177" t="str">
        <f>IFERROR(VLOOKUP(D564,Tabela.cadastro[[ID]:[CP ou M]],5,0),"")</f>
        <v/>
      </c>
      <c r="H564" s="177" t="str">
        <f>IFERROR(VLOOKUP(D564,Cadastros!A:F,6,0),"")</f>
        <v/>
      </c>
      <c r="I564" s="177" t="str">
        <f>IFERROR(VLOOKUP(D564,Cadastros!A:I,9,0),"")</f>
        <v/>
      </c>
      <c r="J564" s="177" t="str">
        <f>IFERROR(VLOOKUP(D564,Cadastros!A:J,10,0),"")</f>
        <v/>
      </c>
      <c r="K564" s="177" t="str">
        <f>IF(COUNTIF(Tabela66[id],D564)=0,"",COUNTIF(Tabela66[id],D564))</f>
        <v/>
      </c>
      <c r="L564" s="198"/>
      <c r="M564" s="227" t="str">
        <f t="shared" si="45"/>
        <v/>
      </c>
      <c r="P564" s="176" t="str">
        <f>IFERROR(VLOOKUP(O564,Cadastros!A:B,2),"")</f>
        <v/>
      </c>
      <c r="Q564" s="177" t="str">
        <f t="shared" si="41"/>
        <v/>
      </c>
      <c r="R564" s="177" t="str">
        <f>IFERROR(VLOOKUP(O564,Cadastros!A:E,5,0),"")</f>
        <v/>
      </c>
      <c r="S564" s="177" t="str">
        <f>IFERROR(VLOOKUP(O564,Cadastros!A:F,6,0),"")</f>
        <v/>
      </c>
      <c r="T564" s="177" t="str">
        <f>IFERROR(VLOOKUP(O564,Cadastros!A:I,9,0),"")</f>
        <v/>
      </c>
      <c r="U564" s="177" t="str">
        <f t="shared" si="42"/>
        <v/>
      </c>
      <c r="V564" s="177" t="str">
        <f t="shared" si="43"/>
        <v/>
      </c>
      <c r="W564" s="177" t="str">
        <f t="shared" si="44"/>
        <v/>
      </c>
      <c r="Y564" s="240" t="e">
        <f t="array" ref="Y564">INDEX(Tabela.abordagens[],SMALL(IF(Tabela.abordagens[Mês]=$L$2,ROW(Tabela.abordagens[id])-2),ROW(A517)),1)</f>
        <v>#NUM!</v>
      </c>
      <c r="Z564" s="240" t="e">
        <f t="array" ref="Z564">INDEX(Tabela.abordagens[],SMALL(IF(Tabela.abordagens[Mês]=$L$2,ROW(Tabela.abordagens[Idade])-2),ROW(A517)),6)</f>
        <v>#NUM!</v>
      </c>
      <c r="AA564" s="240" t="e">
        <f t="array" ref="AA564">INDEX(Tabela.abordagens[],SMALL(IF(Tabela.abordagens[Mês]=$L$2,ROW(Tabela.abordagens[Idade])-2),ROW(A517)),4)</f>
        <v>#NUM!</v>
      </c>
      <c r="AB564" s="240" t="e">
        <f t="array" ref="AB564">INDEX(Tabela.abordagens[],SMALL(IF(Tabela.abordagens[Mês]=$L$2,ROW(Tabela.abordagens[Idade])-2),ROW(A517)),5)</f>
        <v>#NUM!</v>
      </c>
    </row>
    <row r="565" spans="2:28" ht="15" x14ac:dyDescent="0.25">
      <c r="B565" s="223" t="e">
        <f t="array" ref="B565">INDEX(Tabela.frequencia[],SMALL(IF(Tabela.frequencia[Mês]=$L$2,ROW(Tabela.frequencia[id])-1),ROW(A518)),1)</f>
        <v>#NUM!</v>
      </c>
      <c r="C565" s="229" t="e">
        <f t="array" ref="C565">INDEX(Tabela.frequencia[],SMALL(IF(Tabela.frequencia[Mês]=$L$2,ROW(Tabela.frequencia[id])-1),ROW(A518)),4)</f>
        <v>#NUM!</v>
      </c>
      <c r="E565" s="176" t="str">
        <f>IFERROR(VLOOKUP(D565,Tabela.cadastro[[ID]:[Nome]],2,0),"")</f>
        <v/>
      </c>
      <c r="F565" s="177" t="str">
        <f>IFERROR(VLOOKUP(D565,Tabela66[#All],2,0),"")</f>
        <v/>
      </c>
      <c r="G565" s="177" t="str">
        <f>IFERROR(VLOOKUP(D565,Tabela.cadastro[[ID]:[CP ou M]],5,0),"")</f>
        <v/>
      </c>
      <c r="H565" s="177" t="str">
        <f>IFERROR(VLOOKUP(D565,Cadastros!A:F,6,0),"")</f>
        <v/>
      </c>
      <c r="I565" s="177" t="str">
        <f>IFERROR(VLOOKUP(D565,Cadastros!A:I,9,0),"")</f>
        <v/>
      </c>
      <c r="J565" s="177" t="str">
        <f>IFERROR(VLOOKUP(D565,Cadastros!A:J,10,0),"")</f>
        <v/>
      </c>
      <c r="K565" s="177" t="str">
        <f>IF(COUNTIF(Tabela66[id],D565)=0,"",COUNTIF(Tabela66[id],D565))</f>
        <v/>
      </c>
      <c r="L565" s="198"/>
      <c r="M565" s="227" t="str">
        <f t="shared" si="45"/>
        <v/>
      </c>
      <c r="P565" s="176" t="str">
        <f>IFERROR(VLOOKUP(O565,Cadastros!A:B,2),"")</f>
        <v/>
      </c>
      <c r="Q565" s="177" t="str">
        <f t="shared" si="41"/>
        <v/>
      </c>
      <c r="R565" s="177" t="str">
        <f>IFERROR(VLOOKUP(O565,Cadastros!A:E,5,0),"")</f>
        <v/>
      </c>
      <c r="S565" s="177" t="str">
        <f>IFERROR(VLOOKUP(O565,Cadastros!A:F,6,0),"")</f>
        <v/>
      </c>
      <c r="T565" s="177" t="str">
        <f>IFERROR(VLOOKUP(O565,Cadastros!A:I,9,0),"")</f>
        <v/>
      </c>
      <c r="U565" s="177" t="str">
        <f t="shared" si="42"/>
        <v/>
      </c>
      <c r="V565" s="177" t="str">
        <f t="shared" si="43"/>
        <v/>
      </c>
      <c r="W565" s="177" t="str">
        <f t="shared" si="44"/>
        <v/>
      </c>
      <c r="Y565" s="240" t="e">
        <f t="array" ref="Y565">INDEX(Tabela.abordagens[],SMALL(IF(Tabela.abordagens[Mês]=$L$2,ROW(Tabela.abordagens[id])-2),ROW(A518)),1)</f>
        <v>#NUM!</v>
      </c>
      <c r="Z565" s="240" t="e">
        <f t="array" ref="Z565">INDEX(Tabela.abordagens[],SMALL(IF(Tabela.abordagens[Mês]=$L$2,ROW(Tabela.abordagens[Idade])-2),ROW(A518)),6)</f>
        <v>#NUM!</v>
      </c>
      <c r="AA565" s="240" t="e">
        <f t="array" ref="AA565">INDEX(Tabela.abordagens[],SMALL(IF(Tabela.abordagens[Mês]=$L$2,ROW(Tabela.abordagens[Idade])-2),ROW(A518)),4)</f>
        <v>#NUM!</v>
      </c>
      <c r="AB565" s="240" t="e">
        <f t="array" ref="AB565">INDEX(Tabela.abordagens[],SMALL(IF(Tabela.abordagens[Mês]=$L$2,ROW(Tabela.abordagens[Idade])-2),ROW(A518)),5)</f>
        <v>#NUM!</v>
      </c>
    </row>
    <row r="566" spans="2:28" ht="15" x14ac:dyDescent="0.25">
      <c r="B566" s="223" t="e">
        <f t="array" ref="B566">INDEX(Tabela.frequencia[],SMALL(IF(Tabela.frequencia[Mês]=$L$2,ROW(Tabela.frequencia[id])-1),ROW(A519)),1)</f>
        <v>#NUM!</v>
      </c>
      <c r="C566" s="229" t="e">
        <f t="array" ref="C566">INDEX(Tabela.frequencia[],SMALL(IF(Tabela.frequencia[Mês]=$L$2,ROW(Tabela.frequencia[id])-1),ROW(A519)),4)</f>
        <v>#NUM!</v>
      </c>
      <c r="E566" s="176" t="str">
        <f>IFERROR(VLOOKUP(D566,Tabela.cadastro[[ID]:[Nome]],2,0),"")</f>
        <v/>
      </c>
      <c r="F566" s="177" t="str">
        <f>IFERROR(VLOOKUP(D566,Tabela66[#All],2,0),"")</f>
        <v/>
      </c>
      <c r="G566" s="177" t="str">
        <f>IFERROR(VLOOKUP(D566,Tabela.cadastro[[ID]:[CP ou M]],5,0),"")</f>
        <v/>
      </c>
      <c r="H566" s="177" t="str">
        <f>IFERROR(VLOOKUP(D566,Cadastros!A:F,6,0),"")</f>
        <v/>
      </c>
      <c r="I566" s="177" t="str">
        <f>IFERROR(VLOOKUP(D566,Cadastros!A:I,9,0),"")</f>
        <v/>
      </c>
      <c r="J566" s="177" t="str">
        <f>IFERROR(VLOOKUP(D566,Cadastros!A:J,10,0),"")</f>
        <v/>
      </c>
      <c r="K566" s="177" t="str">
        <f>IF(COUNTIF(Tabela66[id],D566)=0,"",COUNTIF(Tabela66[id],D566))</f>
        <v/>
      </c>
      <c r="L566" s="198"/>
      <c r="M566" s="227" t="str">
        <f t="shared" si="45"/>
        <v/>
      </c>
      <c r="P566" s="176" t="str">
        <f>IFERROR(VLOOKUP(O566,Cadastros!A:B,2),"")</f>
        <v/>
      </c>
      <c r="Q566" s="177" t="str">
        <f t="shared" si="41"/>
        <v/>
      </c>
      <c r="R566" s="177" t="str">
        <f>IFERROR(VLOOKUP(O566,Cadastros!A:E,5,0),"")</f>
        <v/>
      </c>
      <c r="S566" s="177" t="str">
        <f>IFERROR(VLOOKUP(O566,Cadastros!A:F,6,0),"")</f>
        <v/>
      </c>
      <c r="T566" s="177" t="str">
        <f>IFERROR(VLOOKUP(O566,Cadastros!A:I,9,0),"")</f>
        <v/>
      </c>
      <c r="U566" s="177" t="str">
        <f t="shared" si="42"/>
        <v/>
      </c>
      <c r="V566" s="177" t="str">
        <f t="shared" si="43"/>
        <v/>
      </c>
      <c r="W566" s="177" t="str">
        <f t="shared" si="44"/>
        <v/>
      </c>
      <c r="Y566" s="240" t="e">
        <f t="array" ref="Y566">INDEX(Tabela.abordagens[],SMALL(IF(Tabela.abordagens[Mês]=$L$2,ROW(Tabela.abordagens[id])-2),ROW(A519)),1)</f>
        <v>#NUM!</v>
      </c>
      <c r="Z566" s="240" t="e">
        <f t="array" ref="Z566">INDEX(Tabela.abordagens[],SMALL(IF(Tabela.abordagens[Mês]=$L$2,ROW(Tabela.abordagens[Idade])-2),ROW(A519)),6)</f>
        <v>#NUM!</v>
      </c>
      <c r="AA566" s="240" t="e">
        <f t="array" ref="AA566">INDEX(Tabela.abordagens[],SMALL(IF(Tabela.abordagens[Mês]=$L$2,ROW(Tabela.abordagens[Idade])-2),ROW(A519)),4)</f>
        <v>#NUM!</v>
      </c>
      <c r="AB566" s="240" t="e">
        <f t="array" ref="AB566">INDEX(Tabela.abordagens[],SMALL(IF(Tabela.abordagens[Mês]=$L$2,ROW(Tabela.abordagens[Idade])-2),ROW(A519)),5)</f>
        <v>#NUM!</v>
      </c>
    </row>
    <row r="567" spans="2:28" ht="15" x14ac:dyDescent="0.25">
      <c r="B567" s="223" t="e">
        <f t="array" ref="B567">INDEX(Tabela.frequencia[],SMALL(IF(Tabela.frequencia[Mês]=$L$2,ROW(Tabela.frequencia[id])-1),ROW(A520)),1)</f>
        <v>#NUM!</v>
      </c>
      <c r="C567" s="229" t="e">
        <f t="array" ref="C567">INDEX(Tabela.frequencia[],SMALL(IF(Tabela.frequencia[Mês]=$L$2,ROW(Tabela.frequencia[id])-1),ROW(A520)),4)</f>
        <v>#NUM!</v>
      </c>
      <c r="E567" s="176" t="str">
        <f>IFERROR(VLOOKUP(D567,Tabela.cadastro[[ID]:[Nome]],2,0),"")</f>
        <v/>
      </c>
      <c r="F567" s="177" t="str">
        <f>IFERROR(VLOOKUP(D567,Tabela66[#All],2,0),"")</f>
        <v/>
      </c>
      <c r="G567" s="177" t="str">
        <f>IFERROR(VLOOKUP(D567,Tabela.cadastro[[ID]:[CP ou M]],5,0),"")</f>
        <v/>
      </c>
      <c r="H567" s="177" t="str">
        <f>IFERROR(VLOOKUP(D567,Cadastros!A:F,6,0),"")</f>
        <v/>
      </c>
      <c r="I567" s="177" t="str">
        <f>IFERROR(VLOOKUP(D567,Cadastros!A:I,9,0),"")</f>
        <v/>
      </c>
      <c r="J567" s="177" t="str">
        <f>IFERROR(VLOOKUP(D567,Cadastros!A:J,10,0),"")</f>
        <v/>
      </c>
      <c r="K567" s="177" t="str">
        <f>IF(COUNTIF(Tabela66[id],D567)=0,"",COUNTIF(Tabela66[id],D567))</f>
        <v/>
      </c>
      <c r="L567" s="198"/>
      <c r="M567" s="227" t="str">
        <f t="shared" si="45"/>
        <v/>
      </c>
      <c r="P567" s="176" t="str">
        <f>IFERROR(VLOOKUP(O567,Cadastros!A:B,2),"")</f>
        <v/>
      </c>
      <c r="Q567" s="177" t="str">
        <f t="shared" si="41"/>
        <v/>
      </c>
      <c r="R567" s="177" t="str">
        <f>IFERROR(VLOOKUP(O567,Cadastros!A:E,5,0),"")</f>
        <v/>
      </c>
      <c r="S567" s="177" t="str">
        <f>IFERROR(VLOOKUP(O567,Cadastros!A:F,6,0),"")</f>
        <v/>
      </c>
      <c r="T567" s="177" t="str">
        <f>IFERROR(VLOOKUP(O567,Cadastros!A:I,9,0),"")</f>
        <v/>
      </c>
      <c r="U567" s="177" t="str">
        <f t="shared" si="42"/>
        <v/>
      </c>
      <c r="V567" s="177" t="str">
        <f t="shared" si="43"/>
        <v/>
      </c>
      <c r="W567" s="177" t="str">
        <f t="shared" si="44"/>
        <v/>
      </c>
      <c r="Y567" s="240" t="e">
        <f t="array" ref="Y567">INDEX(Tabela.abordagens[],SMALL(IF(Tabela.abordagens[Mês]=$L$2,ROW(Tabela.abordagens[id])-2),ROW(A520)),1)</f>
        <v>#NUM!</v>
      </c>
      <c r="Z567" s="240" t="e">
        <f t="array" ref="Z567">INDEX(Tabela.abordagens[],SMALL(IF(Tabela.abordagens[Mês]=$L$2,ROW(Tabela.abordagens[Idade])-2),ROW(A520)),6)</f>
        <v>#NUM!</v>
      </c>
      <c r="AA567" s="240" t="e">
        <f t="array" ref="AA567">INDEX(Tabela.abordagens[],SMALL(IF(Tabela.abordagens[Mês]=$L$2,ROW(Tabela.abordagens[Idade])-2),ROW(A520)),4)</f>
        <v>#NUM!</v>
      </c>
      <c r="AB567" s="240" t="e">
        <f t="array" ref="AB567">INDEX(Tabela.abordagens[],SMALL(IF(Tabela.abordagens[Mês]=$L$2,ROW(Tabela.abordagens[Idade])-2),ROW(A520)),5)</f>
        <v>#NUM!</v>
      </c>
    </row>
    <row r="568" spans="2:28" ht="15" x14ac:dyDescent="0.25">
      <c r="B568" s="223" t="e">
        <f t="array" ref="B568">INDEX(Tabela.frequencia[],SMALL(IF(Tabela.frequencia[Mês]=$L$2,ROW(Tabela.frequencia[id])-1),ROW(A521)),1)</f>
        <v>#NUM!</v>
      </c>
      <c r="C568" s="229" t="e">
        <f t="array" ref="C568">INDEX(Tabela.frequencia[],SMALL(IF(Tabela.frequencia[Mês]=$L$2,ROW(Tabela.frequencia[id])-1),ROW(A521)),4)</f>
        <v>#NUM!</v>
      </c>
      <c r="E568" s="176" t="str">
        <f>IFERROR(VLOOKUP(D568,Tabela.cadastro[[ID]:[Nome]],2,0),"")</f>
        <v/>
      </c>
      <c r="F568" s="177" t="str">
        <f>IFERROR(VLOOKUP(D568,Tabela66[#All],2,0),"")</f>
        <v/>
      </c>
      <c r="G568" s="177" t="str">
        <f>IFERROR(VLOOKUP(D568,Tabela.cadastro[[ID]:[CP ou M]],5,0),"")</f>
        <v/>
      </c>
      <c r="H568" s="177" t="str">
        <f>IFERROR(VLOOKUP(D568,Cadastros!A:F,6,0),"")</f>
        <v/>
      </c>
      <c r="I568" s="177" t="str">
        <f>IFERROR(VLOOKUP(D568,Cadastros!A:I,9,0),"")</f>
        <v/>
      </c>
      <c r="J568" s="177" t="str">
        <f>IFERROR(VLOOKUP(D568,Cadastros!A:J,10,0),"")</f>
        <v/>
      </c>
      <c r="K568" s="177" t="str">
        <f>IF(COUNTIF(Tabela66[id],D568)=0,"",COUNTIF(Tabela66[id],D568))</f>
        <v/>
      </c>
      <c r="L568" s="198"/>
      <c r="M568" s="227" t="str">
        <f t="shared" si="45"/>
        <v/>
      </c>
      <c r="P568" s="176" t="str">
        <f>IFERROR(VLOOKUP(O568,Cadastros!A:B,2),"")</f>
        <v/>
      </c>
      <c r="Q568" s="177" t="str">
        <f t="shared" si="41"/>
        <v/>
      </c>
      <c r="R568" s="177" t="str">
        <f>IFERROR(VLOOKUP(O568,Cadastros!A:E,5,0),"")</f>
        <v/>
      </c>
      <c r="S568" s="177" t="str">
        <f>IFERROR(VLOOKUP(O568,Cadastros!A:F,6,0),"")</f>
        <v/>
      </c>
      <c r="T568" s="177" t="str">
        <f>IFERROR(VLOOKUP(O568,Cadastros!A:I,9,0),"")</f>
        <v/>
      </c>
      <c r="U568" s="177" t="str">
        <f t="shared" si="42"/>
        <v/>
      </c>
      <c r="V568" s="177" t="str">
        <f t="shared" si="43"/>
        <v/>
      </c>
      <c r="W568" s="177" t="str">
        <f t="shared" si="44"/>
        <v/>
      </c>
      <c r="Y568" s="240" t="e">
        <f t="array" ref="Y568">INDEX(Tabela.abordagens[],SMALL(IF(Tabela.abordagens[Mês]=$L$2,ROW(Tabela.abordagens[id])-2),ROW(A521)),1)</f>
        <v>#NUM!</v>
      </c>
      <c r="Z568" s="240" t="e">
        <f t="array" ref="Z568">INDEX(Tabela.abordagens[],SMALL(IF(Tabela.abordagens[Mês]=$L$2,ROW(Tabela.abordagens[Idade])-2),ROW(A521)),6)</f>
        <v>#NUM!</v>
      </c>
      <c r="AA568" s="240" t="e">
        <f t="array" ref="AA568">INDEX(Tabela.abordagens[],SMALL(IF(Tabela.abordagens[Mês]=$L$2,ROW(Tabela.abordagens[Idade])-2),ROW(A521)),4)</f>
        <v>#NUM!</v>
      </c>
      <c r="AB568" s="240" t="e">
        <f t="array" ref="AB568">INDEX(Tabela.abordagens[],SMALL(IF(Tabela.abordagens[Mês]=$L$2,ROW(Tabela.abordagens[Idade])-2),ROW(A521)),5)</f>
        <v>#NUM!</v>
      </c>
    </row>
    <row r="569" spans="2:28" ht="15" x14ac:dyDescent="0.25">
      <c r="B569" s="223" t="e">
        <f t="array" ref="B569">INDEX(Tabela.frequencia[],SMALL(IF(Tabela.frequencia[Mês]=$L$2,ROW(Tabela.frequencia[id])-1),ROW(A522)),1)</f>
        <v>#NUM!</v>
      </c>
      <c r="C569" s="229" t="e">
        <f t="array" ref="C569">INDEX(Tabela.frequencia[],SMALL(IF(Tabela.frequencia[Mês]=$L$2,ROW(Tabela.frequencia[id])-1),ROW(A522)),4)</f>
        <v>#NUM!</v>
      </c>
      <c r="E569" s="176" t="str">
        <f>IFERROR(VLOOKUP(D569,Tabela.cadastro[[ID]:[Nome]],2,0),"")</f>
        <v/>
      </c>
      <c r="F569" s="177" t="str">
        <f>IFERROR(VLOOKUP(D569,Tabela66[#All],2,0),"")</f>
        <v/>
      </c>
      <c r="G569" s="177" t="str">
        <f>IFERROR(VLOOKUP(D569,Tabela.cadastro[[ID]:[CP ou M]],5,0),"")</f>
        <v/>
      </c>
      <c r="H569" s="177" t="str">
        <f>IFERROR(VLOOKUP(D569,Cadastros!A:F,6,0),"")</f>
        <v/>
      </c>
      <c r="I569" s="177" t="str">
        <f>IFERROR(VLOOKUP(D569,Cadastros!A:I,9,0),"")</f>
        <v/>
      </c>
      <c r="J569" s="177" t="str">
        <f>IFERROR(VLOOKUP(D569,Cadastros!A:J,10,0),"")</f>
        <v/>
      </c>
      <c r="K569" s="177" t="str">
        <f>IF(COUNTIF(Tabela66[id],D569)=0,"",COUNTIF(Tabela66[id],D569))</f>
        <v/>
      </c>
      <c r="L569" s="198"/>
      <c r="M569" s="227" t="str">
        <f t="shared" si="45"/>
        <v/>
      </c>
      <c r="P569" s="176" t="str">
        <f>IFERROR(VLOOKUP(O569,Cadastros!A:B,2),"")</f>
        <v/>
      </c>
      <c r="Q569" s="177" t="str">
        <f t="shared" si="41"/>
        <v/>
      </c>
      <c r="R569" s="177" t="str">
        <f>IFERROR(VLOOKUP(O569,Cadastros!A:E,5,0),"")</f>
        <v/>
      </c>
      <c r="S569" s="177" t="str">
        <f>IFERROR(VLOOKUP(O569,Cadastros!A:F,6,0),"")</f>
        <v/>
      </c>
      <c r="T569" s="177" t="str">
        <f>IFERROR(VLOOKUP(O569,Cadastros!A:I,9,0),"")</f>
        <v/>
      </c>
      <c r="U569" s="177" t="str">
        <f t="shared" si="42"/>
        <v/>
      </c>
      <c r="V569" s="177" t="str">
        <f t="shared" si="43"/>
        <v/>
      </c>
      <c r="W569" s="177" t="str">
        <f t="shared" si="44"/>
        <v/>
      </c>
      <c r="Y569" s="240" t="e">
        <f t="array" ref="Y569">INDEX(Tabela.abordagens[],SMALL(IF(Tabela.abordagens[Mês]=$L$2,ROW(Tabela.abordagens[id])-2),ROW(A522)),1)</f>
        <v>#NUM!</v>
      </c>
      <c r="Z569" s="240" t="e">
        <f t="array" ref="Z569">INDEX(Tabela.abordagens[],SMALL(IF(Tabela.abordagens[Mês]=$L$2,ROW(Tabela.abordagens[Idade])-2),ROW(A522)),6)</f>
        <v>#NUM!</v>
      </c>
      <c r="AA569" s="240" t="e">
        <f t="array" ref="AA569">INDEX(Tabela.abordagens[],SMALL(IF(Tabela.abordagens[Mês]=$L$2,ROW(Tabela.abordagens[Idade])-2),ROW(A522)),4)</f>
        <v>#NUM!</v>
      </c>
      <c r="AB569" s="240" t="e">
        <f t="array" ref="AB569">INDEX(Tabela.abordagens[],SMALL(IF(Tabela.abordagens[Mês]=$L$2,ROW(Tabela.abordagens[Idade])-2),ROW(A522)),5)</f>
        <v>#NUM!</v>
      </c>
    </row>
    <row r="570" spans="2:28" ht="15" x14ac:dyDescent="0.25">
      <c r="B570" s="223" t="e">
        <f t="array" ref="B570">INDEX(Tabela.frequencia[],SMALL(IF(Tabela.frequencia[Mês]=$L$2,ROW(Tabela.frequencia[id])-1),ROW(A523)),1)</f>
        <v>#NUM!</v>
      </c>
      <c r="C570" s="229" t="e">
        <f t="array" ref="C570">INDEX(Tabela.frequencia[],SMALL(IF(Tabela.frequencia[Mês]=$L$2,ROW(Tabela.frequencia[id])-1),ROW(A523)),4)</f>
        <v>#NUM!</v>
      </c>
      <c r="E570" s="176" t="str">
        <f>IFERROR(VLOOKUP(D570,Tabela.cadastro[[ID]:[Nome]],2,0),"")</f>
        <v/>
      </c>
      <c r="F570" s="177" t="str">
        <f>IFERROR(VLOOKUP(D570,Tabela66[#All],2,0),"")</f>
        <v/>
      </c>
      <c r="G570" s="177" t="str">
        <f>IFERROR(VLOOKUP(D570,Tabela.cadastro[[ID]:[CP ou M]],5,0),"")</f>
        <v/>
      </c>
      <c r="H570" s="177" t="str">
        <f>IFERROR(VLOOKUP(D570,Cadastros!A:F,6,0),"")</f>
        <v/>
      </c>
      <c r="I570" s="177" t="str">
        <f>IFERROR(VLOOKUP(D570,Cadastros!A:I,9,0),"")</f>
        <v/>
      </c>
      <c r="J570" s="177" t="str">
        <f>IFERROR(VLOOKUP(D570,Cadastros!A:J,10,0),"")</f>
        <v/>
      </c>
      <c r="K570" s="177" t="str">
        <f>IF(COUNTIF(Tabela66[id],D570)=0,"",COUNTIF(Tabela66[id],D570))</f>
        <v/>
      </c>
      <c r="L570" s="198"/>
      <c r="M570" s="227" t="str">
        <f t="shared" si="45"/>
        <v/>
      </c>
      <c r="P570" s="176" t="str">
        <f>IFERROR(VLOOKUP(O570,Cadastros!A:B,2),"")</f>
        <v/>
      </c>
      <c r="Q570" s="177" t="str">
        <f t="shared" si="41"/>
        <v/>
      </c>
      <c r="R570" s="177" t="str">
        <f>IFERROR(VLOOKUP(O570,Cadastros!A:E,5,0),"")</f>
        <v/>
      </c>
      <c r="S570" s="177" t="str">
        <f>IFERROR(VLOOKUP(O570,Cadastros!A:F,6,0),"")</f>
        <v/>
      </c>
      <c r="T570" s="177" t="str">
        <f>IFERROR(VLOOKUP(O570,Cadastros!A:I,9,0),"")</f>
        <v/>
      </c>
      <c r="U570" s="177" t="str">
        <f t="shared" si="42"/>
        <v/>
      </c>
      <c r="V570" s="177" t="str">
        <f t="shared" si="43"/>
        <v/>
      </c>
      <c r="W570" s="177" t="str">
        <f t="shared" si="44"/>
        <v/>
      </c>
      <c r="Y570" s="240" t="e">
        <f t="array" ref="Y570">INDEX(Tabela.abordagens[],SMALL(IF(Tabela.abordagens[Mês]=$L$2,ROW(Tabela.abordagens[id])-2),ROW(A523)),1)</f>
        <v>#NUM!</v>
      </c>
      <c r="Z570" s="240" t="e">
        <f t="array" ref="Z570">INDEX(Tabela.abordagens[],SMALL(IF(Tabela.abordagens[Mês]=$L$2,ROW(Tabela.abordagens[Idade])-2),ROW(A523)),6)</f>
        <v>#NUM!</v>
      </c>
      <c r="AA570" s="240" t="e">
        <f t="array" ref="AA570">INDEX(Tabela.abordagens[],SMALL(IF(Tabela.abordagens[Mês]=$L$2,ROW(Tabela.abordagens[Idade])-2),ROW(A523)),4)</f>
        <v>#NUM!</v>
      </c>
      <c r="AB570" s="240" t="e">
        <f t="array" ref="AB570">INDEX(Tabela.abordagens[],SMALL(IF(Tabela.abordagens[Mês]=$L$2,ROW(Tabela.abordagens[Idade])-2),ROW(A523)),5)</f>
        <v>#NUM!</v>
      </c>
    </row>
    <row r="571" spans="2:28" ht="15" x14ac:dyDescent="0.25">
      <c r="B571" s="223" t="e">
        <f t="array" ref="B571">INDEX(Tabela.frequencia[],SMALL(IF(Tabela.frequencia[Mês]=$L$2,ROW(Tabela.frequencia[id])-1),ROW(A524)),1)</f>
        <v>#NUM!</v>
      </c>
      <c r="C571" s="229" t="e">
        <f t="array" ref="C571">INDEX(Tabela.frequencia[],SMALL(IF(Tabela.frequencia[Mês]=$L$2,ROW(Tabela.frequencia[id])-1),ROW(A524)),4)</f>
        <v>#NUM!</v>
      </c>
      <c r="E571" s="176" t="str">
        <f>IFERROR(VLOOKUP(D571,Tabela.cadastro[[ID]:[Nome]],2,0),"")</f>
        <v/>
      </c>
      <c r="F571" s="177" t="str">
        <f>IFERROR(VLOOKUP(D571,Tabela66[#All],2,0),"")</f>
        <v/>
      </c>
      <c r="G571" s="177" t="str">
        <f>IFERROR(VLOOKUP(D571,Tabela.cadastro[[ID]:[CP ou M]],5,0),"")</f>
        <v/>
      </c>
      <c r="H571" s="177" t="str">
        <f>IFERROR(VLOOKUP(D571,Cadastros!A:F,6,0),"")</f>
        <v/>
      </c>
      <c r="I571" s="177" t="str">
        <f>IFERROR(VLOOKUP(D571,Cadastros!A:I,9,0),"")</f>
        <v/>
      </c>
      <c r="J571" s="177" t="str">
        <f>IFERROR(VLOOKUP(D571,Cadastros!A:J,10,0),"")</f>
        <v/>
      </c>
      <c r="K571" s="177" t="str">
        <f>IF(COUNTIF(Tabela66[id],D571)=0,"",COUNTIF(Tabela66[id],D571))</f>
        <v/>
      </c>
      <c r="L571" s="198"/>
      <c r="M571" s="227" t="str">
        <f t="shared" si="45"/>
        <v/>
      </c>
      <c r="P571" s="176" t="str">
        <f>IFERROR(VLOOKUP(O571,Cadastros!A:B,2),"")</f>
        <v/>
      </c>
      <c r="Q571" s="177" t="str">
        <f t="shared" si="41"/>
        <v/>
      </c>
      <c r="R571" s="177" t="str">
        <f>IFERROR(VLOOKUP(O571,Cadastros!A:E,5,0),"")</f>
        <v/>
      </c>
      <c r="S571" s="177" t="str">
        <f>IFERROR(VLOOKUP(O571,Cadastros!A:F,6,0),"")</f>
        <v/>
      </c>
      <c r="T571" s="177" t="str">
        <f>IFERROR(VLOOKUP(O571,Cadastros!A:I,9,0),"")</f>
        <v/>
      </c>
      <c r="U571" s="177" t="str">
        <f t="shared" si="42"/>
        <v/>
      </c>
      <c r="V571" s="177" t="str">
        <f t="shared" si="43"/>
        <v/>
      </c>
      <c r="W571" s="177" t="str">
        <f t="shared" si="44"/>
        <v/>
      </c>
      <c r="Y571" s="240" t="e">
        <f t="array" ref="Y571">INDEX(Tabela.abordagens[],SMALL(IF(Tabela.abordagens[Mês]=$L$2,ROW(Tabela.abordagens[id])-2),ROW(A524)),1)</f>
        <v>#NUM!</v>
      </c>
      <c r="Z571" s="240" t="e">
        <f t="array" ref="Z571">INDEX(Tabela.abordagens[],SMALL(IF(Tabela.abordagens[Mês]=$L$2,ROW(Tabela.abordagens[Idade])-2),ROW(A524)),6)</f>
        <v>#NUM!</v>
      </c>
      <c r="AA571" s="240" t="e">
        <f t="array" ref="AA571">INDEX(Tabela.abordagens[],SMALL(IF(Tabela.abordagens[Mês]=$L$2,ROW(Tabela.abordagens[Idade])-2),ROW(A524)),4)</f>
        <v>#NUM!</v>
      </c>
      <c r="AB571" s="240" t="e">
        <f t="array" ref="AB571">INDEX(Tabela.abordagens[],SMALL(IF(Tabela.abordagens[Mês]=$L$2,ROW(Tabela.abordagens[Idade])-2),ROW(A524)),5)</f>
        <v>#NUM!</v>
      </c>
    </row>
    <row r="572" spans="2:28" ht="15" x14ac:dyDescent="0.25">
      <c r="B572" s="223" t="e">
        <f t="array" ref="B572">INDEX(Tabela.frequencia[],SMALL(IF(Tabela.frequencia[Mês]=$L$2,ROW(Tabela.frequencia[id])-1),ROW(A525)),1)</f>
        <v>#NUM!</v>
      </c>
      <c r="C572" s="229" t="e">
        <f t="array" ref="C572">INDEX(Tabela.frequencia[],SMALL(IF(Tabela.frequencia[Mês]=$L$2,ROW(Tabela.frequencia[id])-1),ROW(A525)),4)</f>
        <v>#NUM!</v>
      </c>
      <c r="E572" s="176" t="str">
        <f>IFERROR(VLOOKUP(D572,Tabela.cadastro[[ID]:[Nome]],2,0),"")</f>
        <v/>
      </c>
      <c r="F572" s="177" t="str">
        <f>IFERROR(VLOOKUP(D572,Tabela66[#All],2,0),"")</f>
        <v/>
      </c>
      <c r="G572" s="177" t="str">
        <f>IFERROR(VLOOKUP(D572,Tabela.cadastro[[ID]:[CP ou M]],5,0),"")</f>
        <v/>
      </c>
      <c r="H572" s="177" t="str">
        <f>IFERROR(VLOOKUP(D572,Cadastros!A:F,6,0),"")</f>
        <v/>
      </c>
      <c r="I572" s="177" t="str">
        <f>IFERROR(VLOOKUP(D572,Cadastros!A:I,9,0),"")</f>
        <v/>
      </c>
      <c r="J572" s="177" t="str">
        <f>IFERROR(VLOOKUP(D572,Cadastros!A:J,10,0),"")</f>
        <v/>
      </c>
      <c r="K572" s="177" t="str">
        <f>IF(COUNTIF(Tabela66[id],D572)=0,"",COUNTIF(Tabela66[id],D572))</f>
        <v/>
      </c>
      <c r="L572" s="198"/>
      <c r="M572" s="227" t="str">
        <f t="shared" si="45"/>
        <v/>
      </c>
      <c r="P572" s="176" t="str">
        <f>IFERROR(VLOOKUP(O572,Cadastros!A:B,2),"")</f>
        <v/>
      </c>
      <c r="Q572" s="177" t="str">
        <f t="shared" si="41"/>
        <v/>
      </c>
      <c r="R572" s="177" t="str">
        <f>IFERROR(VLOOKUP(O572,Cadastros!A:E,5,0),"")</f>
        <v/>
      </c>
      <c r="S572" s="177" t="str">
        <f>IFERROR(VLOOKUP(O572,Cadastros!A:F,6,0),"")</f>
        <v/>
      </c>
      <c r="T572" s="177" t="str">
        <f>IFERROR(VLOOKUP(O572,Cadastros!A:I,9,0),"")</f>
        <v/>
      </c>
      <c r="U572" s="177" t="str">
        <f t="shared" si="42"/>
        <v/>
      </c>
      <c r="V572" s="177" t="str">
        <f t="shared" si="43"/>
        <v/>
      </c>
      <c r="W572" s="177" t="str">
        <f t="shared" si="44"/>
        <v/>
      </c>
      <c r="Y572" s="240" t="e">
        <f t="array" ref="Y572">INDEX(Tabela.abordagens[],SMALL(IF(Tabela.abordagens[Mês]=$L$2,ROW(Tabela.abordagens[id])-2),ROW(A525)),1)</f>
        <v>#NUM!</v>
      </c>
      <c r="Z572" s="240" t="e">
        <f t="array" ref="Z572">INDEX(Tabela.abordagens[],SMALL(IF(Tabela.abordagens[Mês]=$L$2,ROW(Tabela.abordagens[Idade])-2),ROW(A525)),6)</f>
        <v>#NUM!</v>
      </c>
      <c r="AA572" s="240" t="e">
        <f t="array" ref="AA572">INDEX(Tabela.abordagens[],SMALL(IF(Tabela.abordagens[Mês]=$L$2,ROW(Tabela.abordagens[Idade])-2),ROW(A525)),4)</f>
        <v>#NUM!</v>
      </c>
      <c r="AB572" s="240" t="e">
        <f t="array" ref="AB572">INDEX(Tabela.abordagens[],SMALL(IF(Tabela.abordagens[Mês]=$L$2,ROW(Tabela.abordagens[Idade])-2),ROW(A525)),5)</f>
        <v>#NUM!</v>
      </c>
    </row>
    <row r="573" spans="2:28" ht="15" x14ac:dyDescent="0.25">
      <c r="B573" s="223" t="e">
        <f t="array" ref="B573">INDEX(Tabela.frequencia[],SMALL(IF(Tabela.frequencia[Mês]=$L$2,ROW(Tabela.frequencia[id])-1),ROW(A526)),1)</f>
        <v>#NUM!</v>
      </c>
      <c r="C573" s="229" t="e">
        <f t="array" ref="C573">INDEX(Tabela.frequencia[],SMALL(IF(Tabela.frequencia[Mês]=$L$2,ROW(Tabela.frequencia[id])-1),ROW(A526)),4)</f>
        <v>#NUM!</v>
      </c>
      <c r="E573" s="176" t="str">
        <f>IFERROR(VLOOKUP(D573,Tabela.cadastro[[ID]:[Nome]],2,0),"")</f>
        <v/>
      </c>
      <c r="F573" s="177" t="str">
        <f>IFERROR(VLOOKUP(D573,Tabela66[#All],2,0),"")</f>
        <v/>
      </c>
      <c r="G573" s="177" t="str">
        <f>IFERROR(VLOOKUP(D573,Tabela.cadastro[[ID]:[CP ou M]],5,0),"")</f>
        <v/>
      </c>
      <c r="H573" s="177" t="str">
        <f>IFERROR(VLOOKUP(D573,Cadastros!A:F,6,0),"")</f>
        <v/>
      </c>
      <c r="I573" s="177" t="str">
        <f>IFERROR(VLOOKUP(D573,Cadastros!A:I,9,0),"")</f>
        <v/>
      </c>
      <c r="J573" s="177" t="str">
        <f>IFERROR(VLOOKUP(D573,Cadastros!A:J,10,0),"")</f>
        <v/>
      </c>
      <c r="K573" s="177" t="str">
        <f>IF(COUNTIF(Tabela66[id],D573)=0,"",COUNTIF(Tabela66[id],D573))</f>
        <v/>
      </c>
      <c r="L573" s="198"/>
      <c r="M573" s="227" t="str">
        <f t="shared" si="45"/>
        <v/>
      </c>
      <c r="P573" s="176" t="str">
        <f>IFERROR(VLOOKUP(O573,Cadastros!A:B,2),"")</f>
        <v/>
      </c>
      <c r="Q573" s="177" t="str">
        <f t="shared" si="41"/>
        <v/>
      </c>
      <c r="R573" s="177" t="str">
        <f>IFERROR(VLOOKUP(O573,Cadastros!A:E,5,0),"")</f>
        <v/>
      </c>
      <c r="S573" s="177" t="str">
        <f>IFERROR(VLOOKUP(O573,Cadastros!A:F,6,0),"")</f>
        <v/>
      </c>
      <c r="T573" s="177" t="str">
        <f>IFERROR(VLOOKUP(O573,Cadastros!A:I,9,0),"")</f>
        <v/>
      </c>
      <c r="U573" s="177" t="str">
        <f t="shared" si="42"/>
        <v/>
      </c>
      <c r="V573" s="177" t="str">
        <f t="shared" si="43"/>
        <v/>
      </c>
      <c r="W573" s="177" t="str">
        <f t="shared" si="44"/>
        <v/>
      </c>
      <c r="Y573" s="240" t="e">
        <f t="array" ref="Y573">INDEX(Tabela.abordagens[],SMALL(IF(Tabela.abordagens[Mês]=$L$2,ROW(Tabela.abordagens[id])-2),ROW(A526)),1)</f>
        <v>#NUM!</v>
      </c>
      <c r="Z573" s="240" t="e">
        <f t="array" ref="Z573">INDEX(Tabela.abordagens[],SMALL(IF(Tabela.abordagens[Mês]=$L$2,ROW(Tabela.abordagens[Idade])-2),ROW(A526)),6)</f>
        <v>#NUM!</v>
      </c>
      <c r="AA573" s="240" t="e">
        <f t="array" ref="AA573">INDEX(Tabela.abordagens[],SMALL(IF(Tabela.abordagens[Mês]=$L$2,ROW(Tabela.abordagens[Idade])-2),ROW(A526)),4)</f>
        <v>#NUM!</v>
      </c>
      <c r="AB573" s="240" t="e">
        <f t="array" ref="AB573">INDEX(Tabela.abordagens[],SMALL(IF(Tabela.abordagens[Mês]=$L$2,ROW(Tabela.abordagens[Idade])-2),ROW(A526)),5)</f>
        <v>#NUM!</v>
      </c>
    </row>
    <row r="574" spans="2:28" ht="15" x14ac:dyDescent="0.25">
      <c r="B574" s="223" t="e">
        <f t="array" ref="B574">INDEX(Tabela.frequencia[],SMALL(IF(Tabela.frequencia[Mês]=$L$2,ROW(Tabela.frequencia[id])-1),ROW(A527)),1)</f>
        <v>#NUM!</v>
      </c>
      <c r="C574" s="229" t="e">
        <f t="array" ref="C574">INDEX(Tabela.frequencia[],SMALL(IF(Tabela.frequencia[Mês]=$L$2,ROW(Tabela.frequencia[id])-1),ROW(A527)),4)</f>
        <v>#NUM!</v>
      </c>
      <c r="E574" s="176" t="str">
        <f>IFERROR(VLOOKUP(D574,Tabela.cadastro[[ID]:[Nome]],2,0),"")</f>
        <v/>
      </c>
      <c r="F574" s="177" t="str">
        <f>IFERROR(VLOOKUP(D574,Tabela66[#All],2,0),"")</f>
        <v/>
      </c>
      <c r="G574" s="177" t="str">
        <f>IFERROR(VLOOKUP(D574,Tabela.cadastro[[ID]:[CP ou M]],5,0),"")</f>
        <v/>
      </c>
      <c r="H574" s="177" t="str">
        <f>IFERROR(VLOOKUP(D574,Cadastros!A:F,6,0),"")</f>
        <v/>
      </c>
      <c r="I574" s="177" t="str">
        <f>IFERROR(VLOOKUP(D574,Cadastros!A:I,9,0),"")</f>
        <v/>
      </c>
      <c r="J574" s="177" t="str">
        <f>IFERROR(VLOOKUP(D574,Cadastros!A:J,10,0),"")</f>
        <v/>
      </c>
      <c r="K574" s="177" t="str">
        <f>IF(COUNTIF(Tabela66[id],D574)=0,"",COUNTIF(Tabela66[id],D574))</f>
        <v/>
      </c>
      <c r="L574" s="198"/>
      <c r="M574" s="227" t="str">
        <f t="shared" si="45"/>
        <v/>
      </c>
      <c r="P574" s="176" t="str">
        <f>IFERROR(VLOOKUP(O574,Cadastros!A:B,2),"")</f>
        <v/>
      </c>
      <c r="Q574" s="177" t="str">
        <f t="shared" si="41"/>
        <v/>
      </c>
      <c r="R574" s="177" t="str">
        <f>IFERROR(VLOOKUP(O574,Cadastros!A:E,5,0),"")</f>
        <v/>
      </c>
      <c r="S574" s="177" t="str">
        <f>IFERROR(VLOOKUP(O574,Cadastros!A:F,6,0),"")</f>
        <v/>
      </c>
      <c r="T574" s="177" t="str">
        <f>IFERROR(VLOOKUP(O574,Cadastros!A:I,9,0),"")</f>
        <v/>
      </c>
      <c r="U574" s="177" t="str">
        <f t="shared" si="42"/>
        <v/>
      </c>
      <c r="V574" s="177" t="str">
        <f t="shared" si="43"/>
        <v/>
      </c>
      <c r="W574" s="177" t="str">
        <f t="shared" si="44"/>
        <v/>
      </c>
      <c r="Y574" s="240" t="e">
        <f t="array" ref="Y574">INDEX(Tabela.abordagens[],SMALL(IF(Tabela.abordagens[Mês]=$L$2,ROW(Tabela.abordagens[id])-2),ROW(A527)),1)</f>
        <v>#NUM!</v>
      </c>
      <c r="Z574" s="240" t="e">
        <f t="array" ref="Z574">INDEX(Tabela.abordagens[],SMALL(IF(Tabela.abordagens[Mês]=$L$2,ROW(Tabela.abordagens[Idade])-2),ROW(A527)),6)</f>
        <v>#NUM!</v>
      </c>
      <c r="AA574" s="240" t="e">
        <f t="array" ref="AA574">INDEX(Tabela.abordagens[],SMALL(IF(Tabela.abordagens[Mês]=$L$2,ROW(Tabela.abordagens[Idade])-2),ROW(A527)),4)</f>
        <v>#NUM!</v>
      </c>
      <c r="AB574" s="240" t="e">
        <f t="array" ref="AB574">INDEX(Tabela.abordagens[],SMALL(IF(Tabela.abordagens[Mês]=$L$2,ROW(Tabela.abordagens[Idade])-2),ROW(A527)),5)</f>
        <v>#NUM!</v>
      </c>
    </row>
    <row r="575" spans="2:28" ht="15" x14ac:dyDescent="0.25">
      <c r="B575" s="223" t="e">
        <f t="array" ref="B575">INDEX(Tabela.frequencia[],SMALL(IF(Tabela.frequencia[Mês]=$L$2,ROW(Tabela.frequencia[id])-1),ROW(A528)),1)</f>
        <v>#NUM!</v>
      </c>
      <c r="C575" s="229" t="e">
        <f t="array" ref="C575">INDEX(Tabela.frequencia[],SMALL(IF(Tabela.frequencia[Mês]=$L$2,ROW(Tabela.frequencia[id])-1),ROW(A528)),4)</f>
        <v>#NUM!</v>
      </c>
      <c r="E575" s="176" t="str">
        <f>IFERROR(VLOOKUP(D575,Tabela.cadastro[[ID]:[Nome]],2,0),"")</f>
        <v/>
      </c>
      <c r="F575" s="177" t="str">
        <f>IFERROR(VLOOKUP(D575,Tabela66[#All],2,0),"")</f>
        <v/>
      </c>
      <c r="G575" s="177" t="str">
        <f>IFERROR(VLOOKUP(D575,Tabela.cadastro[[ID]:[CP ou M]],5,0),"")</f>
        <v/>
      </c>
      <c r="H575" s="177" t="str">
        <f>IFERROR(VLOOKUP(D575,Cadastros!A:F,6,0),"")</f>
        <v/>
      </c>
      <c r="I575" s="177" t="str">
        <f>IFERROR(VLOOKUP(D575,Cadastros!A:I,9,0),"")</f>
        <v/>
      </c>
      <c r="J575" s="177" t="str">
        <f>IFERROR(VLOOKUP(D575,Cadastros!A:J,10,0),"")</f>
        <v/>
      </c>
      <c r="K575" s="177" t="str">
        <f>IF(COUNTIF(Tabela66[id],D575)=0,"",COUNTIF(Tabela66[id],D575))</f>
        <v/>
      </c>
      <c r="L575" s="198"/>
      <c r="M575" s="227" t="str">
        <f t="shared" si="45"/>
        <v/>
      </c>
      <c r="P575" s="176" t="str">
        <f>IFERROR(VLOOKUP(O575,Cadastros!A:B,2),"")</f>
        <v/>
      </c>
      <c r="Q575" s="177" t="str">
        <f t="shared" si="41"/>
        <v/>
      </c>
      <c r="R575" s="177" t="str">
        <f>IFERROR(VLOOKUP(O575,Cadastros!A:E,5,0),"")</f>
        <v/>
      </c>
      <c r="S575" s="177" t="str">
        <f>IFERROR(VLOOKUP(O575,Cadastros!A:F,6,0),"")</f>
        <v/>
      </c>
      <c r="T575" s="177" t="str">
        <f>IFERROR(VLOOKUP(O575,Cadastros!A:I,9,0),"")</f>
        <v/>
      </c>
      <c r="U575" s="177" t="str">
        <f t="shared" si="42"/>
        <v/>
      </c>
      <c r="V575" s="177" t="str">
        <f t="shared" si="43"/>
        <v/>
      </c>
      <c r="W575" s="177" t="str">
        <f t="shared" si="44"/>
        <v/>
      </c>
      <c r="Y575" s="240" t="e">
        <f t="array" ref="Y575">INDEX(Tabela.abordagens[],SMALL(IF(Tabela.abordagens[Mês]=$L$2,ROW(Tabela.abordagens[id])-2),ROW(A528)),1)</f>
        <v>#NUM!</v>
      </c>
      <c r="Z575" s="240" t="e">
        <f t="array" ref="Z575">INDEX(Tabela.abordagens[],SMALL(IF(Tabela.abordagens[Mês]=$L$2,ROW(Tabela.abordagens[Idade])-2),ROW(A528)),6)</f>
        <v>#NUM!</v>
      </c>
      <c r="AA575" s="240" t="e">
        <f t="array" ref="AA575">INDEX(Tabela.abordagens[],SMALL(IF(Tabela.abordagens[Mês]=$L$2,ROW(Tabela.abordagens[Idade])-2),ROW(A528)),4)</f>
        <v>#NUM!</v>
      </c>
      <c r="AB575" s="240" t="e">
        <f t="array" ref="AB575">INDEX(Tabela.abordagens[],SMALL(IF(Tabela.abordagens[Mês]=$L$2,ROW(Tabela.abordagens[Idade])-2),ROW(A528)),5)</f>
        <v>#NUM!</v>
      </c>
    </row>
    <row r="576" spans="2:28" ht="15" x14ac:dyDescent="0.25">
      <c r="B576" s="223" t="e">
        <f t="array" ref="B576">INDEX(Tabela.frequencia[],SMALL(IF(Tabela.frequencia[Mês]=$L$2,ROW(Tabela.frequencia[id])-1),ROW(A529)),1)</f>
        <v>#NUM!</v>
      </c>
      <c r="C576" s="229" t="e">
        <f t="array" ref="C576">INDEX(Tabela.frequencia[],SMALL(IF(Tabela.frequencia[Mês]=$L$2,ROW(Tabela.frequencia[id])-1),ROW(A529)),4)</f>
        <v>#NUM!</v>
      </c>
      <c r="E576" s="176" t="str">
        <f>IFERROR(VLOOKUP(D576,Tabela.cadastro[[ID]:[Nome]],2,0),"")</f>
        <v/>
      </c>
      <c r="F576" s="177" t="str">
        <f>IFERROR(VLOOKUP(D576,Tabela66[#All],2,0),"")</f>
        <v/>
      </c>
      <c r="G576" s="177" t="str">
        <f>IFERROR(VLOOKUP(D576,Tabela.cadastro[[ID]:[CP ou M]],5,0),"")</f>
        <v/>
      </c>
      <c r="H576" s="177" t="str">
        <f>IFERROR(VLOOKUP(D576,Cadastros!A:F,6,0),"")</f>
        <v/>
      </c>
      <c r="I576" s="177" t="str">
        <f>IFERROR(VLOOKUP(D576,Cadastros!A:I,9,0),"")</f>
        <v/>
      </c>
      <c r="J576" s="177" t="str">
        <f>IFERROR(VLOOKUP(D576,Cadastros!A:J,10,0),"")</f>
        <v/>
      </c>
      <c r="K576" s="177" t="str">
        <f>IF(COUNTIF(Tabela66[id],D576)=0,"",COUNTIF(Tabela66[id],D576))</f>
        <v/>
      </c>
      <c r="L576" s="198"/>
      <c r="M576" s="227" t="str">
        <f t="shared" si="45"/>
        <v/>
      </c>
      <c r="P576" s="176" t="str">
        <f>IFERROR(VLOOKUP(O576,Cadastros!A:B,2),"")</f>
        <v/>
      </c>
      <c r="Q576" s="177" t="str">
        <f t="shared" si="41"/>
        <v/>
      </c>
      <c r="R576" s="177" t="str">
        <f>IFERROR(VLOOKUP(O576,Cadastros!A:E,5,0),"")</f>
        <v/>
      </c>
      <c r="S576" s="177" t="str">
        <f>IFERROR(VLOOKUP(O576,Cadastros!A:F,6,0),"")</f>
        <v/>
      </c>
      <c r="T576" s="177" t="str">
        <f>IFERROR(VLOOKUP(O576,Cadastros!A:I,9,0),"")</f>
        <v/>
      </c>
      <c r="U576" s="177" t="str">
        <f t="shared" si="42"/>
        <v/>
      </c>
      <c r="V576" s="177" t="str">
        <f t="shared" si="43"/>
        <v/>
      </c>
      <c r="W576" s="177" t="str">
        <f t="shared" si="44"/>
        <v/>
      </c>
      <c r="Y576" s="240" t="e">
        <f t="array" ref="Y576">INDEX(Tabela.abordagens[],SMALL(IF(Tabela.abordagens[Mês]=$L$2,ROW(Tabela.abordagens[id])-2),ROW(A529)),1)</f>
        <v>#NUM!</v>
      </c>
      <c r="Z576" s="240" t="e">
        <f t="array" ref="Z576">INDEX(Tabela.abordagens[],SMALL(IF(Tabela.abordagens[Mês]=$L$2,ROW(Tabela.abordagens[Idade])-2),ROW(A529)),6)</f>
        <v>#NUM!</v>
      </c>
      <c r="AA576" s="240" t="e">
        <f t="array" ref="AA576">INDEX(Tabela.abordagens[],SMALL(IF(Tabela.abordagens[Mês]=$L$2,ROW(Tabela.abordagens[Idade])-2),ROW(A529)),4)</f>
        <v>#NUM!</v>
      </c>
      <c r="AB576" s="240" t="e">
        <f t="array" ref="AB576">INDEX(Tabela.abordagens[],SMALL(IF(Tabela.abordagens[Mês]=$L$2,ROW(Tabela.abordagens[Idade])-2),ROW(A529)),5)</f>
        <v>#NUM!</v>
      </c>
    </row>
    <row r="577" spans="2:28" ht="15" x14ac:dyDescent="0.25">
      <c r="B577" s="223" t="e">
        <f t="array" ref="B577">INDEX(Tabela.frequencia[],SMALL(IF(Tabela.frequencia[Mês]=$L$2,ROW(Tabela.frequencia[id])-1),ROW(A530)),1)</f>
        <v>#NUM!</v>
      </c>
      <c r="C577" s="229" t="e">
        <f t="array" ref="C577">INDEX(Tabela.frequencia[],SMALL(IF(Tabela.frequencia[Mês]=$L$2,ROW(Tabela.frequencia[id])-1),ROW(A530)),4)</f>
        <v>#NUM!</v>
      </c>
      <c r="E577" s="176" t="str">
        <f>IFERROR(VLOOKUP(D577,Tabela.cadastro[[ID]:[Nome]],2,0),"")</f>
        <v/>
      </c>
      <c r="F577" s="177" t="str">
        <f>IFERROR(VLOOKUP(D577,Tabela66[#All],2,0),"")</f>
        <v/>
      </c>
      <c r="G577" s="177" t="str">
        <f>IFERROR(VLOOKUP(D577,Tabela.cadastro[[ID]:[CP ou M]],5,0),"")</f>
        <v/>
      </c>
      <c r="H577" s="177" t="str">
        <f>IFERROR(VLOOKUP(D577,Cadastros!A:F,6,0),"")</f>
        <v/>
      </c>
      <c r="I577" s="177" t="str">
        <f>IFERROR(VLOOKUP(D577,Cadastros!A:I,9,0),"")</f>
        <v/>
      </c>
      <c r="J577" s="177" t="str">
        <f>IFERROR(VLOOKUP(D577,Cadastros!A:J,10,0),"")</f>
        <v/>
      </c>
      <c r="K577" s="177" t="str">
        <f>IF(COUNTIF(Tabela66[id],D577)=0,"",COUNTIF(Tabela66[id],D577))</f>
        <v/>
      </c>
      <c r="L577" s="198"/>
      <c r="M577" s="227" t="str">
        <f t="shared" si="45"/>
        <v/>
      </c>
      <c r="P577" s="176" t="str">
        <f>IFERROR(VLOOKUP(O577,Cadastros!A:B,2),"")</f>
        <v/>
      </c>
      <c r="Q577" s="177" t="str">
        <f t="shared" si="41"/>
        <v/>
      </c>
      <c r="R577" s="177" t="str">
        <f>IFERROR(VLOOKUP(O577,Cadastros!A:E,5,0),"")</f>
        <v/>
      </c>
      <c r="S577" s="177" t="str">
        <f>IFERROR(VLOOKUP(O577,Cadastros!A:F,6,0),"")</f>
        <v/>
      </c>
      <c r="T577" s="177" t="str">
        <f>IFERROR(VLOOKUP(O577,Cadastros!A:I,9,0),"")</f>
        <v/>
      </c>
      <c r="U577" s="177" t="str">
        <f t="shared" si="42"/>
        <v/>
      </c>
      <c r="V577" s="177" t="str">
        <f t="shared" si="43"/>
        <v/>
      </c>
      <c r="W577" s="177" t="str">
        <f t="shared" si="44"/>
        <v/>
      </c>
      <c r="Y577" s="240" t="e">
        <f t="array" ref="Y577">INDEX(Tabela.abordagens[],SMALL(IF(Tabela.abordagens[Mês]=$L$2,ROW(Tabela.abordagens[id])-2),ROW(A530)),1)</f>
        <v>#NUM!</v>
      </c>
      <c r="Z577" s="240" t="e">
        <f t="array" ref="Z577">INDEX(Tabela.abordagens[],SMALL(IF(Tabela.abordagens[Mês]=$L$2,ROW(Tabela.abordagens[Idade])-2),ROW(A530)),6)</f>
        <v>#NUM!</v>
      </c>
      <c r="AA577" s="240" t="e">
        <f t="array" ref="AA577">INDEX(Tabela.abordagens[],SMALL(IF(Tabela.abordagens[Mês]=$L$2,ROW(Tabela.abordagens[Idade])-2),ROW(A530)),4)</f>
        <v>#NUM!</v>
      </c>
      <c r="AB577" s="240" t="e">
        <f t="array" ref="AB577">INDEX(Tabela.abordagens[],SMALL(IF(Tabela.abordagens[Mês]=$L$2,ROW(Tabela.abordagens[Idade])-2),ROW(A530)),5)</f>
        <v>#NUM!</v>
      </c>
    </row>
    <row r="578" spans="2:28" ht="15" x14ac:dyDescent="0.25">
      <c r="B578" s="223" t="e">
        <f t="array" ref="B578">INDEX(Tabela.frequencia[],SMALL(IF(Tabela.frequencia[Mês]=$L$2,ROW(Tabela.frequencia[id])-1),ROW(A531)),1)</f>
        <v>#NUM!</v>
      </c>
      <c r="C578" s="229" t="e">
        <f t="array" ref="C578">INDEX(Tabela.frequencia[],SMALL(IF(Tabela.frequencia[Mês]=$L$2,ROW(Tabela.frequencia[id])-1),ROW(A531)),4)</f>
        <v>#NUM!</v>
      </c>
      <c r="E578" s="176" t="str">
        <f>IFERROR(VLOOKUP(D578,Tabela.cadastro[[ID]:[Nome]],2,0),"")</f>
        <v/>
      </c>
      <c r="F578" s="177" t="str">
        <f>IFERROR(VLOOKUP(D578,Tabela66[#All],2,0),"")</f>
        <v/>
      </c>
      <c r="G578" s="177" t="str">
        <f>IFERROR(VLOOKUP(D578,Tabela.cadastro[[ID]:[CP ou M]],5,0),"")</f>
        <v/>
      </c>
      <c r="H578" s="177" t="str">
        <f>IFERROR(VLOOKUP(D578,Cadastros!A:F,6,0),"")</f>
        <v/>
      </c>
      <c r="I578" s="177" t="str">
        <f>IFERROR(VLOOKUP(D578,Cadastros!A:I,9,0),"")</f>
        <v/>
      </c>
      <c r="J578" s="177" t="str">
        <f>IFERROR(VLOOKUP(D578,Cadastros!A:J,10,0),"")</f>
        <v/>
      </c>
      <c r="K578" s="177" t="str">
        <f>IF(COUNTIF(Tabela66[id],D578)=0,"",COUNTIF(Tabela66[id],D578))</f>
        <v/>
      </c>
      <c r="L578" s="198"/>
      <c r="M578" s="227" t="str">
        <f t="shared" si="45"/>
        <v/>
      </c>
      <c r="P578" s="176" t="str">
        <f>IFERROR(VLOOKUP(O578,Cadastros!A:B,2),"")</f>
        <v/>
      </c>
      <c r="Q578" s="177" t="str">
        <f t="shared" si="41"/>
        <v/>
      </c>
      <c r="R578" s="177" t="str">
        <f>IFERROR(VLOOKUP(O578,Cadastros!A:E,5,0),"")</f>
        <v/>
      </c>
      <c r="S578" s="177" t="str">
        <f>IFERROR(VLOOKUP(O578,Cadastros!A:F,6,0),"")</f>
        <v/>
      </c>
      <c r="T578" s="177" t="str">
        <f>IFERROR(VLOOKUP(O578,Cadastros!A:I,9,0),"")</f>
        <v/>
      </c>
      <c r="U578" s="177" t="str">
        <f t="shared" si="42"/>
        <v/>
      </c>
      <c r="V578" s="177" t="str">
        <f t="shared" si="43"/>
        <v/>
      </c>
      <c r="W578" s="177" t="str">
        <f t="shared" si="44"/>
        <v/>
      </c>
      <c r="Y578" s="240" t="e">
        <f t="array" ref="Y578">INDEX(Tabela.abordagens[],SMALL(IF(Tabela.abordagens[Mês]=$L$2,ROW(Tabela.abordagens[id])-2),ROW(A531)),1)</f>
        <v>#NUM!</v>
      </c>
      <c r="Z578" s="240" t="e">
        <f t="array" ref="Z578">INDEX(Tabela.abordagens[],SMALL(IF(Tabela.abordagens[Mês]=$L$2,ROW(Tabela.abordagens[Idade])-2),ROW(A531)),6)</f>
        <v>#NUM!</v>
      </c>
      <c r="AA578" s="240" t="e">
        <f t="array" ref="AA578">INDEX(Tabela.abordagens[],SMALL(IF(Tabela.abordagens[Mês]=$L$2,ROW(Tabela.abordagens[Idade])-2),ROW(A531)),4)</f>
        <v>#NUM!</v>
      </c>
      <c r="AB578" s="240" t="e">
        <f t="array" ref="AB578">INDEX(Tabela.abordagens[],SMALL(IF(Tabela.abordagens[Mês]=$L$2,ROW(Tabela.abordagens[Idade])-2),ROW(A531)),5)</f>
        <v>#NUM!</v>
      </c>
    </row>
    <row r="579" spans="2:28" ht="15" x14ac:dyDescent="0.25">
      <c r="B579" s="223" t="e">
        <f t="array" ref="B579">INDEX(Tabela.frequencia[],SMALL(IF(Tabela.frequencia[Mês]=$L$2,ROW(Tabela.frequencia[id])-1),ROW(A532)),1)</f>
        <v>#NUM!</v>
      </c>
      <c r="C579" s="229" t="e">
        <f t="array" ref="C579">INDEX(Tabela.frequencia[],SMALL(IF(Tabela.frequencia[Mês]=$L$2,ROW(Tabela.frequencia[id])-1),ROW(A532)),4)</f>
        <v>#NUM!</v>
      </c>
      <c r="E579" s="176" t="str">
        <f>IFERROR(VLOOKUP(D579,Tabela.cadastro[[ID]:[Nome]],2,0),"")</f>
        <v/>
      </c>
      <c r="F579" s="177" t="str">
        <f>IFERROR(VLOOKUP(D579,Tabela66[#All],2,0),"")</f>
        <v/>
      </c>
      <c r="G579" s="177" t="str">
        <f>IFERROR(VLOOKUP(D579,Tabela.cadastro[[ID]:[CP ou M]],5,0),"")</f>
        <v/>
      </c>
      <c r="H579" s="177" t="str">
        <f>IFERROR(VLOOKUP(D579,Cadastros!A:F,6,0),"")</f>
        <v/>
      </c>
      <c r="I579" s="177" t="str">
        <f>IFERROR(VLOOKUP(D579,Cadastros!A:I,9,0),"")</f>
        <v/>
      </c>
      <c r="J579" s="177" t="str">
        <f>IFERROR(VLOOKUP(D579,Cadastros!A:J,10,0),"")</f>
        <v/>
      </c>
      <c r="K579" s="177" t="str">
        <f>IF(COUNTIF(Tabela66[id],D579)=0,"",COUNTIF(Tabela66[id],D579))</f>
        <v/>
      </c>
      <c r="L579" s="198"/>
      <c r="M579" s="227" t="str">
        <f t="shared" si="45"/>
        <v/>
      </c>
      <c r="P579" s="176" t="str">
        <f>IFERROR(VLOOKUP(O579,Cadastros!A:B,2),"")</f>
        <v/>
      </c>
      <c r="Q579" s="177" t="str">
        <f t="shared" si="41"/>
        <v/>
      </c>
      <c r="R579" s="177" t="str">
        <f>IFERROR(VLOOKUP(O579,Cadastros!A:E,5,0),"")</f>
        <v/>
      </c>
      <c r="S579" s="177" t="str">
        <f>IFERROR(VLOOKUP(O579,Cadastros!A:F,6,0),"")</f>
        <v/>
      </c>
      <c r="T579" s="177" t="str">
        <f>IFERROR(VLOOKUP(O579,Cadastros!A:I,9,0),"")</f>
        <v/>
      </c>
      <c r="U579" s="177" t="str">
        <f t="shared" si="42"/>
        <v/>
      </c>
      <c r="V579" s="177" t="str">
        <f t="shared" si="43"/>
        <v/>
      </c>
      <c r="W579" s="177" t="str">
        <f t="shared" si="44"/>
        <v/>
      </c>
      <c r="Y579" s="240" t="e">
        <f t="array" ref="Y579">INDEX(Tabela.abordagens[],SMALL(IF(Tabela.abordagens[Mês]=$L$2,ROW(Tabela.abordagens[id])-2),ROW(A532)),1)</f>
        <v>#NUM!</v>
      </c>
      <c r="Z579" s="240" t="e">
        <f t="array" ref="Z579">INDEX(Tabela.abordagens[],SMALL(IF(Tabela.abordagens[Mês]=$L$2,ROW(Tabela.abordagens[Idade])-2),ROW(A532)),6)</f>
        <v>#NUM!</v>
      </c>
      <c r="AA579" s="240" t="e">
        <f t="array" ref="AA579">INDEX(Tabela.abordagens[],SMALL(IF(Tabela.abordagens[Mês]=$L$2,ROW(Tabela.abordagens[Idade])-2),ROW(A532)),4)</f>
        <v>#NUM!</v>
      </c>
      <c r="AB579" s="240" t="e">
        <f t="array" ref="AB579">INDEX(Tabela.abordagens[],SMALL(IF(Tabela.abordagens[Mês]=$L$2,ROW(Tabela.abordagens[Idade])-2),ROW(A532)),5)</f>
        <v>#NUM!</v>
      </c>
    </row>
    <row r="580" spans="2:28" ht="15" x14ac:dyDescent="0.25">
      <c r="B580" s="223" t="e">
        <f t="array" ref="B580">INDEX(Tabela.frequencia[],SMALL(IF(Tabela.frequencia[Mês]=$L$2,ROW(Tabela.frequencia[id])-1),ROW(A533)),1)</f>
        <v>#NUM!</v>
      </c>
      <c r="C580" s="229" t="e">
        <f t="array" ref="C580">INDEX(Tabela.frequencia[],SMALL(IF(Tabela.frequencia[Mês]=$L$2,ROW(Tabela.frequencia[id])-1),ROW(A533)),4)</f>
        <v>#NUM!</v>
      </c>
      <c r="E580" s="176" t="str">
        <f>IFERROR(VLOOKUP(D580,Tabela.cadastro[[ID]:[Nome]],2,0),"")</f>
        <v/>
      </c>
      <c r="F580" s="177" t="str">
        <f>IFERROR(VLOOKUP(D580,Tabela66[#All],2,0),"")</f>
        <v/>
      </c>
      <c r="G580" s="177" t="str">
        <f>IFERROR(VLOOKUP(D580,Tabela.cadastro[[ID]:[CP ou M]],5,0),"")</f>
        <v/>
      </c>
      <c r="H580" s="177" t="str">
        <f>IFERROR(VLOOKUP(D580,Cadastros!A:F,6,0),"")</f>
        <v/>
      </c>
      <c r="I580" s="177" t="str">
        <f>IFERROR(VLOOKUP(D580,Cadastros!A:I,9,0),"")</f>
        <v/>
      </c>
      <c r="J580" s="177" t="str">
        <f>IFERROR(VLOOKUP(D580,Cadastros!A:J,10,0),"")</f>
        <v/>
      </c>
      <c r="K580" s="177" t="str">
        <f>IF(COUNTIF(Tabela66[id],D580)=0,"",COUNTIF(Tabela66[id],D580))</f>
        <v/>
      </c>
      <c r="L580" s="198"/>
      <c r="M580" s="227" t="str">
        <f t="shared" si="45"/>
        <v/>
      </c>
      <c r="P580" s="176" t="str">
        <f>IFERROR(VLOOKUP(O580,Cadastros!A:B,2),"")</f>
        <v/>
      </c>
      <c r="Q580" s="177" t="str">
        <f t="shared" si="41"/>
        <v/>
      </c>
      <c r="R580" s="177" t="str">
        <f>IFERROR(VLOOKUP(O580,Cadastros!A:E,5,0),"")</f>
        <v/>
      </c>
      <c r="S580" s="177" t="str">
        <f>IFERROR(VLOOKUP(O580,Cadastros!A:F,6,0),"")</f>
        <v/>
      </c>
      <c r="T580" s="177" t="str">
        <f>IFERROR(VLOOKUP(O580,Cadastros!A:I,9,0),"")</f>
        <v/>
      </c>
      <c r="U580" s="177" t="str">
        <f t="shared" si="42"/>
        <v/>
      </c>
      <c r="V580" s="177" t="str">
        <f t="shared" si="43"/>
        <v/>
      </c>
      <c r="W580" s="177" t="str">
        <f t="shared" si="44"/>
        <v/>
      </c>
      <c r="Y580" s="240" t="e">
        <f t="array" ref="Y580">INDEX(Tabela.abordagens[],SMALL(IF(Tabela.abordagens[Mês]=$L$2,ROW(Tabela.abordagens[id])-2),ROW(A533)),1)</f>
        <v>#NUM!</v>
      </c>
      <c r="Z580" s="240" t="e">
        <f t="array" ref="Z580">INDEX(Tabela.abordagens[],SMALL(IF(Tabela.abordagens[Mês]=$L$2,ROW(Tabela.abordagens[Idade])-2),ROW(A533)),6)</f>
        <v>#NUM!</v>
      </c>
      <c r="AA580" s="240" t="e">
        <f t="array" ref="AA580">INDEX(Tabela.abordagens[],SMALL(IF(Tabela.abordagens[Mês]=$L$2,ROW(Tabela.abordagens[Idade])-2),ROW(A533)),4)</f>
        <v>#NUM!</v>
      </c>
      <c r="AB580" s="240" t="e">
        <f t="array" ref="AB580">INDEX(Tabela.abordagens[],SMALL(IF(Tabela.abordagens[Mês]=$L$2,ROW(Tabela.abordagens[Idade])-2),ROW(A533)),5)</f>
        <v>#NUM!</v>
      </c>
    </row>
    <row r="581" spans="2:28" ht="15" x14ac:dyDescent="0.25">
      <c r="B581" s="223" t="e">
        <f t="array" ref="B581">INDEX(Tabela.frequencia[],SMALL(IF(Tabela.frequencia[Mês]=$L$2,ROW(Tabela.frequencia[id])-1),ROW(A534)),1)</f>
        <v>#NUM!</v>
      </c>
      <c r="C581" s="229" t="e">
        <f t="array" ref="C581">INDEX(Tabela.frequencia[],SMALL(IF(Tabela.frequencia[Mês]=$L$2,ROW(Tabela.frequencia[id])-1),ROW(A534)),4)</f>
        <v>#NUM!</v>
      </c>
      <c r="E581" s="176" t="str">
        <f>IFERROR(VLOOKUP(D581,Tabela.cadastro[[ID]:[Nome]],2,0),"")</f>
        <v/>
      </c>
      <c r="F581" s="177" t="str">
        <f>IFERROR(VLOOKUP(D581,Tabela66[#All],2,0),"")</f>
        <v/>
      </c>
      <c r="G581" s="177" t="str">
        <f>IFERROR(VLOOKUP(D581,Tabela.cadastro[[ID]:[CP ou M]],5,0),"")</f>
        <v/>
      </c>
      <c r="H581" s="177" t="str">
        <f>IFERROR(VLOOKUP(D581,Cadastros!A:F,6,0),"")</f>
        <v/>
      </c>
      <c r="I581" s="177" t="str">
        <f>IFERROR(VLOOKUP(D581,Cadastros!A:I,9,0),"")</f>
        <v/>
      </c>
      <c r="J581" s="177" t="str">
        <f>IFERROR(VLOOKUP(D581,Cadastros!A:J,10,0),"")</f>
        <v/>
      </c>
      <c r="K581" s="177" t="str">
        <f>IF(COUNTIF(Tabela66[id],D581)=0,"",COUNTIF(Tabela66[id],D581))</f>
        <v/>
      </c>
      <c r="L581" s="198"/>
      <c r="M581" s="227" t="str">
        <f t="shared" si="45"/>
        <v/>
      </c>
      <c r="P581" s="176" t="str">
        <f>IFERROR(VLOOKUP(O581,Cadastros!A:B,2),"")</f>
        <v/>
      </c>
      <c r="Q581" s="177" t="str">
        <f t="shared" si="41"/>
        <v/>
      </c>
      <c r="R581" s="177" t="str">
        <f>IFERROR(VLOOKUP(O581,Cadastros!A:E,5,0),"")</f>
        <v/>
      </c>
      <c r="S581" s="177" t="str">
        <f>IFERROR(VLOOKUP(O581,Cadastros!A:F,6,0),"")</f>
        <v/>
      </c>
      <c r="T581" s="177" t="str">
        <f>IFERROR(VLOOKUP(O581,Cadastros!A:I,9,0),"")</f>
        <v/>
      </c>
      <c r="U581" s="177" t="str">
        <f t="shared" si="42"/>
        <v/>
      </c>
      <c r="V581" s="177" t="str">
        <f t="shared" si="43"/>
        <v/>
      </c>
      <c r="W581" s="177" t="str">
        <f t="shared" si="44"/>
        <v/>
      </c>
      <c r="Y581" s="240" t="e">
        <f t="array" ref="Y581">INDEX(Tabela.abordagens[],SMALL(IF(Tabela.abordagens[Mês]=$L$2,ROW(Tabela.abordagens[id])-2),ROW(A534)),1)</f>
        <v>#NUM!</v>
      </c>
      <c r="Z581" s="240" t="e">
        <f t="array" ref="Z581">INDEX(Tabela.abordagens[],SMALL(IF(Tabela.abordagens[Mês]=$L$2,ROW(Tabela.abordagens[Idade])-2),ROW(A534)),6)</f>
        <v>#NUM!</v>
      </c>
      <c r="AA581" s="240" t="e">
        <f t="array" ref="AA581">INDEX(Tabela.abordagens[],SMALL(IF(Tabela.abordagens[Mês]=$L$2,ROW(Tabela.abordagens[Idade])-2),ROW(A534)),4)</f>
        <v>#NUM!</v>
      </c>
      <c r="AB581" s="240" t="e">
        <f t="array" ref="AB581">INDEX(Tabela.abordagens[],SMALL(IF(Tabela.abordagens[Mês]=$L$2,ROW(Tabela.abordagens[Idade])-2),ROW(A534)),5)</f>
        <v>#NUM!</v>
      </c>
    </row>
    <row r="582" spans="2:28" ht="15" x14ac:dyDescent="0.25">
      <c r="B582" s="223" t="e">
        <f t="array" ref="B582">INDEX(Tabela.frequencia[],SMALL(IF(Tabela.frequencia[Mês]=$L$2,ROW(Tabela.frequencia[id])-1),ROW(A535)),1)</f>
        <v>#NUM!</v>
      </c>
      <c r="C582" s="229" t="e">
        <f t="array" ref="C582">INDEX(Tabela.frequencia[],SMALL(IF(Tabela.frequencia[Mês]=$L$2,ROW(Tabela.frequencia[id])-1),ROW(A535)),4)</f>
        <v>#NUM!</v>
      </c>
      <c r="E582" s="176" t="str">
        <f>IFERROR(VLOOKUP(D582,Tabela.cadastro[[ID]:[Nome]],2,0),"")</f>
        <v/>
      </c>
      <c r="F582" s="177" t="str">
        <f>IFERROR(VLOOKUP(D582,Tabela66[#All],2,0),"")</f>
        <v/>
      </c>
      <c r="G582" s="177" t="str">
        <f>IFERROR(VLOOKUP(D582,Tabela.cadastro[[ID]:[CP ou M]],5,0),"")</f>
        <v/>
      </c>
      <c r="H582" s="177" t="str">
        <f>IFERROR(VLOOKUP(D582,Cadastros!A:F,6,0),"")</f>
        <v/>
      </c>
      <c r="I582" s="177" t="str">
        <f>IFERROR(VLOOKUP(D582,Cadastros!A:I,9,0),"")</f>
        <v/>
      </c>
      <c r="J582" s="177" t="str">
        <f>IFERROR(VLOOKUP(D582,Cadastros!A:J,10,0),"")</f>
        <v/>
      </c>
      <c r="K582" s="177" t="str">
        <f>IF(COUNTIF(Tabela66[id],D582)=0,"",COUNTIF(Tabela66[id],D582))</f>
        <v/>
      </c>
      <c r="L582" s="198"/>
      <c r="M582" s="227" t="str">
        <f t="shared" si="45"/>
        <v/>
      </c>
      <c r="P582" s="176" t="str">
        <f>IFERROR(VLOOKUP(O582,Cadastros!A:B,2),"")</f>
        <v/>
      </c>
      <c r="Q582" s="177" t="str">
        <f t="shared" si="41"/>
        <v/>
      </c>
      <c r="R582" s="177" t="str">
        <f>IFERROR(VLOOKUP(O582,Cadastros!A:E,5,0),"")</f>
        <v/>
      </c>
      <c r="S582" s="177" t="str">
        <f>IFERROR(VLOOKUP(O582,Cadastros!A:F,6,0),"")</f>
        <v/>
      </c>
      <c r="T582" s="177" t="str">
        <f>IFERROR(VLOOKUP(O582,Cadastros!A:I,9,0),"")</f>
        <v/>
      </c>
      <c r="U582" s="177" t="str">
        <f t="shared" si="42"/>
        <v/>
      </c>
      <c r="V582" s="177" t="str">
        <f t="shared" si="43"/>
        <v/>
      </c>
      <c r="W582" s="177" t="str">
        <f t="shared" si="44"/>
        <v/>
      </c>
      <c r="Y582" s="240" t="e">
        <f t="array" ref="Y582">INDEX(Tabela.abordagens[],SMALL(IF(Tabela.abordagens[Mês]=$L$2,ROW(Tabela.abordagens[id])-2),ROW(A535)),1)</f>
        <v>#NUM!</v>
      </c>
      <c r="Z582" s="240" t="e">
        <f t="array" ref="Z582">INDEX(Tabela.abordagens[],SMALL(IF(Tabela.abordagens[Mês]=$L$2,ROW(Tabela.abordagens[Idade])-2),ROW(A535)),6)</f>
        <v>#NUM!</v>
      </c>
      <c r="AA582" s="240" t="e">
        <f t="array" ref="AA582">INDEX(Tabela.abordagens[],SMALL(IF(Tabela.abordagens[Mês]=$L$2,ROW(Tabela.abordagens[Idade])-2),ROW(A535)),4)</f>
        <v>#NUM!</v>
      </c>
      <c r="AB582" s="240" t="e">
        <f t="array" ref="AB582">INDEX(Tabela.abordagens[],SMALL(IF(Tabela.abordagens[Mês]=$L$2,ROW(Tabela.abordagens[Idade])-2),ROW(A535)),5)</f>
        <v>#NUM!</v>
      </c>
    </row>
    <row r="583" spans="2:28" ht="15" x14ac:dyDescent="0.25">
      <c r="B583" s="223" t="e">
        <f t="array" ref="B583">INDEX(Tabela.frequencia[],SMALL(IF(Tabela.frequencia[Mês]=$L$2,ROW(Tabela.frequencia[id])-1),ROW(A536)),1)</f>
        <v>#NUM!</v>
      </c>
      <c r="C583" s="229" t="e">
        <f t="array" ref="C583">INDEX(Tabela.frequencia[],SMALL(IF(Tabela.frequencia[Mês]=$L$2,ROW(Tabela.frequencia[id])-1),ROW(A536)),4)</f>
        <v>#NUM!</v>
      </c>
      <c r="E583" s="176" t="str">
        <f>IFERROR(VLOOKUP(D583,Tabela.cadastro[[ID]:[Nome]],2,0),"")</f>
        <v/>
      </c>
      <c r="F583" s="177" t="str">
        <f>IFERROR(VLOOKUP(D583,Tabela66[#All],2,0),"")</f>
        <v/>
      </c>
      <c r="G583" s="177" t="str">
        <f>IFERROR(VLOOKUP(D583,Tabela.cadastro[[ID]:[CP ou M]],5,0),"")</f>
        <v/>
      </c>
      <c r="H583" s="177" t="str">
        <f>IFERROR(VLOOKUP(D583,Cadastros!A:F,6,0),"")</f>
        <v/>
      </c>
      <c r="I583" s="177" t="str">
        <f>IFERROR(VLOOKUP(D583,Cadastros!A:I,9,0),"")</f>
        <v/>
      </c>
      <c r="J583" s="177" t="str">
        <f>IFERROR(VLOOKUP(D583,Cadastros!A:J,10,0),"")</f>
        <v/>
      </c>
      <c r="K583" s="177" t="str">
        <f>IF(COUNTIF(Tabela66[id],D583)=0,"",COUNTIF(Tabela66[id],D583))</f>
        <v/>
      </c>
      <c r="L583" s="198"/>
      <c r="M583" s="227" t="str">
        <f t="shared" si="45"/>
        <v/>
      </c>
      <c r="P583" s="176" t="str">
        <f>IFERROR(VLOOKUP(O583,Cadastros!A:B,2),"")</f>
        <v/>
      </c>
      <c r="Q583" s="177" t="str">
        <f t="shared" si="41"/>
        <v/>
      </c>
      <c r="R583" s="177" t="str">
        <f>IFERROR(VLOOKUP(O583,Cadastros!A:E,5,0),"")</f>
        <v/>
      </c>
      <c r="S583" s="177" t="str">
        <f>IFERROR(VLOOKUP(O583,Cadastros!A:F,6,0),"")</f>
        <v/>
      </c>
      <c r="T583" s="177" t="str">
        <f>IFERROR(VLOOKUP(O583,Cadastros!A:I,9,0),"")</f>
        <v/>
      </c>
      <c r="U583" s="177" t="str">
        <f t="shared" si="42"/>
        <v/>
      </c>
      <c r="V583" s="177" t="str">
        <f t="shared" si="43"/>
        <v/>
      </c>
      <c r="W583" s="177" t="str">
        <f t="shared" si="44"/>
        <v/>
      </c>
      <c r="Y583" s="240" t="e">
        <f t="array" ref="Y583">INDEX(Tabela.abordagens[],SMALL(IF(Tabela.abordagens[Mês]=$L$2,ROW(Tabela.abordagens[id])-2),ROW(A536)),1)</f>
        <v>#NUM!</v>
      </c>
      <c r="Z583" s="240" t="e">
        <f t="array" ref="Z583">INDEX(Tabela.abordagens[],SMALL(IF(Tabela.abordagens[Mês]=$L$2,ROW(Tabela.abordagens[Idade])-2),ROW(A536)),6)</f>
        <v>#NUM!</v>
      </c>
      <c r="AA583" s="240" t="e">
        <f t="array" ref="AA583">INDEX(Tabela.abordagens[],SMALL(IF(Tabela.abordagens[Mês]=$L$2,ROW(Tabela.abordagens[Idade])-2),ROW(A536)),4)</f>
        <v>#NUM!</v>
      </c>
      <c r="AB583" s="240" t="e">
        <f t="array" ref="AB583">INDEX(Tabela.abordagens[],SMALL(IF(Tabela.abordagens[Mês]=$L$2,ROW(Tabela.abordagens[Idade])-2),ROW(A536)),5)</f>
        <v>#NUM!</v>
      </c>
    </row>
    <row r="584" spans="2:28" ht="15" x14ac:dyDescent="0.25">
      <c r="B584" s="223" t="e">
        <f t="array" ref="B584">INDEX(Tabela.frequencia[],SMALL(IF(Tabela.frequencia[Mês]=$L$2,ROW(Tabela.frequencia[id])-1),ROW(A537)),1)</f>
        <v>#NUM!</v>
      </c>
      <c r="C584" s="229" t="e">
        <f t="array" ref="C584">INDEX(Tabela.frequencia[],SMALL(IF(Tabela.frequencia[Mês]=$L$2,ROW(Tabela.frequencia[id])-1),ROW(A537)),4)</f>
        <v>#NUM!</v>
      </c>
      <c r="E584" s="176" t="str">
        <f>IFERROR(VLOOKUP(D584,Tabela.cadastro[[ID]:[Nome]],2,0),"")</f>
        <v/>
      </c>
      <c r="F584" s="177" t="str">
        <f>IFERROR(VLOOKUP(D584,Tabela66[#All],2,0),"")</f>
        <v/>
      </c>
      <c r="G584" s="177" t="str">
        <f>IFERROR(VLOOKUP(D584,Tabela.cadastro[[ID]:[CP ou M]],5,0),"")</f>
        <v/>
      </c>
      <c r="H584" s="177" t="str">
        <f>IFERROR(VLOOKUP(D584,Cadastros!A:F,6,0),"")</f>
        <v/>
      </c>
      <c r="I584" s="177" t="str">
        <f>IFERROR(VLOOKUP(D584,Cadastros!A:I,9,0),"")</f>
        <v/>
      </c>
      <c r="J584" s="177" t="str">
        <f>IFERROR(VLOOKUP(D584,Cadastros!A:J,10,0),"")</f>
        <v/>
      </c>
      <c r="K584" s="177" t="str">
        <f>IF(COUNTIF(Tabela66[id],D584)=0,"",COUNTIF(Tabela66[id],D584))</f>
        <v/>
      </c>
      <c r="L584" s="198"/>
      <c r="M584" s="227" t="str">
        <f t="shared" si="45"/>
        <v/>
      </c>
      <c r="P584" s="176" t="str">
        <f>IFERROR(VLOOKUP(O584,Cadastros!A:B,2),"")</f>
        <v/>
      </c>
      <c r="Q584" s="177" t="str">
        <f t="shared" si="41"/>
        <v/>
      </c>
      <c r="R584" s="177" t="str">
        <f>IFERROR(VLOOKUP(O584,Cadastros!A:E,5,0),"")</f>
        <v/>
      </c>
      <c r="S584" s="177" t="str">
        <f>IFERROR(VLOOKUP(O584,Cadastros!A:F,6,0),"")</f>
        <v/>
      </c>
      <c r="T584" s="177" t="str">
        <f>IFERROR(VLOOKUP(O584,Cadastros!A:I,9,0),"")</f>
        <v/>
      </c>
      <c r="U584" s="177" t="str">
        <f t="shared" si="42"/>
        <v/>
      </c>
      <c r="V584" s="177" t="str">
        <f t="shared" si="43"/>
        <v/>
      </c>
      <c r="W584" s="177" t="str">
        <f t="shared" si="44"/>
        <v/>
      </c>
      <c r="Y584" s="240" t="e">
        <f t="array" ref="Y584">INDEX(Tabela.abordagens[],SMALL(IF(Tabela.abordagens[Mês]=$L$2,ROW(Tabela.abordagens[id])-2),ROW(A537)),1)</f>
        <v>#NUM!</v>
      </c>
      <c r="Z584" s="240" t="e">
        <f t="array" ref="Z584">INDEX(Tabela.abordagens[],SMALL(IF(Tabela.abordagens[Mês]=$L$2,ROW(Tabela.abordagens[Idade])-2),ROW(A537)),6)</f>
        <v>#NUM!</v>
      </c>
      <c r="AA584" s="240" t="e">
        <f t="array" ref="AA584">INDEX(Tabela.abordagens[],SMALL(IF(Tabela.abordagens[Mês]=$L$2,ROW(Tabela.abordagens[Idade])-2),ROW(A537)),4)</f>
        <v>#NUM!</v>
      </c>
      <c r="AB584" s="240" t="e">
        <f t="array" ref="AB584">INDEX(Tabela.abordagens[],SMALL(IF(Tabela.abordagens[Mês]=$L$2,ROW(Tabela.abordagens[Idade])-2),ROW(A537)),5)</f>
        <v>#NUM!</v>
      </c>
    </row>
    <row r="585" spans="2:28" ht="15" x14ac:dyDescent="0.25">
      <c r="B585" s="223" t="e">
        <f t="array" ref="B585">INDEX(Tabela.frequencia[],SMALL(IF(Tabela.frequencia[Mês]=$L$2,ROW(Tabela.frequencia[id])-1),ROW(A538)),1)</f>
        <v>#NUM!</v>
      </c>
      <c r="C585" s="229" t="e">
        <f t="array" ref="C585">INDEX(Tabela.frequencia[],SMALL(IF(Tabela.frequencia[Mês]=$L$2,ROW(Tabela.frequencia[id])-1),ROW(A538)),4)</f>
        <v>#NUM!</v>
      </c>
      <c r="E585" s="176" t="str">
        <f>IFERROR(VLOOKUP(D585,Tabela.cadastro[[ID]:[Nome]],2,0),"")</f>
        <v/>
      </c>
      <c r="F585" s="177" t="str">
        <f>IFERROR(VLOOKUP(D585,Tabela66[#All],2,0),"")</f>
        <v/>
      </c>
      <c r="G585" s="177" t="str">
        <f>IFERROR(VLOOKUP(D585,Tabela.cadastro[[ID]:[CP ou M]],5,0),"")</f>
        <v/>
      </c>
      <c r="H585" s="177" t="str">
        <f>IFERROR(VLOOKUP(D585,Cadastros!A:F,6,0),"")</f>
        <v/>
      </c>
      <c r="I585" s="177" t="str">
        <f>IFERROR(VLOOKUP(D585,Cadastros!A:I,9,0),"")</f>
        <v/>
      </c>
      <c r="J585" s="177" t="str">
        <f>IFERROR(VLOOKUP(D585,Cadastros!A:J,10,0),"")</f>
        <v/>
      </c>
      <c r="K585" s="177" t="str">
        <f>IF(COUNTIF(Tabela66[id],D585)=0,"",COUNTIF(Tabela66[id],D585))</f>
        <v/>
      </c>
      <c r="L585" s="198"/>
      <c r="M585" s="227" t="str">
        <f t="shared" si="45"/>
        <v/>
      </c>
      <c r="P585" s="176" t="str">
        <f>IFERROR(VLOOKUP(O585,Cadastros!A:B,2),"")</f>
        <v/>
      </c>
      <c r="Q585" s="177" t="str">
        <f t="shared" si="41"/>
        <v/>
      </c>
      <c r="R585" s="177" t="str">
        <f>IFERROR(VLOOKUP(O585,Cadastros!A:E,5,0),"")</f>
        <v/>
      </c>
      <c r="S585" s="177" t="str">
        <f>IFERROR(VLOOKUP(O585,Cadastros!A:F,6,0),"")</f>
        <v/>
      </c>
      <c r="T585" s="177" t="str">
        <f>IFERROR(VLOOKUP(O585,Cadastros!A:I,9,0),"")</f>
        <v/>
      </c>
      <c r="U585" s="177" t="str">
        <f t="shared" si="42"/>
        <v/>
      </c>
      <c r="V585" s="177" t="str">
        <f t="shared" si="43"/>
        <v/>
      </c>
      <c r="W585" s="177" t="str">
        <f t="shared" si="44"/>
        <v/>
      </c>
      <c r="Y585" s="240" t="e">
        <f t="array" ref="Y585">INDEX(Tabela.abordagens[],SMALL(IF(Tabela.abordagens[Mês]=$L$2,ROW(Tabela.abordagens[id])-2),ROW(A538)),1)</f>
        <v>#NUM!</v>
      </c>
      <c r="Z585" s="240" t="e">
        <f t="array" ref="Z585">INDEX(Tabela.abordagens[],SMALL(IF(Tabela.abordagens[Mês]=$L$2,ROW(Tabela.abordagens[Idade])-2),ROW(A538)),6)</f>
        <v>#NUM!</v>
      </c>
      <c r="AA585" s="240" t="e">
        <f t="array" ref="AA585">INDEX(Tabela.abordagens[],SMALL(IF(Tabela.abordagens[Mês]=$L$2,ROW(Tabela.abordagens[Idade])-2),ROW(A538)),4)</f>
        <v>#NUM!</v>
      </c>
      <c r="AB585" s="240" t="e">
        <f t="array" ref="AB585">INDEX(Tabela.abordagens[],SMALL(IF(Tabela.abordagens[Mês]=$L$2,ROW(Tabela.abordagens[Idade])-2),ROW(A538)),5)</f>
        <v>#NUM!</v>
      </c>
    </row>
    <row r="586" spans="2:28" ht="15" x14ac:dyDescent="0.25">
      <c r="B586" s="223" t="e">
        <f t="array" ref="B586">INDEX(Tabela.frequencia[],SMALL(IF(Tabela.frequencia[Mês]=$L$2,ROW(Tabela.frequencia[id])-1),ROW(A539)),1)</f>
        <v>#NUM!</v>
      </c>
      <c r="C586" s="229" t="e">
        <f t="array" ref="C586">INDEX(Tabela.frequencia[],SMALL(IF(Tabela.frequencia[Mês]=$L$2,ROW(Tabela.frequencia[id])-1),ROW(A539)),4)</f>
        <v>#NUM!</v>
      </c>
      <c r="E586" s="176" t="str">
        <f>IFERROR(VLOOKUP(D586,Tabela.cadastro[[ID]:[Nome]],2,0),"")</f>
        <v/>
      </c>
      <c r="F586" s="177" t="str">
        <f>IFERROR(VLOOKUP(D586,Tabela66[#All],2,0),"")</f>
        <v/>
      </c>
      <c r="G586" s="177" t="str">
        <f>IFERROR(VLOOKUP(D586,Tabela.cadastro[[ID]:[CP ou M]],5,0),"")</f>
        <v/>
      </c>
      <c r="H586" s="177" t="str">
        <f>IFERROR(VLOOKUP(D586,Cadastros!A:F,6,0),"")</f>
        <v/>
      </c>
      <c r="I586" s="177" t="str">
        <f>IFERROR(VLOOKUP(D586,Cadastros!A:I,9,0),"")</f>
        <v/>
      </c>
      <c r="J586" s="177" t="str">
        <f>IFERROR(VLOOKUP(D586,Cadastros!A:J,10,0),"")</f>
        <v/>
      </c>
      <c r="K586" s="177" t="str">
        <f>IF(COUNTIF(Tabela66[id],D586)=0,"",COUNTIF(Tabela66[id],D586))</f>
        <v/>
      </c>
      <c r="L586" s="198"/>
      <c r="M586" s="227" t="str">
        <f t="shared" si="45"/>
        <v/>
      </c>
      <c r="P586" s="176" t="str">
        <f>IFERROR(VLOOKUP(O586,Cadastros!A:B,2),"")</f>
        <v/>
      </c>
      <c r="Q586" s="177" t="str">
        <f t="shared" si="41"/>
        <v/>
      </c>
      <c r="R586" s="177" t="str">
        <f>IFERROR(VLOOKUP(O586,Cadastros!A:E,5,0),"")</f>
        <v/>
      </c>
      <c r="S586" s="177" t="str">
        <f>IFERROR(VLOOKUP(O586,Cadastros!A:F,6,0),"")</f>
        <v/>
      </c>
      <c r="T586" s="177" t="str">
        <f>IFERROR(VLOOKUP(O586,Cadastros!A:I,9,0),"")</f>
        <v/>
      </c>
      <c r="U586" s="177" t="str">
        <f t="shared" si="42"/>
        <v/>
      </c>
      <c r="V586" s="177" t="str">
        <f t="shared" si="43"/>
        <v/>
      </c>
      <c r="W586" s="177" t="str">
        <f t="shared" si="44"/>
        <v/>
      </c>
      <c r="Y586" s="240" t="e">
        <f t="array" ref="Y586">INDEX(Tabela.abordagens[],SMALL(IF(Tabela.abordagens[Mês]=$L$2,ROW(Tabela.abordagens[id])-2),ROW(A539)),1)</f>
        <v>#NUM!</v>
      </c>
      <c r="Z586" s="240" t="e">
        <f t="array" ref="Z586">INDEX(Tabela.abordagens[],SMALL(IF(Tabela.abordagens[Mês]=$L$2,ROW(Tabela.abordagens[Idade])-2),ROW(A539)),6)</f>
        <v>#NUM!</v>
      </c>
      <c r="AA586" s="240" t="e">
        <f t="array" ref="AA586">INDEX(Tabela.abordagens[],SMALL(IF(Tabela.abordagens[Mês]=$L$2,ROW(Tabela.abordagens[Idade])-2),ROW(A539)),4)</f>
        <v>#NUM!</v>
      </c>
      <c r="AB586" s="240" t="e">
        <f t="array" ref="AB586">INDEX(Tabela.abordagens[],SMALL(IF(Tabela.abordagens[Mês]=$L$2,ROW(Tabela.abordagens[Idade])-2),ROW(A539)),5)</f>
        <v>#NUM!</v>
      </c>
    </row>
    <row r="587" spans="2:28" ht="15" x14ac:dyDescent="0.25">
      <c r="B587" s="223" t="e">
        <f t="array" ref="B587">INDEX(Tabela.frequencia[],SMALL(IF(Tabela.frequencia[Mês]=$L$2,ROW(Tabela.frequencia[id])-1),ROW(A540)),1)</f>
        <v>#NUM!</v>
      </c>
      <c r="C587" s="229" t="e">
        <f t="array" ref="C587">INDEX(Tabela.frequencia[],SMALL(IF(Tabela.frequencia[Mês]=$L$2,ROW(Tabela.frequencia[id])-1),ROW(A540)),4)</f>
        <v>#NUM!</v>
      </c>
      <c r="E587" s="176" t="str">
        <f>IFERROR(VLOOKUP(D587,Tabela.cadastro[[ID]:[Nome]],2,0),"")</f>
        <v/>
      </c>
      <c r="F587" s="177" t="str">
        <f>IFERROR(VLOOKUP(D587,Tabela66[#All],2,0),"")</f>
        <v/>
      </c>
      <c r="G587" s="177" t="str">
        <f>IFERROR(VLOOKUP(D587,Tabela.cadastro[[ID]:[CP ou M]],5,0),"")</f>
        <v/>
      </c>
      <c r="H587" s="177" t="str">
        <f>IFERROR(VLOOKUP(D587,Cadastros!A:F,6,0),"")</f>
        <v/>
      </c>
      <c r="I587" s="177" t="str">
        <f>IFERROR(VLOOKUP(D587,Cadastros!A:I,9,0),"")</f>
        <v/>
      </c>
      <c r="J587" s="177" t="str">
        <f>IFERROR(VLOOKUP(D587,Cadastros!A:J,10,0),"")</f>
        <v/>
      </c>
      <c r="K587" s="177" t="str">
        <f>IF(COUNTIF(Tabela66[id],D587)=0,"",COUNTIF(Tabela66[id],D587))</f>
        <v/>
      </c>
      <c r="L587" s="198"/>
      <c r="M587" s="227" t="str">
        <f t="shared" si="45"/>
        <v/>
      </c>
      <c r="P587" s="176" t="str">
        <f>IFERROR(VLOOKUP(O587,Cadastros!A:B,2),"")</f>
        <v/>
      </c>
      <c r="Q587" s="177" t="str">
        <f t="shared" si="41"/>
        <v/>
      </c>
      <c r="R587" s="177" t="str">
        <f>IFERROR(VLOOKUP(O587,Cadastros!A:E,5,0),"")</f>
        <v/>
      </c>
      <c r="S587" s="177" t="str">
        <f>IFERROR(VLOOKUP(O587,Cadastros!A:F,6,0),"")</f>
        <v/>
      </c>
      <c r="T587" s="177" t="str">
        <f>IFERROR(VLOOKUP(O587,Cadastros!A:I,9,0),"")</f>
        <v/>
      </c>
      <c r="U587" s="177" t="str">
        <f t="shared" si="42"/>
        <v/>
      </c>
      <c r="V587" s="177" t="str">
        <f t="shared" si="43"/>
        <v/>
      </c>
      <c r="W587" s="177" t="str">
        <f t="shared" si="44"/>
        <v/>
      </c>
      <c r="Y587" s="240" t="e">
        <f t="array" ref="Y587">INDEX(Tabela.abordagens[],SMALL(IF(Tabela.abordagens[Mês]=$L$2,ROW(Tabela.abordagens[id])-2),ROW(A540)),1)</f>
        <v>#NUM!</v>
      </c>
      <c r="Z587" s="240" t="e">
        <f t="array" ref="Z587">INDEX(Tabela.abordagens[],SMALL(IF(Tabela.abordagens[Mês]=$L$2,ROW(Tabela.abordagens[Idade])-2),ROW(A540)),6)</f>
        <v>#NUM!</v>
      </c>
      <c r="AA587" s="240" t="e">
        <f t="array" ref="AA587">INDEX(Tabela.abordagens[],SMALL(IF(Tabela.abordagens[Mês]=$L$2,ROW(Tabela.abordagens[Idade])-2),ROW(A540)),4)</f>
        <v>#NUM!</v>
      </c>
      <c r="AB587" s="240" t="e">
        <f t="array" ref="AB587">INDEX(Tabela.abordagens[],SMALL(IF(Tabela.abordagens[Mês]=$L$2,ROW(Tabela.abordagens[Idade])-2),ROW(A540)),5)</f>
        <v>#NUM!</v>
      </c>
    </row>
    <row r="588" spans="2:28" ht="15" x14ac:dyDescent="0.25">
      <c r="B588" s="223" t="e">
        <f t="array" ref="B588">INDEX(Tabela.frequencia[],SMALL(IF(Tabela.frequencia[Mês]=$L$2,ROW(Tabela.frequencia[id])-1),ROW(A541)),1)</f>
        <v>#NUM!</v>
      </c>
      <c r="C588" s="229" t="e">
        <f t="array" ref="C588">INDEX(Tabela.frequencia[],SMALL(IF(Tabela.frequencia[Mês]=$L$2,ROW(Tabela.frequencia[id])-1),ROW(A541)),4)</f>
        <v>#NUM!</v>
      </c>
      <c r="E588" s="176" t="str">
        <f>IFERROR(VLOOKUP(D588,Tabela.cadastro[[ID]:[Nome]],2,0),"")</f>
        <v/>
      </c>
      <c r="F588" s="177" t="str">
        <f>IFERROR(VLOOKUP(D588,Tabela66[#All],2,0),"")</f>
        <v/>
      </c>
      <c r="G588" s="177" t="str">
        <f>IFERROR(VLOOKUP(D588,Tabela.cadastro[[ID]:[CP ou M]],5,0),"")</f>
        <v/>
      </c>
      <c r="H588" s="177" t="str">
        <f>IFERROR(VLOOKUP(D588,Cadastros!A:F,6,0),"")</f>
        <v/>
      </c>
      <c r="I588" s="177" t="str">
        <f>IFERROR(VLOOKUP(D588,Cadastros!A:I,9,0),"")</f>
        <v/>
      </c>
      <c r="J588" s="177" t="str">
        <f>IFERROR(VLOOKUP(D588,Cadastros!A:J,10,0),"")</f>
        <v/>
      </c>
      <c r="K588" s="177" t="str">
        <f>IF(COUNTIF(Tabela66[id],D588)=0,"",COUNTIF(Tabela66[id],D588))</f>
        <v/>
      </c>
      <c r="L588" s="198"/>
      <c r="M588" s="227" t="str">
        <f t="shared" si="45"/>
        <v/>
      </c>
      <c r="P588" s="176" t="str">
        <f>IFERROR(VLOOKUP(O588,Cadastros!A:B,2),"")</f>
        <v/>
      </c>
      <c r="Q588" s="177" t="str">
        <f t="shared" si="41"/>
        <v/>
      </c>
      <c r="R588" s="177" t="str">
        <f>IFERROR(VLOOKUP(O588,Cadastros!A:E,5,0),"")</f>
        <v/>
      </c>
      <c r="S588" s="177" t="str">
        <f>IFERROR(VLOOKUP(O588,Cadastros!A:F,6,0),"")</f>
        <v/>
      </c>
      <c r="T588" s="177" t="str">
        <f>IFERROR(VLOOKUP(O588,Cadastros!A:I,9,0),"")</f>
        <v/>
      </c>
      <c r="U588" s="177" t="str">
        <f t="shared" si="42"/>
        <v/>
      </c>
      <c r="V588" s="177" t="str">
        <f t="shared" si="43"/>
        <v/>
      </c>
      <c r="W588" s="177" t="str">
        <f t="shared" si="44"/>
        <v/>
      </c>
      <c r="Y588" s="240" t="e">
        <f t="array" ref="Y588">INDEX(Tabela.abordagens[],SMALL(IF(Tabela.abordagens[Mês]=$L$2,ROW(Tabela.abordagens[id])-2),ROW(A541)),1)</f>
        <v>#NUM!</v>
      </c>
      <c r="Z588" s="240" t="e">
        <f t="array" ref="Z588">INDEX(Tabela.abordagens[],SMALL(IF(Tabela.abordagens[Mês]=$L$2,ROW(Tabela.abordagens[Idade])-2),ROW(A541)),6)</f>
        <v>#NUM!</v>
      </c>
      <c r="AA588" s="240" t="e">
        <f t="array" ref="AA588">INDEX(Tabela.abordagens[],SMALL(IF(Tabela.abordagens[Mês]=$L$2,ROW(Tabela.abordagens[Idade])-2),ROW(A541)),4)</f>
        <v>#NUM!</v>
      </c>
      <c r="AB588" s="240" t="e">
        <f t="array" ref="AB588">INDEX(Tabela.abordagens[],SMALL(IF(Tabela.abordagens[Mês]=$L$2,ROW(Tabela.abordagens[Idade])-2),ROW(A541)),5)</f>
        <v>#NUM!</v>
      </c>
    </row>
    <row r="589" spans="2:28" ht="15" x14ac:dyDescent="0.25">
      <c r="B589" s="223" t="e">
        <f t="array" ref="B589">INDEX(Tabela.frequencia[],SMALL(IF(Tabela.frequencia[Mês]=$L$2,ROW(Tabela.frequencia[id])-1),ROW(A542)),1)</f>
        <v>#NUM!</v>
      </c>
      <c r="C589" s="229" t="e">
        <f t="array" ref="C589">INDEX(Tabela.frequencia[],SMALL(IF(Tabela.frequencia[Mês]=$L$2,ROW(Tabela.frequencia[id])-1),ROW(A542)),4)</f>
        <v>#NUM!</v>
      </c>
      <c r="E589" s="176" t="str">
        <f>IFERROR(VLOOKUP(D589,Tabela.cadastro[[ID]:[Nome]],2,0),"")</f>
        <v/>
      </c>
      <c r="F589" s="177" t="str">
        <f>IFERROR(VLOOKUP(D589,Tabela66[#All],2,0),"")</f>
        <v/>
      </c>
      <c r="G589" s="177" t="str">
        <f>IFERROR(VLOOKUP(D589,Tabela.cadastro[[ID]:[CP ou M]],5,0),"")</f>
        <v/>
      </c>
      <c r="H589" s="177" t="str">
        <f>IFERROR(VLOOKUP(D589,Cadastros!A:F,6,0),"")</f>
        <v/>
      </c>
      <c r="I589" s="177" t="str">
        <f>IFERROR(VLOOKUP(D589,Cadastros!A:I,9,0),"")</f>
        <v/>
      </c>
      <c r="J589" s="177" t="str">
        <f>IFERROR(VLOOKUP(D589,Cadastros!A:J,10,0),"")</f>
        <v/>
      </c>
      <c r="K589" s="177" t="str">
        <f>IF(COUNTIF(Tabela66[id],D589)=0,"",COUNTIF(Tabela66[id],D589))</f>
        <v/>
      </c>
      <c r="L589" s="198"/>
      <c r="M589" s="227" t="str">
        <f t="shared" si="45"/>
        <v/>
      </c>
      <c r="P589" s="176" t="str">
        <f>IFERROR(VLOOKUP(O589,Cadastros!A:B,2),"")</f>
        <v/>
      </c>
      <c r="Q589" s="177" t="str">
        <f t="shared" si="41"/>
        <v/>
      </c>
      <c r="R589" s="177" t="str">
        <f>IFERROR(VLOOKUP(O589,Cadastros!A:E,5,0),"")</f>
        <v/>
      </c>
      <c r="S589" s="177" t="str">
        <f>IFERROR(VLOOKUP(O589,Cadastros!A:F,6,0),"")</f>
        <v/>
      </c>
      <c r="T589" s="177" t="str">
        <f>IFERROR(VLOOKUP(O589,Cadastros!A:I,9,0),"")</f>
        <v/>
      </c>
      <c r="U589" s="177" t="str">
        <f t="shared" si="42"/>
        <v/>
      </c>
      <c r="V589" s="177" t="str">
        <f t="shared" si="43"/>
        <v/>
      </c>
      <c r="W589" s="177" t="str">
        <f t="shared" si="44"/>
        <v/>
      </c>
      <c r="Y589" s="240" t="e">
        <f t="array" ref="Y589">INDEX(Tabela.abordagens[],SMALL(IF(Tabela.abordagens[Mês]=$L$2,ROW(Tabela.abordagens[id])-2),ROW(A542)),1)</f>
        <v>#NUM!</v>
      </c>
      <c r="Z589" s="240" t="e">
        <f t="array" ref="Z589">INDEX(Tabela.abordagens[],SMALL(IF(Tabela.abordagens[Mês]=$L$2,ROW(Tabela.abordagens[Idade])-2),ROW(A542)),6)</f>
        <v>#NUM!</v>
      </c>
      <c r="AA589" s="240" t="e">
        <f t="array" ref="AA589">INDEX(Tabela.abordagens[],SMALL(IF(Tabela.abordagens[Mês]=$L$2,ROW(Tabela.abordagens[Idade])-2),ROW(A542)),4)</f>
        <v>#NUM!</v>
      </c>
      <c r="AB589" s="240" t="e">
        <f t="array" ref="AB589">INDEX(Tabela.abordagens[],SMALL(IF(Tabela.abordagens[Mês]=$L$2,ROW(Tabela.abordagens[Idade])-2),ROW(A542)),5)</f>
        <v>#NUM!</v>
      </c>
    </row>
    <row r="590" spans="2:28" ht="15" x14ac:dyDescent="0.25">
      <c r="B590" s="223" t="e">
        <f t="array" ref="B590">INDEX(Tabela.frequencia[],SMALL(IF(Tabela.frequencia[Mês]=$L$2,ROW(Tabela.frequencia[id])-1),ROW(A543)),1)</f>
        <v>#NUM!</v>
      </c>
      <c r="C590" s="229" t="e">
        <f t="array" ref="C590">INDEX(Tabela.frequencia[],SMALL(IF(Tabela.frequencia[Mês]=$L$2,ROW(Tabela.frequencia[id])-1),ROW(A543)),4)</f>
        <v>#NUM!</v>
      </c>
      <c r="E590" s="176" t="str">
        <f>IFERROR(VLOOKUP(D590,Tabela.cadastro[[ID]:[Nome]],2,0),"")</f>
        <v/>
      </c>
      <c r="F590" s="177" t="str">
        <f>IFERROR(VLOOKUP(D590,Tabela66[#All],2,0),"")</f>
        <v/>
      </c>
      <c r="G590" s="177" t="str">
        <f>IFERROR(VLOOKUP(D590,Tabela.cadastro[[ID]:[CP ou M]],5,0),"")</f>
        <v/>
      </c>
      <c r="H590" s="177" t="str">
        <f>IFERROR(VLOOKUP(D590,Cadastros!A:F,6,0),"")</f>
        <v/>
      </c>
      <c r="I590" s="177" t="str">
        <f>IFERROR(VLOOKUP(D590,Cadastros!A:I,9,0),"")</f>
        <v/>
      </c>
      <c r="J590" s="177" t="str">
        <f>IFERROR(VLOOKUP(D590,Cadastros!A:J,10,0),"")</f>
        <v/>
      </c>
      <c r="K590" s="177" t="str">
        <f>IF(COUNTIF(Tabela66[id],D590)=0,"",COUNTIF(Tabela66[id],D590))</f>
        <v/>
      </c>
      <c r="L590" s="198"/>
      <c r="M590" s="227" t="str">
        <f t="shared" si="45"/>
        <v/>
      </c>
      <c r="P590" s="176" t="str">
        <f>IFERROR(VLOOKUP(O590,Cadastros!A:B,2),"")</f>
        <v/>
      </c>
      <c r="Q590" s="177" t="str">
        <f t="shared" si="41"/>
        <v/>
      </c>
      <c r="R590" s="177" t="str">
        <f>IFERROR(VLOOKUP(O590,Cadastros!A:E,5,0),"")</f>
        <v/>
      </c>
      <c r="S590" s="177" t="str">
        <f>IFERROR(VLOOKUP(O590,Cadastros!A:F,6,0),"")</f>
        <v/>
      </c>
      <c r="T590" s="177" t="str">
        <f>IFERROR(VLOOKUP(O590,Cadastros!A:I,9,0),"")</f>
        <v/>
      </c>
      <c r="U590" s="177" t="str">
        <f t="shared" si="42"/>
        <v/>
      </c>
      <c r="V590" s="177" t="str">
        <f t="shared" si="43"/>
        <v/>
      </c>
      <c r="W590" s="177" t="str">
        <f t="shared" si="44"/>
        <v/>
      </c>
      <c r="Y590" s="240" t="e">
        <f t="array" ref="Y590">INDEX(Tabela.abordagens[],SMALL(IF(Tabela.abordagens[Mês]=$L$2,ROW(Tabela.abordagens[id])-2),ROW(A543)),1)</f>
        <v>#NUM!</v>
      </c>
      <c r="Z590" s="240" t="e">
        <f t="array" ref="Z590">INDEX(Tabela.abordagens[],SMALL(IF(Tabela.abordagens[Mês]=$L$2,ROW(Tabela.abordagens[Idade])-2),ROW(A543)),6)</f>
        <v>#NUM!</v>
      </c>
      <c r="AA590" s="240" t="e">
        <f t="array" ref="AA590">INDEX(Tabela.abordagens[],SMALL(IF(Tabela.abordagens[Mês]=$L$2,ROW(Tabela.abordagens[Idade])-2),ROW(A543)),4)</f>
        <v>#NUM!</v>
      </c>
      <c r="AB590" s="240" t="e">
        <f t="array" ref="AB590">INDEX(Tabela.abordagens[],SMALL(IF(Tabela.abordagens[Mês]=$L$2,ROW(Tabela.abordagens[Idade])-2),ROW(A543)),5)</f>
        <v>#NUM!</v>
      </c>
    </row>
    <row r="591" spans="2:28" ht="15" x14ac:dyDescent="0.25">
      <c r="B591" s="223" t="e">
        <f t="array" ref="B591">INDEX(Tabela.frequencia[],SMALL(IF(Tabela.frequencia[Mês]=$L$2,ROW(Tabela.frequencia[id])-1),ROW(A544)),1)</f>
        <v>#NUM!</v>
      </c>
      <c r="C591" s="229" t="e">
        <f t="array" ref="C591">INDEX(Tabela.frequencia[],SMALL(IF(Tabela.frequencia[Mês]=$L$2,ROW(Tabela.frequencia[id])-1),ROW(A544)),4)</f>
        <v>#NUM!</v>
      </c>
      <c r="E591" s="176" t="str">
        <f>IFERROR(VLOOKUP(D591,Tabela.cadastro[[ID]:[Nome]],2,0),"")</f>
        <v/>
      </c>
      <c r="F591" s="177" t="str">
        <f>IFERROR(VLOOKUP(D591,Tabela66[#All],2,0),"")</f>
        <v/>
      </c>
      <c r="G591" s="177" t="str">
        <f>IFERROR(VLOOKUP(D591,Tabela.cadastro[[ID]:[CP ou M]],5,0),"")</f>
        <v/>
      </c>
      <c r="H591" s="177" t="str">
        <f>IFERROR(VLOOKUP(D591,Cadastros!A:F,6,0),"")</f>
        <v/>
      </c>
      <c r="I591" s="177" t="str">
        <f>IFERROR(VLOOKUP(D591,Cadastros!A:I,9,0),"")</f>
        <v/>
      </c>
      <c r="J591" s="177" t="str">
        <f>IFERROR(VLOOKUP(D591,Cadastros!A:J,10,0),"")</f>
        <v/>
      </c>
      <c r="K591" s="177" t="str">
        <f>IF(COUNTIF(Tabela66[id],D591)=0,"",COUNTIF(Tabela66[id],D591))</f>
        <v/>
      </c>
      <c r="L591" s="198"/>
      <c r="M591" s="227" t="str">
        <f t="shared" si="45"/>
        <v/>
      </c>
      <c r="P591" s="176" t="str">
        <f>IFERROR(VLOOKUP(O591,Cadastros!A:B,2),"")</f>
        <v/>
      </c>
      <c r="Q591" s="177" t="str">
        <f t="shared" si="41"/>
        <v/>
      </c>
      <c r="R591" s="177" t="str">
        <f>IFERROR(VLOOKUP(O591,Cadastros!A:E,5,0),"")</f>
        <v/>
      </c>
      <c r="S591" s="177" t="str">
        <f>IFERROR(VLOOKUP(O591,Cadastros!A:F,6,0),"")</f>
        <v/>
      </c>
      <c r="T591" s="177" t="str">
        <f>IFERROR(VLOOKUP(O591,Cadastros!A:I,9,0),"")</f>
        <v/>
      </c>
      <c r="U591" s="177" t="str">
        <f t="shared" si="42"/>
        <v/>
      </c>
      <c r="V591" s="177" t="str">
        <f t="shared" si="43"/>
        <v/>
      </c>
      <c r="W591" s="177" t="str">
        <f t="shared" si="44"/>
        <v/>
      </c>
      <c r="Y591" s="240" t="e">
        <f t="array" ref="Y591">INDEX(Tabela.abordagens[],SMALL(IF(Tabela.abordagens[Mês]=$L$2,ROW(Tabela.abordagens[id])-2),ROW(A544)),1)</f>
        <v>#NUM!</v>
      </c>
      <c r="Z591" s="240" t="e">
        <f t="array" ref="Z591">INDEX(Tabela.abordagens[],SMALL(IF(Tabela.abordagens[Mês]=$L$2,ROW(Tabela.abordagens[Idade])-2),ROW(A544)),6)</f>
        <v>#NUM!</v>
      </c>
      <c r="AA591" s="240" t="e">
        <f t="array" ref="AA591">INDEX(Tabela.abordagens[],SMALL(IF(Tabela.abordagens[Mês]=$L$2,ROW(Tabela.abordagens[Idade])-2),ROW(A544)),4)</f>
        <v>#NUM!</v>
      </c>
      <c r="AB591" s="240" t="e">
        <f t="array" ref="AB591">INDEX(Tabela.abordagens[],SMALL(IF(Tabela.abordagens[Mês]=$L$2,ROW(Tabela.abordagens[Idade])-2),ROW(A544)),5)</f>
        <v>#NUM!</v>
      </c>
    </row>
    <row r="592" spans="2:28" ht="15" x14ac:dyDescent="0.25">
      <c r="B592" s="223" t="e">
        <f t="array" ref="B592">INDEX(Tabela.frequencia[],SMALL(IF(Tabela.frequencia[Mês]=$L$2,ROW(Tabela.frequencia[id])-1),ROW(A545)),1)</f>
        <v>#NUM!</v>
      </c>
      <c r="C592" s="229" t="e">
        <f t="array" ref="C592">INDEX(Tabela.frequencia[],SMALL(IF(Tabela.frequencia[Mês]=$L$2,ROW(Tabela.frequencia[id])-1),ROW(A545)),4)</f>
        <v>#NUM!</v>
      </c>
      <c r="E592" s="176" t="str">
        <f>IFERROR(VLOOKUP(D592,Tabela.cadastro[[ID]:[Nome]],2,0),"")</f>
        <v/>
      </c>
      <c r="F592" s="177" t="str">
        <f>IFERROR(VLOOKUP(D592,Tabela66[#All],2,0),"")</f>
        <v/>
      </c>
      <c r="G592" s="177" t="str">
        <f>IFERROR(VLOOKUP(D592,Tabela.cadastro[[ID]:[CP ou M]],5,0),"")</f>
        <v/>
      </c>
      <c r="H592" s="177" t="str">
        <f>IFERROR(VLOOKUP(D592,Cadastros!A:F,6,0),"")</f>
        <v/>
      </c>
      <c r="I592" s="177" t="str">
        <f>IFERROR(VLOOKUP(D592,Cadastros!A:I,9,0),"")</f>
        <v/>
      </c>
      <c r="J592" s="177" t="str">
        <f>IFERROR(VLOOKUP(D592,Cadastros!A:J,10,0),"")</f>
        <v/>
      </c>
      <c r="K592" s="177" t="str">
        <f>IF(COUNTIF(Tabela66[id],D592)=0,"",COUNTIF(Tabela66[id],D592))</f>
        <v/>
      </c>
      <c r="L592" s="198"/>
      <c r="M592" s="227" t="str">
        <f t="shared" si="45"/>
        <v/>
      </c>
      <c r="P592" s="176" t="str">
        <f>IFERROR(VLOOKUP(O592,Cadastros!A:B,2),"")</f>
        <v/>
      </c>
      <c r="Q592" s="177" t="str">
        <f t="shared" si="41"/>
        <v/>
      </c>
      <c r="R592" s="177" t="str">
        <f>IFERROR(VLOOKUP(O592,Cadastros!A:E,5,0),"")</f>
        <v/>
      </c>
      <c r="S592" s="177" t="str">
        <f>IFERROR(VLOOKUP(O592,Cadastros!A:F,6,0),"")</f>
        <v/>
      </c>
      <c r="T592" s="177" t="str">
        <f>IFERROR(VLOOKUP(O592,Cadastros!A:I,9,0),"")</f>
        <v/>
      </c>
      <c r="U592" s="177" t="str">
        <f t="shared" si="42"/>
        <v/>
      </c>
      <c r="V592" s="177" t="str">
        <f t="shared" si="43"/>
        <v/>
      </c>
      <c r="W592" s="177" t="str">
        <f t="shared" si="44"/>
        <v/>
      </c>
      <c r="Y592" s="240" t="e">
        <f t="array" ref="Y592">INDEX(Tabela.abordagens[],SMALL(IF(Tabela.abordagens[Mês]=$L$2,ROW(Tabela.abordagens[id])-2),ROW(A545)),1)</f>
        <v>#NUM!</v>
      </c>
      <c r="Z592" s="240" t="e">
        <f t="array" ref="Z592">INDEX(Tabela.abordagens[],SMALL(IF(Tabela.abordagens[Mês]=$L$2,ROW(Tabela.abordagens[Idade])-2),ROW(A545)),6)</f>
        <v>#NUM!</v>
      </c>
      <c r="AA592" s="240" t="e">
        <f t="array" ref="AA592">INDEX(Tabela.abordagens[],SMALL(IF(Tabela.abordagens[Mês]=$L$2,ROW(Tabela.abordagens[Idade])-2),ROW(A545)),4)</f>
        <v>#NUM!</v>
      </c>
      <c r="AB592" s="240" t="e">
        <f t="array" ref="AB592">INDEX(Tabela.abordagens[],SMALL(IF(Tabela.abordagens[Mês]=$L$2,ROW(Tabela.abordagens[Idade])-2),ROW(A545)),5)</f>
        <v>#NUM!</v>
      </c>
    </row>
    <row r="593" spans="2:28" ht="15" x14ac:dyDescent="0.25">
      <c r="B593" s="223" t="e">
        <f t="array" ref="B593">INDEX(Tabela.frequencia[],SMALL(IF(Tabela.frequencia[Mês]=$L$2,ROW(Tabela.frequencia[id])-1),ROW(A546)),1)</f>
        <v>#NUM!</v>
      </c>
      <c r="C593" s="229" t="e">
        <f t="array" ref="C593">INDEX(Tabela.frequencia[],SMALL(IF(Tabela.frequencia[Mês]=$L$2,ROW(Tabela.frequencia[id])-1),ROW(A546)),4)</f>
        <v>#NUM!</v>
      </c>
      <c r="E593" s="176" t="str">
        <f>IFERROR(VLOOKUP(D593,Tabela.cadastro[[ID]:[Nome]],2,0),"")</f>
        <v/>
      </c>
      <c r="F593" s="177" t="str">
        <f>IFERROR(VLOOKUP(D593,Tabela66[#All],2,0),"")</f>
        <v/>
      </c>
      <c r="G593" s="177" t="str">
        <f>IFERROR(VLOOKUP(D593,Tabela.cadastro[[ID]:[CP ou M]],5,0),"")</f>
        <v/>
      </c>
      <c r="H593" s="177" t="str">
        <f>IFERROR(VLOOKUP(D593,Cadastros!A:F,6,0),"")</f>
        <v/>
      </c>
      <c r="I593" s="177" t="str">
        <f>IFERROR(VLOOKUP(D593,Cadastros!A:I,9,0),"")</f>
        <v/>
      </c>
      <c r="J593" s="177" t="str">
        <f>IFERROR(VLOOKUP(D593,Cadastros!A:J,10,0),"")</f>
        <v/>
      </c>
      <c r="K593" s="177" t="str">
        <f>IF(COUNTIF(Tabela66[id],D593)=0,"",COUNTIF(Tabela66[id],D593))</f>
        <v/>
      </c>
      <c r="L593" s="198"/>
      <c r="M593" s="227" t="str">
        <f t="shared" si="45"/>
        <v/>
      </c>
      <c r="P593" s="176" t="str">
        <f>IFERROR(VLOOKUP(O593,Cadastros!A:B,2),"")</f>
        <v/>
      </c>
      <c r="Q593" s="177" t="str">
        <f t="shared" si="41"/>
        <v/>
      </c>
      <c r="R593" s="177" t="str">
        <f>IFERROR(VLOOKUP(O593,Cadastros!A:E,5,0),"")</f>
        <v/>
      </c>
      <c r="S593" s="177" t="str">
        <f>IFERROR(VLOOKUP(O593,Cadastros!A:F,6,0),"")</f>
        <v/>
      </c>
      <c r="T593" s="177" t="str">
        <f>IFERROR(VLOOKUP(O593,Cadastros!A:I,9,0),"")</f>
        <v/>
      </c>
      <c r="U593" s="177" t="str">
        <f t="shared" si="42"/>
        <v/>
      </c>
      <c r="V593" s="177" t="str">
        <f t="shared" si="43"/>
        <v/>
      </c>
      <c r="W593" s="177" t="str">
        <f t="shared" si="44"/>
        <v/>
      </c>
      <c r="Y593" s="240" t="e">
        <f t="array" ref="Y593">INDEX(Tabela.abordagens[],SMALL(IF(Tabela.abordagens[Mês]=$L$2,ROW(Tabela.abordagens[id])-2),ROW(A546)),1)</f>
        <v>#NUM!</v>
      </c>
      <c r="Z593" s="240" t="e">
        <f t="array" ref="Z593">INDEX(Tabela.abordagens[],SMALL(IF(Tabela.abordagens[Mês]=$L$2,ROW(Tabela.abordagens[Idade])-2),ROW(A546)),6)</f>
        <v>#NUM!</v>
      </c>
      <c r="AA593" s="240" t="e">
        <f t="array" ref="AA593">INDEX(Tabela.abordagens[],SMALL(IF(Tabela.abordagens[Mês]=$L$2,ROW(Tabela.abordagens[Idade])-2),ROW(A546)),4)</f>
        <v>#NUM!</v>
      </c>
      <c r="AB593" s="240" t="e">
        <f t="array" ref="AB593">INDEX(Tabela.abordagens[],SMALL(IF(Tabela.abordagens[Mês]=$L$2,ROW(Tabela.abordagens[Idade])-2),ROW(A546)),5)</f>
        <v>#NUM!</v>
      </c>
    </row>
    <row r="594" spans="2:28" ht="15" x14ac:dyDescent="0.25">
      <c r="B594" s="223" t="e">
        <f t="array" ref="B594">INDEX(Tabela.frequencia[],SMALL(IF(Tabela.frequencia[Mês]=$L$2,ROW(Tabela.frequencia[id])-1),ROW(A547)),1)</f>
        <v>#NUM!</v>
      </c>
      <c r="C594" s="229" t="e">
        <f t="array" ref="C594">INDEX(Tabela.frequencia[],SMALL(IF(Tabela.frequencia[Mês]=$L$2,ROW(Tabela.frequencia[id])-1),ROW(A547)),4)</f>
        <v>#NUM!</v>
      </c>
      <c r="E594" s="176" t="str">
        <f>IFERROR(VLOOKUP(D594,Tabela.cadastro[[ID]:[Nome]],2,0),"")</f>
        <v/>
      </c>
      <c r="F594" s="177" t="str">
        <f>IFERROR(VLOOKUP(D594,Tabela66[#All],2,0),"")</f>
        <v/>
      </c>
      <c r="G594" s="177" t="str">
        <f>IFERROR(VLOOKUP(D594,Tabela.cadastro[[ID]:[CP ou M]],5,0),"")</f>
        <v/>
      </c>
      <c r="H594" s="177" t="str">
        <f>IFERROR(VLOOKUP(D594,Cadastros!A:F,6,0),"")</f>
        <v/>
      </c>
      <c r="I594" s="177" t="str">
        <f>IFERROR(VLOOKUP(D594,Cadastros!A:I,9,0),"")</f>
        <v/>
      </c>
      <c r="J594" s="177" t="str">
        <f>IFERROR(VLOOKUP(D594,Cadastros!A:J,10,0),"")</f>
        <v/>
      </c>
      <c r="K594" s="177" t="str">
        <f>IF(COUNTIF(Tabela66[id],D594)=0,"",COUNTIF(Tabela66[id],D594))</f>
        <v/>
      </c>
      <c r="L594" s="198"/>
      <c r="M594" s="227" t="str">
        <f t="shared" si="45"/>
        <v/>
      </c>
      <c r="P594" s="176" t="str">
        <f>IFERROR(VLOOKUP(O594,Cadastros!A:B,2),"")</f>
        <v/>
      </c>
      <c r="Q594" s="177" t="str">
        <f t="shared" si="41"/>
        <v/>
      </c>
      <c r="R594" s="177" t="str">
        <f>IFERROR(VLOOKUP(O594,Cadastros!A:E,5,0),"")</f>
        <v/>
      </c>
      <c r="S594" s="177" t="str">
        <f>IFERROR(VLOOKUP(O594,Cadastros!A:F,6,0),"")</f>
        <v/>
      </c>
      <c r="T594" s="177" t="str">
        <f>IFERROR(VLOOKUP(O594,Cadastros!A:I,9,0),"")</f>
        <v/>
      </c>
      <c r="U594" s="177" t="str">
        <f t="shared" si="42"/>
        <v/>
      </c>
      <c r="V594" s="177" t="str">
        <f t="shared" si="43"/>
        <v/>
      </c>
      <c r="W594" s="177" t="str">
        <f t="shared" si="44"/>
        <v/>
      </c>
      <c r="Y594" s="240" t="e">
        <f t="array" ref="Y594">INDEX(Tabela.abordagens[],SMALL(IF(Tabela.abordagens[Mês]=$L$2,ROW(Tabela.abordagens[id])-2),ROW(A547)),1)</f>
        <v>#NUM!</v>
      </c>
      <c r="Z594" s="240" t="e">
        <f t="array" ref="Z594">INDEX(Tabela.abordagens[],SMALL(IF(Tabela.abordagens[Mês]=$L$2,ROW(Tabela.abordagens[Idade])-2),ROW(A547)),6)</f>
        <v>#NUM!</v>
      </c>
      <c r="AA594" s="240" t="e">
        <f t="array" ref="AA594">INDEX(Tabela.abordagens[],SMALL(IF(Tabela.abordagens[Mês]=$L$2,ROW(Tabela.abordagens[Idade])-2),ROW(A547)),4)</f>
        <v>#NUM!</v>
      </c>
      <c r="AB594" s="240" t="e">
        <f t="array" ref="AB594">INDEX(Tabela.abordagens[],SMALL(IF(Tabela.abordagens[Mês]=$L$2,ROW(Tabela.abordagens[Idade])-2),ROW(A547)),5)</f>
        <v>#NUM!</v>
      </c>
    </row>
    <row r="595" spans="2:28" ht="15" x14ac:dyDescent="0.25">
      <c r="B595" s="223" t="e">
        <f t="array" ref="B595">INDEX(Tabela.frequencia[],SMALL(IF(Tabela.frequencia[Mês]=$L$2,ROW(Tabela.frequencia[id])-1),ROW(A548)),1)</f>
        <v>#NUM!</v>
      </c>
      <c r="C595" s="229" t="e">
        <f t="array" ref="C595">INDEX(Tabela.frequencia[],SMALL(IF(Tabela.frequencia[Mês]=$L$2,ROW(Tabela.frequencia[id])-1),ROW(A548)),4)</f>
        <v>#NUM!</v>
      </c>
      <c r="E595" s="176" t="str">
        <f>IFERROR(VLOOKUP(D595,Tabela.cadastro[[ID]:[Nome]],2,0),"")</f>
        <v/>
      </c>
      <c r="F595" s="177" t="str">
        <f>IFERROR(VLOOKUP(D595,Tabela66[#All],2,0),"")</f>
        <v/>
      </c>
      <c r="G595" s="177" t="str">
        <f>IFERROR(VLOOKUP(D595,Tabela.cadastro[[ID]:[CP ou M]],5,0),"")</f>
        <v/>
      </c>
      <c r="H595" s="177" t="str">
        <f>IFERROR(VLOOKUP(D595,Cadastros!A:F,6,0),"")</f>
        <v/>
      </c>
      <c r="I595" s="177" t="str">
        <f>IFERROR(VLOOKUP(D595,Cadastros!A:I,9,0),"")</f>
        <v/>
      </c>
      <c r="J595" s="177" t="str">
        <f>IFERROR(VLOOKUP(D595,Cadastros!A:J,10,0),"")</f>
        <v/>
      </c>
      <c r="K595" s="177" t="str">
        <f>IF(COUNTIF(Tabela66[id],D595)=0,"",COUNTIF(Tabela66[id],D595))</f>
        <v/>
      </c>
      <c r="L595" s="198"/>
      <c r="M595" s="227" t="str">
        <f t="shared" si="45"/>
        <v/>
      </c>
      <c r="P595" s="176" t="str">
        <f>IFERROR(VLOOKUP(O595,Cadastros!A:B,2),"")</f>
        <v/>
      </c>
      <c r="Q595" s="177" t="str">
        <f t="shared" si="41"/>
        <v/>
      </c>
      <c r="R595" s="177" t="str">
        <f>IFERROR(VLOOKUP(O595,Cadastros!A:E,5,0),"")</f>
        <v/>
      </c>
      <c r="S595" s="177" t="str">
        <f>IFERROR(VLOOKUP(O595,Cadastros!A:F,6,0),"")</f>
        <v/>
      </c>
      <c r="T595" s="177" t="str">
        <f>IFERROR(VLOOKUP(O595,Cadastros!A:I,9,0),"")</f>
        <v/>
      </c>
      <c r="U595" s="177" t="str">
        <f t="shared" si="42"/>
        <v/>
      </c>
      <c r="V595" s="177" t="str">
        <f t="shared" si="43"/>
        <v/>
      </c>
      <c r="W595" s="177" t="str">
        <f t="shared" si="44"/>
        <v/>
      </c>
      <c r="Y595" s="240" t="e">
        <f t="array" ref="Y595">INDEX(Tabela.abordagens[],SMALL(IF(Tabela.abordagens[Mês]=$L$2,ROW(Tabela.abordagens[id])-2),ROW(A548)),1)</f>
        <v>#NUM!</v>
      </c>
      <c r="Z595" s="240" t="e">
        <f t="array" ref="Z595">INDEX(Tabela.abordagens[],SMALL(IF(Tabela.abordagens[Mês]=$L$2,ROW(Tabela.abordagens[Idade])-2),ROW(A548)),6)</f>
        <v>#NUM!</v>
      </c>
      <c r="AA595" s="240" t="e">
        <f t="array" ref="AA595">INDEX(Tabela.abordagens[],SMALL(IF(Tabela.abordagens[Mês]=$L$2,ROW(Tabela.abordagens[Idade])-2),ROW(A548)),4)</f>
        <v>#NUM!</v>
      </c>
      <c r="AB595" s="240" t="e">
        <f t="array" ref="AB595">INDEX(Tabela.abordagens[],SMALL(IF(Tabela.abordagens[Mês]=$L$2,ROW(Tabela.abordagens[Idade])-2),ROW(A548)),5)</f>
        <v>#NUM!</v>
      </c>
    </row>
    <row r="596" spans="2:28" ht="15" x14ac:dyDescent="0.25">
      <c r="B596" s="223" t="e">
        <f t="array" ref="B596">INDEX(Tabela.frequencia[],SMALL(IF(Tabela.frequencia[Mês]=$L$2,ROW(Tabela.frequencia[id])-1),ROW(A549)),1)</f>
        <v>#NUM!</v>
      </c>
      <c r="C596" s="229" t="e">
        <f t="array" ref="C596">INDEX(Tabela.frequencia[],SMALL(IF(Tabela.frequencia[Mês]=$L$2,ROW(Tabela.frequencia[id])-1),ROW(A549)),4)</f>
        <v>#NUM!</v>
      </c>
      <c r="E596" s="176" t="str">
        <f>IFERROR(VLOOKUP(D596,Tabela.cadastro[[ID]:[Nome]],2,0),"")</f>
        <v/>
      </c>
      <c r="F596" s="177" t="str">
        <f>IFERROR(VLOOKUP(D596,Tabela66[#All],2,0),"")</f>
        <v/>
      </c>
      <c r="G596" s="177" t="str">
        <f>IFERROR(VLOOKUP(D596,Tabela.cadastro[[ID]:[CP ou M]],5,0),"")</f>
        <v/>
      </c>
      <c r="H596" s="177" t="str">
        <f>IFERROR(VLOOKUP(D596,Cadastros!A:F,6,0),"")</f>
        <v/>
      </c>
      <c r="I596" s="177" t="str">
        <f>IFERROR(VLOOKUP(D596,Cadastros!A:I,9,0),"")</f>
        <v/>
      </c>
      <c r="J596" s="177" t="str">
        <f>IFERROR(VLOOKUP(D596,Cadastros!A:J,10,0),"")</f>
        <v/>
      </c>
      <c r="K596" s="177" t="str">
        <f>IF(COUNTIF(Tabela66[id],D596)=0,"",COUNTIF(Tabela66[id],D596))</f>
        <v/>
      </c>
      <c r="L596" s="198"/>
      <c r="M596" s="227" t="str">
        <f t="shared" si="45"/>
        <v/>
      </c>
      <c r="P596" s="176" t="str">
        <f>IFERROR(VLOOKUP(O596,Cadastros!A:B,2),"")</f>
        <v/>
      </c>
      <c r="Q596" s="177" t="str">
        <f t="shared" si="41"/>
        <v/>
      </c>
      <c r="R596" s="177" t="str">
        <f>IFERROR(VLOOKUP(O596,Cadastros!A:E,5,0),"")</f>
        <v/>
      </c>
      <c r="S596" s="177" t="str">
        <f>IFERROR(VLOOKUP(O596,Cadastros!A:F,6,0),"")</f>
        <v/>
      </c>
      <c r="T596" s="177" t="str">
        <f>IFERROR(VLOOKUP(O596,Cadastros!A:I,9,0),"")</f>
        <v/>
      </c>
      <c r="U596" s="177" t="str">
        <f t="shared" si="42"/>
        <v/>
      </c>
      <c r="V596" s="177" t="str">
        <f t="shared" si="43"/>
        <v/>
      </c>
      <c r="W596" s="177" t="str">
        <f t="shared" si="44"/>
        <v/>
      </c>
      <c r="Y596" s="240" t="e">
        <f t="array" ref="Y596">INDEX(Tabela.abordagens[],SMALL(IF(Tabela.abordagens[Mês]=$L$2,ROW(Tabela.abordagens[id])-2),ROW(A549)),1)</f>
        <v>#NUM!</v>
      </c>
      <c r="Z596" s="240" t="e">
        <f t="array" ref="Z596">INDEX(Tabela.abordagens[],SMALL(IF(Tabela.abordagens[Mês]=$L$2,ROW(Tabela.abordagens[Idade])-2),ROW(A549)),6)</f>
        <v>#NUM!</v>
      </c>
      <c r="AA596" s="240" t="e">
        <f t="array" ref="AA596">INDEX(Tabela.abordagens[],SMALL(IF(Tabela.abordagens[Mês]=$L$2,ROW(Tabela.abordagens[Idade])-2),ROW(A549)),4)</f>
        <v>#NUM!</v>
      </c>
      <c r="AB596" s="240" t="e">
        <f t="array" ref="AB596">INDEX(Tabela.abordagens[],SMALL(IF(Tabela.abordagens[Mês]=$L$2,ROW(Tabela.abordagens[Idade])-2),ROW(A549)),5)</f>
        <v>#NUM!</v>
      </c>
    </row>
    <row r="597" spans="2:28" ht="15" x14ac:dyDescent="0.25">
      <c r="B597" s="223" t="e">
        <f t="array" ref="B597">INDEX(Tabela.frequencia[],SMALL(IF(Tabela.frequencia[Mês]=$L$2,ROW(Tabela.frequencia[id])-1),ROW(A550)),1)</f>
        <v>#NUM!</v>
      </c>
      <c r="C597" s="229" t="e">
        <f t="array" ref="C597">INDEX(Tabela.frequencia[],SMALL(IF(Tabela.frequencia[Mês]=$L$2,ROW(Tabela.frequencia[id])-1),ROW(A550)),4)</f>
        <v>#NUM!</v>
      </c>
      <c r="E597" s="176" t="str">
        <f>IFERROR(VLOOKUP(D597,Tabela.cadastro[[ID]:[Nome]],2,0),"")</f>
        <v/>
      </c>
      <c r="F597" s="177" t="str">
        <f>IFERROR(VLOOKUP(D597,Tabela66[#All],2,0),"")</f>
        <v/>
      </c>
      <c r="G597" s="177" t="str">
        <f>IFERROR(VLOOKUP(D597,Tabela.cadastro[[ID]:[CP ou M]],5,0),"")</f>
        <v/>
      </c>
      <c r="H597" s="177" t="str">
        <f>IFERROR(VLOOKUP(D597,Cadastros!A:F,6,0),"")</f>
        <v/>
      </c>
      <c r="I597" s="177" t="str">
        <f>IFERROR(VLOOKUP(D597,Cadastros!A:I,9,0),"")</f>
        <v/>
      </c>
      <c r="J597" s="177" t="str">
        <f>IFERROR(VLOOKUP(D597,Cadastros!A:J,10,0),"")</f>
        <v/>
      </c>
      <c r="K597" s="177" t="str">
        <f>IF(COUNTIF(Tabela66[id],D597)=0,"",COUNTIF(Tabela66[id],D597))</f>
        <v/>
      </c>
      <c r="L597" s="198"/>
      <c r="M597" s="227" t="str">
        <f t="shared" si="45"/>
        <v/>
      </c>
      <c r="P597" s="176" t="str">
        <f>IFERROR(VLOOKUP(O597,Cadastros!A:B,2),"")</f>
        <v/>
      </c>
      <c r="Q597" s="177" t="str">
        <f t="shared" si="41"/>
        <v/>
      </c>
      <c r="R597" s="177" t="str">
        <f>IFERROR(VLOOKUP(O597,Cadastros!A:E,5,0),"")</f>
        <v/>
      </c>
      <c r="S597" s="177" t="str">
        <f>IFERROR(VLOOKUP(O597,Cadastros!A:F,6,0),"")</f>
        <v/>
      </c>
      <c r="T597" s="177" t="str">
        <f>IFERROR(VLOOKUP(O597,Cadastros!A:I,9,0),"")</f>
        <v/>
      </c>
      <c r="U597" s="177" t="str">
        <f t="shared" si="42"/>
        <v/>
      </c>
      <c r="V597" s="177" t="str">
        <f t="shared" si="43"/>
        <v/>
      </c>
      <c r="W597" s="177" t="str">
        <f t="shared" si="44"/>
        <v/>
      </c>
      <c r="Y597" s="240" t="e">
        <f t="array" ref="Y597">INDEX(Tabela.abordagens[],SMALL(IF(Tabela.abordagens[Mês]=$L$2,ROW(Tabela.abordagens[id])-2),ROW(A550)),1)</f>
        <v>#NUM!</v>
      </c>
      <c r="Z597" s="240" t="e">
        <f t="array" ref="Z597">INDEX(Tabela.abordagens[],SMALL(IF(Tabela.abordagens[Mês]=$L$2,ROW(Tabela.abordagens[Idade])-2),ROW(A550)),6)</f>
        <v>#NUM!</v>
      </c>
      <c r="AA597" s="240" t="e">
        <f t="array" ref="AA597">INDEX(Tabela.abordagens[],SMALL(IF(Tabela.abordagens[Mês]=$L$2,ROW(Tabela.abordagens[Idade])-2),ROW(A550)),4)</f>
        <v>#NUM!</v>
      </c>
      <c r="AB597" s="240" t="e">
        <f t="array" ref="AB597">INDEX(Tabela.abordagens[],SMALL(IF(Tabela.abordagens[Mês]=$L$2,ROW(Tabela.abordagens[Idade])-2),ROW(A550)),5)</f>
        <v>#NUM!</v>
      </c>
    </row>
    <row r="598" spans="2:28" ht="15" x14ac:dyDescent="0.25">
      <c r="B598" s="223" t="e">
        <f t="array" ref="B598">INDEX(Tabela.frequencia[],SMALL(IF(Tabela.frequencia[Mês]=$L$2,ROW(Tabela.frequencia[id])-1),ROW(A551)),1)</f>
        <v>#NUM!</v>
      </c>
      <c r="C598" s="229" t="e">
        <f t="array" ref="C598">INDEX(Tabela.frequencia[],SMALL(IF(Tabela.frequencia[Mês]=$L$2,ROW(Tabela.frequencia[id])-1),ROW(A551)),4)</f>
        <v>#NUM!</v>
      </c>
      <c r="E598" s="176" t="str">
        <f>IFERROR(VLOOKUP(D598,Tabela.cadastro[[ID]:[Nome]],2,0),"")</f>
        <v/>
      </c>
      <c r="F598" s="177" t="str">
        <f>IFERROR(VLOOKUP(D598,Tabela66[#All],2,0),"")</f>
        <v/>
      </c>
      <c r="G598" s="177" t="str">
        <f>IFERROR(VLOOKUP(D598,Tabela.cadastro[[ID]:[CP ou M]],5,0),"")</f>
        <v/>
      </c>
      <c r="H598" s="177" t="str">
        <f>IFERROR(VLOOKUP(D598,Cadastros!A:F,6,0),"")</f>
        <v/>
      </c>
      <c r="I598" s="177" t="str">
        <f>IFERROR(VLOOKUP(D598,Cadastros!A:I,9,0),"")</f>
        <v/>
      </c>
      <c r="J598" s="177" t="str">
        <f>IFERROR(VLOOKUP(D598,Cadastros!A:J,10,0),"")</f>
        <v/>
      </c>
      <c r="K598" s="177" t="str">
        <f>IF(COUNTIF(Tabela66[id],D598)=0,"",COUNTIF(Tabela66[id],D598))</f>
        <v/>
      </c>
      <c r="L598" s="198"/>
      <c r="M598" s="227" t="str">
        <f t="shared" si="45"/>
        <v/>
      </c>
      <c r="P598" s="176" t="str">
        <f>IFERROR(VLOOKUP(O598,Cadastros!A:B,2),"")</f>
        <v/>
      </c>
      <c r="Q598" s="177" t="str">
        <f t="shared" si="41"/>
        <v/>
      </c>
      <c r="R598" s="177" t="str">
        <f>IFERROR(VLOOKUP(O598,Cadastros!A:E,5,0),"")</f>
        <v/>
      </c>
      <c r="S598" s="177" t="str">
        <f>IFERROR(VLOOKUP(O598,Cadastros!A:F,6,0),"")</f>
        <v/>
      </c>
      <c r="T598" s="177" t="str">
        <f>IFERROR(VLOOKUP(O598,Cadastros!A:I,9,0),"")</f>
        <v/>
      </c>
      <c r="U598" s="177" t="str">
        <f t="shared" si="42"/>
        <v/>
      </c>
      <c r="V598" s="177" t="str">
        <f t="shared" si="43"/>
        <v/>
      </c>
      <c r="W598" s="177" t="str">
        <f t="shared" si="44"/>
        <v/>
      </c>
      <c r="Y598" s="240" t="e">
        <f t="array" ref="Y598">INDEX(Tabela.abordagens[],SMALL(IF(Tabela.abordagens[Mês]=$L$2,ROW(Tabela.abordagens[id])-2),ROW(A551)),1)</f>
        <v>#NUM!</v>
      </c>
      <c r="Z598" s="240" t="e">
        <f t="array" ref="Z598">INDEX(Tabela.abordagens[],SMALL(IF(Tabela.abordagens[Mês]=$L$2,ROW(Tabela.abordagens[Idade])-2),ROW(A551)),6)</f>
        <v>#NUM!</v>
      </c>
      <c r="AA598" s="240" t="e">
        <f t="array" ref="AA598">INDEX(Tabela.abordagens[],SMALL(IF(Tabela.abordagens[Mês]=$L$2,ROW(Tabela.abordagens[Idade])-2),ROW(A551)),4)</f>
        <v>#NUM!</v>
      </c>
      <c r="AB598" s="240" t="e">
        <f t="array" ref="AB598">INDEX(Tabela.abordagens[],SMALL(IF(Tabela.abordagens[Mês]=$L$2,ROW(Tabela.abordagens[Idade])-2),ROW(A551)),5)</f>
        <v>#NUM!</v>
      </c>
    </row>
    <row r="599" spans="2:28" ht="15" x14ac:dyDescent="0.25">
      <c r="B599" s="223" t="e">
        <f t="array" ref="B599">INDEX(Tabela.frequencia[],SMALL(IF(Tabela.frequencia[Mês]=$L$2,ROW(Tabela.frequencia[id])-1),ROW(A552)),1)</f>
        <v>#NUM!</v>
      </c>
      <c r="C599" s="229" t="e">
        <f t="array" ref="C599">INDEX(Tabela.frequencia[],SMALL(IF(Tabela.frequencia[Mês]=$L$2,ROW(Tabela.frequencia[id])-1),ROW(A552)),4)</f>
        <v>#NUM!</v>
      </c>
      <c r="E599" s="176" t="str">
        <f>IFERROR(VLOOKUP(D599,Tabela.cadastro[[ID]:[Nome]],2,0),"")</f>
        <v/>
      </c>
      <c r="F599" s="177" t="str">
        <f>IFERROR(VLOOKUP(D599,Tabela66[#All],2,0),"")</f>
        <v/>
      </c>
      <c r="G599" s="177" t="str">
        <f>IFERROR(VLOOKUP(D599,Tabela.cadastro[[ID]:[CP ou M]],5,0),"")</f>
        <v/>
      </c>
      <c r="H599" s="177" t="str">
        <f>IFERROR(VLOOKUP(D599,Cadastros!A:F,6,0),"")</f>
        <v/>
      </c>
      <c r="I599" s="177" t="str">
        <f>IFERROR(VLOOKUP(D599,Cadastros!A:I,9,0),"")</f>
        <v/>
      </c>
      <c r="J599" s="177" t="str">
        <f>IFERROR(VLOOKUP(D599,Cadastros!A:J,10,0),"")</f>
        <v/>
      </c>
      <c r="K599" s="177" t="str">
        <f>IF(COUNTIF(Tabela66[id],D599)=0,"",COUNTIF(Tabela66[id],D599))</f>
        <v/>
      </c>
      <c r="L599" s="198"/>
      <c r="M599" s="227" t="str">
        <f t="shared" si="45"/>
        <v/>
      </c>
      <c r="P599" s="176" t="str">
        <f>IFERROR(VLOOKUP(O599,Cadastros!A:B,2),"")</f>
        <v/>
      </c>
      <c r="Q599" s="177" t="str">
        <f t="shared" si="41"/>
        <v/>
      </c>
      <c r="R599" s="177" t="str">
        <f>IFERROR(VLOOKUP(O599,Cadastros!A:E,5,0),"")</f>
        <v/>
      </c>
      <c r="S599" s="177" t="str">
        <f>IFERROR(VLOOKUP(O599,Cadastros!A:F,6,0),"")</f>
        <v/>
      </c>
      <c r="T599" s="177" t="str">
        <f>IFERROR(VLOOKUP(O599,Cadastros!A:I,9,0),"")</f>
        <v/>
      </c>
      <c r="U599" s="177" t="str">
        <f t="shared" si="42"/>
        <v/>
      </c>
      <c r="V599" s="177" t="str">
        <f t="shared" si="43"/>
        <v/>
      </c>
      <c r="W599" s="177" t="str">
        <f t="shared" si="44"/>
        <v/>
      </c>
      <c r="Y599" s="240" t="e">
        <f t="array" ref="Y599">INDEX(Tabela.abordagens[],SMALL(IF(Tabela.abordagens[Mês]=$L$2,ROW(Tabela.abordagens[id])-2),ROW(A552)),1)</f>
        <v>#NUM!</v>
      </c>
      <c r="Z599" s="240" t="e">
        <f t="array" ref="Z599">INDEX(Tabela.abordagens[],SMALL(IF(Tabela.abordagens[Mês]=$L$2,ROW(Tabela.abordagens[Idade])-2),ROW(A552)),6)</f>
        <v>#NUM!</v>
      </c>
      <c r="AA599" s="240" t="e">
        <f t="array" ref="AA599">INDEX(Tabela.abordagens[],SMALL(IF(Tabela.abordagens[Mês]=$L$2,ROW(Tabela.abordagens[Idade])-2),ROW(A552)),4)</f>
        <v>#NUM!</v>
      </c>
      <c r="AB599" s="240" t="e">
        <f t="array" ref="AB599">INDEX(Tabela.abordagens[],SMALL(IF(Tabela.abordagens[Mês]=$L$2,ROW(Tabela.abordagens[Idade])-2),ROW(A552)),5)</f>
        <v>#NUM!</v>
      </c>
    </row>
    <row r="600" spans="2:28" ht="15" x14ac:dyDescent="0.25">
      <c r="B600" s="223" t="e">
        <f t="array" ref="B600">INDEX(Tabela.frequencia[],SMALL(IF(Tabela.frequencia[Mês]=$L$2,ROW(Tabela.frequencia[id])-1),ROW(A553)),1)</f>
        <v>#NUM!</v>
      </c>
      <c r="C600" s="229" t="e">
        <f t="array" ref="C600">INDEX(Tabela.frequencia[],SMALL(IF(Tabela.frequencia[Mês]=$L$2,ROW(Tabela.frequencia[id])-1),ROW(A553)),4)</f>
        <v>#NUM!</v>
      </c>
      <c r="E600" s="176" t="str">
        <f>IFERROR(VLOOKUP(D600,Tabela.cadastro[[ID]:[Nome]],2,0),"")</f>
        <v/>
      </c>
      <c r="F600" s="177" t="str">
        <f>IFERROR(VLOOKUP(D600,Tabela66[#All],2,0),"")</f>
        <v/>
      </c>
      <c r="G600" s="177" t="str">
        <f>IFERROR(VLOOKUP(D600,Tabela.cadastro[[ID]:[CP ou M]],5,0),"")</f>
        <v/>
      </c>
      <c r="H600" s="177" t="str">
        <f>IFERROR(VLOOKUP(D600,Cadastros!A:F,6,0),"")</f>
        <v/>
      </c>
      <c r="I600" s="177" t="str">
        <f>IFERROR(VLOOKUP(D600,Cadastros!A:I,9,0),"")</f>
        <v/>
      </c>
      <c r="J600" s="177" t="str">
        <f>IFERROR(VLOOKUP(D600,Cadastros!A:J,10,0),"")</f>
        <v/>
      </c>
      <c r="K600" s="177" t="str">
        <f>IF(COUNTIF(Tabela66[id],D600)=0,"",COUNTIF(Tabela66[id],D600))</f>
        <v/>
      </c>
      <c r="L600" s="198"/>
      <c r="M600" s="227" t="str">
        <f t="shared" si="45"/>
        <v/>
      </c>
      <c r="P600" s="176" t="str">
        <f>IFERROR(VLOOKUP(O600,Cadastros!A:B,2),"")</f>
        <v/>
      </c>
      <c r="Q600" s="177" t="str">
        <f t="shared" si="41"/>
        <v/>
      </c>
      <c r="R600" s="177" t="str">
        <f>IFERROR(VLOOKUP(O600,Cadastros!A:E,5,0),"")</f>
        <v/>
      </c>
      <c r="S600" s="177" t="str">
        <f>IFERROR(VLOOKUP(O600,Cadastros!A:F,6,0),"")</f>
        <v/>
      </c>
      <c r="T600" s="177" t="str">
        <f>IFERROR(VLOOKUP(O600,Cadastros!A:I,9,0),"")</f>
        <v/>
      </c>
      <c r="U600" s="177" t="str">
        <f t="shared" si="42"/>
        <v/>
      </c>
      <c r="V600" s="177" t="str">
        <f t="shared" si="43"/>
        <v/>
      </c>
      <c r="W600" s="177" t="str">
        <f t="shared" si="44"/>
        <v/>
      </c>
      <c r="Y600" s="240" t="e">
        <f t="array" ref="Y600">INDEX(Tabela.abordagens[],SMALL(IF(Tabela.abordagens[Mês]=$L$2,ROW(Tabela.abordagens[id])-2),ROW(A553)),1)</f>
        <v>#NUM!</v>
      </c>
      <c r="Z600" s="240" t="e">
        <f t="array" ref="Z600">INDEX(Tabela.abordagens[],SMALL(IF(Tabela.abordagens[Mês]=$L$2,ROW(Tabela.abordagens[Idade])-2),ROW(A553)),6)</f>
        <v>#NUM!</v>
      </c>
      <c r="AA600" s="240" t="e">
        <f t="array" ref="AA600">INDEX(Tabela.abordagens[],SMALL(IF(Tabela.abordagens[Mês]=$L$2,ROW(Tabela.abordagens[Idade])-2),ROW(A553)),4)</f>
        <v>#NUM!</v>
      </c>
      <c r="AB600" s="240" t="e">
        <f t="array" ref="AB600">INDEX(Tabela.abordagens[],SMALL(IF(Tabela.abordagens[Mês]=$L$2,ROW(Tabela.abordagens[Idade])-2),ROW(A553)),5)</f>
        <v>#NUM!</v>
      </c>
    </row>
    <row r="601" spans="2:28" ht="15" x14ac:dyDescent="0.25">
      <c r="B601" s="223" t="e">
        <f t="array" ref="B601">INDEX(Tabela.frequencia[],SMALL(IF(Tabela.frequencia[Mês]=$L$2,ROW(Tabela.frequencia[id])-1),ROW(A554)),1)</f>
        <v>#NUM!</v>
      </c>
      <c r="C601" s="229" t="e">
        <f t="array" ref="C601">INDEX(Tabela.frequencia[],SMALL(IF(Tabela.frequencia[Mês]=$L$2,ROW(Tabela.frequencia[id])-1),ROW(A554)),4)</f>
        <v>#NUM!</v>
      </c>
      <c r="E601" s="176" t="str">
        <f>IFERROR(VLOOKUP(D601,Tabela.cadastro[[ID]:[Nome]],2,0),"")</f>
        <v/>
      </c>
      <c r="F601" s="177" t="str">
        <f>IFERROR(VLOOKUP(D601,Tabela66[#All],2,0),"")</f>
        <v/>
      </c>
      <c r="G601" s="177" t="str">
        <f>IFERROR(VLOOKUP(D601,Tabela.cadastro[[ID]:[CP ou M]],5,0),"")</f>
        <v/>
      </c>
      <c r="H601" s="177" t="str">
        <f>IFERROR(VLOOKUP(D601,Cadastros!A:F,6,0),"")</f>
        <v/>
      </c>
      <c r="I601" s="177" t="str">
        <f>IFERROR(VLOOKUP(D601,Cadastros!A:I,9,0),"")</f>
        <v/>
      </c>
      <c r="J601" s="177" t="str">
        <f>IFERROR(VLOOKUP(D601,Cadastros!A:J,10,0),"")</f>
        <v/>
      </c>
      <c r="K601" s="177" t="str">
        <f>IF(COUNTIF(Tabela66[id],D601)=0,"",COUNTIF(Tabela66[id],D601))</f>
        <v/>
      </c>
      <c r="L601" s="198"/>
      <c r="M601" s="227" t="str">
        <f t="shared" si="45"/>
        <v/>
      </c>
      <c r="P601" s="176" t="str">
        <f>IFERROR(VLOOKUP(O601,Cadastros!A:B,2),"")</f>
        <v/>
      </c>
      <c r="Q601" s="177" t="str">
        <f t="shared" si="41"/>
        <v/>
      </c>
      <c r="R601" s="177" t="str">
        <f>IFERROR(VLOOKUP(O601,Cadastros!A:E,5,0),"")</f>
        <v/>
      </c>
      <c r="S601" s="177" t="str">
        <f>IFERROR(VLOOKUP(O601,Cadastros!A:F,6,0),"")</f>
        <v/>
      </c>
      <c r="T601" s="177" t="str">
        <f>IFERROR(VLOOKUP(O601,Cadastros!A:I,9,0),"")</f>
        <v/>
      </c>
      <c r="U601" s="177" t="str">
        <f t="shared" si="42"/>
        <v/>
      </c>
      <c r="V601" s="177" t="str">
        <f t="shared" si="43"/>
        <v/>
      </c>
      <c r="W601" s="177" t="str">
        <f t="shared" si="44"/>
        <v/>
      </c>
      <c r="Y601" s="240" t="e">
        <f t="array" ref="Y601">INDEX(Tabela.abordagens[],SMALL(IF(Tabela.abordagens[Mês]=$L$2,ROW(Tabela.abordagens[id])-2),ROW(A554)),1)</f>
        <v>#NUM!</v>
      </c>
      <c r="Z601" s="240" t="e">
        <f t="array" ref="Z601">INDEX(Tabela.abordagens[],SMALL(IF(Tabela.abordagens[Mês]=$L$2,ROW(Tabela.abordagens[Idade])-2),ROW(A554)),6)</f>
        <v>#NUM!</v>
      </c>
      <c r="AA601" s="240" t="e">
        <f t="array" ref="AA601">INDEX(Tabela.abordagens[],SMALL(IF(Tabela.abordagens[Mês]=$L$2,ROW(Tabela.abordagens[Idade])-2),ROW(A554)),4)</f>
        <v>#NUM!</v>
      </c>
      <c r="AB601" s="240" t="e">
        <f t="array" ref="AB601">INDEX(Tabela.abordagens[],SMALL(IF(Tabela.abordagens[Mês]=$L$2,ROW(Tabela.abordagens[Idade])-2),ROW(A554)),5)</f>
        <v>#NUM!</v>
      </c>
    </row>
    <row r="602" spans="2:28" ht="15" x14ac:dyDescent="0.25">
      <c r="B602" s="223" t="e">
        <f t="array" ref="B602">INDEX(Tabela.frequencia[],SMALL(IF(Tabela.frequencia[Mês]=$L$2,ROW(Tabela.frequencia[id])-1),ROW(A555)),1)</f>
        <v>#NUM!</v>
      </c>
      <c r="C602" s="229" t="e">
        <f t="array" ref="C602">INDEX(Tabela.frequencia[],SMALL(IF(Tabela.frequencia[Mês]=$L$2,ROW(Tabela.frequencia[id])-1),ROW(A555)),4)</f>
        <v>#NUM!</v>
      </c>
      <c r="E602" s="176" t="str">
        <f>IFERROR(VLOOKUP(D602,Tabela.cadastro[[ID]:[Nome]],2,0),"")</f>
        <v/>
      </c>
      <c r="F602" s="177" t="str">
        <f>IFERROR(VLOOKUP(D602,Tabela66[#All],2,0),"")</f>
        <v/>
      </c>
      <c r="G602" s="177" t="str">
        <f>IFERROR(VLOOKUP(D602,Tabela.cadastro[[ID]:[CP ou M]],5,0),"")</f>
        <v/>
      </c>
      <c r="H602" s="177" t="str">
        <f>IFERROR(VLOOKUP(D602,Cadastros!A:F,6,0),"")</f>
        <v/>
      </c>
      <c r="I602" s="177" t="str">
        <f>IFERROR(VLOOKUP(D602,Cadastros!A:I,9,0),"")</f>
        <v/>
      </c>
      <c r="J602" s="177" t="str">
        <f>IFERROR(VLOOKUP(D602,Cadastros!A:J,10,0),"")</f>
        <v/>
      </c>
      <c r="K602" s="177" t="str">
        <f>IF(COUNTIF(Tabela66[id],D602)=0,"",COUNTIF(Tabela66[id],D602))</f>
        <v/>
      </c>
      <c r="L602" s="198"/>
      <c r="M602" s="227" t="str">
        <f t="shared" si="45"/>
        <v/>
      </c>
      <c r="P602" s="176" t="str">
        <f>IFERROR(VLOOKUP(O602,Cadastros!A:B,2),"")</f>
        <v/>
      </c>
      <c r="Q602" s="177" t="str">
        <f t="shared" si="41"/>
        <v/>
      </c>
      <c r="R602" s="177" t="str">
        <f>IFERROR(VLOOKUP(O602,Cadastros!A:E,5,0),"")</f>
        <v/>
      </c>
      <c r="S602" s="177" t="str">
        <f>IFERROR(VLOOKUP(O602,Cadastros!A:F,6,0),"")</f>
        <v/>
      </c>
      <c r="T602" s="177" t="str">
        <f>IFERROR(VLOOKUP(O602,Cadastros!A:I,9,0),"")</f>
        <v/>
      </c>
      <c r="U602" s="177" t="str">
        <f t="shared" si="42"/>
        <v/>
      </c>
      <c r="V602" s="177" t="str">
        <f t="shared" si="43"/>
        <v/>
      </c>
      <c r="W602" s="177" t="str">
        <f t="shared" si="44"/>
        <v/>
      </c>
      <c r="Y602" s="240" t="e">
        <f t="array" ref="Y602">INDEX(Tabela.abordagens[],SMALL(IF(Tabela.abordagens[Mês]=$L$2,ROW(Tabela.abordagens[id])-2),ROW(A555)),1)</f>
        <v>#NUM!</v>
      </c>
      <c r="Z602" s="240" t="e">
        <f t="array" ref="Z602">INDEX(Tabela.abordagens[],SMALL(IF(Tabela.abordagens[Mês]=$L$2,ROW(Tabela.abordagens[Idade])-2),ROW(A555)),6)</f>
        <v>#NUM!</v>
      </c>
      <c r="AA602" s="240" t="e">
        <f t="array" ref="AA602">INDEX(Tabela.abordagens[],SMALL(IF(Tabela.abordagens[Mês]=$L$2,ROW(Tabela.abordagens[Idade])-2),ROW(A555)),4)</f>
        <v>#NUM!</v>
      </c>
      <c r="AB602" s="240" t="e">
        <f t="array" ref="AB602">INDEX(Tabela.abordagens[],SMALL(IF(Tabela.abordagens[Mês]=$L$2,ROW(Tabela.abordagens[Idade])-2),ROW(A555)),5)</f>
        <v>#NUM!</v>
      </c>
    </row>
    <row r="603" spans="2:28" ht="15" x14ac:dyDescent="0.25">
      <c r="B603" s="223" t="e">
        <f t="array" ref="B603">INDEX(Tabela.frequencia[],SMALL(IF(Tabela.frequencia[Mês]=$L$2,ROW(Tabela.frequencia[id])-1),ROW(A556)),1)</f>
        <v>#NUM!</v>
      </c>
      <c r="C603" s="229" t="e">
        <f t="array" ref="C603">INDEX(Tabela.frequencia[],SMALL(IF(Tabela.frequencia[Mês]=$L$2,ROW(Tabela.frequencia[id])-1),ROW(A556)),4)</f>
        <v>#NUM!</v>
      </c>
      <c r="E603" s="176" t="str">
        <f>IFERROR(VLOOKUP(D603,Tabela.cadastro[[ID]:[Nome]],2,0),"")</f>
        <v/>
      </c>
      <c r="F603" s="177" t="str">
        <f>IFERROR(VLOOKUP(D603,Tabela66[#All],2,0),"")</f>
        <v/>
      </c>
      <c r="G603" s="177" t="str">
        <f>IFERROR(VLOOKUP(D603,Tabela.cadastro[[ID]:[CP ou M]],5,0),"")</f>
        <v/>
      </c>
      <c r="H603" s="177" t="str">
        <f>IFERROR(VLOOKUP(D603,Cadastros!A:F,6,0),"")</f>
        <v/>
      </c>
      <c r="I603" s="177" t="str">
        <f>IFERROR(VLOOKUP(D603,Cadastros!A:I,9,0),"")</f>
        <v/>
      </c>
      <c r="J603" s="177" t="str">
        <f>IFERROR(VLOOKUP(D603,Cadastros!A:J,10,0),"")</f>
        <v/>
      </c>
      <c r="K603" s="177" t="str">
        <f>IF(COUNTIF(Tabela66[id],D603)=0,"",COUNTIF(Tabela66[id],D603))</f>
        <v/>
      </c>
      <c r="L603" s="198"/>
      <c r="M603" s="227" t="str">
        <f t="shared" si="45"/>
        <v/>
      </c>
      <c r="P603" s="176" t="str">
        <f>IFERROR(VLOOKUP(O603,Cadastros!A:B,2),"")</f>
        <v/>
      </c>
      <c r="Q603" s="177" t="str">
        <f t="shared" si="41"/>
        <v/>
      </c>
      <c r="R603" s="177" t="str">
        <f>IFERROR(VLOOKUP(O603,Cadastros!A:E,5,0),"")</f>
        <v/>
      </c>
      <c r="S603" s="177" t="str">
        <f>IFERROR(VLOOKUP(O603,Cadastros!A:F,6,0),"")</f>
        <v/>
      </c>
      <c r="T603" s="177" t="str">
        <f>IFERROR(VLOOKUP(O603,Cadastros!A:I,9,0),"")</f>
        <v/>
      </c>
      <c r="U603" s="177" t="str">
        <f t="shared" si="42"/>
        <v/>
      </c>
      <c r="V603" s="177" t="str">
        <f t="shared" si="43"/>
        <v/>
      </c>
      <c r="W603" s="177" t="str">
        <f t="shared" si="44"/>
        <v/>
      </c>
      <c r="Y603" s="240" t="e">
        <f t="array" ref="Y603">INDEX(Tabela.abordagens[],SMALL(IF(Tabela.abordagens[Mês]=$L$2,ROW(Tabela.abordagens[id])-2),ROW(A556)),1)</f>
        <v>#NUM!</v>
      </c>
      <c r="Z603" s="240" t="e">
        <f t="array" ref="Z603">INDEX(Tabela.abordagens[],SMALL(IF(Tabela.abordagens[Mês]=$L$2,ROW(Tabela.abordagens[Idade])-2),ROW(A556)),6)</f>
        <v>#NUM!</v>
      </c>
      <c r="AA603" s="240" t="e">
        <f t="array" ref="AA603">INDEX(Tabela.abordagens[],SMALL(IF(Tabela.abordagens[Mês]=$L$2,ROW(Tabela.abordagens[Idade])-2),ROW(A556)),4)</f>
        <v>#NUM!</v>
      </c>
      <c r="AB603" s="240" t="e">
        <f t="array" ref="AB603">INDEX(Tabela.abordagens[],SMALL(IF(Tabela.abordagens[Mês]=$L$2,ROW(Tabela.abordagens[Idade])-2),ROW(A556)),5)</f>
        <v>#NUM!</v>
      </c>
    </row>
    <row r="604" spans="2:28" ht="15" x14ac:dyDescent="0.25">
      <c r="B604" s="223" t="e">
        <f t="array" ref="B604">INDEX(Tabela.frequencia[],SMALL(IF(Tabela.frequencia[Mês]=$L$2,ROW(Tabela.frequencia[id])-1),ROW(A557)),1)</f>
        <v>#NUM!</v>
      </c>
      <c r="C604" s="229" t="e">
        <f t="array" ref="C604">INDEX(Tabela.frequencia[],SMALL(IF(Tabela.frequencia[Mês]=$L$2,ROW(Tabela.frequencia[id])-1),ROW(A557)),4)</f>
        <v>#NUM!</v>
      </c>
      <c r="E604" s="176" t="str">
        <f>IFERROR(VLOOKUP(D604,Tabela.cadastro[[ID]:[Nome]],2,0),"")</f>
        <v/>
      </c>
      <c r="F604" s="177" t="str">
        <f>IFERROR(VLOOKUP(D604,Tabela66[#All],2,0),"")</f>
        <v/>
      </c>
      <c r="G604" s="177" t="str">
        <f>IFERROR(VLOOKUP(D604,Tabela.cadastro[[ID]:[CP ou M]],5,0),"")</f>
        <v/>
      </c>
      <c r="H604" s="177" t="str">
        <f>IFERROR(VLOOKUP(D604,Cadastros!A:F,6,0),"")</f>
        <v/>
      </c>
      <c r="I604" s="177" t="str">
        <f>IFERROR(VLOOKUP(D604,Cadastros!A:I,9,0),"")</f>
        <v/>
      </c>
      <c r="J604" s="177" t="str">
        <f>IFERROR(VLOOKUP(D604,Cadastros!A:J,10,0),"")</f>
        <v/>
      </c>
      <c r="K604" s="177" t="str">
        <f>IF(COUNTIF(Tabela66[id],D604)=0,"",COUNTIF(Tabela66[id],D604))</f>
        <v/>
      </c>
      <c r="L604" s="198"/>
      <c r="M604" s="227" t="str">
        <f t="shared" si="45"/>
        <v/>
      </c>
      <c r="P604" s="176" t="str">
        <f>IFERROR(VLOOKUP(O604,Cadastros!A:B,2),"")</f>
        <v/>
      </c>
      <c r="Q604" s="177" t="str">
        <f t="shared" si="41"/>
        <v/>
      </c>
      <c r="R604" s="177" t="str">
        <f>IFERROR(VLOOKUP(O604,Cadastros!A:E,5,0),"")</f>
        <v/>
      </c>
      <c r="S604" s="177" t="str">
        <f>IFERROR(VLOOKUP(O604,Cadastros!A:F,6,0),"")</f>
        <v/>
      </c>
      <c r="T604" s="177" t="str">
        <f>IFERROR(VLOOKUP(O604,Cadastros!A:I,9,0),"")</f>
        <v/>
      </c>
      <c r="U604" s="177" t="str">
        <f t="shared" si="42"/>
        <v/>
      </c>
      <c r="V604" s="177" t="str">
        <f t="shared" si="43"/>
        <v/>
      </c>
      <c r="W604" s="177" t="str">
        <f t="shared" si="44"/>
        <v/>
      </c>
      <c r="Y604" s="240" t="e">
        <f t="array" ref="Y604">INDEX(Tabela.abordagens[],SMALL(IF(Tabela.abordagens[Mês]=$L$2,ROW(Tabela.abordagens[id])-2),ROW(A557)),1)</f>
        <v>#NUM!</v>
      </c>
      <c r="Z604" s="240" t="e">
        <f t="array" ref="Z604">INDEX(Tabela.abordagens[],SMALL(IF(Tabela.abordagens[Mês]=$L$2,ROW(Tabela.abordagens[Idade])-2),ROW(A557)),6)</f>
        <v>#NUM!</v>
      </c>
      <c r="AA604" s="240" t="e">
        <f t="array" ref="AA604">INDEX(Tabela.abordagens[],SMALL(IF(Tabela.abordagens[Mês]=$L$2,ROW(Tabela.abordagens[Idade])-2),ROW(A557)),4)</f>
        <v>#NUM!</v>
      </c>
      <c r="AB604" s="240" t="e">
        <f t="array" ref="AB604">INDEX(Tabela.abordagens[],SMALL(IF(Tabela.abordagens[Mês]=$L$2,ROW(Tabela.abordagens[Idade])-2),ROW(A557)),5)</f>
        <v>#NUM!</v>
      </c>
    </row>
    <row r="605" spans="2:28" ht="15" x14ac:dyDescent="0.25">
      <c r="B605" s="223" t="e">
        <f t="array" ref="B605">INDEX(Tabela.frequencia[],SMALL(IF(Tabela.frequencia[Mês]=$L$2,ROW(Tabela.frequencia[id])-1),ROW(A558)),1)</f>
        <v>#NUM!</v>
      </c>
      <c r="C605" s="229" t="e">
        <f t="array" ref="C605">INDEX(Tabela.frequencia[],SMALL(IF(Tabela.frequencia[Mês]=$L$2,ROW(Tabela.frequencia[id])-1),ROW(A558)),4)</f>
        <v>#NUM!</v>
      </c>
      <c r="E605" s="176" t="str">
        <f>IFERROR(VLOOKUP(D605,Tabela.cadastro[[ID]:[Nome]],2,0),"")</f>
        <v/>
      </c>
      <c r="F605" s="177" t="str">
        <f>IFERROR(VLOOKUP(D605,Tabela66[#All],2,0),"")</f>
        <v/>
      </c>
      <c r="G605" s="177" t="str">
        <f>IFERROR(VLOOKUP(D605,Tabela.cadastro[[ID]:[CP ou M]],5,0),"")</f>
        <v/>
      </c>
      <c r="H605" s="177" t="str">
        <f>IFERROR(VLOOKUP(D605,Cadastros!A:F,6,0),"")</f>
        <v/>
      </c>
      <c r="I605" s="177" t="str">
        <f>IFERROR(VLOOKUP(D605,Cadastros!A:I,9,0),"")</f>
        <v/>
      </c>
      <c r="J605" s="177" t="str">
        <f>IFERROR(VLOOKUP(D605,Cadastros!A:J,10,0),"")</f>
        <v/>
      </c>
      <c r="K605" s="177" t="str">
        <f>IF(COUNTIF(Tabela66[id],D605)=0,"",COUNTIF(Tabela66[id],D605))</f>
        <v/>
      </c>
      <c r="L605" s="198"/>
      <c r="M605" s="227" t="str">
        <f t="shared" si="45"/>
        <v/>
      </c>
      <c r="P605" s="176" t="str">
        <f>IFERROR(VLOOKUP(O605,Cadastros!A:B,2),"")</f>
        <v/>
      </c>
      <c r="Q605" s="177" t="str">
        <f t="shared" si="41"/>
        <v/>
      </c>
      <c r="R605" s="177" t="str">
        <f>IFERROR(VLOOKUP(O605,Cadastros!A:E,5,0),"")</f>
        <v/>
      </c>
      <c r="S605" s="177" t="str">
        <f>IFERROR(VLOOKUP(O605,Cadastros!A:F,6,0),"")</f>
        <v/>
      </c>
      <c r="T605" s="177" t="str">
        <f>IFERROR(VLOOKUP(O605,Cadastros!A:I,9,0),"")</f>
        <v/>
      </c>
      <c r="U605" s="177" t="str">
        <f t="shared" si="42"/>
        <v/>
      </c>
      <c r="V605" s="177" t="str">
        <f t="shared" si="43"/>
        <v/>
      </c>
      <c r="W605" s="177" t="str">
        <f t="shared" si="44"/>
        <v/>
      </c>
      <c r="Y605" s="240" t="e">
        <f t="array" ref="Y605">INDEX(Tabela.abordagens[],SMALL(IF(Tabela.abordagens[Mês]=$L$2,ROW(Tabela.abordagens[id])-2),ROW(A558)),1)</f>
        <v>#NUM!</v>
      </c>
      <c r="Z605" s="240" t="e">
        <f t="array" ref="Z605">INDEX(Tabela.abordagens[],SMALL(IF(Tabela.abordagens[Mês]=$L$2,ROW(Tabela.abordagens[Idade])-2),ROW(A558)),6)</f>
        <v>#NUM!</v>
      </c>
      <c r="AA605" s="240" t="e">
        <f t="array" ref="AA605">INDEX(Tabela.abordagens[],SMALL(IF(Tabela.abordagens[Mês]=$L$2,ROW(Tabela.abordagens[Idade])-2),ROW(A558)),4)</f>
        <v>#NUM!</v>
      </c>
      <c r="AB605" s="240" t="e">
        <f t="array" ref="AB605">INDEX(Tabela.abordagens[],SMALL(IF(Tabela.abordagens[Mês]=$L$2,ROW(Tabela.abordagens[Idade])-2),ROW(A558)),5)</f>
        <v>#NUM!</v>
      </c>
    </row>
    <row r="606" spans="2:28" ht="15" x14ac:dyDescent="0.25">
      <c r="B606" s="223" t="e">
        <f t="array" ref="B606">INDEX(Tabela.frequencia[],SMALL(IF(Tabela.frequencia[Mês]=$L$2,ROW(Tabela.frequencia[id])-1),ROW(A559)),1)</f>
        <v>#NUM!</v>
      </c>
      <c r="C606" s="229" t="e">
        <f t="array" ref="C606">INDEX(Tabela.frequencia[],SMALL(IF(Tabela.frequencia[Mês]=$L$2,ROW(Tabela.frequencia[id])-1),ROW(A559)),4)</f>
        <v>#NUM!</v>
      </c>
      <c r="E606" s="176" t="str">
        <f>IFERROR(VLOOKUP(D606,Tabela.cadastro[[ID]:[Nome]],2,0),"")</f>
        <v/>
      </c>
      <c r="F606" s="177" t="str">
        <f>IFERROR(VLOOKUP(D606,Tabela66[#All],2,0),"")</f>
        <v/>
      </c>
      <c r="G606" s="177" t="str">
        <f>IFERROR(VLOOKUP(D606,Tabela.cadastro[[ID]:[CP ou M]],5,0),"")</f>
        <v/>
      </c>
      <c r="H606" s="177" t="str">
        <f>IFERROR(VLOOKUP(D606,Cadastros!A:F,6,0),"")</f>
        <v/>
      </c>
      <c r="I606" s="177" t="str">
        <f>IFERROR(VLOOKUP(D606,Cadastros!A:I,9,0),"")</f>
        <v/>
      </c>
      <c r="J606" s="177" t="str">
        <f>IFERROR(VLOOKUP(D606,Cadastros!A:J,10,0),"")</f>
        <v/>
      </c>
      <c r="K606" s="177" t="str">
        <f>IF(COUNTIF(Tabela66[id],D606)=0,"",COUNTIF(Tabela66[id],D606))</f>
        <v/>
      </c>
      <c r="L606" s="198"/>
      <c r="M606" s="227" t="str">
        <f t="shared" si="45"/>
        <v/>
      </c>
      <c r="P606" s="176" t="str">
        <f>IFERROR(VLOOKUP(O606,Cadastros!A:B,2),"")</f>
        <v/>
      </c>
      <c r="Q606" s="177" t="str">
        <f t="shared" si="41"/>
        <v/>
      </c>
      <c r="R606" s="177" t="str">
        <f>IFERROR(VLOOKUP(O606,Cadastros!A:E,5,0),"")</f>
        <v/>
      </c>
      <c r="S606" s="177" t="str">
        <f>IFERROR(VLOOKUP(O606,Cadastros!A:F,6,0),"")</f>
        <v/>
      </c>
      <c r="T606" s="177" t="str">
        <f>IFERROR(VLOOKUP(O606,Cadastros!A:I,9,0),"")</f>
        <v/>
      </c>
      <c r="U606" s="177" t="str">
        <f t="shared" si="42"/>
        <v/>
      </c>
      <c r="V606" s="177" t="str">
        <f t="shared" si="43"/>
        <v/>
      </c>
      <c r="W606" s="177" t="str">
        <f t="shared" si="44"/>
        <v/>
      </c>
      <c r="Y606" s="240" t="e">
        <f t="array" ref="Y606">INDEX(Tabela.abordagens[],SMALL(IF(Tabela.abordagens[Mês]=$L$2,ROW(Tabela.abordagens[id])-2),ROW(A559)),1)</f>
        <v>#NUM!</v>
      </c>
      <c r="Z606" s="240" t="e">
        <f t="array" ref="Z606">INDEX(Tabela.abordagens[],SMALL(IF(Tabela.abordagens[Mês]=$L$2,ROW(Tabela.abordagens[Idade])-2),ROW(A559)),6)</f>
        <v>#NUM!</v>
      </c>
      <c r="AA606" s="240" t="e">
        <f t="array" ref="AA606">INDEX(Tabela.abordagens[],SMALL(IF(Tabela.abordagens[Mês]=$L$2,ROW(Tabela.abordagens[Idade])-2),ROW(A559)),4)</f>
        <v>#NUM!</v>
      </c>
      <c r="AB606" s="240" t="e">
        <f t="array" ref="AB606">INDEX(Tabela.abordagens[],SMALL(IF(Tabela.abordagens[Mês]=$L$2,ROW(Tabela.abordagens[Idade])-2),ROW(A559)),5)</f>
        <v>#NUM!</v>
      </c>
    </row>
    <row r="607" spans="2:28" ht="15" x14ac:dyDescent="0.25">
      <c r="B607" s="223" t="e">
        <f t="array" ref="B607">INDEX(Tabela.frequencia[],SMALL(IF(Tabela.frequencia[Mês]=$L$2,ROW(Tabela.frequencia[id])-1),ROW(A560)),1)</f>
        <v>#NUM!</v>
      </c>
      <c r="C607" s="229" t="e">
        <f t="array" ref="C607">INDEX(Tabela.frequencia[],SMALL(IF(Tabela.frequencia[Mês]=$L$2,ROW(Tabela.frequencia[id])-1),ROW(A560)),4)</f>
        <v>#NUM!</v>
      </c>
      <c r="E607" s="176" t="str">
        <f>IFERROR(VLOOKUP(D607,Tabela.cadastro[[ID]:[Nome]],2,0),"")</f>
        <v/>
      </c>
      <c r="F607" s="177" t="str">
        <f>IFERROR(VLOOKUP(D607,Tabela66[#All],2,0),"")</f>
        <v/>
      </c>
      <c r="G607" s="177" t="str">
        <f>IFERROR(VLOOKUP(D607,Tabela.cadastro[[ID]:[CP ou M]],5,0),"")</f>
        <v/>
      </c>
      <c r="H607" s="177" t="str">
        <f>IFERROR(VLOOKUP(D607,Cadastros!A:F,6,0),"")</f>
        <v/>
      </c>
      <c r="I607" s="177" t="str">
        <f>IFERROR(VLOOKUP(D607,Cadastros!A:I,9,0),"")</f>
        <v/>
      </c>
      <c r="J607" s="177" t="str">
        <f>IFERROR(VLOOKUP(D607,Cadastros!A:J,10,0),"")</f>
        <v/>
      </c>
      <c r="K607" s="177" t="str">
        <f>IF(COUNTIF(Tabela66[id],D607)=0,"",COUNTIF(Tabela66[id],D607))</f>
        <v/>
      </c>
      <c r="L607" s="198"/>
      <c r="M607" s="227" t="str">
        <f t="shared" si="45"/>
        <v/>
      </c>
      <c r="P607" s="176" t="str">
        <f>IFERROR(VLOOKUP(O607,Cadastros!A:B,2),"")</f>
        <v/>
      </c>
      <c r="Q607" s="177" t="str">
        <f t="shared" si="41"/>
        <v/>
      </c>
      <c r="R607" s="177" t="str">
        <f>IFERROR(VLOOKUP(O607,Cadastros!A:E,5,0),"")</f>
        <v/>
      </c>
      <c r="S607" s="177" t="str">
        <f>IFERROR(VLOOKUP(O607,Cadastros!A:F,6,0),"")</f>
        <v/>
      </c>
      <c r="T607" s="177" t="str">
        <f>IFERROR(VLOOKUP(O607,Cadastros!A:I,9,0),"")</f>
        <v/>
      </c>
      <c r="U607" s="177" t="str">
        <f t="shared" si="42"/>
        <v/>
      </c>
      <c r="V607" s="177" t="str">
        <f t="shared" si="43"/>
        <v/>
      </c>
      <c r="W607" s="177" t="str">
        <f t="shared" si="44"/>
        <v/>
      </c>
      <c r="Y607" s="240" t="e">
        <f t="array" ref="Y607">INDEX(Tabela.abordagens[],SMALL(IF(Tabela.abordagens[Mês]=$L$2,ROW(Tabela.abordagens[id])-2),ROW(A560)),1)</f>
        <v>#NUM!</v>
      </c>
      <c r="Z607" s="240" t="e">
        <f t="array" ref="Z607">INDEX(Tabela.abordagens[],SMALL(IF(Tabela.abordagens[Mês]=$L$2,ROW(Tabela.abordagens[Idade])-2),ROW(A560)),6)</f>
        <v>#NUM!</v>
      </c>
      <c r="AA607" s="240" t="e">
        <f t="array" ref="AA607">INDEX(Tabela.abordagens[],SMALL(IF(Tabela.abordagens[Mês]=$L$2,ROW(Tabela.abordagens[Idade])-2),ROW(A560)),4)</f>
        <v>#NUM!</v>
      </c>
      <c r="AB607" s="240" t="e">
        <f t="array" ref="AB607">INDEX(Tabela.abordagens[],SMALL(IF(Tabela.abordagens[Mês]=$L$2,ROW(Tabela.abordagens[Idade])-2),ROW(A560)),5)</f>
        <v>#NUM!</v>
      </c>
    </row>
    <row r="608" spans="2:28" ht="15" x14ac:dyDescent="0.25">
      <c r="B608" s="223" t="e">
        <f t="array" ref="B608">INDEX(Tabela.frequencia[],SMALL(IF(Tabela.frequencia[Mês]=$L$2,ROW(Tabela.frequencia[id])-1),ROW(A561)),1)</f>
        <v>#NUM!</v>
      </c>
      <c r="C608" s="229" t="e">
        <f t="array" ref="C608">INDEX(Tabela.frequencia[],SMALL(IF(Tabela.frequencia[Mês]=$L$2,ROW(Tabela.frequencia[id])-1),ROW(A561)),4)</f>
        <v>#NUM!</v>
      </c>
      <c r="E608" s="176" t="str">
        <f>IFERROR(VLOOKUP(D608,Tabela.cadastro[[ID]:[Nome]],2,0),"")</f>
        <v/>
      </c>
      <c r="F608" s="177" t="str">
        <f>IFERROR(VLOOKUP(D608,Tabela66[#All],2,0),"")</f>
        <v/>
      </c>
      <c r="G608" s="177" t="str">
        <f>IFERROR(VLOOKUP(D608,Tabela.cadastro[[ID]:[CP ou M]],5,0),"")</f>
        <v/>
      </c>
      <c r="H608" s="177" t="str">
        <f>IFERROR(VLOOKUP(D608,Cadastros!A:F,6,0),"")</f>
        <v/>
      </c>
      <c r="I608" s="177" t="str">
        <f>IFERROR(VLOOKUP(D608,Cadastros!A:I,9,0),"")</f>
        <v/>
      </c>
      <c r="J608" s="177" t="str">
        <f>IFERROR(VLOOKUP(D608,Cadastros!A:J,10,0),"")</f>
        <v/>
      </c>
      <c r="K608" s="177" t="str">
        <f>IF(COUNTIF(Tabela66[id],D608)=0,"",COUNTIF(Tabela66[id],D608))</f>
        <v/>
      </c>
      <c r="L608" s="198"/>
      <c r="M608" s="227" t="str">
        <f t="shared" si="45"/>
        <v/>
      </c>
      <c r="P608" s="176" t="str">
        <f>IFERROR(VLOOKUP(O608,Cadastros!A:B,2),"")</f>
        <v/>
      </c>
      <c r="Q608" s="177" t="str">
        <f t="shared" si="41"/>
        <v/>
      </c>
      <c r="R608" s="177" t="str">
        <f>IFERROR(VLOOKUP(O608,Cadastros!A:E,5,0),"")</f>
        <v/>
      </c>
      <c r="S608" s="177" t="str">
        <f>IFERROR(VLOOKUP(O608,Cadastros!A:F,6,0),"")</f>
        <v/>
      </c>
      <c r="T608" s="177" t="str">
        <f>IFERROR(VLOOKUP(O608,Cadastros!A:I,9,0),"")</f>
        <v/>
      </c>
      <c r="U608" s="177" t="str">
        <f t="shared" si="42"/>
        <v/>
      </c>
      <c r="V608" s="177" t="str">
        <f t="shared" si="43"/>
        <v/>
      </c>
      <c r="W608" s="177" t="str">
        <f t="shared" si="44"/>
        <v/>
      </c>
      <c r="Y608" s="240" t="e">
        <f t="array" ref="Y608">INDEX(Tabela.abordagens[],SMALL(IF(Tabela.abordagens[Mês]=$L$2,ROW(Tabela.abordagens[id])-2),ROW(A561)),1)</f>
        <v>#NUM!</v>
      </c>
      <c r="Z608" s="240" t="e">
        <f t="array" ref="Z608">INDEX(Tabela.abordagens[],SMALL(IF(Tabela.abordagens[Mês]=$L$2,ROW(Tabela.abordagens[Idade])-2),ROW(A561)),6)</f>
        <v>#NUM!</v>
      </c>
      <c r="AA608" s="240" t="e">
        <f t="array" ref="AA608">INDEX(Tabela.abordagens[],SMALL(IF(Tabela.abordagens[Mês]=$L$2,ROW(Tabela.abordagens[Idade])-2),ROW(A561)),4)</f>
        <v>#NUM!</v>
      </c>
      <c r="AB608" s="240" t="e">
        <f t="array" ref="AB608">INDEX(Tabela.abordagens[],SMALL(IF(Tabela.abordagens[Mês]=$L$2,ROW(Tabela.abordagens[Idade])-2),ROW(A561)),5)</f>
        <v>#NUM!</v>
      </c>
    </row>
    <row r="609" spans="2:28" ht="15" x14ac:dyDescent="0.25">
      <c r="B609" s="223" t="e">
        <f t="array" ref="B609">INDEX(Tabela.frequencia[],SMALL(IF(Tabela.frequencia[Mês]=$L$2,ROW(Tabela.frequencia[id])-1),ROW(A562)),1)</f>
        <v>#NUM!</v>
      </c>
      <c r="C609" s="229" t="e">
        <f t="array" ref="C609">INDEX(Tabela.frequencia[],SMALL(IF(Tabela.frequencia[Mês]=$L$2,ROW(Tabela.frequencia[id])-1),ROW(A562)),4)</f>
        <v>#NUM!</v>
      </c>
      <c r="E609" s="176" t="str">
        <f>IFERROR(VLOOKUP(D609,Tabela.cadastro[[ID]:[Nome]],2,0),"")</f>
        <v/>
      </c>
      <c r="F609" s="177" t="str">
        <f>IFERROR(VLOOKUP(D609,Tabela66[#All],2,0),"")</f>
        <v/>
      </c>
      <c r="G609" s="177" t="str">
        <f>IFERROR(VLOOKUP(D609,Tabela.cadastro[[ID]:[CP ou M]],5,0),"")</f>
        <v/>
      </c>
      <c r="H609" s="177" t="str">
        <f>IFERROR(VLOOKUP(D609,Cadastros!A:F,6,0),"")</f>
        <v/>
      </c>
      <c r="I609" s="177" t="str">
        <f>IFERROR(VLOOKUP(D609,Cadastros!A:I,9,0),"")</f>
        <v/>
      </c>
      <c r="J609" s="177" t="str">
        <f>IFERROR(VLOOKUP(D609,Cadastros!A:J,10,0),"")</f>
        <v/>
      </c>
      <c r="K609" s="177" t="str">
        <f>IF(COUNTIF(Tabela66[id],D609)=0,"",COUNTIF(Tabela66[id],D609))</f>
        <v/>
      </c>
      <c r="L609" s="198"/>
      <c r="M609" s="227" t="str">
        <f t="shared" si="45"/>
        <v/>
      </c>
      <c r="P609" s="176" t="str">
        <f>IFERROR(VLOOKUP(O609,Cadastros!A:B,2),"")</f>
        <v/>
      </c>
      <c r="Q609" s="177" t="str">
        <f t="shared" si="41"/>
        <v/>
      </c>
      <c r="R609" s="177" t="str">
        <f>IFERROR(VLOOKUP(O609,Cadastros!A:E,5,0),"")</f>
        <v/>
      </c>
      <c r="S609" s="177" t="str">
        <f>IFERROR(VLOOKUP(O609,Cadastros!A:F,6,0),"")</f>
        <v/>
      </c>
      <c r="T609" s="177" t="str">
        <f>IFERROR(VLOOKUP(O609,Cadastros!A:I,9,0),"")</f>
        <v/>
      </c>
      <c r="U609" s="177" t="str">
        <f t="shared" si="42"/>
        <v/>
      </c>
      <c r="V609" s="177" t="str">
        <f t="shared" si="43"/>
        <v/>
      </c>
      <c r="W609" s="177" t="str">
        <f t="shared" si="44"/>
        <v/>
      </c>
      <c r="Y609" s="240" t="e">
        <f t="array" ref="Y609">INDEX(Tabela.abordagens[],SMALL(IF(Tabela.abordagens[Mês]=$L$2,ROW(Tabela.abordagens[id])-2),ROW(A562)),1)</f>
        <v>#NUM!</v>
      </c>
      <c r="Z609" s="240" t="e">
        <f t="array" ref="Z609">INDEX(Tabela.abordagens[],SMALL(IF(Tabela.abordagens[Mês]=$L$2,ROW(Tabela.abordagens[Idade])-2),ROW(A562)),6)</f>
        <v>#NUM!</v>
      </c>
      <c r="AA609" s="240" t="e">
        <f t="array" ref="AA609">INDEX(Tabela.abordagens[],SMALL(IF(Tabela.abordagens[Mês]=$L$2,ROW(Tabela.abordagens[Idade])-2),ROW(A562)),4)</f>
        <v>#NUM!</v>
      </c>
      <c r="AB609" s="240" t="e">
        <f t="array" ref="AB609">INDEX(Tabela.abordagens[],SMALL(IF(Tabela.abordagens[Mês]=$L$2,ROW(Tabela.abordagens[Idade])-2),ROW(A562)),5)</f>
        <v>#NUM!</v>
      </c>
    </row>
    <row r="610" spans="2:28" ht="15" x14ac:dyDescent="0.25">
      <c r="B610" s="223" t="e">
        <f t="array" ref="B610">INDEX(Tabela.frequencia[],SMALL(IF(Tabela.frequencia[Mês]=$L$2,ROW(Tabela.frequencia[id])-1),ROW(A563)),1)</f>
        <v>#NUM!</v>
      </c>
      <c r="C610" s="229" t="e">
        <f t="array" ref="C610">INDEX(Tabela.frequencia[],SMALL(IF(Tabela.frequencia[Mês]=$L$2,ROW(Tabela.frequencia[id])-1),ROW(A563)),4)</f>
        <v>#NUM!</v>
      </c>
      <c r="E610" s="176" t="str">
        <f>IFERROR(VLOOKUP(D610,Tabela.cadastro[[ID]:[Nome]],2,0),"")</f>
        <v/>
      </c>
      <c r="F610" s="177" t="str">
        <f>IFERROR(VLOOKUP(D610,Tabela66[#All],2,0),"")</f>
        <v/>
      </c>
      <c r="G610" s="177" t="str">
        <f>IFERROR(VLOOKUP(D610,Tabela.cadastro[[ID]:[CP ou M]],5,0),"")</f>
        <v/>
      </c>
      <c r="H610" s="177" t="str">
        <f>IFERROR(VLOOKUP(D610,Cadastros!A:F,6,0),"")</f>
        <v/>
      </c>
      <c r="I610" s="177" t="str">
        <f>IFERROR(VLOOKUP(D610,Cadastros!A:I,9,0),"")</f>
        <v/>
      </c>
      <c r="J610" s="177" t="str">
        <f>IFERROR(VLOOKUP(D610,Cadastros!A:J,10,0),"")</f>
        <v/>
      </c>
      <c r="K610" s="177" t="str">
        <f>IF(COUNTIF(Tabela66[id],D610)=0,"",COUNTIF(Tabela66[id],D610))</f>
        <v/>
      </c>
      <c r="L610" s="198"/>
      <c r="M610" s="227" t="str">
        <f t="shared" si="45"/>
        <v/>
      </c>
      <c r="P610" s="176" t="str">
        <f>IFERROR(VLOOKUP(O610,Cadastros!A:B,2),"")</f>
        <v/>
      </c>
      <c r="Q610" s="177" t="str">
        <f t="shared" ref="Q610:Q673" si="46">IFERROR(VLOOKUP(O610,$Y$33:$Z$866,2,0),"")</f>
        <v/>
      </c>
      <c r="R610" s="177" t="str">
        <f>IFERROR(VLOOKUP(O610,Cadastros!A:E,5,0),"")</f>
        <v/>
      </c>
      <c r="S610" s="177" t="str">
        <f>IFERROR(VLOOKUP(O610,Cadastros!A:F,6,0),"")</f>
        <v/>
      </c>
      <c r="T610" s="177" t="str">
        <f>IFERROR(VLOOKUP(O610,Cadastros!A:I,9,0),"")</f>
        <v/>
      </c>
      <c r="U610" s="177" t="str">
        <f t="shared" ref="U610:U673" si="47">IFERROR(VLOOKUP(O610,Y$33:AB$866,3,0),"")</f>
        <v/>
      </c>
      <c r="V610" s="177" t="str">
        <f t="shared" ref="V610:V673" si="48">IFERROR(VLOOKUP(O610,Y$33:AB$866,4,0),"")</f>
        <v/>
      </c>
      <c r="W610" s="177" t="str">
        <f t="shared" ref="W610:W673" si="49">IF(COUNTIF(Y$33:Y$866,O610)=0,"",COUNTIF(Y$33:Y$866,O610))</f>
        <v/>
      </c>
      <c r="Y610" s="240" t="e">
        <f t="array" ref="Y610">INDEX(Tabela.abordagens[],SMALL(IF(Tabela.abordagens[Mês]=$L$2,ROW(Tabela.abordagens[id])-2),ROW(A563)),1)</f>
        <v>#NUM!</v>
      </c>
      <c r="Z610" s="240" t="e">
        <f t="array" ref="Z610">INDEX(Tabela.abordagens[],SMALL(IF(Tabela.abordagens[Mês]=$L$2,ROW(Tabela.abordagens[Idade])-2),ROW(A563)),6)</f>
        <v>#NUM!</v>
      </c>
      <c r="AA610" s="240" t="e">
        <f t="array" ref="AA610">INDEX(Tabela.abordagens[],SMALL(IF(Tabela.abordagens[Mês]=$L$2,ROW(Tabela.abordagens[Idade])-2),ROW(A563)),4)</f>
        <v>#NUM!</v>
      </c>
      <c r="AB610" s="240" t="e">
        <f t="array" ref="AB610">INDEX(Tabela.abordagens[],SMALL(IF(Tabela.abordagens[Mês]=$L$2,ROW(Tabela.abordagens[Idade])-2),ROW(A563)),5)</f>
        <v>#NUM!</v>
      </c>
    </row>
    <row r="611" spans="2:28" ht="15" x14ac:dyDescent="0.25">
      <c r="B611" s="223" t="e">
        <f t="array" ref="B611">INDEX(Tabela.frequencia[],SMALL(IF(Tabela.frequencia[Mês]=$L$2,ROW(Tabela.frequencia[id])-1),ROW(A564)),1)</f>
        <v>#NUM!</v>
      </c>
      <c r="C611" s="229" t="e">
        <f t="array" ref="C611">INDEX(Tabela.frequencia[],SMALL(IF(Tabela.frequencia[Mês]=$L$2,ROW(Tabela.frequencia[id])-1),ROW(A564)),4)</f>
        <v>#NUM!</v>
      </c>
      <c r="E611" s="176" t="str">
        <f>IFERROR(VLOOKUP(D611,Tabela.cadastro[[ID]:[Nome]],2,0),"")</f>
        <v/>
      </c>
      <c r="F611" s="177" t="str">
        <f>IFERROR(VLOOKUP(D611,Tabela66[#All],2,0),"")</f>
        <v/>
      </c>
      <c r="G611" s="177" t="str">
        <f>IFERROR(VLOOKUP(D611,Tabela.cadastro[[ID]:[CP ou M]],5,0),"")</f>
        <v/>
      </c>
      <c r="H611" s="177" t="str">
        <f>IFERROR(VLOOKUP(D611,Cadastros!A:F,6,0),"")</f>
        <v/>
      </c>
      <c r="I611" s="177" t="str">
        <f>IFERROR(VLOOKUP(D611,Cadastros!A:I,9,0),"")</f>
        <v/>
      </c>
      <c r="J611" s="177" t="str">
        <f>IFERROR(VLOOKUP(D611,Cadastros!A:J,10,0),"")</f>
        <v/>
      </c>
      <c r="K611" s="177" t="str">
        <f>IF(COUNTIF(Tabela66[id],D611)=0,"",COUNTIF(Tabela66[id],D611))</f>
        <v/>
      </c>
      <c r="L611" s="198"/>
      <c r="M611" s="227" t="str">
        <f t="shared" si="45"/>
        <v/>
      </c>
      <c r="P611" s="176" t="str">
        <f>IFERROR(VLOOKUP(O611,Cadastros!A:B,2),"")</f>
        <v/>
      </c>
      <c r="Q611" s="177" t="str">
        <f t="shared" si="46"/>
        <v/>
      </c>
      <c r="R611" s="177" t="str">
        <f>IFERROR(VLOOKUP(O611,Cadastros!A:E,5,0),"")</f>
        <v/>
      </c>
      <c r="S611" s="177" t="str">
        <f>IFERROR(VLOOKUP(O611,Cadastros!A:F,6,0),"")</f>
        <v/>
      </c>
      <c r="T611" s="177" t="str">
        <f>IFERROR(VLOOKUP(O611,Cadastros!A:I,9,0),"")</f>
        <v/>
      </c>
      <c r="U611" s="177" t="str">
        <f t="shared" si="47"/>
        <v/>
      </c>
      <c r="V611" s="177" t="str">
        <f t="shared" si="48"/>
        <v/>
      </c>
      <c r="W611" s="177" t="str">
        <f t="shared" si="49"/>
        <v/>
      </c>
      <c r="Y611" s="240" t="e">
        <f t="array" ref="Y611">INDEX(Tabela.abordagens[],SMALL(IF(Tabela.abordagens[Mês]=$L$2,ROW(Tabela.abordagens[id])-2),ROW(A564)),1)</f>
        <v>#NUM!</v>
      </c>
      <c r="Z611" s="240" t="e">
        <f t="array" ref="Z611">INDEX(Tabela.abordagens[],SMALL(IF(Tabela.abordagens[Mês]=$L$2,ROW(Tabela.abordagens[Idade])-2),ROW(A564)),6)</f>
        <v>#NUM!</v>
      </c>
      <c r="AA611" s="240" t="e">
        <f t="array" ref="AA611">INDEX(Tabela.abordagens[],SMALL(IF(Tabela.abordagens[Mês]=$L$2,ROW(Tabela.abordagens[Idade])-2),ROW(A564)),4)</f>
        <v>#NUM!</v>
      </c>
      <c r="AB611" s="240" t="e">
        <f t="array" ref="AB611">INDEX(Tabela.abordagens[],SMALL(IF(Tabela.abordagens[Mês]=$L$2,ROW(Tabela.abordagens[Idade])-2),ROW(A564)),5)</f>
        <v>#NUM!</v>
      </c>
    </row>
    <row r="612" spans="2:28" ht="15" x14ac:dyDescent="0.25">
      <c r="B612" s="223" t="e">
        <f t="array" ref="B612">INDEX(Tabela.frequencia[],SMALL(IF(Tabela.frequencia[Mês]=$L$2,ROW(Tabela.frequencia[id])-1),ROW(A565)),1)</f>
        <v>#NUM!</v>
      </c>
      <c r="C612" s="229" t="e">
        <f t="array" ref="C612">INDEX(Tabela.frequencia[],SMALL(IF(Tabela.frequencia[Mês]=$L$2,ROW(Tabela.frequencia[id])-1),ROW(A565)),4)</f>
        <v>#NUM!</v>
      </c>
      <c r="E612" s="176" t="str">
        <f>IFERROR(VLOOKUP(D612,Tabela.cadastro[[ID]:[Nome]],2,0),"")</f>
        <v/>
      </c>
      <c r="F612" s="177" t="str">
        <f>IFERROR(VLOOKUP(D612,Tabela66[#All],2,0),"")</f>
        <v/>
      </c>
      <c r="G612" s="177" t="str">
        <f>IFERROR(VLOOKUP(D612,Tabela.cadastro[[ID]:[CP ou M]],5,0),"")</f>
        <v/>
      </c>
      <c r="H612" s="177" t="str">
        <f>IFERROR(VLOOKUP(D612,Cadastros!A:F,6,0),"")</f>
        <v/>
      </c>
      <c r="I612" s="177" t="str">
        <f>IFERROR(VLOOKUP(D612,Cadastros!A:I,9,0),"")</f>
        <v/>
      </c>
      <c r="J612" s="177" t="str">
        <f>IFERROR(VLOOKUP(D612,Cadastros!A:J,10,0),"")</f>
        <v/>
      </c>
      <c r="K612" s="177" t="str">
        <f>IF(COUNTIF(Tabela66[id],D612)=0,"",COUNTIF(Tabela66[id],D612))</f>
        <v/>
      </c>
      <c r="L612" s="198"/>
      <c r="M612" s="227" t="str">
        <f t="shared" si="45"/>
        <v/>
      </c>
      <c r="P612" s="176" t="str">
        <f>IFERROR(VLOOKUP(O612,Cadastros!A:B,2),"")</f>
        <v/>
      </c>
      <c r="Q612" s="177" t="str">
        <f t="shared" si="46"/>
        <v/>
      </c>
      <c r="R612" s="177" t="str">
        <f>IFERROR(VLOOKUP(O612,Cadastros!A:E,5,0),"")</f>
        <v/>
      </c>
      <c r="S612" s="177" t="str">
        <f>IFERROR(VLOOKUP(O612,Cadastros!A:F,6,0),"")</f>
        <v/>
      </c>
      <c r="T612" s="177" t="str">
        <f>IFERROR(VLOOKUP(O612,Cadastros!A:I,9,0),"")</f>
        <v/>
      </c>
      <c r="U612" s="177" t="str">
        <f t="shared" si="47"/>
        <v/>
      </c>
      <c r="V612" s="177" t="str">
        <f t="shared" si="48"/>
        <v/>
      </c>
      <c r="W612" s="177" t="str">
        <f t="shared" si="49"/>
        <v/>
      </c>
      <c r="Y612" s="240" t="e">
        <f t="array" ref="Y612">INDEX(Tabela.abordagens[],SMALL(IF(Tabela.abordagens[Mês]=$L$2,ROW(Tabela.abordagens[id])-2),ROW(A565)),1)</f>
        <v>#NUM!</v>
      </c>
      <c r="Z612" s="240" t="e">
        <f t="array" ref="Z612">INDEX(Tabela.abordagens[],SMALL(IF(Tabela.abordagens[Mês]=$L$2,ROW(Tabela.abordagens[Idade])-2),ROW(A565)),6)</f>
        <v>#NUM!</v>
      </c>
      <c r="AA612" s="240" t="e">
        <f t="array" ref="AA612">INDEX(Tabela.abordagens[],SMALL(IF(Tabela.abordagens[Mês]=$L$2,ROW(Tabela.abordagens[Idade])-2),ROW(A565)),4)</f>
        <v>#NUM!</v>
      </c>
      <c r="AB612" s="240" t="e">
        <f t="array" ref="AB612">INDEX(Tabela.abordagens[],SMALL(IF(Tabela.abordagens[Mês]=$L$2,ROW(Tabela.abordagens[Idade])-2),ROW(A565)),5)</f>
        <v>#NUM!</v>
      </c>
    </row>
    <row r="613" spans="2:28" ht="15" x14ac:dyDescent="0.25">
      <c r="B613" s="223" t="e">
        <f t="array" ref="B613">INDEX(Tabela.frequencia[],SMALL(IF(Tabela.frequencia[Mês]=$L$2,ROW(Tabela.frequencia[id])-1),ROW(A566)),1)</f>
        <v>#NUM!</v>
      </c>
      <c r="C613" s="229" t="e">
        <f t="array" ref="C613">INDEX(Tabela.frequencia[],SMALL(IF(Tabela.frequencia[Mês]=$L$2,ROW(Tabela.frequencia[id])-1),ROW(A566)),4)</f>
        <v>#NUM!</v>
      </c>
      <c r="E613" s="176" t="str">
        <f>IFERROR(VLOOKUP(D613,Tabela.cadastro[[ID]:[Nome]],2,0),"")</f>
        <v/>
      </c>
      <c r="F613" s="177" t="str">
        <f>IFERROR(VLOOKUP(D613,Tabela66[#All],2,0),"")</f>
        <v/>
      </c>
      <c r="G613" s="177" t="str">
        <f>IFERROR(VLOOKUP(D613,Tabela.cadastro[[ID]:[CP ou M]],5,0),"")</f>
        <v/>
      </c>
      <c r="H613" s="177" t="str">
        <f>IFERROR(VLOOKUP(D613,Cadastros!A:F,6,0),"")</f>
        <v/>
      </c>
      <c r="I613" s="177" t="str">
        <f>IFERROR(VLOOKUP(D613,Cadastros!A:I,9,0),"")</f>
        <v/>
      </c>
      <c r="J613" s="177" t="str">
        <f>IFERROR(VLOOKUP(D613,Cadastros!A:J,10,0),"")</f>
        <v/>
      </c>
      <c r="K613" s="177" t="str">
        <f>IF(COUNTIF(Tabela66[id],D613)=0,"",COUNTIF(Tabela66[id],D613))</f>
        <v/>
      </c>
      <c r="L613" s="198"/>
      <c r="M613" s="227" t="str">
        <f t="shared" si="45"/>
        <v/>
      </c>
      <c r="P613" s="176" t="str">
        <f>IFERROR(VLOOKUP(O613,Cadastros!A:B,2),"")</f>
        <v/>
      </c>
      <c r="Q613" s="177" t="str">
        <f t="shared" si="46"/>
        <v/>
      </c>
      <c r="R613" s="177" t="str">
        <f>IFERROR(VLOOKUP(O613,Cadastros!A:E,5,0),"")</f>
        <v/>
      </c>
      <c r="S613" s="177" t="str">
        <f>IFERROR(VLOOKUP(O613,Cadastros!A:F,6,0),"")</f>
        <v/>
      </c>
      <c r="T613" s="177" t="str">
        <f>IFERROR(VLOOKUP(O613,Cadastros!A:I,9,0),"")</f>
        <v/>
      </c>
      <c r="U613" s="177" t="str">
        <f t="shared" si="47"/>
        <v/>
      </c>
      <c r="V613" s="177" t="str">
        <f t="shared" si="48"/>
        <v/>
      </c>
      <c r="W613" s="177" t="str">
        <f t="shared" si="49"/>
        <v/>
      </c>
      <c r="Y613" s="240" t="e">
        <f t="array" ref="Y613">INDEX(Tabela.abordagens[],SMALL(IF(Tabela.abordagens[Mês]=$L$2,ROW(Tabela.abordagens[id])-2),ROW(A566)),1)</f>
        <v>#NUM!</v>
      </c>
      <c r="Z613" s="240" t="e">
        <f t="array" ref="Z613">INDEX(Tabela.abordagens[],SMALL(IF(Tabela.abordagens[Mês]=$L$2,ROW(Tabela.abordagens[Idade])-2),ROW(A566)),6)</f>
        <v>#NUM!</v>
      </c>
      <c r="AA613" s="240" t="e">
        <f t="array" ref="AA613">INDEX(Tabela.abordagens[],SMALL(IF(Tabela.abordagens[Mês]=$L$2,ROW(Tabela.abordagens[Idade])-2),ROW(A566)),4)</f>
        <v>#NUM!</v>
      </c>
      <c r="AB613" s="240" t="e">
        <f t="array" ref="AB613">INDEX(Tabela.abordagens[],SMALL(IF(Tabela.abordagens[Mês]=$L$2,ROW(Tabela.abordagens[Idade])-2),ROW(A566)),5)</f>
        <v>#NUM!</v>
      </c>
    </row>
    <row r="614" spans="2:28" ht="15" x14ac:dyDescent="0.25">
      <c r="B614" s="223" t="e">
        <f t="array" ref="B614">INDEX(Tabela.frequencia[],SMALL(IF(Tabela.frequencia[Mês]=$L$2,ROW(Tabela.frequencia[id])-1),ROW(A567)),1)</f>
        <v>#NUM!</v>
      </c>
      <c r="C614" s="229" t="e">
        <f t="array" ref="C614">INDEX(Tabela.frequencia[],SMALL(IF(Tabela.frequencia[Mês]=$L$2,ROW(Tabela.frequencia[id])-1),ROW(A567)),4)</f>
        <v>#NUM!</v>
      </c>
      <c r="E614" s="176" t="str">
        <f>IFERROR(VLOOKUP(D614,Tabela.cadastro[[ID]:[Nome]],2,0),"")</f>
        <v/>
      </c>
      <c r="F614" s="177" t="str">
        <f>IFERROR(VLOOKUP(D614,Tabela66[#All],2,0),"")</f>
        <v/>
      </c>
      <c r="G614" s="177" t="str">
        <f>IFERROR(VLOOKUP(D614,Tabela.cadastro[[ID]:[CP ou M]],5,0),"")</f>
        <v/>
      </c>
      <c r="H614" s="177" t="str">
        <f>IFERROR(VLOOKUP(D614,Cadastros!A:F,6,0),"")</f>
        <v/>
      </c>
      <c r="I614" s="177" t="str">
        <f>IFERROR(VLOOKUP(D614,Cadastros!A:I,9,0),"")</f>
        <v/>
      </c>
      <c r="J614" s="177" t="str">
        <f>IFERROR(VLOOKUP(D614,Cadastros!A:J,10,0),"")</f>
        <v/>
      </c>
      <c r="K614" s="177" t="str">
        <f>IF(COUNTIF(Tabela66[id],D614)=0,"",COUNTIF(Tabela66[id],D614))</f>
        <v/>
      </c>
      <c r="L614" s="198"/>
      <c r="M614" s="227" t="str">
        <f t="shared" si="45"/>
        <v/>
      </c>
      <c r="P614" s="176" t="str">
        <f>IFERROR(VLOOKUP(O614,Cadastros!A:B,2),"")</f>
        <v/>
      </c>
      <c r="Q614" s="177" t="str">
        <f t="shared" si="46"/>
        <v/>
      </c>
      <c r="R614" s="177" t="str">
        <f>IFERROR(VLOOKUP(O614,Cadastros!A:E,5,0),"")</f>
        <v/>
      </c>
      <c r="S614" s="177" t="str">
        <f>IFERROR(VLOOKUP(O614,Cadastros!A:F,6,0),"")</f>
        <v/>
      </c>
      <c r="T614" s="177" t="str">
        <f>IFERROR(VLOOKUP(O614,Cadastros!A:I,9,0),"")</f>
        <v/>
      </c>
      <c r="U614" s="177" t="str">
        <f t="shared" si="47"/>
        <v/>
      </c>
      <c r="V614" s="177" t="str">
        <f t="shared" si="48"/>
        <v/>
      </c>
      <c r="W614" s="177" t="str">
        <f t="shared" si="49"/>
        <v/>
      </c>
      <c r="Y614" s="240" t="e">
        <f t="array" ref="Y614">INDEX(Tabela.abordagens[],SMALL(IF(Tabela.abordagens[Mês]=$L$2,ROW(Tabela.abordagens[id])-2),ROW(A567)),1)</f>
        <v>#NUM!</v>
      </c>
      <c r="Z614" s="240" t="e">
        <f t="array" ref="Z614">INDEX(Tabela.abordagens[],SMALL(IF(Tabela.abordagens[Mês]=$L$2,ROW(Tabela.abordagens[Idade])-2),ROW(A567)),6)</f>
        <v>#NUM!</v>
      </c>
      <c r="AA614" s="240" t="e">
        <f t="array" ref="AA614">INDEX(Tabela.abordagens[],SMALL(IF(Tabela.abordagens[Mês]=$L$2,ROW(Tabela.abordagens[Idade])-2),ROW(A567)),4)</f>
        <v>#NUM!</v>
      </c>
      <c r="AB614" s="240" t="e">
        <f t="array" ref="AB614">INDEX(Tabela.abordagens[],SMALL(IF(Tabela.abordagens[Mês]=$L$2,ROW(Tabela.abordagens[Idade])-2),ROW(A567)),5)</f>
        <v>#NUM!</v>
      </c>
    </row>
    <row r="615" spans="2:28" ht="15" x14ac:dyDescent="0.25">
      <c r="B615" s="223" t="e">
        <f t="array" ref="B615">INDEX(Tabela.frequencia[],SMALL(IF(Tabela.frequencia[Mês]=$L$2,ROW(Tabela.frequencia[id])-1),ROW(A568)),1)</f>
        <v>#NUM!</v>
      </c>
      <c r="C615" s="229" t="e">
        <f t="array" ref="C615">INDEX(Tabela.frequencia[],SMALL(IF(Tabela.frequencia[Mês]=$L$2,ROW(Tabela.frequencia[id])-1),ROW(A568)),4)</f>
        <v>#NUM!</v>
      </c>
      <c r="E615" s="176" t="str">
        <f>IFERROR(VLOOKUP(D615,Tabela.cadastro[[ID]:[Nome]],2,0),"")</f>
        <v/>
      </c>
      <c r="F615" s="177" t="str">
        <f>IFERROR(VLOOKUP(D615,Tabela66[#All],2,0),"")</f>
        <v/>
      </c>
      <c r="G615" s="177" t="str">
        <f>IFERROR(VLOOKUP(D615,Tabela.cadastro[[ID]:[CP ou M]],5,0),"")</f>
        <v/>
      </c>
      <c r="H615" s="177" t="str">
        <f>IFERROR(VLOOKUP(D615,Cadastros!A:F,6,0),"")</f>
        <v/>
      </c>
      <c r="I615" s="177" t="str">
        <f>IFERROR(VLOOKUP(D615,Cadastros!A:I,9,0),"")</f>
        <v/>
      </c>
      <c r="J615" s="177" t="str">
        <f>IFERROR(VLOOKUP(D615,Cadastros!A:J,10,0),"")</f>
        <v/>
      </c>
      <c r="K615" s="177" t="str">
        <f>IF(COUNTIF(Tabela66[id],D615)=0,"",COUNTIF(Tabela66[id],D615))</f>
        <v/>
      </c>
      <c r="L615" s="198"/>
      <c r="M615" s="227" t="str">
        <f t="shared" si="45"/>
        <v/>
      </c>
      <c r="P615" s="176" t="str">
        <f>IFERROR(VLOOKUP(O615,Cadastros!A:B,2),"")</f>
        <v/>
      </c>
      <c r="Q615" s="177" t="str">
        <f t="shared" si="46"/>
        <v/>
      </c>
      <c r="R615" s="177" t="str">
        <f>IFERROR(VLOOKUP(O615,Cadastros!A:E,5,0),"")</f>
        <v/>
      </c>
      <c r="S615" s="177" t="str">
        <f>IFERROR(VLOOKUP(O615,Cadastros!A:F,6,0),"")</f>
        <v/>
      </c>
      <c r="T615" s="177" t="str">
        <f>IFERROR(VLOOKUP(O615,Cadastros!A:I,9,0),"")</f>
        <v/>
      </c>
      <c r="U615" s="177" t="str">
        <f t="shared" si="47"/>
        <v/>
      </c>
      <c r="V615" s="177" t="str">
        <f t="shared" si="48"/>
        <v/>
      </c>
      <c r="W615" s="177" t="str">
        <f t="shared" si="49"/>
        <v/>
      </c>
      <c r="Y615" s="240" t="e">
        <f t="array" ref="Y615">INDEX(Tabela.abordagens[],SMALL(IF(Tabela.abordagens[Mês]=$L$2,ROW(Tabela.abordagens[id])-2),ROW(A568)),1)</f>
        <v>#NUM!</v>
      </c>
      <c r="Z615" s="240" t="e">
        <f t="array" ref="Z615">INDEX(Tabela.abordagens[],SMALL(IF(Tabela.abordagens[Mês]=$L$2,ROW(Tabela.abordagens[Idade])-2),ROW(A568)),6)</f>
        <v>#NUM!</v>
      </c>
      <c r="AA615" s="240" t="e">
        <f t="array" ref="AA615">INDEX(Tabela.abordagens[],SMALL(IF(Tabela.abordagens[Mês]=$L$2,ROW(Tabela.abordagens[Idade])-2),ROW(A568)),4)</f>
        <v>#NUM!</v>
      </c>
      <c r="AB615" s="240" t="e">
        <f t="array" ref="AB615">INDEX(Tabela.abordagens[],SMALL(IF(Tabela.abordagens[Mês]=$L$2,ROW(Tabela.abordagens[Idade])-2),ROW(A568)),5)</f>
        <v>#NUM!</v>
      </c>
    </row>
    <row r="616" spans="2:28" ht="15" x14ac:dyDescent="0.25">
      <c r="B616" s="223" t="e">
        <f t="array" ref="B616">INDEX(Tabela.frequencia[],SMALL(IF(Tabela.frequencia[Mês]=$L$2,ROW(Tabela.frequencia[id])-1),ROW(A569)),1)</f>
        <v>#NUM!</v>
      </c>
      <c r="C616" s="229" t="e">
        <f t="array" ref="C616">INDEX(Tabela.frequencia[],SMALL(IF(Tabela.frequencia[Mês]=$L$2,ROW(Tabela.frequencia[id])-1),ROW(A569)),4)</f>
        <v>#NUM!</v>
      </c>
      <c r="E616" s="176" t="str">
        <f>IFERROR(VLOOKUP(D616,Tabela.cadastro[[ID]:[Nome]],2,0),"")</f>
        <v/>
      </c>
      <c r="F616" s="177" t="str">
        <f>IFERROR(VLOOKUP(D616,Tabela66[#All],2,0),"")</f>
        <v/>
      </c>
      <c r="G616" s="177" t="str">
        <f>IFERROR(VLOOKUP(D616,Tabela.cadastro[[ID]:[CP ou M]],5,0),"")</f>
        <v/>
      </c>
      <c r="H616" s="177" t="str">
        <f>IFERROR(VLOOKUP(D616,Cadastros!A:F,6,0),"")</f>
        <v/>
      </c>
      <c r="I616" s="177" t="str">
        <f>IFERROR(VLOOKUP(D616,Cadastros!A:I,9,0),"")</f>
        <v/>
      </c>
      <c r="J616" s="177" t="str">
        <f>IFERROR(VLOOKUP(D616,Cadastros!A:J,10,0),"")</f>
        <v/>
      </c>
      <c r="K616" s="177" t="str">
        <f>IF(COUNTIF(Tabela66[id],D616)=0,"",COUNTIF(Tabela66[id],D616))</f>
        <v/>
      </c>
      <c r="L616" s="198"/>
      <c r="M616" s="227" t="str">
        <f t="shared" si="45"/>
        <v/>
      </c>
      <c r="P616" s="176" t="str">
        <f>IFERROR(VLOOKUP(O616,Cadastros!A:B,2),"")</f>
        <v/>
      </c>
      <c r="Q616" s="177" t="str">
        <f t="shared" si="46"/>
        <v/>
      </c>
      <c r="R616" s="177" t="str">
        <f>IFERROR(VLOOKUP(O616,Cadastros!A:E,5,0),"")</f>
        <v/>
      </c>
      <c r="S616" s="177" t="str">
        <f>IFERROR(VLOOKUP(O616,Cadastros!A:F,6,0),"")</f>
        <v/>
      </c>
      <c r="T616" s="177" t="str">
        <f>IFERROR(VLOOKUP(O616,Cadastros!A:I,9,0),"")</f>
        <v/>
      </c>
      <c r="U616" s="177" t="str">
        <f t="shared" si="47"/>
        <v/>
      </c>
      <c r="V616" s="177" t="str">
        <f t="shared" si="48"/>
        <v/>
      </c>
      <c r="W616" s="177" t="str">
        <f t="shared" si="49"/>
        <v/>
      </c>
      <c r="Y616" s="240" t="e">
        <f t="array" ref="Y616">INDEX(Tabela.abordagens[],SMALL(IF(Tabela.abordagens[Mês]=$L$2,ROW(Tabela.abordagens[id])-2),ROW(A569)),1)</f>
        <v>#NUM!</v>
      </c>
      <c r="Z616" s="240" t="e">
        <f t="array" ref="Z616">INDEX(Tabela.abordagens[],SMALL(IF(Tabela.abordagens[Mês]=$L$2,ROW(Tabela.abordagens[Idade])-2),ROW(A569)),6)</f>
        <v>#NUM!</v>
      </c>
      <c r="AA616" s="240" t="e">
        <f t="array" ref="AA616">INDEX(Tabela.abordagens[],SMALL(IF(Tabela.abordagens[Mês]=$L$2,ROW(Tabela.abordagens[Idade])-2),ROW(A569)),4)</f>
        <v>#NUM!</v>
      </c>
      <c r="AB616" s="240" t="e">
        <f t="array" ref="AB616">INDEX(Tabela.abordagens[],SMALL(IF(Tabela.abordagens[Mês]=$L$2,ROW(Tabela.abordagens[Idade])-2),ROW(A569)),5)</f>
        <v>#NUM!</v>
      </c>
    </row>
    <row r="617" spans="2:28" ht="15" x14ac:dyDescent="0.25">
      <c r="B617" s="223" t="e">
        <f t="array" ref="B617">INDEX(Tabela.frequencia[],SMALL(IF(Tabela.frequencia[Mês]=$L$2,ROW(Tabela.frequencia[id])-1),ROW(A570)),1)</f>
        <v>#NUM!</v>
      </c>
      <c r="C617" s="229" t="e">
        <f t="array" ref="C617">INDEX(Tabela.frequencia[],SMALL(IF(Tabela.frequencia[Mês]=$L$2,ROW(Tabela.frequencia[id])-1),ROW(A570)),4)</f>
        <v>#NUM!</v>
      </c>
      <c r="E617" s="176" t="str">
        <f>IFERROR(VLOOKUP(D617,Tabela.cadastro[[ID]:[Nome]],2,0),"")</f>
        <v/>
      </c>
      <c r="F617" s="177" t="str">
        <f>IFERROR(VLOOKUP(D617,Tabela66[#All],2,0),"")</f>
        <v/>
      </c>
      <c r="G617" s="177" t="str">
        <f>IFERROR(VLOOKUP(D617,Tabela.cadastro[[ID]:[CP ou M]],5,0),"")</f>
        <v/>
      </c>
      <c r="H617" s="177" t="str">
        <f>IFERROR(VLOOKUP(D617,Cadastros!A:F,6,0),"")</f>
        <v/>
      </c>
      <c r="I617" s="177" t="str">
        <f>IFERROR(VLOOKUP(D617,Cadastros!A:I,9,0),"")</f>
        <v/>
      </c>
      <c r="J617" s="177" t="str">
        <f>IFERROR(VLOOKUP(D617,Cadastros!A:J,10,0),"")</f>
        <v/>
      </c>
      <c r="K617" s="177" t="str">
        <f>IF(COUNTIF(Tabela66[id],D617)=0,"",COUNTIF(Tabela66[id],D617))</f>
        <v/>
      </c>
      <c r="L617" s="198"/>
      <c r="M617" s="227" t="str">
        <f t="shared" si="45"/>
        <v/>
      </c>
      <c r="P617" s="176" t="str">
        <f>IFERROR(VLOOKUP(O617,Cadastros!A:B,2),"")</f>
        <v/>
      </c>
      <c r="Q617" s="177" t="str">
        <f t="shared" si="46"/>
        <v/>
      </c>
      <c r="R617" s="177" t="str">
        <f>IFERROR(VLOOKUP(O617,Cadastros!A:E,5,0),"")</f>
        <v/>
      </c>
      <c r="S617" s="177" t="str">
        <f>IFERROR(VLOOKUP(O617,Cadastros!A:F,6,0),"")</f>
        <v/>
      </c>
      <c r="T617" s="177" t="str">
        <f>IFERROR(VLOOKUP(O617,Cadastros!A:I,9,0),"")</f>
        <v/>
      </c>
      <c r="U617" s="177" t="str">
        <f t="shared" si="47"/>
        <v/>
      </c>
      <c r="V617" s="177" t="str">
        <f t="shared" si="48"/>
        <v/>
      </c>
      <c r="W617" s="177" t="str">
        <f t="shared" si="49"/>
        <v/>
      </c>
      <c r="Y617" s="240" t="e">
        <f t="array" ref="Y617">INDEX(Tabela.abordagens[],SMALL(IF(Tabela.abordagens[Mês]=$L$2,ROW(Tabela.abordagens[id])-2),ROW(A570)),1)</f>
        <v>#NUM!</v>
      </c>
      <c r="Z617" s="240" t="e">
        <f t="array" ref="Z617">INDEX(Tabela.abordagens[],SMALL(IF(Tabela.abordagens[Mês]=$L$2,ROW(Tabela.abordagens[Idade])-2),ROW(A570)),6)</f>
        <v>#NUM!</v>
      </c>
      <c r="AA617" s="240" t="e">
        <f t="array" ref="AA617">INDEX(Tabela.abordagens[],SMALL(IF(Tabela.abordagens[Mês]=$L$2,ROW(Tabela.abordagens[Idade])-2),ROW(A570)),4)</f>
        <v>#NUM!</v>
      </c>
      <c r="AB617" s="240" t="e">
        <f t="array" ref="AB617">INDEX(Tabela.abordagens[],SMALL(IF(Tabela.abordagens[Mês]=$L$2,ROW(Tabela.abordagens[Idade])-2),ROW(A570)),5)</f>
        <v>#NUM!</v>
      </c>
    </row>
    <row r="618" spans="2:28" ht="15" x14ac:dyDescent="0.25">
      <c r="B618" s="223" t="e">
        <f t="array" ref="B618">INDEX(Tabela.frequencia[],SMALL(IF(Tabela.frequencia[Mês]=$L$2,ROW(Tabela.frequencia[id])-1),ROW(A571)),1)</f>
        <v>#NUM!</v>
      </c>
      <c r="C618" s="229" t="e">
        <f t="array" ref="C618">INDEX(Tabela.frequencia[],SMALL(IF(Tabela.frequencia[Mês]=$L$2,ROW(Tabela.frequencia[id])-1),ROW(A571)),4)</f>
        <v>#NUM!</v>
      </c>
      <c r="E618" s="176" t="str">
        <f>IFERROR(VLOOKUP(D618,Tabela.cadastro[[ID]:[Nome]],2,0),"")</f>
        <v/>
      </c>
      <c r="F618" s="177" t="str">
        <f>IFERROR(VLOOKUP(D618,Tabela66[#All],2,0),"")</f>
        <v/>
      </c>
      <c r="G618" s="177" t="str">
        <f>IFERROR(VLOOKUP(D618,Tabela.cadastro[[ID]:[CP ou M]],5,0),"")</f>
        <v/>
      </c>
      <c r="H618" s="177" t="str">
        <f>IFERROR(VLOOKUP(D618,Cadastros!A:F,6,0),"")</f>
        <v/>
      </c>
      <c r="I618" s="177" t="str">
        <f>IFERROR(VLOOKUP(D618,Cadastros!A:I,9,0),"")</f>
        <v/>
      </c>
      <c r="J618" s="177" t="str">
        <f>IFERROR(VLOOKUP(D618,Cadastros!A:J,10,0),"")</f>
        <v/>
      </c>
      <c r="K618" s="177" t="str">
        <f>IF(COUNTIF(Tabela66[id],D618)=0,"",COUNTIF(Tabela66[id],D618))</f>
        <v/>
      </c>
      <c r="L618" s="198"/>
      <c r="M618" s="227" t="str">
        <f t="shared" ref="M618:M681" si="50">IF(AND(K618:K1449&gt;=5,L618:L1449="Não"),"*","")</f>
        <v/>
      </c>
      <c r="P618" s="176" t="str">
        <f>IFERROR(VLOOKUP(O618,Cadastros!A:B,2),"")</f>
        <v/>
      </c>
      <c r="Q618" s="177" t="str">
        <f t="shared" si="46"/>
        <v/>
      </c>
      <c r="R618" s="177" t="str">
        <f>IFERROR(VLOOKUP(O618,Cadastros!A:E,5,0),"")</f>
        <v/>
      </c>
      <c r="S618" s="177" t="str">
        <f>IFERROR(VLOOKUP(O618,Cadastros!A:F,6,0),"")</f>
        <v/>
      </c>
      <c r="T618" s="177" t="str">
        <f>IFERROR(VLOOKUP(O618,Cadastros!A:I,9,0),"")</f>
        <v/>
      </c>
      <c r="U618" s="177" t="str">
        <f t="shared" si="47"/>
        <v/>
      </c>
      <c r="V618" s="177" t="str">
        <f t="shared" si="48"/>
        <v/>
      </c>
      <c r="W618" s="177" t="str">
        <f t="shared" si="49"/>
        <v/>
      </c>
      <c r="Y618" s="240" t="e">
        <f t="array" ref="Y618">INDEX(Tabela.abordagens[],SMALL(IF(Tabela.abordagens[Mês]=$L$2,ROW(Tabela.abordagens[id])-2),ROW(A571)),1)</f>
        <v>#NUM!</v>
      </c>
      <c r="Z618" s="240" t="e">
        <f t="array" ref="Z618">INDEX(Tabela.abordagens[],SMALL(IF(Tabela.abordagens[Mês]=$L$2,ROW(Tabela.abordagens[Idade])-2),ROW(A571)),6)</f>
        <v>#NUM!</v>
      </c>
      <c r="AA618" s="240" t="e">
        <f t="array" ref="AA618">INDEX(Tabela.abordagens[],SMALL(IF(Tabela.abordagens[Mês]=$L$2,ROW(Tabela.abordagens[Idade])-2),ROW(A571)),4)</f>
        <v>#NUM!</v>
      </c>
      <c r="AB618" s="240" t="e">
        <f t="array" ref="AB618">INDEX(Tabela.abordagens[],SMALL(IF(Tabela.abordagens[Mês]=$L$2,ROW(Tabela.abordagens[Idade])-2),ROW(A571)),5)</f>
        <v>#NUM!</v>
      </c>
    </row>
    <row r="619" spans="2:28" ht="15" x14ac:dyDescent="0.25">
      <c r="B619" s="223" t="e">
        <f t="array" ref="B619">INDEX(Tabela.frequencia[],SMALL(IF(Tabela.frequencia[Mês]=$L$2,ROW(Tabela.frequencia[id])-1),ROW(A572)),1)</f>
        <v>#NUM!</v>
      </c>
      <c r="C619" s="229" t="e">
        <f t="array" ref="C619">INDEX(Tabela.frequencia[],SMALL(IF(Tabela.frequencia[Mês]=$L$2,ROW(Tabela.frequencia[id])-1),ROW(A572)),4)</f>
        <v>#NUM!</v>
      </c>
      <c r="E619" s="176" t="str">
        <f>IFERROR(VLOOKUP(D619,Tabela.cadastro[[ID]:[Nome]],2,0),"")</f>
        <v/>
      </c>
      <c r="F619" s="177" t="str">
        <f>IFERROR(VLOOKUP(D619,Tabela66[#All],2,0),"")</f>
        <v/>
      </c>
      <c r="G619" s="177" t="str">
        <f>IFERROR(VLOOKUP(D619,Tabela.cadastro[[ID]:[CP ou M]],5,0),"")</f>
        <v/>
      </c>
      <c r="H619" s="177" t="str">
        <f>IFERROR(VLOOKUP(D619,Cadastros!A:F,6,0),"")</f>
        <v/>
      </c>
      <c r="I619" s="177" t="str">
        <f>IFERROR(VLOOKUP(D619,Cadastros!A:I,9,0),"")</f>
        <v/>
      </c>
      <c r="J619" s="177" t="str">
        <f>IFERROR(VLOOKUP(D619,Cadastros!A:J,10,0),"")</f>
        <v/>
      </c>
      <c r="K619" s="177" t="str">
        <f>IF(COUNTIF(Tabela66[id],D619)=0,"",COUNTIF(Tabela66[id],D619))</f>
        <v/>
      </c>
      <c r="L619" s="198"/>
      <c r="M619" s="227" t="str">
        <f t="shared" si="50"/>
        <v/>
      </c>
      <c r="P619" s="176" t="str">
        <f>IFERROR(VLOOKUP(O619,Cadastros!A:B,2),"")</f>
        <v/>
      </c>
      <c r="Q619" s="177" t="str">
        <f t="shared" si="46"/>
        <v/>
      </c>
      <c r="R619" s="177" t="str">
        <f>IFERROR(VLOOKUP(O619,Cadastros!A:E,5,0),"")</f>
        <v/>
      </c>
      <c r="S619" s="177" t="str">
        <f>IFERROR(VLOOKUP(O619,Cadastros!A:F,6,0),"")</f>
        <v/>
      </c>
      <c r="T619" s="177" t="str">
        <f>IFERROR(VLOOKUP(O619,Cadastros!A:I,9,0),"")</f>
        <v/>
      </c>
      <c r="U619" s="177" t="str">
        <f t="shared" si="47"/>
        <v/>
      </c>
      <c r="V619" s="177" t="str">
        <f t="shared" si="48"/>
        <v/>
      </c>
      <c r="W619" s="177" t="str">
        <f t="shared" si="49"/>
        <v/>
      </c>
      <c r="Y619" s="240" t="e">
        <f t="array" ref="Y619">INDEX(Tabela.abordagens[],SMALL(IF(Tabela.abordagens[Mês]=$L$2,ROW(Tabela.abordagens[id])-2),ROW(A572)),1)</f>
        <v>#NUM!</v>
      </c>
      <c r="Z619" s="240" t="e">
        <f t="array" ref="Z619">INDEX(Tabela.abordagens[],SMALL(IF(Tabela.abordagens[Mês]=$L$2,ROW(Tabela.abordagens[Idade])-2),ROW(A572)),6)</f>
        <v>#NUM!</v>
      </c>
      <c r="AA619" s="240" t="e">
        <f t="array" ref="AA619">INDEX(Tabela.abordagens[],SMALL(IF(Tabela.abordagens[Mês]=$L$2,ROW(Tabela.abordagens[Idade])-2),ROW(A572)),4)</f>
        <v>#NUM!</v>
      </c>
      <c r="AB619" s="240" t="e">
        <f t="array" ref="AB619">INDEX(Tabela.abordagens[],SMALL(IF(Tabela.abordagens[Mês]=$L$2,ROW(Tabela.abordagens[Idade])-2),ROW(A572)),5)</f>
        <v>#NUM!</v>
      </c>
    </row>
    <row r="620" spans="2:28" ht="15" x14ac:dyDescent="0.25">
      <c r="B620" s="223" t="e">
        <f t="array" ref="B620">INDEX(Tabela.frequencia[],SMALL(IF(Tabela.frequencia[Mês]=$L$2,ROW(Tabela.frequencia[id])-1),ROW(A573)),1)</f>
        <v>#NUM!</v>
      </c>
      <c r="C620" s="229" t="e">
        <f t="array" ref="C620">INDEX(Tabela.frequencia[],SMALL(IF(Tabela.frequencia[Mês]=$L$2,ROW(Tabela.frequencia[id])-1),ROW(A573)),4)</f>
        <v>#NUM!</v>
      </c>
      <c r="E620" s="176" t="str">
        <f>IFERROR(VLOOKUP(D620,Tabela.cadastro[[ID]:[Nome]],2,0),"")</f>
        <v/>
      </c>
      <c r="F620" s="177" t="str">
        <f>IFERROR(VLOOKUP(D620,Tabela66[#All],2,0),"")</f>
        <v/>
      </c>
      <c r="G620" s="177" t="str">
        <f>IFERROR(VLOOKUP(D620,Tabela.cadastro[[ID]:[CP ou M]],5,0),"")</f>
        <v/>
      </c>
      <c r="H620" s="177" t="str">
        <f>IFERROR(VLOOKUP(D620,Cadastros!A:F,6,0),"")</f>
        <v/>
      </c>
      <c r="I620" s="177" t="str">
        <f>IFERROR(VLOOKUP(D620,Cadastros!A:I,9,0),"")</f>
        <v/>
      </c>
      <c r="J620" s="177" t="str">
        <f>IFERROR(VLOOKUP(D620,Cadastros!A:J,10,0),"")</f>
        <v/>
      </c>
      <c r="K620" s="177" t="str">
        <f>IF(COUNTIF(Tabela66[id],D620)=0,"",COUNTIF(Tabela66[id],D620))</f>
        <v/>
      </c>
      <c r="L620" s="198"/>
      <c r="M620" s="227" t="str">
        <f t="shared" si="50"/>
        <v/>
      </c>
      <c r="P620" s="176" t="str">
        <f>IFERROR(VLOOKUP(O620,Cadastros!A:B,2),"")</f>
        <v/>
      </c>
      <c r="Q620" s="177" t="str">
        <f t="shared" si="46"/>
        <v/>
      </c>
      <c r="R620" s="177" t="str">
        <f>IFERROR(VLOOKUP(O620,Cadastros!A:E,5,0),"")</f>
        <v/>
      </c>
      <c r="S620" s="177" t="str">
        <f>IFERROR(VLOOKUP(O620,Cadastros!A:F,6,0),"")</f>
        <v/>
      </c>
      <c r="T620" s="177" t="str">
        <f>IFERROR(VLOOKUP(O620,Cadastros!A:I,9,0),"")</f>
        <v/>
      </c>
      <c r="U620" s="177" t="str">
        <f t="shared" si="47"/>
        <v/>
      </c>
      <c r="V620" s="177" t="str">
        <f t="shared" si="48"/>
        <v/>
      </c>
      <c r="W620" s="177" t="str">
        <f t="shared" si="49"/>
        <v/>
      </c>
      <c r="Y620" s="240" t="e">
        <f t="array" ref="Y620">INDEX(Tabela.abordagens[],SMALL(IF(Tabela.abordagens[Mês]=$L$2,ROW(Tabela.abordagens[id])-2),ROW(A573)),1)</f>
        <v>#NUM!</v>
      </c>
      <c r="Z620" s="240" t="e">
        <f t="array" ref="Z620">INDEX(Tabela.abordagens[],SMALL(IF(Tabela.abordagens[Mês]=$L$2,ROW(Tabela.abordagens[Idade])-2),ROW(A573)),6)</f>
        <v>#NUM!</v>
      </c>
      <c r="AA620" s="240" t="e">
        <f t="array" ref="AA620">INDEX(Tabela.abordagens[],SMALL(IF(Tabela.abordagens[Mês]=$L$2,ROW(Tabela.abordagens[Idade])-2),ROW(A573)),4)</f>
        <v>#NUM!</v>
      </c>
      <c r="AB620" s="240" t="e">
        <f t="array" ref="AB620">INDEX(Tabela.abordagens[],SMALL(IF(Tabela.abordagens[Mês]=$L$2,ROW(Tabela.abordagens[Idade])-2),ROW(A573)),5)</f>
        <v>#NUM!</v>
      </c>
    </row>
    <row r="621" spans="2:28" ht="15" x14ac:dyDescent="0.25">
      <c r="B621" s="223" t="e">
        <f t="array" ref="B621">INDEX(Tabela.frequencia[],SMALL(IF(Tabela.frequencia[Mês]=$L$2,ROW(Tabela.frequencia[id])-1),ROW(A574)),1)</f>
        <v>#NUM!</v>
      </c>
      <c r="C621" s="229" t="e">
        <f t="array" ref="C621">INDEX(Tabela.frequencia[],SMALL(IF(Tabela.frequencia[Mês]=$L$2,ROW(Tabela.frequencia[id])-1),ROW(A574)),4)</f>
        <v>#NUM!</v>
      </c>
      <c r="E621" s="176" t="str">
        <f>IFERROR(VLOOKUP(D621,Tabela.cadastro[[ID]:[Nome]],2,0),"")</f>
        <v/>
      </c>
      <c r="F621" s="177" t="str">
        <f>IFERROR(VLOOKUP(D621,Tabela66[#All],2,0),"")</f>
        <v/>
      </c>
      <c r="G621" s="177" t="str">
        <f>IFERROR(VLOOKUP(D621,Tabela.cadastro[[ID]:[CP ou M]],5,0),"")</f>
        <v/>
      </c>
      <c r="H621" s="177" t="str">
        <f>IFERROR(VLOOKUP(D621,Cadastros!A:F,6,0),"")</f>
        <v/>
      </c>
      <c r="I621" s="177" t="str">
        <f>IFERROR(VLOOKUP(D621,Cadastros!A:I,9,0),"")</f>
        <v/>
      </c>
      <c r="J621" s="177" t="str">
        <f>IFERROR(VLOOKUP(D621,Cadastros!A:J,10,0),"")</f>
        <v/>
      </c>
      <c r="K621" s="177" t="str">
        <f>IF(COUNTIF(Tabela66[id],D621)=0,"",COUNTIF(Tabela66[id],D621))</f>
        <v/>
      </c>
      <c r="L621" s="198"/>
      <c r="M621" s="227" t="str">
        <f t="shared" si="50"/>
        <v/>
      </c>
      <c r="P621" s="176" t="str">
        <f>IFERROR(VLOOKUP(O621,Cadastros!A:B,2),"")</f>
        <v/>
      </c>
      <c r="Q621" s="177" t="str">
        <f t="shared" si="46"/>
        <v/>
      </c>
      <c r="R621" s="177" t="str">
        <f>IFERROR(VLOOKUP(O621,Cadastros!A:E,5,0),"")</f>
        <v/>
      </c>
      <c r="S621" s="177" t="str">
        <f>IFERROR(VLOOKUP(O621,Cadastros!A:F,6,0),"")</f>
        <v/>
      </c>
      <c r="T621" s="177" t="str">
        <f>IFERROR(VLOOKUP(O621,Cadastros!A:I,9,0),"")</f>
        <v/>
      </c>
      <c r="U621" s="177" t="str">
        <f t="shared" si="47"/>
        <v/>
      </c>
      <c r="V621" s="177" t="str">
        <f t="shared" si="48"/>
        <v/>
      </c>
      <c r="W621" s="177" t="str">
        <f t="shared" si="49"/>
        <v/>
      </c>
      <c r="Y621" s="240" t="e">
        <f t="array" ref="Y621">INDEX(Tabela.abordagens[],SMALL(IF(Tabela.abordagens[Mês]=$L$2,ROW(Tabela.abordagens[id])-2),ROW(A574)),1)</f>
        <v>#NUM!</v>
      </c>
      <c r="Z621" s="240" t="e">
        <f t="array" ref="Z621">INDEX(Tabela.abordagens[],SMALL(IF(Tabela.abordagens[Mês]=$L$2,ROW(Tabela.abordagens[Idade])-2),ROW(A574)),6)</f>
        <v>#NUM!</v>
      </c>
      <c r="AA621" s="240" t="e">
        <f t="array" ref="AA621">INDEX(Tabela.abordagens[],SMALL(IF(Tabela.abordagens[Mês]=$L$2,ROW(Tabela.abordagens[Idade])-2),ROW(A574)),4)</f>
        <v>#NUM!</v>
      </c>
      <c r="AB621" s="240" t="e">
        <f t="array" ref="AB621">INDEX(Tabela.abordagens[],SMALL(IF(Tabela.abordagens[Mês]=$L$2,ROW(Tabela.abordagens[Idade])-2),ROW(A574)),5)</f>
        <v>#NUM!</v>
      </c>
    </row>
    <row r="622" spans="2:28" ht="15" x14ac:dyDescent="0.25">
      <c r="B622" s="223" t="e">
        <f t="array" ref="B622">INDEX(Tabela.frequencia[],SMALL(IF(Tabela.frequencia[Mês]=$L$2,ROW(Tabela.frequencia[id])-1),ROW(A575)),1)</f>
        <v>#NUM!</v>
      </c>
      <c r="C622" s="229" t="e">
        <f t="array" ref="C622">INDEX(Tabela.frequencia[],SMALL(IF(Tabela.frequencia[Mês]=$L$2,ROW(Tabela.frequencia[id])-1),ROW(A575)),4)</f>
        <v>#NUM!</v>
      </c>
      <c r="E622" s="176" t="str">
        <f>IFERROR(VLOOKUP(D622,Tabela.cadastro[[ID]:[Nome]],2,0),"")</f>
        <v/>
      </c>
      <c r="F622" s="177" t="str">
        <f>IFERROR(VLOOKUP(D622,Tabela66[#All],2,0),"")</f>
        <v/>
      </c>
      <c r="G622" s="177" t="str">
        <f>IFERROR(VLOOKUP(D622,Tabela.cadastro[[ID]:[CP ou M]],5,0),"")</f>
        <v/>
      </c>
      <c r="H622" s="177" t="str">
        <f>IFERROR(VLOOKUP(D622,Cadastros!A:F,6,0),"")</f>
        <v/>
      </c>
      <c r="I622" s="177" t="str">
        <f>IFERROR(VLOOKUP(D622,Cadastros!A:I,9,0),"")</f>
        <v/>
      </c>
      <c r="J622" s="177" t="str">
        <f>IFERROR(VLOOKUP(D622,Cadastros!A:J,10,0),"")</f>
        <v/>
      </c>
      <c r="K622" s="177" t="str">
        <f>IF(COUNTIF(Tabela66[id],D622)=0,"",COUNTIF(Tabela66[id],D622))</f>
        <v/>
      </c>
      <c r="L622" s="198"/>
      <c r="M622" s="227" t="str">
        <f t="shared" si="50"/>
        <v/>
      </c>
      <c r="P622" s="176" t="str">
        <f>IFERROR(VLOOKUP(O622,Cadastros!A:B,2),"")</f>
        <v/>
      </c>
      <c r="Q622" s="177" t="str">
        <f t="shared" si="46"/>
        <v/>
      </c>
      <c r="R622" s="177" t="str">
        <f>IFERROR(VLOOKUP(O622,Cadastros!A:E,5,0),"")</f>
        <v/>
      </c>
      <c r="S622" s="177" t="str">
        <f>IFERROR(VLOOKUP(O622,Cadastros!A:F,6,0),"")</f>
        <v/>
      </c>
      <c r="T622" s="177" t="str">
        <f>IFERROR(VLOOKUP(O622,Cadastros!A:I,9,0),"")</f>
        <v/>
      </c>
      <c r="U622" s="177" t="str">
        <f t="shared" si="47"/>
        <v/>
      </c>
      <c r="V622" s="177" t="str">
        <f t="shared" si="48"/>
        <v/>
      </c>
      <c r="W622" s="177" t="str">
        <f t="shared" si="49"/>
        <v/>
      </c>
      <c r="Y622" s="240" t="e">
        <f t="array" ref="Y622">INDEX(Tabela.abordagens[],SMALL(IF(Tabela.abordagens[Mês]=$L$2,ROW(Tabela.abordagens[id])-2),ROW(A575)),1)</f>
        <v>#NUM!</v>
      </c>
      <c r="Z622" s="240" t="e">
        <f t="array" ref="Z622">INDEX(Tabela.abordagens[],SMALL(IF(Tabela.abordagens[Mês]=$L$2,ROW(Tabela.abordagens[Idade])-2),ROW(A575)),6)</f>
        <v>#NUM!</v>
      </c>
      <c r="AA622" s="240" t="e">
        <f t="array" ref="AA622">INDEX(Tabela.abordagens[],SMALL(IF(Tabela.abordagens[Mês]=$L$2,ROW(Tabela.abordagens[Idade])-2),ROW(A575)),4)</f>
        <v>#NUM!</v>
      </c>
      <c r="AB622" s="240" t="e">
        <f t="array" ref="AB622">INDEX(Tabela.abordagens[],SMALL(IF(Tabela.abordagens[Mês]=$L$2,ROW(Tabela.abordagens[Idade])-2),ROW(A575)),5)</f>
        <v>#NUM!</v>
      </c>
    </row>
    <row r="623" spans="2:28" ht="15" x14ac:dyDescent="0.25">
      <c r="B623" s="223" t="e">
        <f t="array" ref="B623">INDEX(Tabela.frequencia[],SMALL(IF(Tabela.frequencia[Mês]=$L$2,ROW(Tabela.frequencia[id])-1),ROW(A576)),1)</f>
        <v>#NUM!</v>
      </c>
      <c r="C623" s="229" t="e">
        <f t="array" ref="C623">INDEX(Tabela.frequencia[],SMALL(IF(Tabela.frequencia[Mês]=$L$2,ROW(Tabela.frequencia[id])-1),ROW(A576)),4)</f>
        <v>#NUM!</v>
      </c>
      <c r="E623" s="176" t="str">
        <f>IFERROR(VLOOKUP(D623,Tabela.cadastro[[ID]:[Nome]],2,0),"")</f>
        <v/>
      </c>
      <c r="F623" s="177" t="str">
        <f>IFERROR(VLOOKUP(D623,Tabela66[#All],2,0),"")</f>
        <v/>
      </c>
      <c r="G623" s="177" t="str">
        <f>IFERROR(VLOOKUP(D623,Tabela.cadastro[[ID]:[CP ou M]],5,0),"")</f>
        <v/>
      </c>
      <c r="H623" s="177" t="str">
        <f>IFERROR(VLOOKUP(D623,Cadastros!A:F,6,0),"")</f>
        <v/>
      </c>
      <c r="I623" s="177" t="str">
        <f>IFERROR(VLOOKUP(D623,Cadastros!A:I,9,0),"")</f>
        <v/>
      </c>
      <c r="J623" s="177" t="str">
        <f>IFERROR(VLOOKUP(D623,Cadastros!A:J,10,0),"")</f>
        <v/>
      </c>
      <c r="K623" s="177" t="str">
        <f>IF(COUNTIF(Tabela66[id],D623)=0,"",COUNTIF(Tabela66[id],D623))</f>
        <v/>
      </c>
      <c r="L623" s="198"/>
      <c r="M623" s="227" t="str">
        <f t="shared" si="50"/>
        <v/>
      </c>
      <c r="P623" s="176" t="str">
        <f>IFERROR(VLOOKUP(O623,Cadastros!A:B,2),"")</f>
        <v/>
      </c>
      <c r="Q623" s="177" t="str">
        <f t="shared" si="46"/>
        <v/>
      </c>
      <c r="R623" s="177" t="str">
        <f>IFERROR(VLOOKUP(O623,Cadastros!A:E,5,0),"")</f>
        <v/>
      </c>
      <c r="S623" s="177" t="str">
        <f>IFERROR(VLOOKUP(O623,Cadastros!A:F,6,0),"")</f>
        <v/>
      </c>
      <c r="T623" s="177" t="str">
        <f>IFERROR(VLOOKUP(O623,Cadastros!A:I,9,0),"")</f>
        <v/>
      </c>
      <c r="U623" s="177" t="str">
        <f t="shared" si="47"/>
        <v/>
      </c>
      <c r="V623" s="177" t="str">
        <f t="shared" si="48"/>
        <v/>
      </c>
      <c r="W623" s="177" t="str">
        <f t="shared" si="49"/>
        <v/>
      </c>
      <c r="Y623" s="240" t="e">
        <f t="array" ref="Y623">INDEX(Tabela.abordagens[],SMALL(IF(Tabela.abordagens[Mês]=$L$2,ROW(Tabela.abordagens[id])-2),ROW(A576)),1)</f>
        <v>#NUM!</v>
      </c>
      <c r="Z623" s="240" t="e">
        <f t="array" ref="Z623">INDEX(Tabela.abordagens[],SMALL(IF(Tabela.abordagens[Mês]=$L$2,ROW(Tabela.abordagens[Idade])-2),ROW(A576)),6)</f>
        <v>#NUM!</v>
      </c>
      <c r="AA623" s="240" t="e">
        <f t="array" ref="AA623">INDEX(Tabela.abordagens[],SMALL(IF(Tabela.abordagens[Mês]=$L$2,ROW(Tabela.abordagens[Idade])-2),ROW(A576)),4)</f>
        <v>#NUM!</v>
      </c>
      <c r="AB623" s="240" t="e">
        <f t="array" ref="AB623">INDEX(Tabela.abordagens[],SMALL(IF(Tabela.abordagens[Mês]=$L$2,ROW(Tabela.abordagens[Idade])-2),ROW(A576)),5)</f>
        <v>#NUM!</v>
      </c>
    </row>
    <row r="624" spans="2:28" ht="15" x14ac:dyDescent="0.25">
      <c r="B624" s="223" t="e">
        <f t="array" ref="B624">INDEX(Tabela.frequencia[],SMALL(IF(Tabela.frequencia[Mês]=$L$2,ROW(Tabela.frequencia[id])-1),ROW(A577)),1)</f>
        <v>#NUM!</v>
      </c>
      <c r="C624" s="229" t="e">
        <f t="array" ref="C624">INDEX(Tabela.frequencia[],SMALL(IF(Tabela.frequencia[Mês]=$L$2,ROW(Tabela.frequencia[id])-1),ROW(A577)),4)</f>
        <v>#NUM!</v>
      </c>
      <c r="E624" s="176" t="str">
        <f>IFERROR(VLOOKUP(D624,Tabela.cadastro[[ID]:[Nome]],2,0),"")</f>
        <v/>
      </c>
      <c r="F624" s="177" t="str">
        <f>IFERROR(VLOOKUP(D624,Tabela66[#All],2,0),"")</f>
        <v/>
      </c>
      <c r="G624" s="177" t="str">
        <f>IFERROR(VLOOKUP(D624,Tabela.cadastro[[ID]:[CP ou M]],5,0),"")</f>
        <v/>
      </c>
      <c r="H624" s="177" t="str">
        <f>IFERROR(VLOOKUP(D624,Cadastros!A:F,6,0),"")</f>
        <v/>
      </c>
      <c r="I624" s="177" t="str">
        <f>IFERROR(VLOOKUP(D624,Cadastros!A:I,9,0),"")</f>
        <v/>
      </c>
      <c r="J624" s="177" t="str">
        <f>IFERROR(VLOOKUP(D624,Cadastros!A:J,10,0),"")</f>
        <v/>
      </c>
      <c r="K624" s="177" t="str">
        <f>IF(COUNTIF(Tabela66[id],D624)=0,"",COUNTIF(Tabela66[id],D624))</f>
        <v/>
      </c>
      <c r="L624" s="198"/>
      <c r="M624" s="227" t="str">
        <f t="shared" si="50"/>
        <v/>
      </c>
      <c r="P624" s="176" t="str">
        <f>IFERROR(VLOOKUP(O624,Cadastros!A:B,2),"")</f>
        <v/>
      </c>
      <c r="Q624" s="177" t="str">
        <f t="shared" si="46"/>
        <v/>
      </c>
      <c r="R624" s="177" t="str">
        <f>IFERROR(VLOOKUP(O624,Cadastros!A:E,5,0),"")</f>
        <v/>
      </c>
      <c r="S624" s="177" t="str">
        <f>IFERROR(VLOOKUP(O624,Cadastros!A:F,6,0),"")</f>
        <v/>
      </c>
      <c r="T624" s="177" t="str">
        <f>IFERROR(VLOOKUP(O624,Cadastros!A:I,9,0),"")</f>
        <v/>
      </c>
      <c r="U624" s="177" t="str">
        <f t="shared" si="47"/>
        <v/>
      </c>
      <c r="V624" s="177" t="str">
        <f t="shared" si="48"/>
        <v/>
      </c>
      <c r="W624" s="177" t="str">
        <f t="shared" si="49"/>
        <v/>
      </c>
      <c r="Y624" s="240" t="e">
        <f t="array" ref="Y624">INDEX(Tabela.abordagens[],SMALL(IF(Tabela.abordagens[Mês]=$L$2,ROW(Tabela.abordagens[id])-2),ROW(A577)),1)</f>
        <v>#NUM!</v>
      </c>
      <c r="Z624" s="240" t="e">
        <f t="array" ref="Z624">INDEX(Tabela.abordagens[],SMALL(IF(Tabela.abordagens[Mês]=$L$2,ROW(Tabela.abordagens[Idade])-2),ROW(A577)),6)</f>
        <v>#NUM!</v>
      </c>
      <c r="AA624" s="240" t="e">
        <f t="array" ref="AA624">INDEX(Tabela.abordagens[],SMALL(IF(Tabela.abordagens[Mês]=$L$2,ROW(Tabela.abordagens[Idade])-2),ROW(A577)),4)</f>
        <v>#NUM!</v>
      </c>
      <c r="AB624" s="240" t="e">
        <f t="array" ref="AB624">INDEX(Tabela.abordagens[],SMALL(IF(Tabela.abordagens[Mês]=$L$2,ROW(Tabela.abordagens[Idade])-2),ROW(A577)),5)</f>
        <v>#NUM!</v>
      </c>
    </row>
    <row r="625" spans="2:28" ht="15" x14ac:dyDescent="0.25">
      <c r="B625" s="223" t="e">
        <f t="array" ref="B625">INDEX(Tabela.frequencia[],SMALL(IF(Tabela.frequencia[Mês]=$L$2,ROW(Tabela.frequencia[id])-1),ROW(A578)),1)</f>
        <v>#NUM!</v>
      </c>
      <c r="C625" s="229" t="e">
        <f t="array" ref="C625">INDEX(Tabela.frequencia[],SMALL(IF(Tabela.frequencia[Mês]=$L$2,ROW(Tabela.frequencia[id])-1),ROW(A578)),4)</f>
        <v>#NUM!</v>
      </c>
      <c r="E625" s="176" t="str">
        <f>IFERROR(VLOOKUP(D625,Tabela.cadastro[[ID]:[Nome]],2,0),"")</f>
        <v/>
      </c>
      <c r="F625" s="177" t="str">
        <f>IFERROR(VLOOKUP(D625,Tabela66[#All],2,0),"")</f>
        <v/>
      </c>
      <c r="G625" s="177" t="str">
        <f>IFERROR(VLOOKUP(D625,Tabela.cadastro[[ID]:[CP ou M]],5,0),"")</f>
        <v/>
      </c>
      <c r="H625" s="177" t="str">
        <f>IFERROR(VLOOKUP(D625,Cadastros!A:F,6,0),"")</f>
        <v/>
      </c>
      <c r="I625" s="177" t="str">
        <f>IFERROR(VLOOKUP(D625,Cadastros!A:I,9,0),"")</f>
        <v/>
      </c>
      <c r="J625" s="177" t="str">
        <f>IFERROR(VLOOKUP(D625,Cadastros!A:J,10,0),"")</f>
        <v/>
      </c>
      <c r="K625" s="177" t="str">
        <f>IF(COUNTIF(Tabela66[id],D625)=0,"",COUNTIF(Tabela66[id],D625))</f>
        <v/>
      </c>
      <c r="L625" s="198"/>
      <c r="M625" s="227" t="str">
        <f t="shared" si="50"/>
        <v/>
      </c>
      <c r="P625" s="176" t="str">
        <f>IFERROR(VLOOKUP(O625,Cadastros!A:B,2),"")</f>
        <v/>
      </c>
      <c r="Q625" s="177" t="str">
        <f t="shared" si="46"/>
        <v/>
      </c>
      <c r="R625" s="177" t="str">
        <f>IFERROR(VLOOKUP(O625,Cadastros!A:E,5,0),"")</f>
        <v/>
      </c>
      <c r="S625" s="177" t="str">
        <f>IFERROR(VLOOKUP(O625,Cadastros!A:F,6,0),"")</f>
        <v/>
      </c>
      <c r="T625" s="177" t="str">
        <f>IFERROR(VLOOKUP(O625,Cadastros!A:I,9,0),"")</f>
        <v/>
      </c>
      <c r="U625" s="177" t="str">
        <f t="shared" si="47"/>
        <v/>
      </c>
      <c r="V625" s="177" t="str">
        <f t="shared" si="48"/>
        <v/>
      </c>
      <c r="W625" s="177" t="str">
        <f t="shared" si="49"/>
        <v/>
      </c>
      <c r="Y625" s="240" t="e">
        <f t="array" ref="Y625">INDEX(Tabela.abordagens[],SMALL(IF(Tabela.abordagens[Mês]=$L$2,ROW(Tabela.abordagens[id])-2),ROW(A578)),1)</f>
        <v>#NUM!</v>
      </c>
      <c r="Z625" s="240" t="e">
        <f t="array" ref="Z625">INDEX(Tabela.abordagens[],SMALL(IF(Tabela.abordagens[Mês]=$L$2,ROW(Tabela.abordagens[Idade])-2),ROW(A578)),6)</f>
        <v>#NUM!</v>
      </c>
      <c r="AA625" s="240" t="e">
        <f t="array" ref="AA625">INDEX(Tabela.abordagens[],SMALL(IF(Tabela.abordagens[Mês]=$L$2,ROW(Tabela.abordagens[Idade])-2),ROW(A578)),4)</f>
        <v>#NUM!</v>
      </c>
      <c r="AB625" s="240" t="e">
        <f t="array" ref="AB625">INDEX(Tabela.abordagens[],SMALL(IF(Tabela.abordagens[Mês]=$L$2,ROW(Tabela.abordagens[Idade])-2),ROW(A578)),5)</f>
        <v>#NUM!</v>
      </c>
    </row>
    <row r="626" spans="2:28" ht="15" x14ac:dyDescent="0.25">
      <c r="B626" s="223" t="e">
        <f t="array" ref="B626">INDEX(Tabela.frequencia[],SMALL(IF(Tabela.frequencia[Mês]=$L$2,ROW(Tabela.frequencia[id])-1),ROW(A579)),1)</f>
        <v>#NUM!</v>
      </c>
      <c r="C626" s="229" t="e">
        <f t="array" ref="C626">INDEX(Tabela.frequencia[],SMALL(IF(Tabela.frequencia[Mês]=$L$2,ROW(Tabela.frequencia[id])-1),ROW(A579)),4)</f>
        <v>#NUM!</v>
      </c>
      <c r="E626" s="176" t="str">
        <f>IFERROR(VLOOKUP(D626,Tabela.cadastro[[ID]:[Nome]],2,0),"")</f>
        <v/>
      </c>
      <c r="F626" s="177" t="str">
        <f>IFERROR(VLOOKUP(D626,Tabela66[#All],2,0),"")</f>
        <v/>
      </c>
      <c r="G626" s="177" t="str">
        <f>IFERROR(VLOOKUP(D626,Tabela.cadastro[[ID]:[CP ou M]],5,0),"")</f>
        <v/>
      </c>
      <c r="H626" s="177" t="str">
        <f>IFERROR(VLOOKUP(D626,Cadastros!A:F,6,0),"")</f>
        <v/>
      </c>
      <c r="I626" s="177" t="str">
        <f>IFERROR(VLOOKUP(D626,Cadastros!A:I,9,0),"")</f>
        <v/>
      </c>
      <c r="J626" s="177" t="str">
        <f>IFERROR(VLOOKUP(D626,Cadastros!A:J,10,0),"")</f>
        <v/>
      </c>
      <c r="K626" s="177" t="str">
        <f>IF(COUNTIF(Tabela66[id],D626)=0,"",COUNTIF(Tabela66[id],D626))</f>
        <v/>
      </c>
      <c r="L626" s="198"/>
      <c r="M626" s="227" t="str">
        <f t="shared" si="50"/>
        <v/>
      </c>
      <c r="P626" s="176" t="str">
        <f>IFERROR(VLOOKUP(O626,Cadastros!A:B,2),"")</f>
        <v/>
      </c>
      <c r="Q626" s="177" t="str">
        <f t="shared" si="46"/>
        <v/>
      </c>
      <c r="R626" s="177" t="str">
        <f>IFERROR(VLOOKUP(O626,Cadastros!A:E,5,0),"")</f>
        <v/>
      </c>
      <c r="S626" s="177" t="str">
        <f>IFERROR(VLOOKUP(O626,Cadastros!A:F,6,0),"")</f>
        <v/>
      </c>
      <c r="T626" s="177" t="str">
        <f>IFERROR(VLOOKUP(O626,Cadastros!A:I,9,0),"")</f>
        <v/>
      </c>
      <c r="U626" s="177" t="str">
        <f t="shared" si="47"/>
        <v/>
      </c>
      <c r="V626" s="177" t="str">
        <f t="shared" si="48"/>
        <v/>
      </c>
      <c r="W626" s="177" t="str">
        <f t="shared" si="49"/>
        <v/>
      </c>
      <c r="Y626" s="240" t="e">
        <f t="array" ref="Y626">INDEX(Tabela.abordagens[],SMALL(IF(Tabela.abordagens[Mês]=$L$2,ROW(Tabela.abordagens[id])-2),ROW(A579)),1)</f>
        <v>#NUM!</v>
      </c>
      <c r="Z626" s="240" t="e">
        <f t="array" ref="Z626">INDEX(Tabela.abordagens[],SMALL(IF(Tabela.abordagens[Mês]=$L$2,ROW(Tabela.abordagens[Idade])-2),ROW(A579)),6)</f>
        <v>#NUM!</v>
      </c>
      <c r="AA626" s="240" t="e">
        <f t="array" ref="AA626">INDEX(Tabela.abordagens[],SMALL(IF(Tabela.abordagens[Mês]=$L$2,ROW(Tabela.abordagens[Idade])-2),ROW(A579)),4)</f>
        <v>#NUM!</v>
      </c>
      <c r="AB626" s="240" t="e">
        <f t="array" ref="AB626">INDEX(Tabela.abordagens[],SMALL(IF(Tabela.abordagens[Mês]=$L$2,ROW(Tabela.abordagens[Idade])-2),ROW(A579)),5)</f>
        <v>#NUM!</v>
      </c>
    </row>
    <row r="627" spans="2:28" ht="15" x14ac:dyDescent="0.25">
      <c r="B627" s="223" t="e">
        <f t="array" ref="B627">INDEX(Tabela.frequencia[],SMALL(IF(Tabela.frequencia[Mês]=$L$2,ROW(Tabela.frequencia[id])-1),ROW(A580)),1)</f>
        <v>#NUM!</v>
      </c>
      <c r="C627" s="229" t="e">
        <f t="array" ref="C627">INDEX(Tabela.frequencia[],SMALL(IF(Tabela.frequencia[Mês]=$L$2,ROW(Tabela.frequencia[id])-1),ROW(A580)),4)</f>
        <v>#NUM!</v>
      </c>
      <c r="E627" s="176" t="str">
        <f>IFERROR(VLOOKUP(D627,Tabela.cadastro[[ID]:[Nome]],2,0),"")</f>
        <v/>
      </c>
      <c r="F627" s="177" t="str">
        <f>IFERROR(VLOOKUP(D627,Tabela66[#All],2,0),"")</f>
        <v/>
      </c>
      <c r="G627" s="177" t="str">
        <f>IFERROR(VLOOKUP(D627,Tabela.cadastro[[ID]:[CP ou M]],5,0),"")</f>
        <v/>
      </c>
      <c r="H627" s="177" t="str">
        <f>IFERROR(VLOOKUP(D627,Cadastros!A:F,6,0),"")</f>
        <v/>
      </c>
      <c r="I627" s="177" t="str">
        <f>IFERROR(VLOOKUP(D627,Cadastros!A:I,9,0),"")</f>
        <v/>
      </c>
      <c r="J627" s="177" t="str">
        <f>IFERROR(VLOOKUP(D627,Cadastros!A:J,10,0),"")</f>
        <v/>
      </c>
      <c r="K627" s="177" t="str">
        <f>IF(COUNTIF(Tabela66[id],D627)=0,"",COUNTIF(Tabela66[id],D627))</f>
        <v/>
      </c>
      <c r="L627" s="198"/>
      <c r="M627" s="227" t="str">
        <f t="shared" si="50"/>
        <v/>
      </c>
      <c r="P627" s="176" t="str">
        <f>IFERROR(VLOOKUP(O627,Cadastros!A:B,2),"")</f>
        <v/>
      </c>
      <c r="Q627" s="177" t="str">
        <f t="shared" si="46"/>
        <v/>
      </c>
      <c r="R627" s="177" t="str">
        <f>IFERROR(VLOOKUP(O627,Cadastros!A:E,5,0),"")</f>
        <v/>
      </c>
      <c r="S627" s="177" t="str">
        <f>IFERROR(VLOOKUP(O627,Cadastros!A:F,6,0),"")</f>
        <v/>
      </c>
      <c r="T627" s="177" t="str">
        <f>IFERROR(VLOOKUP(O627,Cadastros!A:I,9,0),"")</f>
        <v/>
      </c>
      <c r="U627" s="177" t="str">
        <f t="shared" si="47"/>
        <v/>
      </c>
      <c r="V627" s="177" t="str">
        <f t="shared" si="48"/>
        <v/>
      </c>
      <c r="W627" s="177" t="str">
        <f t="shared" si="49"/>
        <v/>
      </c>
      <c r="Y627" s="240" t="e">
        <f t="array" ref="Y627">INDEX(Tabela.abordagens[],SMALL(IF(Tabela.abordagens[Mês]=$L$2,ROW(Tabela.abordagens[id])-2),ROW(A580)),1)</f>
        <v>#NUM!</v>
      </c>
      <c r="Z627" s="240" t="e">
        <f t="array" ref="Z627">INDEX(Tabela.abordagens[],SMALL(IF(Tabela.abordagens[Mês]=$L$2,ROW(Tabela.abordagens[Idade])-2),ROW(A580)),6)</f>
        <v>#NUM!</v>
      </c>
      <c r="AA627" s="240" t="e">
        <f t="array" ref="AA627">INDEX(Tabela.abordagens[],SMALL(IF(Tabela.abordagens[Mês]=$L$2,ROW(Tabela.abordagens[Idade])-2),ROW(A580)),4)</f>
        <v>#NUM!</v>
      </c>
      <c r="AB627" s="240" t="e">
        <f t="array" ref="AB627">INDEX(Tabela.abordagens[],SMALL(IF(Tabela.abordagens[Mês]=$L$2,ROW(Tabela.abordagens[Idade])-2),ROW(A580)),5)</f>
        <v>#NUM!</v>
      </c>
    </row>
    <row r="628" spans="2:28" ht="15" x14ac:dyDescent="0.25">
      <c r="B628" s="223" t="e">
        <f t="array" ref="B628">INDEX(Tabela.frequencia[],SMALL(IF(Tabela.frequencia[Mês]=$L$2,ROW(Tabela.frequencia[id])-1),ROW(A581)),1)</f>
        <v>#NUM!</v>
      </c>
      <c r="C628" s="229" t="e">
        <f t="array" ref="C628">INDEX(Tabela.frequencia[],SMALL(IF(Tabela.frequencia[Mês]=$L$2,ROW(Tabela.frequencia[id])-1),ROW(A581)),4)</f>
        <v>#NUM!</v>
      </c>
      <c r="E628" s="176" t="str">
        <f>IFERROR(VLOOKUP(D628,Tabela.cadastro[[ID]:[Nome]],2,0),"")</f>
        <v/>
      </c>
      <c r="F628" s="177" t="str">
        <f>IFERROR(VLOOKUP(D628,Tabela66[#All],2,0),"")</f>
        <v/>
      </c>
      <c r="G628" s="177" t="str">
        <f>IFERROR(VLOOKUP(D628,Tabela.cadastro[[ID]:[CP ou M]],5,0),"")</f>
        <v/>
      </c>
      <c r="H628" s="177" t="str">
        <f>IFERROR(VLOOKUP(D628,Cadastros!A:F,6,0),"")</f>
        <v/>
      </c>
      <c r="I628" s="177" t="str">
        <f>IFERROR(VLOOKUP(D628,Cadastros!A:I,9,0),"")</f>
        <v/>
      </c>
      <c r="J628" s="177" t="str">
        <f>IFERROR(VLOOKUP(D628,Cadastros!A:J,10,0),"")</f>
        <v/>
      </c>
      <c r="K628" s="177" t="str">
        <f>IF(COUNTIF(Tabela66[id],D628)=0,"",COUNTIF(Tabela66[id],D628))</f>
        <v/>
      </c>
      <c r="L628" s="198"/>
      <c r="M628" s="227" t="str">
        <f t="shared" si="50"/>
        <v/>
      </c>
      <c r="P628" s="176" t="str">
        <f>IFERROR(VLOOKUP(O628,Cadastros!A:B,2),"")</f>
        <v/>
      </c>
      <c r="Q628" s="177" t="str">
        <f t="shared" si="46"/>
        <v/>
      </c>
      <c r="R628" s="177" t="str">
        <f>IFERROR(VLOOKUP(O628,Cadastros!A:E,5,0),"")</f>
        <v/>
      </c>
      <c r="S628" s="177" t="str">
        <f>IFERROR(VLOOKUP(O628,Cadastros!A:F,6,0),"")</f>
        <v/>
      </c>
      <c r="T628" s="177" t="str">
        <f>IFERROR(VLOOKUP(O628,Cadastros!A:I,9,0),"")</f>
        <v/>
      </c>
      <c r="U628" s="177" t="str">
        <f t="shared" si="47"/>
        <v/>
      </c>
      <c r="V628" s="177" t="str">
        <f t="shared" si="48"/>
        <v/>
      </c>
      <c r="W628" s="177" t="str">
        <f t="shared" si="49"/>
        <v/>
      </c>
      <c r="Y628" s="240" t="e">
        <f t="array" ref="Y628">INDEX(Tabela.abordagens[],SMALL(IF(Tabela.abordagens[Mês]=$L$2,ROW(Tabela.abordagens[id])-2),ROW(A581)),1)</f>
        <v>#NUM!</v>
      </c>
      <c r="Z628" s="240" t="e">
        <f t="array" ref="Z628">INDEX(Tabela.abordagens[],SMALL(IF(Tabela.abordagens[Mês]=$L$2,ROW(Tabela.abordagens[Idade])-2),ROW(A581)),6)</f>
        <v>#NUM!</v>
      </c>
      <c r="AA628" s="240" t="e">
        <f t="array" ref="AA628">INDEX(Tabela.abordagens[],SMALL(IF(Tabela.abordagens[Mês]=$L$2,ROW(Tabela.abordagens[Idade])-2),ROW(A581)),4)</f>
        <v>#NUM!</v>
      </c>
      <c r="AB628" s="240" t="e">
        <f t="array" ref="AB628">INDEX(Tabela.abordagens[],SMALL(IF(Tabela.abordagens[Mês]=$L$2,ROW(Tabela.abordagens[Idade])-2),ROW(A581)),5)</f>
        <v>#NUM!</v>
      </c>
    </row>
    <row r="629" spans="2:28" ht="15" x14ac:dyDescent="0.25">
      <c r="B629" s="223" t="e">
        <f t="array" ref="B629">INDEX(Tabela.frequencia[],SMALL(IF(Tabela.frequencia[Mês]=$L$2,ROW(Tabela.frequencia[id])-1),ROW(A582)),1)</f>
        <v>#NUM!</v>
      </c>
      <c r="C629" s="229" t="e">
        <f t="array" ref="C629">INDEX(Tabela.frequencia[],SMALL(IF(Tabela.frequencia[Mês]=$L$2,ROW(Tabela.frequencia[id])-1),ROW(A582)),4)</f>
        <v>#NUM!</v>
      </c>
      <c r="E629" s="176" t="str">
        <f>IFERROR(VLOOKUP(D629,Tabela.cadastro[[ID]:[Nome]],2,0),"")</f>
        <v/>
      </c>
      <c r="F629" s="177" t="str">
        <f>IFERROR(VLOOKUP(D629,Tabela66[#All],2,0),"")</f>
        <v/>
      </c>
      <c r="G629" s="177" t="str">
        <f>IFERROR(VLOOKUP(D629,Tabela.cadastro[[ID]:[CP ou M]],5,0),"")</f>
        <v/>
      </c>
      <c r="H629" s="177" t="str">
        <f>IFERROR(VLOOKUP(D629,Cadastros!A:F,6,0),"")</f>
        <v/>
      </c>
      <c r="I629" s="177" t="str">
        <f>IFERROR(VLOOKUP(D629,Cadastros!A:I,9,0),"")</f>
        <v/>
      </c>
      <c r="J629" s="177" t="str">
        <f>IFERROR(VLOOKUP(D629,Cadastros!A:J,10,0),"")</f>
        <v/>
      </c>
      <c r="K629" s="177" t="str">
        <f>IF(COUNTIF(Tabela66[id],D629)=0,"",COUNTIF(Tabela66[id],D629))</f>
        <v/>
      </c>
      <c r="L629" s="198"/>
      <c r="M629" s="227" t="str">
        <f t="shared" si="50"/>
        <v/>
      </c>
      <c r="P629" s="176" t="str">
        <f>IFERROR(VLOOKUP(O629,Cadastros!A:B,2),"")</f>
        <v/>
      </c>
      <c r="Q629" s="177" t="str">
        <f t="shared" si="46"/>
        <v/>
      </c>
      <c r="R629" s="177" t="str">
        <f>IFERROR(VLOOKUP(O629,Cadastros!A:E,5,0),"")</f>
        <v/>
      </c>
      <c r="S629" s="177" t="str">
        <f>IFERROR(VLOOKUP(O629,Cadastros!A:F,6,0),"")</f>
        <v/>
      </c>
      <c r="T629" s="177" t="str">
        <f>IFERROR(VLOOKUP(O629,Cadastros!A:I,9,0),"")</f>
        <v/>
      </c>
      <c r="U629" s="177" t="str">
        <f t="shared" si="47"/>
        <v/>
      </c>
      <c r="V629" s="177" t="str">
        <f t="shared" si="48"/>
        <v/>
      </c>
      <c r="W629" s="177" t="str">
        <f t="shared" si="49"/>
        <v/>
      </c>
      <c r="Y629" s="240" t="e">
        <f t="array" ref="Y629">INDEX(Tabela.abordagens[],SMALL(IF(Tabela.abordagens[Mês]=$L$2,ROW(Tabela.abordagens[id])-2),ROW(A582)),1)</f>
        <v>#NUM!</v>
      </c>
      <c r="Z629" s="240" t="e">
        <f t="array" ref="Z629">INDEX(Tabela.abordagens[],SMALL(IF(Tabela.abordagens[Mês]=$L$2,ROW(Tabela.abordagens[Idade])-2),ROW(A582)),6)</f>
        <v>#NUM!</v>
      </c>
      <c r="AA629" s="240" t="e">
        <f t="array" ref="AA629">INDEX(Tabela.abordagens[],SMALL(IF(Tabela.abordagens[Mês]=$L$2,ROW(Tabela.abordagens[Idade])-2),ROW(A582)),4)</f>
        <v>#NUM!</v>
      </c>
      <c r="AB629" s="240" t="e">
        <f t="array" ref="AB629">INDEX(Tabela.abordagens[],SMALL(IF(Tabela.abordagens[Mês]=$L$2,ROW(Tabela.abordagens[Idade])-2),ROW(A582)),5)</f>
        <v>#NUM!</v>
      </c>
    </row>
    <row r="630" spans="2:28" ht="15" x14ac:dyDescent="0.25">
      <c r="B630" s="223" t="e">
        <f t="array" ref="B630">INDEX(Tabela.frequencia[],SMALL(IF(Tabela.frequencia[Mês]=$L$2,ROW(Tabela.frequencia[id])-1),ROW(A583)),1)</f>
        <v>#NUM!</v>
      </c>
      <c r="C630" s="229" t="e">
        <f t="array" ref="C630">INDEX(Tabela.frequencia[],SMALL(IF(Tabela.frequencia[Mês]=$L$2,ROW(Tabela.frequencia[id])-1),ROW(A583)),4)</f>
        <v>#NUM!</v>
      </c>
      <c r="E630" s="176" t="str">
        <f>IFERROR(VLOOKUP(D630,Tabela.cadastro[[ID]:[Nome]],2,0),"")</f>
        <v/>
      </c>
      <c r="F630" s="177" t="str">
        <f>IFERROR(VLOOKUP(D630,Tabela66[#All],2,0),"")</f>
        <v/>
      </c>
      <c r="G630" s="177" t="str">
        <f>IFERROR(VLOOKUP(D630,Tabela.cadastro[[ID]:[CP ou M]],5,0),"")</f>
        <v/>
      </c>
      <c r="H630" s="177" t="str">
        <f>IFERROR(VLOOKUP(D630,Cadastros!A:F,6,0),"")</f>
        <v/>
      </c>
      <c r="I630" s="177" t="str">
        <f>IFERROR(VLOOKUP(D630,Cadastros!A:I,9,0),"")</f>
        <v/>
      </c>
      <c r="J630" s="177" t="str">
        <f>IFERROR(VLOOKUP(D630,Cadastros!A:J,10,0),"")</f>
        <v/>
      </c>
      <c r="K630" s="177" t="str">
        <f>IF(COUNTIF(Tabela66[id],D630)=0,"",COUNTIF(Tabela66[id],D630))</f>
        <v/>
      </c>
      <c r="L630" s="198"/>
      <c r="M630" s="227" t="str">
        <f t="shared" si="50"/>
        <v/>
      </c>
      <c r="P630" s="176" t="str">
        <f>IFERROR(VLOOKUP(O630,Cadastros!A:B,2),"")</f>
        <v/>
      </c>
      <c r="Q630" s="177" t="str">
        <f t="shared" si="46"/>
        <v/>
      </c>
      <c r="R630" s="177" t="str">
        <f>IFERROR(VLOOKUP(O630,Cadastros!A:E,5,0),"")</f>
        <v/>
      </c>
      <c r="S630" s="177" t="str">
        <f>IFERROR(VLOOKUP(O630,Cadastros!A:F,6,0),"")</f>
        <v/>
      </c>
      <c r="T630" s="177" t="str">
        <f>IFERROR(VLOOKUP(O630,Cadastros!A:I,9,0),"")</f>
        <v/>
      </c>
      <c r="U630" s="177" t="str">
        <f t="shared" si="47"/>
        <v/>
      </c>
      <c r="V630" s="177" t="str">
        <f t="shared" si="48"/>
        <v/>
      </c>
      <c r="W630" s="177" t="str">
        <f t="shared" si="49"/>
        <v/>
      </c>
      <c r="Y630" s="240" t="e">
        <f t="array" ref="Y630">INDEX(Tabela.abordagens[],SMALL(IF(Tabela.abordagens[Mês]=$L$2,ROW(Tabela.abordagens[id])-2),ROW(A583)),1)</f>
        <v>#NUM!</v>
      </c>
      <c r="Z630" s="240" t="e">
        <f t="array" ref="Z630">INDEX(Tabela.abordagens[],SMALL(IF(Tabela.abordagens[Mês]=$L$2,ROW(Tabela.abordagens[Idade])-2),ROW(A583)),6)</f>
        <v>#NUM!</v>
      </c>
      <c r="AA630" s="240" t="e">
        <f t="array" ref="AA630">INDEX(Tabela.abordagens[],SMALL(IF(Tabela.abordagens[Mês]=$L$2,ROW(Tabela.abordagens[Idade])-2),ROW(A583)),4)</f>
        <v>#NUM!</v>
      </c>
      <c r="AB630" s="240" t="e">
        <f t="array" ref="AB630">INDEX(Tabela.abordagens[],SMALL(IF(Tabela.abordagens[Mês]=$L$2,ROW(Tabela.abordagens[Idade])-2),ROW(A583)),5)</f>
        <v>#NUM!</v>
      </c>
    </row>
    <row r="631" spans="2:28" ht="15" x14ac:dyDescent="0.25">
      <c r="B631" s="223" t="e">
        <f t="array" ref="B631">INDEX(Tabela.frequencia[],SMALL(IF(Tabela.frequencia[Mês]=$L$2,ROW(Tabela.frequencia[id])-1),ROW(A584)),1)</f>
        <v>#NUM!</v>
      </c>
      <c r="C631" s="229" t="e">
        <f t="array" ref="C631">INDEX(Tabela.frequencia[],SMALL(IF(Tabela.frequencia[Mês]=$L$2,ROW(Tabela.frequencia[id])-1),ROW(A584)),4)</f>
        <v>#NUM!</v>
      </c>
      <c r="E631" s="176" t="str">
        <f>IFERROR(VLOOKUP(D631,Tabela.cadastro[[ID]:[Nome]],2,0),"")</f>
        <v/>
      </c>
      <c r="F631" s="177" t="str">
        <f>IFERROR(VLOOKUP(D631,Tabela66[#All],2,0),"")</f>
        <v/>
      </c>
      <c r="G631" s="177" t="str">
        <f>IFERROR(VLOOKUP(D631,Tabela.cadastro[[ID]:[CP ou M]],5,0),"")</f>
        <v/>
      </c>
      <c r="H631" s="177" t="str">
        <f>IFERROR(VLOOKUP(D631,Cadastros!A:F,6,0),"")</f>
        <v/>
      </c>
      <c r="I631" s="177" t="str">
        <f>IFERROR(VLOOKUP(D631,Cadastros!A:I,9,0),"")</f>
        <v/>
      </c>
      <c r="J631" s="177" t="str">
        <f>IFERROR(VLOOKUP(D631,Cadastros!A:J,10,0),"")</f>
        <v/>
      </c>
      <c r="K631" s="177" t="str">
        <f>IF(COUNTIF(Tabela66[id],D631)=0,"",COUNTIF(Tabela66[id],D631))</f>
        <v/>
      </c>
      <c r="L631" s="198"/>
      <c r="M631" s="227" t="str">
        <f t="shared" si="50"/>
        <v/>
      </c>
      <c r="P631" s="176" t="str">
        <f>IFERROR(VLOOKUP(O631,Cadastros!A:B,2),"")</f>
        <v/>
      </c>
      <c r="Q631" s="177" t="str">
        <f t="shared" si="46"/>
        <v/>
      </c>
      <c r="R631" s="177" t="str">
        <f>IFERROR(VLOOKUP(O631,Cadastros!A:E,5,0),"")</f>
        <v/>
      </c>
      <c r="S631" s="177" t="str">
        <f>IFERROR(VLOOKUP(O631,Cadastros!A:F,6,0),"")</f>
        <v/>
      </c>
      <c r="T631" s="177" t="str">
        <f>IFERROR(VLOOKUP(O631,Cadastros!A:I,9,0),"")</f>
        <v/>
      </c>
      <c r="U631" s="177" t="str">
        <f t="shared" si="47"/>
        <v/>
      </c>
      <c r="V631" s="177" t="str">
        <f t="shared" si="48"/>
        <v/>
      </c>
      <c r="W631" s="177" t="str">
        <f t="shared" si="49"/>
        <v/>
      </c>
      <c r="Y631" s="240" t="e">
        <f t="array" ref="Y631">INDEX(Tabela.abordagens[],SMALL(IF(Tabela.abordagens[Mês]=$L$2,ROW(Tabela.abordagens[id])-2),ROW(A584)),1)</f>
        <v>#NUM!</v>
      </c>
      <c r="Z631" s="240" t="e">
        <f t="array" ref="Z631">INDEX(Tabela.abordagens[],SMALL(IF(Tabela.abordagens[Mês]=$L$2,ROW(Tabela.abordagens[Idade])-2),ROW(A584)),6)</f>
        <v>#NUM!</v>
      </c>
      <c r="AA631" s="240" t="e">
        <f t="array" ref="AA631">INDEX(Tabela.abordagens[],SMALL(IF(Tabela.abordagens[Mês]=$L$2,ROW(Tabela.abordagens[Idade])-2),ROW(A584)),4)</f>
        <v>#NUM!</v>
      </c>
      <c r="AB631" s="240" t="e">
        <f t="array" ref="AB631">INDEX(Tabela.abordagens[],SMALL(IF(Tabela.abordagens[Mês]=$L$2,ROW(Tabela.abordagens[Idade])-2),ROW(A584)),5)</f>
        <v>#NUM!</v>
      </c>
    </row>
    <row r="632" spans="2:28" ht="15" x14ac:dyDescent="0.25">
      <c r="B632" s="223" t="e">
        <f t="array" ref="B632">INDEX(Tabela.frequencia[],SMALL(IF(Tabela.frequencia[Mês]=$L$2,ROW(Tabela.frequencia[id])-1),ROW(A585)),1)</f>
        <v>#NUM!</v>
      </c>
      <c r="C632" s="229" t="e">
        <f t="array" ref="C632">INDEX(Tabela.frequencia[],SMALL(IF(Tabela.frequencia[Mês]=$L$2,ROW(Tabela.frequencia[id])-1),ROW(A585)),4)</f>
        <v>#NUM!</v>
      </c>
      <c r="E632" s="176" t="str">
        <f>IFERROR(VLOOKUP(D632,Tabela.cadastro[[ID]:[Nome]],2,0),"")</f>
        <v/>
      </c>
      <c r="F632" s="177" t="str">
        <f>IFERROR(VLOOKUP(D632,Tabela66[#All],2,0),"")</f>
        <v/>
      </c>
      <c r="G632" s="177" t="str">
        <f>IFERROR(VLOOKUP(D632,Tabela.cadastro[[ID]:[CP ou M]],5,0),"")</f>
        <v/>
      </c>
      <c r="H632" s="177" t="str">
        <f>IFERROR(VLOOKUP(D632,Cadastros!A:F,6,0),"")</f>
        <v/>
      </c>
      <c r="I632" s="177" t="str">
        <f>IFERROR(VLOOKUP(D632,Cadastros!A:I,9,0),"")</f>
        <v/>
      </c>
      <c r="J632" s="177" t="str">
        <f>IFERROR(VLOOKUP(D632,Cadastros!A:J,10,0),"")</f>
        <v/>
      </c>
      <c r="K632" s="177" t="str">
        <f>IF(COUNTIF(Tabela66[id],D632)=0,"",COUNTIF(Tabela66[id],D632))</f>
        <v/>
      </c>
      <c r="L632" s="198"/>
      <c r="M632" s="227" t="str">
        <f t="shared" si="50"/>
        <v/>
      </c>
      <c r="P632" s="176" t="str">
        <f>IFERROR(VLOOKUP(O632,Cadastros!A:B,2),"")</f>
        <v/>
      </c>
      <c r="Q632" s="177" t="str">
        <f t="shared" si="46"/>
        <v/>
      </c>
      <c r="R632" s="177" t="str">
        <f>IFERROR(VLOOKUP(O632,Cadastros!A:E,5,0),"")</f>
        <v/>
      </c>
      <c r="S632" s="177" t="str">
        <f>IFERROR(VLOOKUP(O632,Cadastros!A:F,6,0),"")</f>
        <v/>
      </c>
      <c r="T632" s="177" t="str">
        <f>IFERROR(VLOOKUP(O632,Cadastros!A:I,9,0),"")</f>
        <v/>
      </c>
      <c r="U632" s="177" t="str">
        <f t="shared" si="47"/>
        <v/>
      </c>
      <c r="V632" s="177" t="str">
        <f t="shared" si="48"/>
        <v/>
      </c>
      <c r="W632" s="177" t="str">
        <f t="shared" si="49"/>
        <v/>
      </c>
      <c r="Y632" s="240" t="e">
        <f t="array" ref="Y632">INDEX(Tabela.abordagens[],SMALL(IF(Tabela.abordagens[Mês]=$L$2,ROW(Tabela.abordagens[id])-2),ROW(A585)),1)</f>
        <v>#NUM!</v>
      </c>
      <c r="Z632" s="240" t="e">
        <f t="array" ref="Z632">INDEX(Tabela.abordagens[],SMALL(IF(Tabela.abordagens[Mês]=$L$2,ROW(Tabela.abordagens[Idade])-2),ROW(A585)),6)</f>
        <v>#NUM!</v>
      </c>
      <c r="AA632" s="240" t="e">
        <f t="array" ref="AA632">INDEX(Tabela.abordagens[],SMALL(IF(Tabela.abordagens[Mês]=$L$2,ROW(Tabela.abordagens[Idade])-2),ROW(A585)),4)</f>
        <v>#NUM!</v>
      </c>
      <c r="AB632" s="240" t="e">
        <f t="array" ref="AB632">INDEX(Tabela.abordagens[],SMALL(IF(Tabela.abordagens[Mês]=$L$2,ROW(Tabela.abordagens[Idade])-2),ROW(A585)),5)</f>
        <v>#NUM!</v>
      </c>
    </row>
    <row r="633" spans="2:28" ht="15" x14ac:dyDescent="0.25">
      <c r="B633" s="223" t="e">
        <f t="array" ref="B633">INDEX(Tabela.frequencia[],SMALL(IF(Tabela.frequencia[Mês]=$L$2,ROW(Tabela.frequencia[id])-1),ROW(A586)),1)</f>
        <v>#NUM!</v>
      </c>
      <c r="C633" s="229" t="e">
        <f t="array" ref="C633">INDEX(Tabela.frequencia[],SMALL(IF(Tabela.frequencia[Mês]=$L$2,ROW(Tabela.frequencia[id])-1),ROW(A586)),4)</f>
        <v>#NUM!</v>
      </c>
      <c r="E633" s="176" t="str">
        <f>IFERROR(VLOOKUP(D633,Tabela.cadastro[[ID]:[Nome]],2,0),"")</f>
        <v/>
      </c>
      <c r="F633" s="177" t="str">
        <f>IFERROR(VLOOKUP(D633,Tabela66[#All],2,0),"")</f>
        <v/>
      </c>
      <c r="G633" s="177" t="str">
        <f>IFERROR(VLOOKUP(D633,Tabela.cadastro[[ID]:[CP ou M]],5,0),"")</f>
        <v/>
      </c>
      <c r="H633" s="177" t="str">
        <f>IFERROR(VLOOKUP(D633,Cadastros!A:F,6,0),"")</f>
        <v/>
      </c>
      <c r="I633" s="177" t="str">
        <f>IFERROR(VLOOKUP(D633,Cadastros!A:I,9,0),"")</f>
        <v/>
      </c>
      <c r="J633" s="177" t="str">
        <f>IFERROR(VLOOKUP(D633,Cadastros!A:J,10,0),"")</f>
        <v/>
      </c>
      <c r="K633" s="177" t="str">
        <f>IF(COUNTIF(Tabela66[id],D633)=0,"",COUNTIF(Tabela66[id],D633))</f>
        <v/>
      </c>
      <c r="L633" s="198"/>
      <c r="M633" s="227" t="str">
        <f t="shared" si="50"/>
        <v/>
      </c>
      <c r="P633" s="176" t="str">
        <f>IFERROR(VLOOKUP(O633,Cadastros!A:B,2),"")</f>
        <v/>
      </c>
      <c r="Q633" s="177" t="str">
        <f t="shared" si="46"/>
        <v/>
      </c>
      <c r="R633" s="177" t="str">
        <f>IFERROR(VLOOKUP(O633,Cadastros!A:E,5,0),"")</f>
        <v/>
      </c>
      <c r="S633" s="177" t="str">
        <f>IFERROR(VLOOKUP(O633,Cadastros!A:F,6,0),"")</f>
        <v/>
      </c>
      <c r="T633" s="177" t="str">
        <f>IFERROR(VLOOKUP(O633,Cadastros!A:I,9,0),"")</f>
        <v/>
      </c>
      <c r="U633" s="177" t="str">
        <f t="shared" si="47"/>
        <v/>
      </c>
      <c r="V633" s="177" t="str">
        <f t="shared" si="48"/>
        <v/>
      </c>
      <c r="W633" s="177" t="str">
        <f t="shared" si="49"/>
        <v/>
      </c>
      <c r="Y633" s="240" t="e">
        <f t="array" ref="Y633">INDEX(Tabela.abordagens[],SMALL(IF(Tabela.abordagens[Mês]=$L$2,ROW(Tabela.abordagens[id])-2),ROW(A586)),1)</f>
        <v>#NUM!</v>
      </c>
      <c r="Z633" s="240" t="e">
        <f t="array" ref="Z633">INDEX(Tabela.abordagens[],SMALL(IF(Tabela.abordagens[Mês]=$L$2,ROW(Tabela.abordagens[Idade])-2),ROW(A586)),6)</f>
        <v>#NUM!</v>
      </c>
      <c r="AA633" s="240" t="e">
        <f t="array" ref="AA633">INDEX(Tabela.abordagens[],SMALL(IF(Tabela.abordagens[Mês]=$L$2,ROW(Tabela.abordagens[Idade])-2),ROW(A586)),4)</f>
        <v>#NUM!</v>
      </c>
      <c r="AB633" s="240" t="e">
        <f t="array" ref="AB633">INDEX(Tabela.abordagens[],SMALL(IF(Tabela.abordagens[Mês]=$L$2,ROW(Tabela.abordagens[Idade])-2),ROW(A586)),5)</f>
        <v>#NUM!</v>
      </c>
    </row>
    <row r="634" spans="2:28" ht="15" x14ac:dyDescent="0.25">
      <c r="B634" s="223" t="e">
        <f t="array" ref="B634">INDEX(Tabela.frequencia[],SMALL(IF(Tabela.frequencia[Mês]=$L$2,ROW(Tabela.frequencia[id])-1),ROW(A587)),1)</f>
        <v>#NUM!</v>
      </c>
      <c r="C634" s="229" t="e">
        <f t="array" ref="C634">INDEX(Tabela.frequencia[],SMALL(IF(Tabela.frequencia[Mês]=$L$2,ROW(Tabela.frequencia[id])-1),ROW(A587)),4)</f>
        <v>#NUM!</v>
      </c>
      <c r="E634" s="176" t="str">
        <f>IFERROR(VLOOKUP(D634,Tabela.cadastro[[ID]:[Nome]],2,0),"")</f>
        <v/>
      </c>
      <c r="F634" s="177" t="str">
        <f>IFERROR(VLOOKUP(D634,Tabela66[#All],2,0),"")</f>
        <v/>
      </c>
      <c r="G634" s="177" t="str">
        <f>IFERROR(VLOOKUP(D634,Tabela.cadastro[[ID]:[CP ou M]],5,0),"")</f>
        <v/>
      </c>
      <c r="H634" s="177" t="str">
        <f>IFERROR(VLOOKUP(D634,Cadastros!A:F,6,0),"")</f>
        <v/>
      </c>
      <c r="I634" s="177" t="str">
        <f>IFERROR(VLOOKUP(D634,Cadastros!A:I,9,0),"")</f>
        <v/>
      </c>
      <c r="J634" s="177" t="str">
        <f>IFERROR(VLOOKUP(D634,Cadastros!A:J,10,0),"")</f>
        <v/>
      </c>
      <c r="K634" s="177" t="str">
        <f>IF(COUNTIF(Tabela66[id],D634)=0,"",COUNTIF(Tabela66[id],D634))</f>
        <v/>
      </c>
      <c r="L634" s="198"/>
      <c r="M634" s="227" t="str">
        <f t="shared" si="50"/>
        <v/>
      </c>
      <c r="P634" s="176" t="str">
        <f>IFERROR(VLOOKUP(O634,Cadastros!A:B,2),"")</f>
        <v/>
      </c>
      <c r="Q634" s="177" t="str">
        <f t="shared" si="46"/>
        <v/>
      </c>
      <c r="R634" s="177" t="str">
        <f>IFERROR(VLOOKUP(O634,Cadastros!A:E,5,0),"")</f>
        <v/>
      </c>
      <c r="S634" s="177" t="str">
        <f>IFERROR(VLOOKUP(O634,Cadastros!A:F,6,0),"")</f>
        <v/>
      </c>
      <c r="T634" s="177" t="str">
        <f>IFERROR(VLOOKUP(O634,Cadastros!A:I,9,0),"")</f>
        <v/>
      </c>
      <c r="U634" s="177" t="str">
        <f t="shared" si="47"/>
        <v/>
      </c>
      <c r="V634" s="177" t="str">
        <f t="shared" si="48"/>
        <v/>
      </c>
      <c r="W634" s="177" t="str">
        <f t="shared" si="49"/>
        <v/>
      </c>
      <c r="Y634" s="240" t="e">
        <f t="array" ref="Y634">INDEX(Tabela.abordagens[],SMALL(IF(Tabela.abordagens[Mês]=$L$2,ROW(Tabela.abordagens[id])-2),ROW(A587)),1)</f>
        <v>#NUM!</v>
      </c>
      <c r="Z634" s="240" t="e">
        <f t="array" ref="Z634">INDEX(Tabela.abordagens[],SMALL(IF(Tabela.abordagens[Mês]=$L$2,ROW(Tabela.abordagens[Idade])-2),ROW(A587)),6)</f>
        <v>#NUM!</v>
      </c>
      <c r="AA634" s="240" t="e">
        <f t="array" ref="AA634">INDEX(Tabela.abordagens[],SMALL(IF(Tabela.abordagens[Mês]=$L$2,ROW(Tabela.abordagens[Idade])-2),ROW(A587)),4)</f>
        <v>#NUM!</v>
      </c>
      <c r="AB634" s="240" t="e">
        <f t="array" ref="AB634">INDEX(Tabela.abordagens[],SMALL(IF(Tabela.abordagens[Mês]=$L$2,ROW(Tabela.abordagens[Idade])-2),ROW(A587)),5)</f>
        <v>#NUM!</v>
      </c>
    </row>
    <row r="635" spans="2:28" ht="15" x14ac:dyDescent="0.25">
      <c r="B635" s="223" t="e">
        <f t="array" ref="B635">INDEX(Tabela.frequencia[],SMALL(IF(Tabela.frequencia[Mês]=$L$2,ROW(Tabela.frequencia[id])-1),ROW(A588)),1)</f>
        <v>#NUM!</v>
      </c>
      <c r="C635" s="229" t="e">
        <f t="array" ref="C635">INDEX(Tabela.frequencia[],SMALL(IF(Tabela.frequencia[Mês]=$L$2,ROW(Tabela.frequencia[id])-1),ROW(A588)),4)</f>
        <v>#NUM!</v>
      </c>
      <c r="E635" s="176" t="str">
        <f>IFERROR(VLOOKUP(D635,Tabela.cadastro[[ID]:[Nome]],2,0),"")</f>
        <v/>
      </c>
      <c r="F635" s="177" t="str">
        <f>IFERROR(VLOOKUP(D635,Tabela66[#All],2,0),"")</f>
        <v/>
      </c>
      <c r="G635" s="177" t="str">
        <f>IFERROR(VLOOKUP(D635,Tabela.cadastro[[ID]:[CP ou M]],5,0),"")</f>
        <v/>
      </c>
      <c r="H635" s="177" t="str">
        <f>IFERROR(VLOOKUP(D635,Cadastros!A:F,6,0),"")</f>
        <v/>
      </c>
      <c r="I635" s="177" t="str">
        <f>IFERROR(VLOOKUP(D635,Cadastros!A:I,9,0),"")</f>
        <v/>
      </c>
      <c r="J635" s="177" t="str">
        <f>IFERROR(VLOOKUP(D635,Cadastros!A:J,10,0),"")</f>
        <v/>
      </c>
      <c r="K635" s="177" t="str">
        <f>IF(COUNTIF(Tabela66[id],D635)=0,"",COUNTIF(Tabela66[id],D635))</f>
        <v/>
      </c>
      <c r="L635" s="198"/>
      <c r="M635" s="227" t="str">
        <f t="shared" si="50"/>
        <v/>
      </c>
      <c r="P635" s="176" t="str">
        <f>IFERROR(VLOOKUP(O635,Cadastros!A:B,2),"")</f>
        <v/>
      </c>
      <c r="Q635" s="177" t="str">
        <f t="shared" si="46"/>
        <v/>
      </c>
      <c r="R635" s="177" t="str">
        <f>IFERROR(VLOOKUP(O635,Cadastros!A:E,5,0),"")</f>
        <v/>
      </c>
      <c r="S635" s="177" t="str">
        <f>IFERROR(VLOOKUP(O635,Cadastros!A:F,6,0),"")</f>
        <v/>
      </c>
      <c r="T635" s="177" t="str">
        <f>IFERROR(VLOOKUP(O635,Cadastros!A:I,9,0),"")</f>
        <v/>
      </c>
      <c r="U635" s="177" t="str">
        <f t="shared" si="47"/>
        <v/>
      </c>
      <c r="V635" s="177" t="str">
        <f t="shared" si="48"/>
        <v/>
      </c>
      <c r="W635" s="177" t="str">
        <f t="shared" si="49"/>
        <v/>
      </c>
      <c r="Y635" s="240" t="e">
        <f t="array" ref="Y635">INDEX(Tabela.abordagens[],SMALL(IF(Tabela.abordagens[Mês]=$L$2,ROW(Tabela.abordagens[id])-2),ROW(A588)),1)</f>
        <v>#NUM!</v>
      </c>
      <c r="Z635" s="240" t="e">
        <f t="array" ref="Z635">INDEX(Tabela.abordagens[],SMALL(IF(Tabela.abordagens[Mês]=$L$2,ROW(Tabela.abordagens[Idade])-2),ROW(A588)),6)</f>
        <v>#NUM!</v>
      </c>
      <c r="AA635" s="240" t="e">
        <f t="array" ref="AA635">INDEX(Tabela.abordagens[],SMALL(IF(Tabela.abordagens[Mês]=$L$2,ROW(Tabela.abordagens[Idade])-2),ROW(A588)),4)</f>
        <v>#NUM!</v>
      </c>
      <c r="AB635" s="240" t="e">
        <f t="array" ref="AB635">INDEX(Tabela.abordagens[],SMALL(IF(Tabela.abordagens[Mês]=$L$2,ROW(Tabela.abordagens[Idade])-2),ROW(A588)),5)</f>
        <v>#NUM!</v>
      </c>
    </row>
    <row r="636" spans="2:28" ht="15" x14ac:dyDescent="0.25">
      <c r="B636" s="223" t="e">
        <f t="array" ref="B636">INDEX(Tabela.frequencia[],SMALL(IF(Tabela.frequencia[Mês]=$L$2,ROW(Tabela.frequencia[id])-1),ROW(A589)),1)</f>
        <v>#NUM!</v>
      </c>
      <c r="C636" s="229" t="e">
        <f t="array" ref="C636">INDEX(Tabela.frequencia[],SMALL(IF(Tabela.frequencia[Mês]=$L$2,ROW(Tabela.frequencia[id])-1),ROW(A589)),4)</f>
        <v>#NUM!</v>
      </c>
      <c r="E636" s="176" t="str">
        <f>IFERROR(VLOOKUP(D636,Tabela.cadastro[[ID]:[Nome]],2,0),"")</f>
        <v/>
      </c>
      <c r="F636" s="177" t="str">
        <f>IFERROR(VLOOKUP(D636,Tabela66[#All],2,0),"")</f>
        <v/>
      </c>
      <c r="G636" s="177" t="str">
        <f>IFERROR(VLOOKUP(D636,Tabela.cadastro[[ID]:[CP ou M]],5,0),"")</f>
        <v/>
      </c>
      <c r="H636" s="177" t="str">
        <f>IFERROR(VLOOKUP(D636,Cadastros!A:F,6,0),"")</f>
        <v/>
      </c>
      <c r="I636" s="177" t="str">
        <f>IFERROR(VLOOKUP(D636,Cadastros!A:I,9,0),"")</f>
        <v/>
      </c>
      <c r="J636" s="177" t="str">
        <f>IFERROR(VLOOKUP(D636,Cadastros!A:J,10,0),"")</f>
        <v/>
      </c>
      <c r="K636" s="177" t="str">
        <f>IF(COUNTIF(Tabela66[id],D636)=0,"",COUNTIF(Tabela66[id],D636))</f>
        <v/>
      </c>
      <c r="L636" s="198"/>
      <c r="M636" s="227" t="str">
        <f t="shared" si="50"/>
        <v/>
      </c>
      <c r="P636" s="176" t="str">
        <f>IFERROR(VLOOKUP(O636,Cadastros!A:B,2),"")</f>
        <v/>
      </c>
      <c r="Q636" s="177" t="str">
        <f t="shared" si="46"/>
        <v/>
      </c>
      <c r="R636" s="177" t="str">
        <f>IFERROR(VLOOKUP(O636,Cadastros!A:E,5,0),"")</f>
        <v/>
      </c>
      <c r="S636" s="177" t="str">
        <f>IFERROR(VLOOKUP(O636,Cadastros!A:F,6,0),"")</f>
        <v/>
      </c>
      <c r="T636" s="177" t="str">
        <f>IFERROR(VLOOKUP(O636,Cadastros!A:I,9,0),"")</f>
        <v/>
      </c>
      <c r="U636" s="177" t="str">
        <f t="shared" si="47"/>
        <v/>
      </c>
      <c r="V636" s="177" t="str">
        <f t="shared" si="48"/>
        <v/>
      </c>
      <c r="W636" s="177" t="str">
        <f t="shared" si="49"/>
        <v/>
      </c>
      <c r="Y636" s="240" t="e">
        <f t="array" ref="Y636">INDEX(Tabela.abordagens[],SMALL(IF(Tabela.abordagens[Mês]=$L$2,ROW(Tabela.abordagens[id])-2),ROW(A589)),1)</f>
        <v>#NUM!</v>
      </c>
      <c r="Z636" s="240" t="e">
        <f t="array" ref="Z636">INDEX(Tabela.abordagens[],SMALL(IF(Tabela.abordagens[Mês]=$L$2,ROW(Tabela.abordagens[Idade])-2),ROW(A589)),6)</f>
        <v>#NUM!</v>
      </c>
      <c r="AA636" s="240" t="e">
        <f t="array" ref="AA636">INDEX(Tabela.abordagens[],SMALL(IF(Tabela.abordagens[Mês]=$L$2,ROW(Tabela.abordagens[Idade])-2),ROW(A589)),4)</f>
        <v>#NUM!</v>
      </c>
      <c r="AB636" s="240" t="e">
        <f t="array" ref="AB636">INDEX(Tabela.abordagens[],SMALL(IF(Tabela.abordagens[Mês]=$L$2,ROW(Tabela.abordagens[Idade])-2),ROW(A589)),5)</f>
        <v>#NUM!</v>
      </c>
    </row>
    <row r="637" spans="2:28" ht="15" x14ac:dyDescent="0.25">
      <c r="B637" s="223" t="e">
        <f t="array" ref="B637">INDEX(Tabela.frequencia[],SMALL(IF(Tabela.frequencia[Mês]=$L$2,ROW(Tabela.frequencia[id])-1),ROW(A590)),1)</f>
        <v>#NUM!</v>
      </c>
      <c r="C637" s="229" t="e">
        <f t="array" ref="C637">INDEX(Tabela.frequencia[],SMALL(IF(Tabela.frequencia[Mês]=$L$2,ROW(Tabela.frequencia[id])-1),ROW(A590)),4)</f>
        <v>#NUM!</v>
      </c>
      <c r="E637" s="176" t="str">
        <f>IFERROR(VLOOKUP(D637,Tabela.cadastro[[ID]:[Nome]],2,0),"")</f>
        <v/>
      </c>
      <c r="F637" s="177" t="str">
        <f>IFERROR(VLOOKUP(D637,Tabela66[#All],2,0),"")</f>
        <v/>
      </c>
      <c r="G637" s="177" t="str">
        <f>IFERROR(VLOOKUP(D637,Tabela.cadastro[[ID]:[CP ou M]],5,0),"")</f>
        <v/>
      </c>
      <c r="H637" s="177" t="str">
        <f>IFERROR(VLOOKUP(D637,Cadastros!A:F,6,0),"")</f>
        <v/>
      </c>
      <c r="I637" s="177" t="str">
        <f>IFERROR(VLOOKUP(D637,Cadastros!A:I,9,0),"")</f>
        <v/>
      </c>
      <c r="J637" s="177" t="str">
        <f>IFERROR(VLOOKUP(D637,Cadastros!A:J,10,0),"")</f>
        <v/>
      </c>
      <c r="K637" s="177" t="str">
        <f>IF(COUNTIF(Tabela66[id],D637)=0,"",COUNTIF(Tabela66[id],D637))</f>
        <v/>
      </c>
      <c r="L637" s="198"/>
      <c r="M637" s="227" t="str">
        <f t="shared" si="50"/>
        <v/>
      </c>
      <c r="P637" s="176" t="str">
        <f>IFERROR(VLOOKUP(O637,Cadastros!A:B,2),"")</f>
        <v/>
      </c>
      <c r="Q637" s="177" t="str">
        <f t="shared" si="46"/>
        <v/>
      </c>
      <c r="R637" s="177" t="str">
        <f>IFERROR(VLOOKUP(O637,Cadastros!A:E,5,0),"")</f>
        <v/>
      </c>
      <c r="S637" s="177" t="str">
        <f>IFERROR(VLOOKUP(O637,Cadastros!A:F,6,0),"")</f>
        <v/>
      </c>
      <c r="T637" s="177" t="str">
        <f>IFERROR(VLOOKUP(O637,Cadastros!A:I,9,0),"")</f>
        <v/>
      </c>
      <c r="U637" s="177" t="str">
        <f t="shared" si="47"/>
        <v/>
      </c>
      <c r="V637" s="177" t="str">
        <f t="shared" si="48"/>
        <v/>
      </c>
      <c r="W637" s="177" t="str">
        <f t="shared" si="49"/>
        <v/>
      </c>
      <c r="Y637" s="240" t="e">
        <f t="array" ref="Y637">INDEX(Tabela.abordagens[],SMALL(IF(Tabela.abordagens[Mês]=$L$2,ROW(Tabela.abordagens[id])-2),ROW(A590)),1)</f>
        <v>#NUM!</v>
      </c>
      <c r="Z637" s="240" t="e">
        <f t="array" ref="Z637">INDEX(Tabela.abordagens[],SMALL(IF(Tabela.abordagens[Mês]=$L$2,ROW(Tabela.abordagens[Idade])-2),ROW(A590)),6)</f>
        <v>#NUM!</v>
      </c>
      <c r="AA637" s="240" t="e">
        <f t="array" ref="AA637">INDEX(Tabela.abordagens[],SMALL(IF(Tabela.abordagens[Mês]=$L$2,ROW(Tabela.abordagens[Idade])-2),ROW(A590)),4)</f>
        <v>#NUM!</v>
      </c>
      <c r="AB637" s="240" t="e">
        <f t="array" ref="AB637">INDEX(Tabela.abordagens[],SMALL(IF(Tabela.abordagens[Mês]=$L$2,ROW(Tabela.abordagens[Idade])-2),ROW(A590)),5)</f>
        <v>#NUM!</v>
      </c>
    </row>
    <row r="638" spans="2:28" ht="15" x14ac:dyDescent="0.25">
      <c r="B638" s="223" t="e">
        <f t="array" ref="B638">INDEX(Tabela.frequencia[],SMALL(IF(Tabela.frequencia[Mês]=$L$2,ROW(Tabela.frequencia[id])-1),ROW(A591)),1)</f>
        <v>#NUM!</v>
      </c>
      <c r="C638" s="229" t="e">
        <f t="array" ref="C638">INDEX(Tabela.frequencia[],SMALL(IF(Tabela.frequencia[Mês]=$L$2,ROW(Tabela.frequencia[id])-1),ROW(A591)),4)</f>
        <v>#NUM!</v>
      </c>
      <c r="E638" s="176" t="str">
        <f>IFERROR(VLOOKUP(D638,Tabela.cadastro[[ID]:[Nome]],2,0),"")</f>
        <v/>
      </c>
      <c r="F638" s="177" t="str">
        <f>IFERROR(VLOOKUP(D638,Tabela66[#All],2,0),"")</f>
        <v/>
      </c>
      <c r="G638" s="177" t="str">
        <f>IFERROR(VLOOKUP(D638,Tabela.cadastro[[ID]:[CP ou M]],5,0),"")</f>
        <v/>
      </c>
      <c r="H638" s="177" t="str">
        <f>IFERROR(VLOOKUP(D638,Cadastros!A:F,6,0),"")</f>
        <v/>
      </c>
      <c r="I638" s="177" t="str">
        <f>IFERROR(VLOOKUP(D638,Cadastros!A:I,9,0),"")</f>
        <v/>
      </c>
      <c r="J638" s="177" t="str">
        <f>IFERROR(VLOOKUP(D638,Cadastros!A:J,10,0),"")</f>
        <v/>
      </c>
      <c r="K638" s="177" t="str">
        <f>IF(COUNTIF(Tabela66[id],D638)=0,"",COUNTIF(Tabela66[id],D638))</f>
        <v/>
      </c>
      <c r="L638" s="198"/>
      <c r="M638" s="227" t="str">
        <f t="shared" si="50"/>
        <v/>
      </c>
      <c r="P638" s="176" t="str">
        <f>IFERROR(VLOOKUP(O638,Cadastros!A:B,2),"")</f>
        <v/>
      </c>
      <c r="Q638" s="177" t="str">
        <f t="shared" si="46"/>
        <v/>
      </c>
      <c r="R638" s="177" t="str">
        <f>IFERROR(VLOOKUP(O638,Cadastros!A:E,5,0),"")</f>
        <v/>
      </c>
      <c r="S638" s="177" t="str">
        <f>IFERROR(VLOOKUP(O638,Cadastros!A:F,6,0),"")</f>
        <v/>
      </c>
      <c r="T638" s="177" t="str">
        <f>IFERROR(VLOOKUP(O638,Cadastros!A:I,9,0),"")</f>
        <v/>
      </c>
      <c r="U638" s="177" t="str">
        <f t="shared" si="47"/>
        <v/>
      </c>
      <c r="V638" s="177" t="str">
        <f t="shared" si="48"/>
        <v/>
      </c>
      <c r="W638" s="177" t="str">
        <f t="shared" si="49"/>
        <v/>
      </c>
      <c r="Y638" s="240" t="e">
        <f t="array" ref="Y638">INDEX(Tabela.abordagens[],SMALL(IF(Tabela.abordagens[Mês]=$L$2,ROW(Tabela.abordagens[id])-2),ROW(A591)),1)</f>
        <v>#NUM!</v>
      </c>
      <c r="Z638" s="240" t="e">
        <f t="array" ref="Z638">INDEX(Tabela.abordagens[],SMALL(IF(Tabela.abordagens[Mês]=$L$2,ROW(Tabela.abordagens[Idade])-2),ROW(A591)),6)</f>
        <v>#NUM!</v>
      </c>
      <c r="AA638" s="240" t="e">
        <f t="array" ref="AA638">INDEX(Tabela.abordagens[],SMALL(IF(Tabela.abordagens[Mês]=$L$2,ROW(Tabela.abordagens[Idade])-2),ROW(A591)),4)</f>
        <v>#NUM!</v>
      </c>
      <c r="AB638" s="240" t="e">
        <f t="array" ref="AB638">INDEX(Tabela.abordagens[],SMALL(IF(Tabela.abordagens[Mês]=$L$2,ROW(Tabela.abordagens[Idade])-2),ROW(A591)),5)</f>
        <v>#NUM!</v>
      </c>
    </row>
    <row r="639" spans="2:28" ht="15" x14ac:dyDescent="0.25">
      <c r="B639" s="223" t="e">
        <f t="array" ref="B639">INDEX(Tabela.frequencia[],SMALL(IF(Tabela.frequencia[Mês]=$L$2,ROW(Tabela.frequencia[id])-1),ROW(A592)),1)</f>
        <v>#NUM!</v>
      </c>
      <c r="C639" s="229" t="e">
        <f t="array" ref="C639">INDEX(Tabela.frequencia[],SMALL(IF(Tabela.frequencia[Mês]=$L$2,ROW(Tabela.frequencia[id])-1),ROW(A592)),4)</f>
        <v>#NUM!</v>
      </c>
      <c r="E639" s="176" t="str">
        <f>IFERROR(VLOOKUP(D639,Tabela.cadastro[[ID]:[Nome]],2,0),"")</f>
        <v/>
      </c>
      <c r="F639" s="177" t="str">
        <f>IFERROR(VLOOKUP(D639,Tabela66[#All],2,0),"")</f>
        <v/>
      </c>
      <c r="G639" s="177" t="str">
        <f>IFERROR(VLOOKUP(D639,Tabela.cadastro[[ID]:[CP ou M]],5,0),"")</f>
        <v/>
      </c>
      <c r="H639" s="177" t="str">
        <f>IFERROR(VLOOKUP(D639,Cadastros!A:F,6,0),"")</f>
        <v/>
      </c>
      <c r="I639" s="177" t="str">
        <f>IFERROR(VLOOKUP(D639,Cadastros!A:I,9,0),"")</f>
        <v/>
      </c>
      <c r="J639" s="177" t="str">
        <f>IFERROR(VLOOKUP(D639,Cadastros!A:J,10,0),"")</f>
        <v/>
      </c>
      <c r="K639" s="177" t="str">
        <f>IF(COUNTIF(Tabela66[id],D639)=0,"",COUNTIF(Tabela66[id],D639))</f>
        <v/>
      </c>
      <c r="L639" s="198"/>
      <c r="M639" s="227" t="str">
        <f t="shared" si="50"/>
        <v/>
      </c>
      <c r="P639" s="176" t="str">
        <f>IFERROR(VLOOKUP(O639,Cadastros!A:B,2),"")</f>
        <v/>
      </c>
      <c r="Q639" s="177" t="str">
        <f t="shared" si="46"/>
        <v/>
      </c>
      <c r="R639" s="177" t="str">
        <f>IFERROR(VLOOKUP(O639,Cadastros!A:E,5,0),"")</f>
        <v/>
      </c>
      <c r="S639" s="177" t="str">
        <f>IFERROR(VLOOKUP(O639,Cadastros!A:F,6,0),"")</f>
        <v/>
      </c>
      <c r="T639" s="177" t="str">
        <f>IFERROR(VLOOKUP(O639,Cadastros!A:I,9,0),"")</f>
        <v/>
      </c>
      <c r="U639" s="177" t="str">
        <f t="shared" si="47"/>
        <v/>
      </c>
      <c r="V639" s="177" t="str">
        <f t="shared" si="48"/>
        <v/>
      </c>
      <c r="W639" s="177" t="str">
        <f t="shared" si="49"/>
        <v/>
      </c>
      <c r="Y639" s="240" t="e">
        <f t="array" ref="Y639">INDEX(Tabela.abordagens[],SMALL(IF(Tabela.abordagens[Mês]=$L$2,ROW(Tabela.abordagens[id])-2),ROW(A592)),1)</f>
        <v>#NUM!</v>
      </c>
      <c r="Z639" s="240" t="e">
        <f t="array" ref="Z639">INDEX(Tabela.abordagens[],SMALL(IF(Tabela.abordagens[Mês]=$L$2,ROW(Tabela.abordagens[Idade])-2),ROW(A592)),6)</f>
        <v>#NUM!</v>
      </c>
      <c r="AA639" s="240" t="e">
        <f t="array" ref="AA639">INDEX(Tabela.abordagens[],SMALL(IF(Tabela.abordagens[Mês]=$L$2,ROW(Tabela.abordagens[Idade])-2),ROW(A592)),4)</f>
        <v>#NUM!</v>
      </c>
      <c r="AB639" s="240" t="e">
        <f t="array" ref="AB639">INDEX(Tabela.abordagens[],SMALL(IF(Tabela.abordagens[Mês]=$L$2,ROW(Tabela.abordagens[Idade])-2),ROW(A592)),5)</f>
        <v>#NUM!</v>
      </c>
    </row>
    <row r="640" spans="2:28" ht="15" x14ac:dyDescent="0.25">
      <c r="B640" s="223" t="e">
        <f t="array" ref="B640">INDEX(Tabela.frequencia[],SMALL(IF(Tabela.frequencia[Mês]=$L$2,ROW(Tabela.frequencia[id])-1),ROW(A593)),1)</f>
        <v>#NUM!</v>
      </c>
      <c r="C640" s="229" t="e">
        <f t="array" ref="C640">INDEX(Tabela.frequencia[],SMALL(IF(Tabela.frequencia[Mês]=$L$2,ROW(Tabela.frequencia[id])-1),ROW(A593)),4)</f>
        <v>#NUM!</v>
      </c>
      <c r="E640" s="176" t="str">
        <f>IFERROR(VLOOKUP(D640,Tabela.cadastro[[ID]:[Nome]],2,0),"")</f>
        <v/>
      </c>
      <c r="F640" s="177" t="str">
        <f>IFERROR(VLOOKUP(D640,Tabela66[#All],2,0),"")</f>
        <v/>
      </c>
      <c r="G640" s="177" t="str">
        <f>IFERROR(VLOOKUP(D640,Tabela.cadastro[[ID]:[CP ou M]],5,0),"")</f>
        <v/>
      </c>
      <c r="H640" s="177" t="str">
        <f>IFERROR(VLOOKUP(D640,Cadastros!A:F,6,0),"")</f>
        <v/>
      </c>
      <c r="I640" s="177" t="str">
        <f>IFERROR(VLOOKUP(D640,Cadastros!A:I,9,0),"")</f>
        <v/>
      </c>
      <c r="J640" s="177" t="str">
        <f>IFERROR(VLOOKUP(D640,Cadastros!A:J,10,0),"")</f>
        <v/>
      </c>
      <c r="K640" s="177" t="str">
        <f>IF(COUNTIF(Tabela66[id],D640)=0,"",COUNTIF(Tabela66[id],D640))</f>
        <v/>
      </c>
      <c r="L640" s="198"/>
      <c r="M640" s="227" t="str">
        <f t="shared" si="50"/>
        <v/>
      </c>
      <c r="P640" s="176" t="str">
        <f>IFERROR(VLOOKUP(O640,Cadastros!A:B,2),"")</f>
        <v/>
      </c>
      <c r="Q640" s="177" t="str">
        <f t="shared" si="46"/>
        <v/>
      </c>
      <c r="R640" s="177" t="str">
        <f>IFERROR(VLOOKUP(O640,Cadastros!A:E,5,0),"")</f>
        <v/>
      </c>
      <c r="S640" s="177" t="str">
        <f>IFERROR(VLOOKUP(O640,Cadastros!A:F,6,0),"")</f>
        <v/>
      </c>
      <c r="T640" s="177" t="str">
        <f>IFERROR(VLOOKUP(O640,Cadastros!A:I,9,0),"")</f>
        <v/>
      </c>
      <c r="U640" s="177" t="str">
        <f t="shared" si="47"/>
        <v/>
      </c>
      <c r="V640" s="177" t="str">
        <f t="shared" si="48"/>
        <v/>
      </c>
      <c r="W640" s="177" t="str">
        <f t="shared" si="49"/>
        <v/>
      </c>
      <c r="Y640" s="240" t="e">
        <f t="array" ref="Y640">INDEX(Tabela.abordagens[],SMALL(IF(Tabela.abordagens[Mês]=$L$2,ROW(Tabela.abordagens[id])-2),ROW(A593)),1)</f>
        <v>#NUM!</v>
      </c>
      <c r="Z640" s="240" t="e">
        <f t="array" ref="Z640">INDEX(Tabela.abordagens[],SMALL(IF(Tabela.abordagens[Mês]=$L$2,ROW(Tabela.abordagens[Idade])-2),ROW(A593)),6)</f>
        <v>#NUM!</v>
      </c>
      <c r="AA640" s="240" t="e">
        <f t="array" ref="AA640">INDEX(Tabela.abordagens[],SMALL(IF(Tabela.abordagens[Mês]=$L$2,ROW(Tabela.abordagens[Idade])-2),ROW(A593)),4)</f>
        <v>#NUM!</v>
      </c>
      <c r="AB640" s="240" t="e">
        <f t="array" ref="AB640">INDEX(Tabela.abordagens[],SMALL(IF(Tabela.abordagens[Mês]=$L$2,ROW(Tabela.abordagens[Idade])-2),ROW(A593)),5)</f>
        <v>#NUM!</v>
      </c>
    </row>
    <row r="641" spans="2:28" ht="15" x14ac:dyDescent="0.25">
      <c r="B641" s="223" t="e">
        <f t="array" ref="B641">INDEX(Tabela.frequencia[],SMALL(IF(Tabela.frequencia[Mês]=$L$2,ROW(Tabela.frequencia[id])-1),ROW(A594)),1)</f>
        <v>#NUM!</v>
      </c>
      <c r="C641" s="229" t="e">
        <f t="array" ref="C641">INDEX(Tabela.frequencia[],SMALL(IF(Tabela.frequencia[Mês]=$L$2,ROW(Tabela.frequencia[id])-1),ROW(A594)),4)</f>
        <v>#NUM!</v>
      </c>
      <c r="E641" s="176" t="str">
        <f>IFERROR(VLOOKUP(D641,Tabela.cadastro[[ID]:[Nome]],2,0),"")</f>
        <v/>
      </c>
      <c r="F641" s="177" t="str">
        <f>IFERROR(VLOOKUP(D641,Tabela66[#All],2,0),"")</f>
        <v/>
      </c>
      <c r="G641" s="177" t="str">
        <f>IFERROR(VLOOKUP(D641,Tabela.cadastro[[ID]:[CP ou M]],5,0),"")</f>
        <v/>
      </c>
      <c r="H641" s="177" t="str">
        <f>IFERROR(VLOOKUP(D641,Cadastros!A:F,6,0),"")</f>
        <v/>
      </c>
      <c r="I641" s="177" t="str">
        <f>IFERROR(VLOOKUP(D641,Cadastros!A:I,9,0),"")</f>
        <v/>
      </c>
      <c r="J641" s="177" t="str">
        <f>IFERROR(VLOOKUP(D641,Cadastros!A:J,10,0),"")</f>
        <v/>
      </c>
      <c r="K641" s="177" t="str">
        <f>IF(COUNTIF(Tabela66[id],D641)=0,"",COUNTIF(Tabela66[id],D641))</f>
        <v/>
      </c>
      <c r="L641" s="198"/>
      <c r="M641" s="227" t="str">
        <f t="shared" si="50"/>
        <v/>
      </c>
      <c r="P641" s="176" t="str">
        <f>IFERROR(VLOOKUP(O641,Cadastros!A:B,2),"")</f>
        <v/>
      </c>
      <c r="Q641" s="177" t="str">
        <f t="shared" si="46"/>
        <v/>
      </c>
      <c r="R641" s="177" t="str">
        <f>IFERROR(VLOOKUP(O641,Cadastros!A:E,5,0),"")</f>
        <v/>
      </c>
      <c r="S641" s="177" t="str">
        <f>IFERROR(VLOOKUP(O641,Cadastros!A:F,6,0),"")</f>
        <v/>
      </c>
      <c r="T641" s="177" t="str">
        <f>IFERROR(VLOOKUP(O641,Cadastros!A:I,9,0),"")</f>
        <v/>
      </c>
      <c r="U641" s="177" t="str">
        <f t="shared" si="47"/>
        <v/>
      </c>
      <c r="V641" s="177" t="str">
        <f t="shared" si="48"/>
        <v/>
      </c>
      <c r="W641" s="177" t="str">
        <f t="shared" si="49"/>
        <v/>
      </c>
      <c r="Y641" s="240" t="e">
        <f t="array" ref="Y641">INDEX(Tabela.abordagens[],SMALL(IF(Tabela.abordagens[Mês]=$L$2,ROW(Tabela.abordagens[id])-2),ROW(A594)),1)</f>
        <v>#NUM!</v>
      </c>
      <c r="Z641" s="240" t="e">
        <f t="array" ref="Z641">INDEX(Tabela.abordagens[],SMALL(IF(Tabela.abordagens[Mês]=$L$2,ROW(Tabela.abordagens[Idade])-2),ROW(A594)),6)</f>
        <v>#NUM!</v>
      </c>
      <c r="AA641" s="240" t="e">
        <f t="array" ref="AA641">INDEX(Tabela.abordagens[],SMALL(IF(Tabela.abordagens[Mês]=$L$2,ROW(Tabela.abordagens[Idade])-2),ROW(A594)),4)</f>
        <v>#NUM!</v>
      </c>
      <c r="AB641" s="240" t="e">
        <f t="array" ref="AB641">INDEX(Tabela.abordagens[],SMALL(IF(Tabela.abordagens[Mês]=$L$2,ROW(Tabela.abordagens[Idade])-2),ROW(A594)),5)</f>
        <v>#NUM!</v>
      </c>
    </row>
    <row r="642" spans="2:28" ht="15" x14ac:dyDescent="0.25">
      <c r="B642" s="223" t="e">
        <f t="array" ref="B642">INDEX(Tabela.frequencia[],SMALL(IF(Tabela.frequencia[Mês]=$L$2,ROW(Tabela.frequencia[id])-1),ROW(A595)),1)</f>
        <v>#NUM!</v>
      </c>
      <c r="C642" s="229" t="e">
        <f t="array" ref="C642">INDEX(Tabela.frequencia[],SMALL(IF(Tabela.frequencia[Mês]=$L$2,ROW(Tabela.frequencia[id])-1),ROW(A595)),4)</f>
        <v>#NUM!</v>
      </c>
      <c r="E642" s="176" t="str">
        <f>IFERROR(VLOOKUP(D642,Tabela.cadastro[[ID]:[Nome]],2,0),"")</f>
        <v/>
      </c>
      <c r="F642" s="177" t="str">
        <f>IFERROR(VLOOKUP(D642,Tabela66[#All],2,0),"")</f>
        <v/>
      </c>
      <c r="G642" s="177" t="str">
        <f>IFERROR(VLOOKUP(D642,Tabela.cadastro[[ID]:[CP ou M]],5,0),"")</f>
        <v/>
      </c>
      <c r="H642" s="177" t="str">
        <f>IFERROR(VLOOKUP(D642,Cadastros!A:F,6,0),"")</f>
        <v/>
      </c>
      <c r="I642" s="177" t="str">
        <f>IFERROR(VLOOKUP(D642,Cadastros!A:I,9,0),"")</f>
        <v/>
      </c>
      <c r="J642" s="177" t="str">
        <f>IFERROR(VLOOKUP(D642,Cadastros!A:J,10,0),"")</f>
        <v/>
      </c>
      <c r="K642" s="177" t="str">
        <f>IF(COUNTIF(Tabela66[id],D642)=0,"",COUNTIF(Tabela66[id],D642))</f>
        <v/>
      </c>
      <c r="L642" s="198"/>
      <c r="M642" s="227" t="str">
        <f t="shared" si="50"/>
        <v/>
      </c>
      <c r="P642" s="176" t="str">
        <f>IFERROR(VLOOKUP(O642,Cadastros!A:B,2),"")</f>
        <v/>
      </c>
      <c r="Q642" s="177" t="str">
        <f t="shared" si="46"/>
        <v/>
      </c>
      <c r="R642" s="177" t="str">
        <f>IFERROR(VLOOKUP(O642,Cadastros!A:E,5,0),"")</f>
        <v/>
      </c>
      <c r="S642" s="177" t="str">
        <f>IFERROR(VLOOKUP(O642,Cadastros!A:F,6,0),"")</f>
        <v/>
      </c>
      <c r="T642" s="177" t="str">
        <f>IFERROR(VLOOKUP(O642,Cadastros!A:I,9,0),"")</f>
        <v/>
      </c>
      <c r="U642" s="177" t="str">
        <f t="shared" si="47"/>
        <v/>
      </c>
      <c r="V642" s="177" t="str">
        <f t="shared" si="48"/>
        <v/>
      </c>
      <c r="W642" s="177" t="str">
        <f t="shared" si="49"/>
        <v/>
      </c>
      <c r="Y642" s="240" t="e">
        <f t="array" ref="Y642">INDEX(Tabela.abordagens[],SMALL(IF(Tabela.abordagens[Mês]=$L$2,ROW(Tabela.abordagens[id])-2),ROW(A595)),1)</f>
        <v>#NUM!</v>
      </c>
      <c r="Z642" s="240" t="e">
        <f t="array" ref="Z642">INDEX(Tabela.abordagens[],SMALL(IF(Tabela.abordagens[Mês]=$L$2,ROW(Tabela.abordagens[Idade])-2),ROW(A595)),6)</f>
        <v>#NUM!</v>
      </c>
      <c r="AA642" s="240" t="e">
        <f t="array" ref="AA642">INDEX(Tabela.abordagens[],SMALL(IF(Tabela.abordagens[Mês]=$L$2,ROW(Tabela.abordagens[Idade])-2),ROW(A595)),4)</f>
        <v>#NUM!</v>
      </c>
      <c r="AB642" s="240" t="e">
        <f t="array" ref="AB642">INDEX(Tabela.abordagens[],SMALL(IF(Tabela.abordagens[Mês]=$L$2,ROW(Tabela.abordagens[Idade])-2),ROW(A595)),5)</f>
        <v>#NUM!</v>
      </c>
    </row>
    <row r="643" spans="2:28" ht="15" x14ac:dyDescent="0.25">
      <c r="B643" s="223" t="e">
        <f t="array" ref="B643">INDEX(Tabela.frequencia[],SMALL(IF(Tabela.frequencia[Mês]=$L$2,ROW(Tabela.frequencia[id])-1),ROW(A596)),1)</f>
        <v>#NUM!</v>
      </c>
      <c r="C643" s="229" t="e">
        <f t="array" ref="C643">INDEX(Tabela.frequencia[],SMALL(IF(Tabela.frequencia[Mês]=$L$2,ROW(Tabela.frequencia[id])-1),ROW(A596)),4)</f>
        <v>#NUM!</v>
      </c>
      <c r="E643" s="176" t="str">
        <f>IFERROR(VLOOKUP(D643,Tabela.cadastro[[ID]:[Nome]],2,0),"")</f>
        <v/>
      </c>
      <c r="F643" s="177" t="str">
        <f>IFERROR(VLOOKUP(D643,Tabela66[#All],2,0),"")</f>
        <v/>
      </c>
      <c r="G643" s="177" t="str">
        <f>IFERROR(VLOOKUP(D643,Tabela.cadastro[[ID]:[CP ou M]],5,0),"")</f>
        <v/>
      </c>
      <c r="H643" s="177" t="str">
        <f>IFERROR(VLOOKUP(D643,Cadastros!A:F,6,0),"")</f>
        <v/>
      </c>
      <c r="I643" s="177" t="str">
        <f>IFERROR(VLOOKUP(D643,Cadastros!A:I,9,0),"")</f>
        <v/>
      </c>
      <c r="J643" s="177" t="str">
        <f>IFERROR(VLOOKUP(D643,Cadastros!A:J,10,0),"")</f>
        <v/>
      </c>
      <c r="K643" s="177" t="str">
        <f>IF(COUNTIF(Tabela66[id],D643)=0,"",COUNTIF(Tabela66[id],D643))</f>
        <v/>
      </c>
      <c r="L643" s="198"/>
      <c r="M643" s="227" t="str">
        <f t="shared" si="50"/>
        <v/>
      </c>
      <c r="P643" s="176" t="str">
        <f>IFERROR(VLOOKUP(O643,Cadastros!A:B,2),"")</f>
        <v/>
      </c>
      <c r="Q643" s="177" t="str">
        <f t="shared" si="46"/>
        <v/>
      </c>
      <c r="R643" s="177" t="str">
        <f>IFERROR(VLOOKUP(O643,Cadastros!A:E,5,0),"")</f>
        <v/>
      </c>
      <c r="S643" s="177" t="str">
        <f>IFERROR(VLOOKUP(O643,Cadastros!A:F,6,0),"")</f>
        <v/>
      </c>
      <c r="T643" s="177" t="str">
        <f>IFERROR(VLOOKUP(O643,Cadastros!A:I,9,0),"")</f>
        <v/>
      </c>
      <c r="U643" s="177" t="str">
        <f t="shared" si="47"/>
        <v/>
      </c>
      <c r="V643" s="177" t="str">
        <f t="shared" si="48"/>
        <v/>
      </c>
      <c r="W643" s="177" t="str">
        <f t="shared" si="49"/>
        <v/>
      </c>
      <c r="Y643" s="240" t="e">
        <f t="array" ref="Y643">INDEX(Tabela.abordagens[],SMALL(IF(Tabela.abordagens[Mês]=$L$2,ROW(Tabela.abordagens[id])-2),ROW(A596)),1)</f>
        <v>#NUM!</v>
      </c>
      <c r="Z643" s="240" t="e">
        <f t="array" ref="Z643">INDEX(Tabela.abordagens[],SMALL(IF(Tabela.abordagens[Mês]=$L$2,ROW(Tabela.abordagens[Idade])-2),ROW(A596)),6)</f>
        <v>#NUM!</v>
      </c>
      <c r="AA643" s="240" t="e">
        <f t="array" ref="AA643">INDEX(Tabela.abordagens[],SMALL(IF(Tabela.abordagens[Mês]=$L$2,ROW(Tabela.abordagens[Idade])-2),ROW(A596)),4)</f>
        <v>#NUM!</v>
      </c>
      <c r="AB643" s="240" t="e">
        <f t="array" ref="AB643">INDEX(Tabela.abordagens[],SMALL(IF(Tabela.abordagens[Mês]=$L$2,ROW(Tabela.abordagens[Idade])-2),ROW(A596)),5)</f>
        <v>#NUM!</v>
      </c>
    </row>
    <row r="644" spans="2:28" ht="15" x14ac:dyDescent="0.25">
      <c r="B644" s="223" t="e">
        <f t="array" ref="B644">INDEX(Tabela.frequencia[],SMALL(IF(Tabela.frequencia[Mês]=$L$2,ROW(Tabela.frequencia[id])-1),ROW(A597)),1)</f>
        <v>#NUM!</v>
      </c>
      <c r="C644" s="229" t="e">
        <f t="array" ref="C644">INDEX(Tabela.frequencia[],SMALL(IF(Tabela.frequencia[Mês]=$L$2,ROW(Tabela.frequencia[id])-1),ROW(A597)),4)</f>
        <v>#NUM!</v>
      </c>
      <c r="E644" s="176" t="str">
        <f>IFERROR(VLOOKUP(D644,Tabela.cadastro[[ID]:[Nome]],2,0),"")</f>
        <v/>
      </c>
      <c r="F644" s="177" t="str">
        <f>IFERROR(VLOOKUP(D644,Tabela66[#All],2,0),"")</f>
        <v/>
      </c>
      <c r="G644" s="177" t="str">
        <f>IFERROR(VLOOKUP(D644,Tabela.cadastro[[ID]:[CP ou M]],5,0),"")</f>
        <v/>
      </c>
      <c r="H644" s="177" t="str">
        <f>IFERROR(VLOOKUP(D644,Cadastros!A:F,6,0),"")</f>
        <v/>
      </c>
      <c r="I644" s="177" t="str">
        <f>IFERROR(VLOOKUP(D644,Cadastros!A:I,9,0),"")</f>
        <v/>
      </c>
      <c r="J644" s="177" t="str">
        <f>IFERROR(VLOOKUP(D644,Cadastros!A:J,10,0),"")</f>
        <v/>
      </c>
      <c r="K644" s="177" t="str">
        <f>IF(COUNTIF(Tabela66[id],D644)=0,"",COUNTIF(Tabela66[id],D644))</f>
        <v/>
      </c>
      <c r="L644" s="198"/>
      <c r="M644" s="227" t="str">
        <f t="shared" si="50"/>
        <v/>
      </c>
      <c r="P644" s="176" t="str">
        <f>IFERROR(VLOOKUP(O644,Cadastros!A:B,2),"")</f>
        <v/>
      </c>
      <c r="Q644" s="177" t="str">
        <f t="shared" si="46"/>
        <v/>
      </c>
      <c r="R644" s="177" t="str">
        <f>IFERROR(VLOOKUP(O644,Cadastros!A:E,5,0),"")</f>
        <v/>
      </c>
      <c r="S644" s="177" t="str">
        <f>IFERROR(VLOOKUP(O644,Cadastros!A:F,6,0),"")</f>
        <v/>
      </c>
      <c r="T644" s="177" t="str">
        <f>IFERROR(VLOOKUP(O644,Cadastros!A:I,9,0),"")</f>
        <v/>
      </c>
      <c r="U644" s="177" t="str">
        <f t="shared" si="47"/>
        <v/>
      </c>
      <c r="V644" s="177" t="str">
        <f t="shared" si="48"/>
        <v/>
      </c>
      <c r="W644" s="177" t="str">
        <f t="shared" si="49"/>
        <v/>
      </c>
      <c r="Y644" s="240" t="e">
        <f t="array" ref="Y644">INDEX(Tabela.abordagens[],SMALL(IF(Tabela.abordagens[Mês]=$L$2,ROW(Tabela.abordagens[id])-2),ROW(A597)),1)</f>
        <v>#NUM!</v>
      </c>
      <c r="Z644" s="240" t="e">
        <f t="array" ref="Z644">INDEX(Tabela.abordagens[],SMALL(IF(Tabela.abordagens[Mês]=$L$2,ROW(Tabela.abordagens[Idade])-2),ROW(A597)),6)</f>
        <v>#NUM!</v>
      </c>
      <c r="AA644" s="240" t="e">
        <f t="array" ref="AA644">INDEX(Tabela.abordagens[],SMALL(IF(Tabela.abordagens[Mês]=$L$2,ROW(Tabela.abordagens[Idade])-2),ROW(A597)),4)</f>
        <v>#NUM!</v>
      </c>
      <c r="AB644" s="240" t="e">
        <f t="array" ref="AB644">INDEX(Tabela.abordagens[],SMALL(IF(Tabela.abordagens[Mês]=$L$2,ROW(Tabela.abordagens[Idade])-2),ROW(A597)),5)</f>
        <v>#NUM!</v>
      </c>
    </row>
    <row r="645" spans="2:28" ht="15" x14ac:dyDescent="0.25">
      <c r="B645" s="223" t="e">
        <f t="array" ref="B645">INDEX(Tabela.frequencia[],SMALL(IF(Tabela.frequencia[Mês]=$L$2,ROW(Tabela.frequencia[id])-1),ROW(A598)),1)</f>
        <v>#NUM!</v>
      </c>
      <c r="C645" s="229" t="e">
        <f t="array" ref="C645">INDEX(Tabela.frequencia[],SMALL(IF(Tabela.frequencia[Mês]=$L$2,ROW(Tabela.frequencia[id])-1),ROW(A598)),4)</f>
        <v>#NUM!</v>
      </c>
      <c r="E645" s="176" t="str">
        <f>IFERROR(VLOOKUP(D645,Tabela.cadastro[[ID]:[Nome]],2,0),"")</f>
        <v/>
      </c>
      <c r="F645" s="177" t="str">
        <f>IFERROR(VLOOKUP(D645,Tabela66[#All],2,0),"")</f>
        <v/>
      </c>
      <c r="G645" s="177" t="str">
        <f>IFERROR(VLOOKUP(D645,Tabela.cadastro[[ID]:[CP ou M]],5,0),"")</f>
        <v/>
      </c>
      <c r="H645" s="177" t="str">
        <f>IFERROR(VLOOKUP(D645,Cadastros!A:F,6,0),"")</f>
        <v/>
      </c>
      <c r="I645" s="177" t="str">
        <f>IFERROR(VLOOKUP(D645,Cadastros!A:I,9,0),"")</f>
        <v/>
      </c>
      <c r="J645" s="177" t="str">
        <f>IFERROR(VLOOKUP(D645,Cadastros!A:J,10,0),"")</f>
        <v/>
      </c>
      <c r="K645" s="177" t="str">
        <f>IF(COUNTIF(Tabela66[id],D645)=0,"",COUNTIF(Tabela66[id],D645))</f>
        <v/>
      </c>
      <c r="L645" s="198"/>
      <c r="M645" s="227" t="str">
        <f t="shared" si="50"/>
        <v/>
      </c>
      <c r="P645" s="176" t="str">
        <f>IFERROR(VLOOKUP(O645,Cadastros!A:B,2),"")</f>
        <v/>
      </c>
      <c r="Q645" s="177" t="str">
        <f t="shared" si="46"/>
        <v/>
      </c>
      <c r="R645" s="177" t="str">
        <f>IFERROR(VLOOKUP(O645,Cadastros!A:E,5,0),"")</f>
        <v/>
      </c>
      <c r="S645" s="177" t="str">
        <f>IFERROR(VLOOKUP(O645,Cadastros!A:F,6,0),"")</f>
        <v/>
      </c>
      <c r="T645" s="177" t="str">
        <f>IFERROR(VLOOKUP(O645,Cadastros!A:I,9,0),"")</f>
        <v/>
      </c>
      <c r="U645" s="177" t="str">
        <f t="shared" si="47"/>
        <v/>
      </c>
      <c r="V645" s="177" t="str">
        <f t="shared" si="48"/>
        <v/>
      </c>
      <c r="W645" s="177" t="str">
        <f t="shared" si="49"/>
        <v/>
      </c>
      <c r="Y645" s="240" t="e">
        <f t="array" ref="Y645">INDEX(Tabela.abordagens[],SMALL(IF(Tabela.abordagens[Mês]=$L$2,ROW(Tabela.abordagens[id])-2),ROW(A598)),1)</f>
        <v>#NUM!</v>
      </c>
      <c r="Z645" s="240" t="e">
        <f t="array" ref="Z645">INDEX(Tabela.abordagens[],SMALL(IF(Tabela.abordagens[Mês]=$L$2,ROW(Tabela.abordagens[Idade])-2),ROW(A598)),6)</f>
        <v>#NUM!</v>
      </c>
      <c r="AA645" s="240" t="e">
        <f t="array" ref="AA645">INDEX(Tabela.abordagens[],SMALL(IF(Tabela.abordagens[Mês]=$L$2,ROW(Tabela.abordagens[Idade])-2),ROW(A598)),4)</f>
        <v>#NUM!</v>
      </c>
      <c r="AB645" s="240" t="e">
        <f t="array" ref="AB645">INDEX(Tabela.abordagens[],SMALL(IF(Tabela.abordagens[Mês]=$L$2,ROW(Tabela.abordagens[Idade])-2),ROW(A598)),5)</f>
        <v>#NUM!</v>
      </c>
    </row>
    <row r="646" spans="2:28" ht="15" x14ac:dyDescent="0.25">
      <c r="B646" s="223" t="e">
        <f t="array" ref="B646">INDEX(Tabela.frequencia[],SMALL(IF(Tabela.frequencia[Mês]=$L$2,ROW(Tabela.frequencia[id])-1),ROW(A599)),1)</f>
        <v>#NUM!</v>
      </c>
      <c r="C646" s="229" t="e">
        <f t="array" ref="C646">INDEX(Tabela.frequencia[],SMALL(IF(Tabela.frequencia[Mês]=$L$2,ROW(Tabela.frequencia[id])-1),ROW(A599)),4)</f>
        <v>#NUM!</v>
      </c>
      <c r="E646" s="176" t="str">
        <f>IFERROR(VLOOKUP(D646,Tabela.cadastro[[ID]:[Nome]],2,0),"")</f>
        <v/>
      </c>
      <c r="F646" s="177" t="str">
        <f>IFERROR(VLOOKUP(D646,Tabela66[#All],2,0),"")</f>
        <v/>
      </c>
      <c r="G646" s="177" t="str">
        <f>IFERROR(VLOOKUP(D646,Tabela.cadastro[[ID]:[CP ou M]],5,0),"")</f>
        <v/>
      </c>
      <c r="H646" s="177" t="str">
        <f>IFERROR(VLOOKUP(D646,Cadastros!A:F,6,0),"")</f>
        <v/>
      </c>
      <c r="I646" s="177" t="str">
        <f>IFERROR(VLOOKUP(D646,Cadastros!A:I,9,0),"")</f>
        <v/>
      </c>
      <c r="J646" s="177" t="str">
        <f>IFERROR(VLOOKUP(D646,Cadastros!A:J,10,0),"")</f>
        <v/>
      </c>
      <c r="K646" s="177" t="str">
        <f>IF(COUNTIF(Tabela66[id],D646)=0,"",COUNTIF(Tabela66[id],D646))</f>
        <v/>
      </c>
      <c r="L646" s="198"/>
      <c r="M646" s="227" t="str">
        <f t="shared" si="50"/>
        <v/>
      </c>
      <c r="P646" s="176" t="str">
        <f>IFERROR(VLOOKUP(O646,Cadastros!A:B,2),"")</f>
        <v/>
      </c>
      <c r="Q646" s="177" t="str">
        <f t="shared" si="46"/>
        <v/>
      </c>
      <c r="R646" s="177" t="str">
        <f>IFERROR(VLOOKUP(O646,Cadastros!A:E,5,0),"")</f>
        <v/>
      </c>
      <c r="S646" s="177" t="str">
        <f>IFERROR(VLOOKUP(O646,Cadastros!A:F,6,0),"")</f>
        <v/>
      </c>
      <c r="T646" s="177" t="str">
        <f>IFERROR(VLOOKUP(O646,Cadastros!A:I,9,0),"")</f>
        <v/>
      </c>
      <c r="U646" s="177" t="str">
        <f t="shared" si="47"/>
        <v/>
      </c>
      <c r="V646" s="177" t="str">
        <f t="shared" si="48"/>
        <v/>
      </c>
      <c r="W646" s="177" t="str">
        <f t="shared" si="49"/>
        <v/>
      </c>
      <c r="Y646" s="240" t="e">
        <f t="array" ref="Y646">INDEX(Tabela.abordagens[],SMALL(IF(Tabela.abordagens[Mês]=$L$2,ROW(Tabela.abordagens[id])-2),ROW(A599)),1)</f>
        <v>#NUM!</v>
      </c>
      <c r="Z646" s="240" t="e">
        <f t="array" ref="Z646">INDEX(Tabela.abordagens[],SMALL(IF(Tabela.abordagens[Mês]=$L$2,ROW(Tabela.abordagens[Idade])-2),ROW(A599)),6)</f>
        <v>#NUM!</v>
      </c>
      <c r="AA646" s="240" t="e">
        <f t="array" ref="AA646">INDEX(Tabela.abordagens[],SMALL(IF(Tabela.abordagens[Mês]=$L$2,ROW(Tabela.abordagens[Idade])-2),ROW(A599)),4)</f>
        <v>#NUM!</v>
      </c>
      <c r="AB646" s="240" t="e">
        <f t="array" ref="AB646">INDEX(Tabela.abordagens[],SMALL(IF(Tabela.abordagens[Mês]=$L$2,ROW(Tabela.abordagens[Idade])-2),ROW(A599)),5)</f>
        <v>#NUM!</v>
      </c>
    </row>
    <row r="647" spans="2:28" ht="15" x14ac:dyDescent="0.25">
      <c r="B647" s="223" t="e">
        <f t="array" ref="B647">INDEX(Tabela.frequencia[],SMALL(IF(Tabela.frequencia[Mês]=$L$2,ROW(Tabela.frequencia[id])-1),ROW(A600)),1)</f>
        <v>#NUM!</v>
      </c>
      <c r="C647" s="229" t="e">
        <f t="array" ref="C647">INDEX(Tabela.frequencia[],SMALL(IF(Tabela.frequencia[Mês]=$L$2,ROW(Tabela.frequencia[id])-1),ROW(A600)),4)</f>
        <v>#NUM!</v>
      </c>
      <c r="E647" s="176" t="str">
        <f>IFERROR(VLOOKUP(D647,Tabela.cadastro[[ID]:[Nome]],2,0),"")</f>
        <v/>
      </c>
      <c r="F647" s="177" t="str">
        <f>IFERROR(VLOOKUP(D647,Tabela66[#All],2,0),"")</f>
        <v/>
      </c>
      <c r="G647" s="177" t="str">
        <f>IFERROR(VLOOKUP(D647,Tabela.cadastro[[ID]:[CP ou M]],5,0),"")</f>
        <v/>
      </c>
      <c r="H647" s="177" t="str">
        <f>IFERROR(VLOOKUP(D647,Cadastros!A:F,6,0),"")</f>
        <v/>
      </c>
      <c r="I647" s="177" t="str">
        <f>IFERROR(VLOOKUP(D647,Cadastros!A:I,9,0),"")</f>
        <v/>
      </c>
      <c r="J647" s="177" t="str">
        <f>IFERROR(VLOOKUP(D647,Cadastros!A:J,10,0),"")</f>
        <v/>
      </c>
      <c r="K647" s="177" t="str">
        <f>IF(COUNTIF(Tabela66[id],D647)=0,"",COUNTIF(Tabela66[id],D647))</f>
        <v/>
      </c>
      <c r="L647" s="198"/>
      <c r="M647" s="227" t="str">
        <f t="shared" si="50"/>
        <v/>
      </c>
      <c r="P647" s="176" t="str">
        <f>IFERROR(VLOOKUP(O647,Cadastros!A:B,2),"")</f>
        <v/>
      </c>
      <c r="Q647" s="177" t="str">
        <f t="shared" si="46"/>
        <v/>
      </c>
      <c r="R647" s="177" t="str">
        <f>IFERROR(VLOOKUP(O647,Cadastros!A:E,5,0),"")</f>
        <v/>
      </c>
      <c r="S647" s="177" t="str">
        <f>IFERROR(VLOOKUP(O647,Cadastros!A:F,6,0),"")</f>
        <v/>
      </c>
      <c r="T647" s="177" t="str">
        <f>IFERROR(VLOOKUP(O647,Cadastros!A:I,9,0),"")</f>
        <v/>
      </c>
      <c r="U647" s="177" t="str">
        <f t="shared" si="47"/>
        <v/>
      </c>
      <c r="V647" s="177" t="str">
        <f t="shared" si="48"/>
        <v/>
      </c>
      <c r="W647" s="177" t="str">
        <f t="shared" si="49"/>
        <v/>
      </c>
      <c r="Y647" s="240" t="e">
        <f t="array" ref="Y647">INDEX(Tabela.abordagens[],SMALL(IF(Tabela.abordagens[Mês]=$L$2,ROW(Tabela.abordagens[id])-2),ROW(A600)),1)</f>
        <v>#NUM!</v>
      </c>
      <c r="Z647" s="240" t="e">
        <f t="array" ref="Z647">INDEX(Tabela.abordagens[],SMALL(IF(Tabela.abordagens[Mês]=$L$2,ROW(Tabela.abordagens[Idade])-2),ROW(A600)),6)</f>
        <v>#NUM!</v>
      </c>
      <c r="AA647" s="240" t="e">
        <f t="array" ref="AA647">INDEX(Tabela.abordagens[],SMALL(IF(Tabela.abordagens[Mês]=$L$2,ROW(Tabela.abordagens[Idade])-2),ROW(A600)),4)</f>
        <v>#NUM!</v>
      </c>
      <c r="AB647" s="240" t="e">
        <f t="array" ref="AB647">INDEX(Tabela.abordagens[],SMALL(IF(Tabela.abordagens[Mês]=$L$2,ROW(Tabela.abordagens[Idade])-2),ROW(A600)),5)</f>
        <v>#NUM!</v>
      </c>
    </row>
    <row r="648" spans="2:28" ht="15" x14ac:dyDescent="0.25">
      <c r="B648" s="223" t="e">
        <f t="array" ref="B648">INDEX(Tabela.frequencia[],SMALL(IF(Tabela.frequencia[Mês]=$L$2,ROW(Tabela.frequencia[id])-1),ROW(A601)),1)</f>
        <v>#NUM!</v>
      </c>
      <c r="C648" s="229" t="e">
        <f t="array" ref="C648">INDEX(Tabela.frequencia[],SMALL(IF(Tabela.frequencia[Mês]=$L$2,ROW(Tabela.frequencia[id])-1),ROW(A601)),4)</f>
        <v>#NUM!</v>
      </c>
      <c r="E648" s="176" t="str">
        <f>IFERROR(VLOOKUP(D648,Tabela.cadastro[[ID]:[Nome]],2,0),"")</f>
        <v/>
      </c>
      <c r="F648" s="177" t="str">
        <f>IFERROR(VLOOKUP(D648,Tabela66[#All],2,0),"")</f>
        <v/>
      </c>
      <c r="G648" s="177" t="str">
        <f>IFERROR(VLOOKUP(D648,Tabela.cadastro[[ID]:[CP ou M]],5,0),"")</f>
        <v/>
      </c>
      <c r="H648" s="177" t="str">
        <f>IFERROR(VLOOKUP(D648,Cadastros!A:F,6,0),"")</f>
        <v/>
      </c>
      <c r="I648" s="177" t="str">
        <f>IFERROR(VLOOKUP(D648,Cadastros!A:I,9,0),"")</f>
        <v/>
      </c>
      <c r="J648" s="177" t="str">
        <f>IFERROR(VLOOKUP(D648,Cadastros!A:J,10,0),"")</f>
        <v/>
      </c>
      <c r="K648" s="177" t="str">
        <f>IF(COUNTIF(Tabela66[id],D648)=0,"",COUNTIF(Tabela66[id],D648))</f>
        <v/>
      </c>
      <c r="L648" s="198"/>
      <c r="M648" s="227" t="str">
        <f t="shared" si="50"/>
        <v/>
      </c>
      <c r="P648" s="176" t="str">
        <f>IFERROR(VLOOKUP(O648,Cadastros!A:B,2),"")</f>
        <v/>
      </c>
      <c r="Q648" s="177" t="str">
        <f t="shared" si="46"/>
        <v/>
      </c>
      <c r="R648" s="177" t="str">
        <f>IFERROR(VLOOKUP(O648,Cadastros!A:E,5,0),"")</f>
        <v/>
      </c>
      <c r="S648" s="177" t="str">
        <f>IFERROR(VLOOKUP(O648,Cadastros!A:F,6,0),"")</f>
        <v/>
      </c>
      <c r="T648" s="177" t="str">
        <f>IFERROR(VLOOKUP(O648,Cadastros!A:I,9,0),"")</f>
        <v/>
      </c>
      <c r="U648" s="177" t="str">
        <f t="shared" si="47"/>
        <v/>
      </c>
      <c r="V648" s="177" t="str">
        <f t="shared" si="48"/>
        <v/>
      </c>
      <c r="W648" s="177" t="str">
        <f t="shared" si="49"/>
        <v/>
      </c>
      <c r="Y648" s="240" t="e">
        <f t="array" ref="Y648">INDEX(Tabela.abordagens[],SMALL(IF(Tabela.abordagens[Mês]=$L$2,ROW(Tabela.abordagens[id])-2),ROW(A601)),1)</f>
        <v>#NUM!</v>
      </c>
      <c r="Z648" s="240" t="e">
        <f t="array" ref="Z648">INDEX(Tabela.abordagens[],SMALL(IF(Tabela.abordagens[Mês]=$L$2,ROW(Tabela.abordagens[Idade])-2),ROW(A601)),6)</f>
        <v>#NUM!</v>
      </c>
      <c r="AA648" s="240" t="e">
        <f t="array" ref="AA648">INDEX(Tabela.abordagens[],SMALL(IF(Tabela.abordagens[Mês]=$L$2,ROW(Tabela.abordagens[Idade])-2),ROW(A601)),4)</f>
        <v>#NUM!</v>
      </c>
      <c r="AB648" s="240" t="e">
        <f t="array" ref="AB648">INDEX(Tabela.abordagens[],SMALL(IF(Tabela.abordagens[Mês]=$L$2,ROW(Tabela.abordagens[Idade])-2),ROW(A601)),5)</f>
        <v>#NUM!</v>
      </c>
    </row>
    <row r="649" spans="2:28" ht="15" x14ac:dyDescent="0.25">
      <c r="B649" s="223" t="e">
        <f t="array" ref="B649">INDEX(Tabela.frequencia[],SMALL(IF(Tabela.frequencia[Mês]=$L$2,ROW(Tabela.frequencia[id])-1),ROW(A602)),1)</f>
        <v>#NUM!</v>
      </c>
      <c r="C649" s="229" t="e">
        <f t="array" ref="C649">INDEX(Tabela.frequencia[],SMALL(IF(Tabela.frequencia[Mês]=$L$2,ROW(Tabela.frequencia[id])-1),ROW(A602)),4)</f>
        <v>#NUM!</v>
      </c>
      <c r="E649" s="176" t="str">
        <f>IFERROR(VLOOKUP(D649,Tabela.cadastro[[ID]:[Nome]],2,0),"")</f>
        <v/>
      </c>
      <c r="F649" s="177" t="str">
        <f>IFERROR(VLOOKUP(D649,Tabela66[#All],2,0),"")</f>
        <v/>
      </c>
      <c r="G649" s="177" t="str">
        <f>IFERROR(VLOOKUP(D649,Tabela.cadastro[[ID]:[CP ou M]],5,0),"")</f>
        <v/>
      </c>
      <c r="H649" s="177" t="str">
        <f>IFERROR(VLOOKUP(D649,Cadastros!A:F,6,0),"")</f>
        <v/>
      </c>
      <c r="I649" s="177" t="str">
        <f>IFERROR(VLOOKUP(D649,Cadastros!A:I,9,0),"")</f>
        <v/>
      </c>
      <c r="J649" s="177" t="str">
        <f>IFERROR(VLOOKUP(D649,Cadastros!A:J,10,0),"")</f>
        <v/>
      </c>
      <c r="K649" s="177" t="str">
        <f>IF(COUNTIF(Tabela66[id],D649)=0,"",COUNTIF(Tabela66[id],D649))</f>
        <v/>
      </c>
      <c r="L649" s="198"/>
      <c r="M649" s="227" t="str">
        <f t="shared" si="50"/>
        <v/>
      </c>
      <c r="P649" s="176" t="str">
        <f>IFERROR(VLOOKUP(O649,Cadastros!A:B,2),"")</f>
        <v/>
      </c>
      <c r="Q649" s="177" t="str">
        <f t="shared" si="46"/>
        <v/>
      </c>
      <c r="R649" s="177" t="str">
        <f>IFERROR(VLOOKUP(O649,Cadastros!A:E,5,0),"")</f>
        <v/>
      </c>
      <c r="S649" s="177" t="str">
        <f>IFERROR(VLOOKUP(O649,Cadastros!A:F,6,0),"")</f>
        <v/>
      </c>
      <c r="T649" s="177" t="str">
        <f>IFERROR(VLOOKUP(O649,Cadastros!A:I,9,0),"")</f>
        <v/>
      </c>
      <c r="U649" s="177" t="str">
        <f t="shared" si="47"/>
        <v/>
      </c>
      <c r="V649" s="177" t="str">
        <f t="shared" si="48"/>
        <v/>
      </c>
      <c r="W649" s="177" t="str">
        <f t="shared" si="49"/>
        <v/>
      </c>
      <c r="Y649" s="240" t="e">
        <f t="array" ref="Y649">INDEX(Tabela.abordagens[],SMALL(IF(Tabela.abordagens[Mês]=$L$2,ROW(Tabela.abordagens[id])-2),ROW(A602)),1)</f>
        <v>#NUM!</v>
      </c>
      <c r="Z649" s="240" t="e">
        <f t="array" ref="Z649">INDEX(Tabela.abordagens[],SMALL(IF(Tabela.abordagens[Mês]=$L$2,ROW(Tabela.abordagens[Idade])-2),ROW(A602)),6)</f>
        <v>#NUM!</v>
      </c>
      <c r="AA649" s="240" t="e">
        <f t="array" ref="AA649">INDEX(Tabela.abordagens[],SMALL(IF(Tabela.abordagens[Mês]=$L$2,ROW(Tabela.abordagens[Idade])-2),ROW(A602)),4)</f>
        <v>#NUM!</v>
      </c>
      <c r="AB649" s="240" t="e">
        <f t="array" ref="AB649">INDEX(Tabela.abordagens[],SMALL(IF(Tabela.abordagens[Mês]=$L$2,ROW(Tabela.abordagens[Idade])-2),ROW(A602)),5)</f>
        <v>#NUM!</v>
      </c>
    </row>
    <row r="650" spans="2:28" ht="15" x14ac:dyDescent="0.25">
      <c r="B650" s="223" t="e">
        <f t="array" ref="B650">INDEX(Tabela.frequencia[],SMALL(IF(Tabela.frequencia[Mês]=$L$2,ROW(Tabela.frequencia[id])-1),ROW(A603)),1)</f>
        <v>#NUM!</v>
      </c>
      <c r="C650" s="229" t="e">
        <f t="array" ref="C650">INDEX(Tabela.frequencia[],SMALL(IF(Tabela.frequencia[Mês]=$L$2,ROW(Tabela.frequencia[id])-1),ROW(A603)),4)</f>
        <v>#NUM!</v>
      </c>
      <c r="E650" s="176" t="str">
        <f>IFERROR(VLOOKUP(D650,Tabela.cadastro[[ID]:[Nome]],2,0),"")</f>
        <v/>
      </c>
      <c r="F650" s="177" t="str">
        <f>IFERROR(VLOOKUP(D650,Tabela66[#All],2,0),"")</f>
        <v/>
      </c>
      <c r="G650" s="177" t="str">
        <f>IFERROR(VLOOKUP(D650,Tabela.cadastro[[ID]:[CP ou M]],5,0),"")</f>
        <v/>
      </c>
      <c r="H650" s="177" t="str">
        <f>IFERROR(VLOOKUP(D650,Cadastros!A:F,6,0),"")</f>
        <v/>
      </c>
      <c r="I650" s="177" t="str">
        <f>IFERROR(VLOOKUP(D650,Cadastros!A:I,9,0),"")</f>
        <v/>
      </c>
      <c r="J650" s="177" t="str">
        <f>IFERROR(VLOOKUP(D650,Cadastros!A:J,10,0),"")</f>
        <v/>
      </c>
      <c r="K650" s="177" t="str">
        <f>IF(COUNTIF(Tabela66[id],D650)=0,"",COUNTIF(Tabela66[id],D650))</f>
        <v/>
      </c>
      <c r="L650" s="198"/>
      <c r="M650" s="227" t="str">
        <f t="shared" si="50"/>
        <v/>
      </c>
      <c r="P650" s="176" t="str">
        <f>IFERROR(VLOOKUP(O650,Cadastros!A:B,2),"")</f>
        <v/>
      </c>
      <c r="Q650" s="177" t="str">
        <f t="shared" si="46"/>
        <v/>
      </c>
      <c r="R650" s="177" t="str">
        <f>IFERROR(VLOOKUP(O650,Cadastros!A:E,5,0),"")</f>
        <v/>
      </c>
      <c r="S650" s="177" t="str">
        <f>IFERROR(VLOOKUP(O650,Cadastros!A:F,6,0),"")</f>
        <v/>
      </c>
      <c r="T650" s="177" t="str">
        <f>IFERROR(VLOOKUP(O650,Cadastros!A:I,9,0),"")</f>
        <v/>
      </c>
      <c r="U650" s="177" t="str">
        <f t="shared" si="47"/>
        <v/>
      </c>
      <c r="V650" s="177" t="str">
        <f t="shared" si="48"/>
        <v/>
      </c>
      <c r="W650" s="177" t="str">
        <f t="shared" si="49"/>
        <v/>
      </c>
      <c r="Y650" s="240" t="e">
        <f t="array" ref="Y650">INDEX(Tabela.abordagens[],SMALL(IF(Tabela.abordagens[Mês]=$L$2,ROW(Tabela.abordagens[id])-2),ROW(A603)),1)</f>
        <v>#NUM!</v>
      </c>
      <c r="Z650" s="240" t="e">
        <f t="array" ref="Z650">INDEX(Tabela.abordagens[],SMALL(IF(Tabela.abordagens[Mês]=$L$2,ROW(Tabela.abordagens[Idade])-2),ROW(A603)),6)</f>
        <v>#NUM!</v>
      </c>
      <c r="AA650" s="240" t="e">
        <f t="array" ref="AA650">INDEX(Tabela.abordagens[],SMALL(IF(Tabela.abordagens[Mês]=$L$2,ROW(Tabela.abordagens[Idade])-2),ROW(A603)),4)</f>
        <v>#NUM!</v>
      </c>
      <c r="AB650" s="240" t="e">
        <f t="array" ref="AB650">INDEX(Tabela.abordagens[],SMALL(IF(Tabela.abordagens[Mês]=$L$2,ROW(Tabela.abordagens[Idade])-2),ROW(A603)),5)</f>
        <v>#NUM!</v>
      </c>
    </row>
    <row r="651" spans="2:28" ht="15" x14ac:dyDescent="0.25">
      <c r="B651" s="223" t="e">
        <f t="array" ref="B651">INDEX(Tabela.frequencia[],SMALL(IF(Tabela.frequencia[Mês]=$L$2,ROW(Tabela.frequencia[id])-1),ROW(A604)),1)</f>
        <v>#NUM!</v>
      </c>
      <c r="C651" s="229" t="e">
        <f t="array" ref="C651">INDEX(Tabela.frequencia[],SMALL(IF(Tabela.frequencia[Mês]=$L$2,ROW(Tabela.frequencia[id])-1),ROW(A604)),4)</f>
        <v>#NUM!</v>
      </c>
      <c r="E651" s="176" t="str">
        <f>IFERROR(VLOOKUP(D651,Tabela.cadastro[[ID]:[Nome]],2,0),"")</f>
        <v/>
      </c>
      <c r="F651" s="177" t="str">
        <f>IFERROR(VLOOKUP(D651,Tabela66[#All],2,0),"")</f>
        <v/>
      </c>
      <c r="G651" s="177" t="str">
        <f>IFERROR(VLOOKUP(D651,Tabela.cadastro[[ID]:[CP ou M]],5,0),"")</f>
        <v/>
      </c>
      <c r="H651" s="177" t="str">
        <f>IFERROR(VLOOKUP(D651,Cadastros!A:F,6,0),"")</f>
        <v/>
      </c>
      <c r="I651" s="177" t="str">
        <f>IFERROR(VLOOKUP(D651,Cadastros!A:I,9,0),"")</f>
        <v/>
      </c>
      <c r="J651" s="177" t="str">
        <f>IFERROR(VLOOKUP(D651,Cadastros!A:J,10,0),"")</f>
        <v/>
      </c>
      <c r="K651" s="177" t="str">
        <f>IF(COUNTIF(Tabela66[id],D651)=0,"",COUNTIF(Tabela66[id],D651))</f>
        <v/>
      </c>
      <c r="L651" s="198"/>
      <c r="M651" s="227" t="str">
        <f t="shared" si="50"/>
        <v/>
      </c>
      <c r="P651" s="176" t="str">
        <f>IFERROR(VLOOKUP(O651,Cadastros!A:B,2),"")</f>
        <v/>
      </c>
      <c r="Q651" s="177" t="str">
        <f t="shared" si="46"/>
        <v/>
      </c>
      <c r="R651" s="177" t="str">
        <f>IFERROR(VLOOKUP(O651,Cadastros!A:E,5,0),"")</f>
        <v/>
      </c>
      <c r="S651" s="177" t="str">
        <f>IFERROR(VLOOKUP(O651,Cadastros!A:F,6,0),"")</f>
        <v/>
      </c>
      <c r="T651" s="177" t="str">
        <f>IFERROR(VLOOKUP(O651,Cadastros!A:I,9,0),"")</f>
        <v/>
      </c>
      <c r="U651" s="177" t="str">
        <f t="shared" si="47"/>
        <v/>
      </c>
      <c r="V651" s="177" t="str">
        <f t="shared" si="48"/>
        <v/>
      </c>
      <c r="W651" s="177" t="str">
        <f t="shared" si="49"/>
        <v/>
      </c>
      <c r="Y651" s="240" t="e">
        <f t="array" ref="Y651">INDEX(Tabela.abordagens[],SMALL(IF(Tabela.abordagens[Mês]=$L$2,ROW(Tabela.abordagens[id])-2),ROW(A604)),1)</f>
        <v>#NUM!</v>
      </c>
      <c r="Z651" s="240" t="e">
        <f t="array" ref="Z651">INDEX(Tabela.abordagens[],SMALL(IF(Tabela.abordagens[Mês]=$L$2,ROW(Tabela.abordagens[Idade])-2),ROW(A604)),6)</f>
        <v>#NUM!</v>
      </c>
      <c r="AA651" s="240" t="e">
        <f t="array" ref="AA651">INDEX(Tabela.abordagens[],SMALL(IF(Tabela.abordagens[Mês]=$L$2,ROW(Tabela.abordagens[Idade])-2),ROW(A604)),4)</f>
        <v>#NUM!</v>
      </c>
      <c r="AB651" s="240" t="e">
        <f t="array" ref="AB651">INDEX(Tabela.abordagens[],SMALL(IF(Tabela.abordagens[Mês]=$L$2,ROW(Tabela.abordagens[Idade])-2),ROW(A604)),5)</f>
        <v>#NUM!</v>
      </c>
    </row>
    <row r="652" spans="2:28" ht="15" x14ac:dyDescent="0.25">
      <c r="B652" s="223" t="e">
        <f t="array" ref="B652">INDEX(Tabela.frequencia[],SMALL(IF(Tabela.frequencia[Mês]=$L$2,ROW(Tabela.frequencia[id])-1),ROW(A605)),1)</f>
        <v>#NUM!</v>
      </c>
      <c r="C652" s="229" t="e">
        <f t="array" ref="C652">INDEX(Tabela.frequencia[],SMALL(IF(Tabela.frequencia[Mês]=$L$2,ROW(Tabela.frequencia[id])-1),ROW(A605)),4)</f>
        <v>#NUM!</v>
      </c>
      <c r="E652" s="176" t="str">
        <f>IFERROR(VLOOKUP(D652,Tabela.cadastro[[ID]:[Nome]],2,0),"")</f>
        <v/>
      </c>
      <c r="F652" s="177" t="str">
        <f>IFERROR(VLOOKUP(D652,Tabela66[#All],2,0),"")</f>
        <v/>
      </c>
      <c r="G652" s="177" t="str">
        <f>IFERROR(VLOOKUP(D652,Tabela.cadastro[[ID]:[CP ou M]],5,0),"")</f>
        <v/>
      </c>
      <c r="H652" s="177" t="str">
        <f>IFERROR(VLOOKUP(D652,Cadastros!A:F,6,0),"")</f>
        <v/>
      </c>
      <c r="I652" s="177" t="str">
        <f>IFERROR(VLOOKUP(D652,Cadastros!A:I,9,0),"")</f>
        <v/>
      </c>
      <c r="J652" s="177" t="str">
        <f>IFERROR(VLOOKUP(D652,Cadastros!A:J,10,0),"")</f>
        <v/>
      </c>
      <c r="K652" s="177" t="str">
        <f>IF(COUNTIF(Tabela66[id],D652)=0,"",COUNTIF(Tabela66[id],D652))</f>
        <v/>
      </c>
      <c r="L652" s="198"/>
      <c r="M652" s="227" t="str">
        <f t="shared" si="50"/>
        <v/>
      </c>
      <c r="P652" s="176" t="str">
        <f>IFERROR(VLOOKUP(O652,Cadastros!A:B,2),"")</f>
        <v/>
      </c>
      <c r="Q652" s="177" t="str">
        <f t="shared" si="46"/>
        <v/>
      </c>
      <c r="R652" s="177" t="str">
        <f>IFERROR(VLOOKUP(O652,Cadastros!A:E,5,0),"")</f>
        <v/>
      </c>
      <c r="S652" s="177" t="str">
        <f>IFERROR(VLOOKUP(O652,Cadastros!A:F,6,0),"")</f>
        <v/>
      </c>
      <c r="T652" s="177" t="str">
        <f>IFERROR(VLOOKUP(O652,Cadastros!A:I,9,0),"")</f>
        <v/>
      </c>
      <c r="U652" s="177" t="str">
        <f t="shared" si="47"/>
        <v/>
      </c>
      <c r="V652" s="177" t="str">
        <f t="shared" si="48"/>
        <v/>
      </c>
      <c r="W652" s="177" t="str">
        <f t="shared" si="49"/>
        <v/>
      </c>
      <c r="Y652" s="240" t="e">
        <f t="array" ref="Y652">INDEX(Tabela.abordagens[],SMALL(IF(Tabela.abordagens[Mês]=$L$2,ROW(Tabela.abordagens[id])-2),ROW(A605)),1)</f>
        <v>#NUM!</v>
      </c>
      <c r="Z652" s="240" t="e">
        <f t="array" ref="Z652">INDEX(Tabela.abordagens[],SMALL(IF(Tabela.abordagens[Mês]=$L$2,ROW(Tabela.abordagens[Idade])-2),ROW(A605)),6)</f>
        <v>#NUM!</v>
      </c>
      <c r="AA652" s="240" t="e">
        <f t="array" ref="AA652">INDEX(Tabela.abordagens[],SMALL(IF(Tabela.abordagens[Mês]=$L$2,ROW(Tabela.abordagens[Idade])-2),ROW(A605)),4)</f>
        <v>#NUM!</v>
      </c>
      <c r="AB652" s="240" t="e">
        <f t="array" ref="AB652">INDEX(Tabela.abordagens[],SMALL(IF(Tabela.abordagens[Mês]=$L$2,ROW(Tabela.abordagens[Idade])-2),ROW(A605)),5)</f>
        <v>#NUM!</v>
      </c>
    </row>
    <row r="653" spans="2:28" ht="15" x14ac:dyDescent="0.25">
      <c r="B653" s="223" t="e">
        <f t="array" ref="B653">INDEX(Tabela.frequencia[],SMALL(IF(Tabela.frequencia[Mês]=$L$2,ROW(Tabela.frequencia[id])-1),ROW(A606)),1)</f>
        <v>#NUM!</v>
      </c>
      <c r="C653" s="229" t="e">
        <f t="array" ref="C653">INDEX(Tabela.frequencia[],SMALL(IF(Tabela.frequencia[Mês]=$L$2,ROW(Tabela.frequencia[id])-1),ROW(A606)),4)</f>
        <v>#NUM!</v>
      </c>
      <c r="E653" s="176" t="str">
        <f>IFERROR(VLOOKUP(D653,Tabela.cadastro[[ID]:[Nome]],2,0),"")</f>
        <v/>
      </c>
      <c r="F653" s="177" t="str">
        <f>IFERROR(VLOOKUP(D653,Tabela66[#All],2,0),"")</f>
        <v/>
      </c>
      <c r="G653" s="177" t="str">
        <f>IFERROR(VLOOKUP(D653,Tabela.cadastro[[ID]:[CP ou M]],5,0),"")</f>
        <v/>
      </c>
      <c r="H653" s="177" t="str">
        <f>IFERROR(VLOOKUP(D653,Cadastros!A:F,6,0),"")</f>
        <v/>
      </c>
      <c r="I653" s="177" t="str">
        <f>IFERROR(VLOOKUP(D653,Cadastros!A:I,9,0),"")</f>
        <v/>
      </c>
      <c r="J653" s="177" t="str">
        <f>IFERROR(VLOOKUP(D653,Cadastros!A:J,10,0),"")</f>
        <v/>
      </c>
      <c r="K653" s="177" t="str">
        <f>IF(COUNTIF(Tabela66[id],D653)=0,"",COUNTIF(Tabela66[id],D653))</f>
        <v/>
      </c>
      <c r="L653" s="198"/>
      <c r="M653" s="227" t="str">
        <f t="shared" si="50"/>
        <v/>
      </c>
      <c r="P653" s="176" t="str">
        <f>IFERROR(VLOOKUP(O653,Cadastros!A:B,2),"")</f>
        <v/>
      </c>
      <c r="Q653" s="177" t="str">
        <f t="shared" si="46"/>
        <v/>
      </c>
      <c r="R653" s="177" t="str">
        <f>IFERROR(VLOOKUP(O653,Cadastros!A:E,5,0),"")</f>
        <v/>
      </c>
      <c r="S653" s="177" t="str">
        <f>IFERROR(VLOOKUP(O653,Cadastros!A:F,6,0),"")</f>
        <v/>
      </c>
      <c r="T653" s="177" t="str">
        <f>IFERROR(VLOOKUP(O653,Cadastros!A:I,9,0),"")</f>
        <v/>
      </c>
      <c r="U653" s="177" t="str">
        <f t="shared" si="47"/>
        <v/>
      </c>
      <c r="V653" s="177" t="str">
        <f t="shared" si="48"/>
        <v/>
      </c>
      <c r="W653" s="177" t="str">
        <f t="shared" si="49"/>
        <v/>
      </c>
      <c r="Y653" s="240" t="e">
        <f t="array" ref="Y653">INDEX(Tabela.abordagens[],SMALL(IF(Tabela.abordagens[Mês]=$L$2,ROW(Tabela.abordagens[id])-2),ROW(A606)),1)</f>
        <v>#NUM!</v>
      </c>
      <c r="Z653" s="240" t="e">
        <f t="array" ref="Z653">INDEX(Tabela.abordagens[],SMALL(IF(Tabela.abordagens[Mês]=$L$2,ROW(Tabela.abordagens[Idade])-2),ROW(A606)),6)</f>
        <v>#NUM!</v>
      </c>
      <c r="AA653" s="240" t="e">
        <f t="array" ref="AA653">INDEX(Tabela.abordagens[],SMALL(IF(Tabela.abordagens[Mês]=$L$2,ROW(Tabela.abordagens[Idade])-2),ROW(A606)),4)</f>
        <v>#NUM!</v>
      </c>
      <c r="AB653" s="240" t="e">
        <f t="array" ref="AB653">INDEX(Tabela.abordagens[],SMALL(IF(Tabela.abordagens[Mês]=$L$2,ROW(Tabela.abordagens[Idade])-2),ROW(A606)),5)</f>
        <v>#NUM!</v>
      </c>
    </row>
    <row r="654" spans="2:28" ht="15" x14ac:dyDescent="0.25">
      <c r="B654" s="223" t="e">
        <f t="array" ref="B654">INDEX(Tabela.frequencia[],SMALL(IF(Tabela.frequencia[Mês]=$L$2,ROW(Tabela.frequencia[id])-1),ROW(A607)),1)</f>
        <v>#NUM!</v>
      </c>
      <c r="C654" s="229" t="e">
        <f t="array" ref="C654">INDEX(Tabela.frequencia[],SMALL(IF(Tabela.frequencia[Mês]=$L$2,ROW(Tabela.frequencia[id])-1),ROW(A607)),4)</f>
        <v>#NUM!</v>
      </c>
      <c r="E654" s="176" t="str">
        <f>IFERROR(VLOOKUP(D654,Tabela.cadastro[[ID]:[Nome]],2,0),"")</f>
        <v/>
      </c>
      <c r="F654" s="177" t="str">
        <f>IFERROR(VLOOKUP(D654,Tabela66[#All],2,0),"")</f>
        <v/>
      </c>
      <c r="G654" s="177" t="str">
        <f>IFERROR(VLOOKUP(D654,Tabela.cadastro[[ID]:[CP ou M]],5,0),"")</f>
        <v/>
      </c>
      <c r="H654" s="177" t="str">
        <f>IFERROR(VLOOKUP(D654,Cadastros!A:F,6,0),"")</f>
        <v/>
      </c>
      <c r="I654" s="177" t="str">
        <f>IFERROR(VLOOKUP(D654,Cadastros!A:I,9,0),"")</f>
        <v/>
      </c>
      <c r="J654" s="177" t="str">
        <f>IFERROR(VLOOKUP(D654,Cadastros!A:J,10,0),"")</f>
        <v/>
      </c>
      <c r="K654" s="177" t="str">
        <f>IF(COUNTIF(Tabela66[id],D654)=0,"",COUNTIF(Tabela66[id],D654))</f>
        <v/>
      </c>
      <c r="L654" s="198"/>
      <c r="M654" s="227" t="str">
        <f t="shared" si="50"/>
        <v/>
      </c>
      <c r="P654" s="176" t="str">
        <f>IFERROR(VLOOKUP(O654,Cadastros!A:B,2),"")</f>
        <v/>
      </c>
      <c r="Q654" s="177" t="str">
        <f t="shared" si="46"/>
        <v/>
      </c>
      <c r="R654" s="177" t="str">
        <f>IFERROR(VLOOKUP(O654,Cadastros!A:E,5,0),"")</f>
        <v/>
      </c>
      <c r="S654" s="177" t="str">
        <f>IFERROR(VLOOKUP(O654,Cadastros!A:F,6,0),"")</f>
        <v/>
      </c>
      <c r="T654" s="177" t="str">
        <f>IFERROR(VLOOKUP(O654,Cadastros!A:I,9,0),"")</f>
        <v/>
      </c>
      <c r="U654" s="177" t="str">
        <f t="shared" si="47"/>
        <v/>
      </c>
      <c r="V654" s="177" t="str">
        <f t="shared" si="48"/>
        <v/>
      </c>
      <c r="W654" s="177" t="str">
        <f t="shared" si="49"/>
        <v/>
      </c>
      <c r="Y654" s="240" t="e">
        <f t="array" ref="Y654">INDEX(Tabela.abordagens[],SMALL(IF(Tabela.abordagens[Mês]=$L$2,ROW(Tabela.abordagens[id])-2),ROW(A607)),1)</f>
        <v>#NUM!</v>
      </c>
      <c r="Z654" s="240" t="e">
        <f t="array" ref="Z654">INDEX(Tabela.abordagens[],SMALL(IF(Tabela.abordagens[Mês]=$L$2,ROW(Tabela.abordagens[Idade])-2),ROW(A607)),6)</f>
        <v>#NUM!</v>
      </c>
      <c r="AA654" s="240" t="e">
        <f t="array" ref="AA654">INDEX(Tabela.abordagens[],SMALL(IF(Tabela.abordagens[Mês]=$L$2,ROW(Tabela.abordagens[Idade])-2),ROW(A607)),4)</f>
        <v>#NUM!</v>
      </c>
      <c r="AB654" s="240" t="e">
        <f t="array" ref="AB654">INDEX(Tabela.abordagens[],SMALL(IF(Tabela.abordagens[Mês]=$L$2,ROW(Tabela.abordagens[Idade])-2),ROW(A607)),5)</f>
        <v>#NUM!</v>
      </c>
    </row>
    <row r="655" spans="2:28" ht="15" x14ac:dyDescent="0.25">
      <c r="B655" s="223" t="e">
        <f t="array" ref="B655">INDEX(Tabela.frequencia[],SMALL(IF(Tabela.frequencia[Mês]=$L$2,ROW(Tabela.frequencia[id])-1),ROW(A608)),1)</f>
        <v>#NUM!</v>
      </c>
      <c r="C655" s="229" t="e">
        <f t="array" ref="C655">INDEX(Tabela.frequencia[],SMALL(IF(Tabela.frequencia[Mês]=$L$2,ROW(Tabela.frequencia[id])-1),ROW(A608)),4)</f>
        <v>#NUM!</v>
      </c>
      <c r="E655" s="176" t="str">
        <f>IFERROR(VLOOKUP(D655,Tabela.cadastro[[ID]:[Nome]],2,0),"")</f>
        <v/>
      </c>
      <c r="F655" s="177" t="str">
        <f>IFERROR(VLOOKUP(D655,Tabela66[#All],2,0),"")</f>
        <v/>
      </c>
      <c r="G655" s="177" t="str">
        <f>IFERROR(VLOOKUP(D655,Tabela.cadastro[[ID]:[CP ou M]],5,0),"")</f>
        <v/>
      </c>
      <c r="H655" s="177" t="str">
        <f>IFERROR(VLOOKUP(D655,Cadastros!A:F,6,0),"")</f>
        <v/>
      </c>
      <c r="I655" s="177" t="str">
        <f>IFERROR(VLOOKUP(D655,Cadastros!A:I,9,0),"")</f>
        <v/>
      </c>
      <c r="J655" s="177" t="str">
        <f>IFERROR(VLOOKUP(D655,Cadastros!A:J,10,0),"")</f>
        <v/>
      </c>
      <c r="K655" s="177" t="str">
        <f>IF(COUNTIF(Tabela66[id],D655)=0,"",COUNTIF(Tabela66[id],D655))</f>
        <v/>
      </c>
      <c r="L655" s="198"/>
      <c r="M655" s="227" t="str">
        <f t="shared" si="50"/>
        <v/>
      </c>
      <c r="P655" s="176" t="str">
        <f>IFERROR(VLOOKUP(O655,Cadastros!A:B,2),"")</f>
        <v/>
      </c>
      <c r="Q655" s="177" t="str">
        <f t="shared" si="46"/>
        <v/>
      </c>
      <c r="R655" s="177" t="str">
        <f>IFERROR(VLOOKUP(O655,Cadastros!A:E,5,0),"")</f>
        <v/>
      </c>
      <c r="S655" s="177" t="str">
        <f>IFERROR(VLOOKUP(O655,Cadastros!A:F,6,0),"")</f>
        <v/>
      </c>
      <c r="T655" s="177" t="str">
        <f>IFERROR(VLOOKUP(O655,Cadastros!A:I,9,0),"")</f>
        <v/>
      </c>
      <c r="U655" s="177" t="str">
        <f t="shared" si="47"/>
        <v/>
      </c>
      <c r="V655" s="177" t="str">
        <f t="shared" si="48"/>
        <v/>
      </c>
      <c r="W655" s="177" t="str">
        <f t="shared" si="49"/>
        <v/>
      </c>
      <c r="Y655" s="240" t="e">
        <f t="array" ref="Y655">INDEX(Tabela.abordagens[],SMALL(IF(Tabela.abordagens[Mês]=$L$2,ROW(Tabela.abordagens[id])-2),ROW(A608)),1)</f>
        <v>#NUM!</v>
      </c>
      <c r="Z655" s="240" t="e">
        <f t="array" ref="Z655">INDEX(Tabela.abordagens[],SMALL(IF(Tabela.abordagens[Mês]=$L$2,ROW(Tabela.abordagens[Idade])-2),ROW(A608)),6)</f>
        <v>#NUM!</v>
      </c>
      <c r="AA655" s="240" t="e">
        <f t="array" ref="AA655">INDEX(Tabela.abordagens[],SMALL(IF(Tabela.abordagens[Mês]=$L$2,ROW(Tabela.abordagens[Idade])-2),ROW(A608)),4)</f>
        <v>#NUM!</v>
      </c>
      <c r="AB655" s="240" t="e">
        <f t="array" ref="AB655">INDEX(Tabela.abordagens[],SMALL(IF(Tabela.abordagens[Mês]=$L$2,ROW(Tabela.abordagens[Idade])-2),ROW(A608)),5)</f>
        <v>#NUM!</v>
      </c>
    </row>
    <row r="656" spans="2:28" ht="15" x14ac:dyDescent="0.25">
      <c r="B656" s="223" t="e">
        <f t="array" ref="B656">INDEX(Tabela.frequencia[],SMALL(IF(Tabela.frequencia[Mês]=$L$2,ROW(Tabela.frequencia[id])-1),ROW(A609)),1)</f>
        <v>#NUM!</v>
      </c>
      <c r="C656" s="229" t="e">
        <f t="array" ref="C656">INDEX(Tabela.frequencia[],SMALL(IF(Tabela.frequencia[Mês]=$L$2,ROW(Tabela.frequencia[id])-1),ROW(A609)),4)</f>
        <v>#NUM!</v>
      </c>
      <c r="E656" s="176" t="str">
        <f>IFERROR(VLOOKUP(D656,Tabela.cadastro[[ID]:[Nome]],2,0),"")</f>
        <v/>
      </c>
      <c r="F656" s="177" t="str">
        <f>IFERROR(VLOOKUP(D656,Tabela66[#All],2,0),"")</f>
        <v/>
      </c>
      <c r="G656" s="177" t="str">
        <f>IFERROR(VLOOKUP(D656,Tabela.cadastro[[ID]:[CP ou M]],5,0),"")</f>
        <v/>
      </c>
      <c r="H656" s="177" t="str">
        <f>IFERROR(VLOOKUP(D656,Cadastros!A:F,6,0),"")</f>
        <v/>
      </c>
      <c r="I656" s="177" t="str">
        <f>IFERROR(VLOOKUP(D656,Cadastros!A:I,9,0),"")</f>
        <v/>
      </c>
      <c r="J656" s="177" t="str">
        <f>IFERROR(VLOOKUP(D656,Cadastros!A:J,10,0),"")</f>
        <v/>
      </c>
      <c r="K656" s="177" t="str">
        <f>IF(COUNTIF(Tabela66[id],D656)=0,"",COUNTIF(Tabela66[id],D656))</f>
        <v/>
      </c>
      <c r="L656" s="198"/>
      <c r="M656" s="227" t="str">
        <f t="shared" si="50"/>
        <v/>
      </c>
      <c r="P656" s="176" t="str">
        <f>IFERROR(VLOOKUP(O656,Cadastros!A:B,2),"")</f>
        <v/>
      </c>
      <c r="Q656" s="177" t="str">
        <f t="shared" si="46"/>
        <v/>
      </c>
      <c r="R656" s="177" t="str">
        <f>IFERROR(VLOOKUP(O656,Cadastros!A:E,5,0),"")</f>
        <v/>
      </c>
      <c r="S656" s="177" t="str">
        <f>IFERROR(VLOOKUP(O656,Cadastros!A:F,6,0),"")</f>
        <v/>
      </c>
      <c r="T656" s="177" t="str">
        <f>IFERROR(VLOOKUP(O656,Cadastros!A:I,9,0),"")</f>
        <v/>
      </c>
      <c r="U656" s="177" t="str">
        <f t="shared" si="47"/>
        <v/>
      </c>
      <c r="V656" s="177" t="str">
        <f t="shared" si="48"/>
        <v/>
      </c>
      <c r="W656" s="177" t="str">
        <f t="shared" si="49"/>
        <v/>
      </c>
      <c r="Y656" s="240" t="e">
        <f t="array" ref="Y656">INDEX(Tabela.abordagens[],SMALL(IF(Tabela.abordagens[Mês]=$L$2,ROW(Tabela.abordagens[id])-2),ROW(A609)),1)</f>
        <v>#NUM!</v>
      </c>
      <c r="Z656" s="240" t="e">
        <f t="array" ref="Z656">INDEX(Tabela.abordagens[],SMALL(IF(Tabela.abordagens[Mês]=$L$2,ROW(Tabela.abordagens[Idade])-2),ROW(A609)),6)</f>
        <v>#NUM!</v>
      </c>
      <c r="AA656" s="240" t="e">
        <f t="array" ref="AA656">INDEX(Tabela.abordagens[],SMALL(IF(Tabela.abordagens[Mês]=$L$2,ROW(Tabela.abordagens[Idade])-2),ROW(A609)),4)</f>
        <v>#NUM!</v>
      </c>
      <c r="AB656" s="240" t="e">
        <f t="array" ref="AB656">INDEX(Tabela.abordagens[],SMALL(IF(Tabela.abordagens[Mês]=$L$2,ROW(Tabela.abordagens[Idade])-2),ROW(A609)),5)</f>
        <v>#NUM!</v>
      </c>
    </row>
    <row r="657" spans="2:28" ht="15" x14ac:dyDescent="0.25">
      <c r="B657" s="223" t="e">
        <f t="array" ref="B657">INDEX(Tabela.frequencia[],SMALL(IF(Tabela.frequencia[Mês]=$L$2,ROW(Tabela.frequencia[id])-1),ROW(A610)),1)</f>
        <v>#NUM!</v>
      </c>
      <c r="C657" s="229" t="e">
        <f t="array" ref="C657">INDEX(Tabela.frequencia[],SMALL(IF(Tabela.frequencia[Mês]=$L$2,ROW(Tabela.frequencia[id])-1),ROW(A610)),4)</f>
        <v>#NUM!</v>
      </c>
      <c r="E657" s="176" t="str">
        <f>IFERROR(VLOOKUP(D657,Tabela.cadastro[[ID]:[Nome]],2,0),"")</f>
        <v/>
      </c>
      <c r="F657" s="177" t="str">
        <f>IFERROR(VLOOKUP(D657,Tabela66[#All],2,0),"")</f>
        <v/>
      </c>
      <c r="G657" s="177" t="str">
        <f>IFERROR(VLOOKUP(D657,Tabela.cadastro[[ID]:[CP ou M]],5,0),"")</f>
        <v/>
      </c>
      <c r="H657" s="177" t="str">
        <f>IFERROR(VLOOKUP(D657,Cadastros!A:F,6,0),"")</f>
        <v/>
      </c>
      <c r="I657" s="177" t="str">
        <f>IFERROR(VLOOKUP(D657,Cadastros!A:I,9,0),"")</f>
        <v/>
      </c>
      <c r="J657" s="177" t="str">
        <f>IFERROR(VLOOKUP(D657,Cadastros!A:J,10,0),"")</f>
        <v/>
      </c>
      <c r="K657" s="177" t="str">
        <f>IF(COUNTIF(Tabela66[id],D657)=0,"",COUNTIF(Tabela66[id],D657))</f>
        <v/>
      </c>
      <c r="L657" s="198"/>
      <c r="M657" s="227" t="str">
        <f t="shared" si="50"/>
        <v/>
      </c>
      <c r="P657" s="176" t="str">
        <f>IFERROR(VLOOKUP(O657,Cadastros!A:B,2),"")</f>
        <v/>
      </c>
      <c r="Q657" s="177" t="str">
        <f t="shared" si="46"/>
        <v/>
      </c>
      <c r="R657" s="177" t="str">
        <f>IFERROR(VLOOKUP(O657,Cadastros!A:E,5,0),"")</f>
        <v/>
      </c>
      <c r="S657" s="177" t="str">
        <f>IFERROR(VLOOKUP(O657,Cadastros!A:F,6,0),"")</f>
        <v/>
      </c>
      <c r="T657" s="177" t="str">
        <f>IFERROR(VLOOKUP(O657,Cadastros!A:I,9,0),"")</f>
        <v/>
      </c>
      <c r="U657" s="177" t="str">
        <f t="shared" si="47"/>
        <v/>
      </c>
      <c r="V657" s="177" t="str">
        <f t="shared" si="48"/>
        <v/>
      </c>
      <c r="W657" s="177" t="str">
        <f t="shared" si="49"/>
        <v/>
      </c>
      <c r="Y657" s="240" t="e">
        <f t="array" ref="Y657">INDEX(Tabela.abordagens[],SMALL(IF(Tabela.abordagens[Mês]=$L$2,ROW(Tabela.abordagens[id])-2),ROW(A610)),1)</f>
        <v>#NUM!</v>
      </c>
      <c r="Z657" s="240" t="e">
        <f t="array" ref="Z657">INDEX(Tabela.abordagens[],SMALL(IF(Tabela.abordagens[Mês]=$L$2,ROW(Tabela.abordagens[Idade])-2),ROW(A610)),6)</f>
        <v>#NUM!</v>
      </c>
      <c r="AA657" s="240" t="e">
        <f t="array" ref="AA657">INDEX(Tabela.abordagens[],SMALL(IF(Tabela.abordagens[Mês]=$L$2,ROW(Tabela.abordagens[Idade])-2),ROW(A610)),4)</f>
        <v>#NUM!</v>
      </c>
      <c r="AB657" s="240" t="e">
        <f t="array" ref="AB657">INDEX(Tabela.abordagens[],SMALL(IF(Tabela.abordagens[Mês]=$L$2,ROW(Tabela.abordagens[Idade])-2),ROW(A610)),5)</f>
        <v>#NUM!</v>
      </c>
    </row>
    <row r="658" spans="2:28" ht="15" x14ac:dyDescent="0.25">
      <c r="B658" s="223" t="e">
        <f t="array" ref="B658">INDEX(Tabela.frequencia[],SMALL(IF(Tabela.frequencia[Mês]=$L$2,ROW(Tabela.frequencia[id])-1),ROW(A611)),1)</f>
        <v>#NUM!</v>
      </c>
      <c r="C658" s="229" t="e">
        <f t="array" ref="C658">INDEX(Tabela.frequencia[],SMALL(IF(Tabela.frequencia[Mês]=$L$2,ROW(Tabela.frequencia[id])-1),ROW(A611)),4)</f>
        <v>#NUM!</v>
      </c>
      <c r="E658" s="176" t="str">
        <f>IFERROR(VLOOKUP(D658,Tabela.cadastro[[ID]:[Nome]],2,0),"")</f>
        <v/>
      </c>
      <c r="F658" s="177" t="str">
        <f>IFERROR(VLOOKUP(D658,Tabela66[#All],2,0),"")</f>
        <v/>
      </c>
      <c r="G658" s="177" t="str">
        <f>IFERROR(VLOOKUP(D658,Tabela.cadastro[[ID]:[CP ou M]],5,0),"")</f>
        <v/>
      </c>
      <c r="H658" s="177" t="str">
        <f>IFERROR(VLOOKUP(D658,Cadastros!A:F,6,0),"")</f>
        <v/>
      </c>
      <c r="I658" s="177" t="str">
        <f>IFERROR(VLOOKUP(D658,Cadastros!A:I,9,0),"")</f>
        <v/>
      </c>
      <c r="J658" s="177" t="str">
        <f>IFERROR(VLOOKUP(D658,Cadastros!A:J,10,0),"")</f>
        <v/>
      </c>
      <c r="K658" s="177" t="str">
        <f>IF(COUNTIF(Tabela66[id],D658)=0,"",COUNTIF(Tabela66[id],D658))</f>
        <v/>
      </c>
      <c r="L658" s="198"/>
      <c r="M658" s="227" t="str">
        <f t="shared" si="50"/>
        <v/>
      </c>
      <c r="P658" s="176" t="str">
        <f>IFERROR(VLOOKUP(O658,Cadastros!A:B,2),"")</f>
        <v/>
      </c>
      <c r="Q658" s="177" t="str">
        <f t="shared" si="46"/>
        <v/>
      </c>
      <c r="R658" s="177" t="str">
        <f>IFERROR(VLOOKUP(O658,Cadastros!A:E,5,0),"")</f>
        <v/>
      </c>
      <c r="S658" s="177" t="str">
        <f>IFERROR(VLOOKUP(O658,Cadastros!A:F,6,0),"")</f>
        <v/>
      </c>
      <c r="T658" s="177" t="str">
        <f>IFERROR(VLOOKUP(O658,Cadastros!A:I,9,0),"")</f>
        <v/>
      </c>
      <c r="U658" s="177" t="str">
        <f t="shared" si="47"/>
        <v/>
      </c>
      <c r="V658" s="177" t="str">
        <f t="shared" si="48"/>
        <v/>
      </c>
      <c r="W658" s="177" t="str">
        <f t="shared" si="49"/>
        <v/>
      </c>
      <c r="Y658" s="240" t="e">
        <f t="array" ref="Y658">INDEX(Tabela.abordagens[],SMALL(IF(Tabela.abordagens[Mês]=$L$2,ROW(Tabela.abordagens[id])-2),ROW(A611)),1)</f>
        <v>#NUM!</v>
      </c>
      <c r="Z658" s="240" t="e">
        <f t="array" ref="Z658">INDEX(Tabela.abordagens[],SMALL(IF(Tabela.abordagens[Mês]=$L$2,ROW(Tabela.abordagens[Idade])-2),ROW(A611)),6)</f>
        <v>#NUM!</v>
      </c>
      <c r="AA658" s="240" t="e">
        <f t="array" ref="AA658">INDEX(Tabela.abordagens[],SMALL(IF(Tabela.abordagens[Mês]=$L$2,ROW(Tabela.abordagens[Idade])-2),ROW(A611)),4)</f>
        <v>#NUM!</v>
      </c>
      <c r="AB658" s="240" t="e">
        <f t="array" ref="AB658">INDEX(Tabela.abordagens[],SMALL(IF(Tabela.abordagens[Mês]=$L$2,ROW(Tabela.abordagens[Idade])-2),ROW(A611)),5)</f>
        <v>#NUM!</v>
      </c>
    </row>
    <row r="659" spans="2:28" ht="15" x14ac:dyDescent="0.25">
      <c r="B659" s="223" t="e">
        <f t="array" ref="B659">INDEX(Tabela.frequencia[],SMALL(IF(Tabela.frequencia[Mês]=$L$2,ROW(Tabela.frequencia[id])-1),ROW(A612)),1)</f>
        <v>#NUM!</v>
      </c>
      <c r="C659" s="229" t="e">
        <f t="array" ref="C659">INDEX(Tabela.frequencia[],SMALL(IF(Tabela.frequencia[Mês]=$L$2,ROW(Tabela.frequencia[id])-1),ROW(A612)),4)</f>
        <v>#NUM!</v>
      </c>
      <c r="E659" s="176" t="str">
        <f>IFERROR(VLOOKUP(D659,Tabela.cadastro[[ID]:[Nome]],2,0),"")</f>
        <v/>
      </c>
      <c r="F659" s="177" t="str">
        <f>IFERROR(VLOOKUP(D659,Tabela66[#All],2,0),"")</f>
        <v/>
      </c>
      <c r="G659" s="177" t="str">
        <f>IFERROR(VLOOKUP(D659,Tabela.cadastro[[ID]:[CP ou M]],5,0),"")</f>
        <v/>
      </c>
      <c r="H659" s="177" t="str">
        <f>IFERROR(VLOOKUP(D659,Cadastros!A:F,6,0),"")</f>
        <v/>
      </c>
      <c r="I659" s="177" t="str">
        <f>IFERROR(VLOOKUP(D659,Cadastros!A:I,9,0),"")</f>
        <v/>
      </c>
      <c r="J659" s="177" t="str">
        <f>IFERROR(VLOOKUP(D659,Cadastros!A:J,10,0),"")</f>
        <v/>
      </c>
      <c r="K659" s="177" t="str">
        <f>IF(COUNTIF(Tabela66[id],D659)=0,"",COUNTIF(Tabela66[id],D659))</f>
        <v/>
      </c>
      <c r="L659" s="198"/>
      <c r="M659" s="227" t="str">
        <f t="shared" si="50"/>
        <v/>
      </c>
      <c r="P659" s="176" t="str">
        <f>IFERROR(VLOOKUP(O659,Cadastros!A:B,2),"")</f>
        <v/>
      </c>
      <c r="Q659" s="177" t="str">
        <f t="shared" si="46"/>
        <v/>
      </c>
      <c r="R659" s="177" t="str">
        <f>IFERROR(VLOOKUP(O659,Cadastros!A:E,5,0),"")</f>
        <v/>
      </c>
      <c r="S659" s="177" t="str">
        <f>IFERROR(VLOOKUP(O659,Cadastros!A:F,6,0),"")</f>
        <v/>
      </c>
      <c r="T659" s="177" t="str">
        <f>IFERROR(VLOOKUP(O659,Cadastros!A:I,9,0),"")</f>
        <v/>
      </c>
      <c r="U659" s="177" t="str">
        <f t="shared" si="47"/>
        <v/>
      </c>
      <c r="V659" s="177" t="str">
        <f t="shared" si="48"/>
        <v/>
      </c>
      <c r="W659" s="177" t="str">
        <f t="shared" si="49"/>
        <v/>
      </c>
      <c r="Y659" s="240" t="e">
        <f t="array" ref="Y659">INDEX(Tabela.abordagens[],SMALL(IF(Tabela.abordagens[Mês]=$L$2,ROW(Tabela.abordagens[id])-2),ROW(A612)),1)</f>
        <v>#NUM!</v>
      </c>
      <c r="Z659" s="240" t="e">
        <f t="array" ref="Z659">INDEX(Tabela.abordagens[],SMALL(IF(Tabela.abordagens[Mês]=$L$2,ROW(Tabela.abordagens[Idade])-2),ROW(A612)),6)</f>
        <v>#NUM!</v>
      </c>
      <c r="AA659" s="240" t="e">
        <f t="array" ref="AA659">INDEX(Tabela.abordagens[],SMALL(IF(Tabela.abordagens[Mês]=$L$2,ROW(Tabela.abordagens[Idade])-2),ROW(A612)),4)</f>
        <v>#NUM!</v>
      </c>
      <c r="AB659" s="240" t="e">
        <f t="array" ref="AB659">INDEX(Tabela.abordagens[],SMALL(IF(Tabela.abordagens[Mês]=$L$2,ROW(Tabela.abordagens[Idade])-2),ROW(A612)),5)</f>
        <v>#NUM!</v>
      </c>
    </row>
    <row r="660" spans="2:28" ht="15" x14ac:dyDescent="0.25">
      <c r="B660" s="223" t="e">
        <f t="array" ref="B660">INDEX(Tabela.frequencia[],SMALL(IF(Tabela.frequencia[Mês]=$L$2,ROW(Tabela.frequencia[id])-1),ROW(A613)),1)</f>
        <v>#NUM!</v>
      </c>
      <c r="C660" s="229" t="e">
        <f t="array" ref="C660">INDEX(Tabela.frequencia[],SMALL(IF(Tabela.frequencia[Mês]=$L$2,ROW(Tabela.frequencia[id])-1),ROW(A613)),4)</f>
        <v>#NUM!</v>
      </c>
      <c r="E660" s="176" t="str">
        <f>IFERROR(VLOOKUP(D660,Tabela.cadastro[[ID]:[Nome]],2,0),"")</f>
        <v/>
      </c>
      <c r="F660" s="177" t="str">
        <f>IFERROR(VLOOKUP(D660,Tabela66[#All],2,0),"")</f>
        <v/>
      </c>
      <c r="G660" s="177" t="str">
        <f>IFERROR(VLOOKUP(D660,Tabela.cadastro[[ID]:[CP ou M]],5,0),"")</f>
        <v/>
      </c>
      <c r="H660" s="177" t="str">
        <f>IFERROR(VLOOKUP(D660,Cadastros!A:F,6,0),"")</f>
        <v/>
      </c>
      <c r="I660" s="177" t="str">
        <f>IFERROR(VLOOKUP(D660,Cadastros!A:I,9,0),"")</f>
        <v/>
      </c>
      <c r="J660" s="177" t="str">
        <f>IFERROR(VLOOKUP(D660,Cadastros!A:J,10,0),"")</f>
        <v/>
      </c>
      <c r="K660" s="177" t="str">
        <f>IF(COUNTIF(Tabela66[id],D660)=0,"",COUNTIF(Tabela66[id],D660))</f>
        <v/>
      </c>
      <c r="L660" s="198"/>
      <c r="M660" s="227" t="str">
        <f t="shared" si="50"/>
        <v/>
      </c>
      <c r="P660" s="176" t="str">
        <f>IFERROR(VLOOKUP(O660,Cadastros!A:B,2),"")</f>
        <v/>
      </c>
      <c r="Q660" s="177" t="str">
        <f t="shared" si="46"/>
        <v/>
      </c>
      <c r="R660" s="177" t="str">
        <f>IFERROR(VLOOKUP(O660,Cadastros!A:E,5,0),"")</f>
        <v/>
      </c>
      <c r="S660" s="177" t="str">
        <f>IFERROR(VLOOKUP(O660,Cadastros!A:F,6,0),"")</f>
        <v/>
      </c>
      <c r="T660" s="177" t="str">
        <f>IFERROR(VLOOKUP(O660,Cadastros!A:I,9,0),"")</f>
        <v/>
      </c>
      <c r="U660" s="177" t="str">
        <f t="shared" si="47"/>
        <v/>
      </c>
      <c r="V660" s="177" t="str">
        <f t="shared" si="48"/>
        <v/>
      </c>
      <c r="W660" s="177" t="str">
        <f t="shared" si="49"/>
        <v/>
      </c>
      <c r="Y660" s="240" t="e">
        <f t="array" ref="Y660">INDEX(Tabela.abordagens[],SMALL(IF(Tabela.abordagens[Mês]=$L$2,ROW(Tabela.abordagens[id])-2),ROW(A613)),1)</f>
        <v>#NUM!</v>
      </c>
      <c r="Z660" s="240" t="e">
        <f t="array" ref="Z660">INDEX(Tabela.abordagens[],SMALL(IF(Tabela.abordagens[Mês]=$L$2,ROW(Tabela.abordagens[Idade])-2),ROW(A613)),6)</f>
        <v>#NUM!</v>
      </c>
      <c r="AA660" s="240" t="e">
        <f t="array" ref="AA660">INDEX(Tabela.abordagens[],SMALL(IF(Tabela.abordagens[Mês]=$L$2,ROW(Tabela.abordagens[Idade])-2),ROW(A613)),4)</f>
        <v>#NUM!</v>
      </c>
      <c r="AB660" s="240" t="e">
        <f t="array" ref="AB660">INDEX(Tabela.abordagens[],SMALL(IF(Tabela.abordagens[Mês]=$L$2,ROW(Tabela.abordagens[Idade])-2),ROW(A613)),5)</f>
        <v>#NUM!</v>
      </c>
    </row>
    <row r="661" spans="2:28" ht="15" x14ac:dyDescent="0.25">
      <c r="B661" s="223" t="e">
        <f t="array" ref="B661">INDEX(Tabela.frequencia[],SMALL(IF(Tabela.frequencia[Mês]=$L$2,ROW(Tabela.frequencia[id])-1),ROW(A614)),1)</f>
        <v>#NUM!</v>
      </c>
      <c r="C661" s="229" t="e">
        <f t="array" ref="C661">INDEX(Tabela.frequencia[],SMALL(IF(Tabela.frequencia[Mês]=$L$2,ROW(Tabela.frequencia[id])-1),ROW(A614)),4)</f>
        <v>#NUM!</v>
      </c>
      <c r="E661" s="176" t="str">
        <f>IFERROR(VLOOKUP(D661,Tabela.cadastro[[ID]:[Nome]],2,0),"")</f>
        <v/>
      </c>
      <c r="F661" s="177" t="str">
        <f>IFERROR(VLOOKUP(D661,Tabela66[#All],2,0),"")</f>
        <v/>
      </c>
      <c r="G661" s="177" t="str">
        <f>IFERROR(VLOOKUP(D661,Tabela.cadastro[[ID]:[CP ou M]],5,0),"")</f>
        <v/>
      </c>
      <c r="H661" s="177" t="str">
        <f>IFERROR(VLOOKUP(D661,Cadastros!A:F,6,0),"")</f>
        <v/>
      </c>
      <c r="I661" s="177" t="str">
        <f>IFERROR(VLOOKUP(D661,Cadastros!A:I,9,0),"")</f>
        <v/>
      </c>
      <c r="J661" s="177" t="str">
        <f>IFERROR(VLOOKUP(D661,Cadastros!A:J,10,0),"")</f>
        <v/>
      </c>
      <c r="K661" s="177" t="str">
        <f>IF(COUNTIF(Tabela66[id],D661)=0,"",COUNTIF(Tabela66[id],D661))</f>
        <v/>
      </c>
      <c r="L661" s="198"/>
      <c r="M661" s="227" t="str">
        <f t="shared" si="50"/>
        <v/>
      </c>
      <c r="P661" s="176" t="str">
        <f>IFERROR(VLOOKUP(O661,Cadastros!A:B,2),"")</f>
        <v/>
      </c>
      <c r="Q661" s="177" t="str">
        <f t="shared" si="46"/>
        <v/>
      </c>
      <c r="R661" s="177" t="str">
        <f>IFERROR(VLOOKUP(O661,Cadastros!A:E,5,0),"")</f>
        <v/>
      </c>
      <c r="S661" s="177" t="str">
        <f>IFERROR(VLOOKUP(O661,Cadastros!A:F,6,0),"")</f>
        <v/>
      </c>
      <c r="T661" s="177" t="str">
        <f>IFERROR(VLOOKUP(O661,Cadastros!A:I,9,0),"")</f>
        <v/>
      </c>
      <c r="U661" s="177" t="str">
        <f t="shared" si="47"/>
        <v/>
      </c>
      <c r="V661" s="177" t="str">
        <f t="shared" si="48"/>
        <v/>
      </c>
      <c r="W661" s="177" t="str">
        <f t="shared" si="49"/>
        <v/>
      </c>
      <c r="Y661" s="240" t="e">
        <f t="array" ref="Y661">INDEX(Tabela.abordagens[],SMALL(IF(Tabela.abordagens[Mês]=$L$2,ROW(Tabela.abordagens[id])-2),ROW(A614)),1)</f>
        <v>#NUM!</v>
      </c>
      <c r="Z661" s="240" t="e">
        <f t="array" ref="Z661">INDEX(Tabela.abordagens[],SMALL(IF(Tabela.abordagens[Mês]=$L$2,ROW(Tabela.abordagens[Idade])-2),ROW(A614)),6)</f>
        <v>#NUM!</v>
      </c>
      <c r="AA661" s="240" t="e">
        <f t="array" ref="AA661">INDEX(Tabela.abordagens[],SMALL(IF(Tabela.abordagens[Mês]=$L$2,ROW(Tabela.abordagens[Idade])-2),ROW(A614)),4)</f>
        <v>#NUM!</v>
      </c>
      <c r="AB661" s="240" t="e">
        <f t="array" ref="AB661">INDEX(Tabela.abordagens[],SMALL(IF(Tabela.abordagens[Mês]=$L$2,ROW(Tabela.abordagens[Idade])-2),ROW(A614)),5)</f>
        <v>#NUM!</v>
      </c>
    </row>
    <row r="662" spans="2:28" ht="15" x14ac:dyDescent="0.25">
      <c r="B662" s="223" t="e">
        <f t="array" ref="B662">INDEX(Tabela.frequencia[],SMALL(IF(Tabela.frequencia[Mês]=$L$2,ROW(Tabela.frequencia[id])-1),ROW(A615)),1)</f>
        <v>#NUM!</v>
      </c>
      <c r="C662" s="229" t="e">
        <f t="array" ref="C662">INDEX(Tabela.frequencia[],SMALL(IF(Tabela.frequencia[Mês]=$L$2,ROW(Tabela.frequencia[id])-1),ROW(A615)),4)</f>
        <v>#NUM!</v>
      </c>
      <c r="E662" s="176" t="str">
        <f>IFERROR(VLOOKUP(D662,Tabela.cadastro[[ID]:[Nome]],2,0),"")</f>
        <v/>
      </c>
      <c r="F662" s="177" t="str">
        <f>IFERROR(VLOOKUP(D662,Tabela66[#All],2,0),"")</f>
        <v/>
      </c>
      <c r="G662" s="177" t="str">
        <f>IFERROR(VLOOKUP(D662,Tabela.cadastro[[ID]:[CP ou M]],5,0),"")</f>
        <v/>
      </c>
      <c r="H662" s="177" t="str">
        <f>IFERROR(VLOOKUP(D662,Cadastros!A:F,6,0),"")</f>
        <v/>
      </c>
      <c r="I662" s="177" t="str">
        <f>IFERROR(VLOOKUP(D662,Cadastros!A:I,9,0),"")</f>
        <v/>
      </c>
      <c r="J662" s="177" t="str">
        <f>IFERROR(VLOOKUP(D662,Cadastros!A:J,10,0),"")</f>
        <v/>
      </c>
      <c r="K662" s="177" t="str">
        <f>IF(COUNTIF(Tabela66[id],D662)=0,"",COUNTIF(Tabela66[id],D662))</f>
        <v/>
      </c>
      <c r="L662" s="198"/>
      <c r="M662" s="227" t="str">
        <f t="shared" si="50"/>
        <v/>
      </c>
      <c r="P662" s="176" t="str">
        <f>IFERROR(VLOOKUP(O662,Cadastros!A:B,2),"")</f>
        <v/>
      </c>
      <c r="Q662" s="177" t="str">
        <f t="shared" si="46"/>
        <v/>
      </c>
      <c r="R662" s="177" t="str">
        <f>IFERROR(VLOOKUP(O662,Cadastros!A:E,5,0),"")</f>
        <v/>
      </c>
      <c r="S662" s="177" t="str">
        <f>IFERROR(VLOOKUP(O662,Cadastros!A:F,6,0),"")</f>
        <v/>
      </c>
      <c r="T662" s="177" t="str">
        <f>IFERROR(VLOOKUP(O662,Cadastros!A:I,9,0),"")</f>
        <v/>
      </c>
      <c r="U662" s="177" t="str">
        <f t="shared" si="47"/>
        <v/>
      </c>
      <c r="V662" s="177" t="str">
        <f t="shared" si="48"/>
        <v/>
      </c>
      <c r="W662" s="177" t="str">
        <f t="shared" si="49"/>
        <v/>
      </c>
      <c r="Y662" s="240" t="e">
        <f t="array" ref="Y662">INDEX(Tabela.abordagens[],SMALL(IF(Tabela.abordagens[Mês]=$L$2,ROW(Tabela.abordagens[id])-2),ROW(A615)),1)</f>
        <v>#NUM!</v>
      </c>
      <c r="Z662" s="240" t="e">
        <f t="array" ref="Z662">INDEX(Tabela.abordagens[],SMALL(IF(Tabela.abordagens[Mês]=$L$2,ROW(Tabela.abordagens[Idade])-2),ROW(A615)),6)</f>
        <v>#NUM!</v>
      </c>
      <c r="AA662" s="240" t="e">
        <f t="array" ref="AA662">INDEX(Tabela.abordagens[],SMALL(IF(Tabela.abordagens[Mês]=$L$2,ROW(Tabela.abordagens[Idade])-2),ROW(A615)),4)</f>
        <v>#NUM!</v>
      </c>
      <c r="AB662" s="240" t="e">
        <f t="array" ref="AB662">INDEX(Tabela.abordagens[],SMALL(IF(Tabela.abordagens[Mês]=$L$2,ROW(Tabela.abordagens[Idade])-2),ROW(A615)),5)</f>
        <v>#NUM!</v>
      </c>
    </row>
    <row r="663" spans="2:28" ht="15" x14ac:dyDescent="0.25">
      <c r="B663" s="223" t="e">
        <f t="array" ref="B663">INDEX(Tabela.frequencia[],SMALL(IF(Tabela.frequencia[Mês]=$L$2,ROW(Tabela.frequencia[id])-1),ROW(A616)),1)</f>
        <v>#NUM!</v>
      </c>
      <c r="C663" s="229" t="e">
        <f t="array" ref="C663">INDEX(Tabela.frequencia[],SMALL(IF(Tabela.frequencia[Mês]=$L$2,ROW(Tabela.frequencia[id])-1),ROW(A616)),4)</f>
        <v>#NUM!</v>
      </c>
      <c r="E663" s="176" t="str">
        <f>IFERROR(VLOOKUP(D663,Tabela.cadastro[[ID]:[Nome]],2,0),"")</f>
        <v/>
      </c>
      <c r="F663" s="177" t="str">
        <f>IFERROR(VLOOKUP(D663,Tabela66[#All],2,0),"")</f>
        <v/>
      </c>
      <c r="G663" s="177" t="str">
        <f>IFERROR(VLOOKUP(D663,Tabela.cadastro[[ID]:[CP ou M]],5,0),"")</f>
        <v/>
      </c>
      <c r="H663" s="177" t="str">
        <f>IFERROR(VLOOKUP(D663,Cadastros!A:F,6,0),"")</f>
        <v/>
      </c>
      <c r="I663" s="177" t="str">
        <f>IFERROR(VLOOKUP(D663,Cadastros!A:I,9,0),"")</f>
        <v/>
      </c>
      <c r="J663" s="177" t="str">
        <f>IFERROR(VLOOKUP(D663,Cadastros!A:J,10,0),"")</f>
        <v/>
      </c>
      <c r="K663" s="177" t="str">
        <f>IF(COUNTIF(Tabela66[id],D663)=0,"",COUNTIF(Tabela66[id],D663))</f>
        <v/>
      </c>
      <c r="L663" s="198"/>
      <c r="M663" s="227" t="str">
        <f t="shared" si="50"/>
        <v/>
      </c>
      <c r="P663" s="176" t="str">
        <f>IFERROR(VLOOKUP(O663,Cadastros!A:B,2),"")</f>
        <v/>
      </c>
      <c r="Q663" s="177" t="str">
        <f t="shared" si="46"/>
        <v/>
      </c>
      <c r="R663" s="177" t="str">
        <f>IFERROR(VLOOKUP(O663,Cadastros!A:E,5,0),"")</f>
        <v/>
      </c>
      <c r="S663" s="177" t="str">
        <f>IFERROR(VLOOKUP(O663,Cadastros!A:F,6,0),"")</f>
        <v/>
      </c>
      <c r="T663" s="177" t="str">
        <f>IFERROR(VLOOKUP(O663,Cadastros!A:I,9,0),"")</f>
        <v/>
      </c>
      <c r="U663" s="177" t="str">
        <f t="shared" si="47"/>
        <v/>
      </c>
      <c r="V663" s="177" t="str">
        <f t="shared" si="48"/>
        <v/>
      </c>
      <c r="W663" s="177" t="str">
        <f t="shared" si="49"/>
        <v/>
      </c>
      <c r="Y663" s="240" t="e">
        <f t="array" ref="Y663">INDEX(Tabela.abordagens[],SMALL(IF(Tabela.abordagens[Mês]=$L$2,ROW(Tabela.abordagens[id])-2),ROW(A616)),1)</f>
        <v>#NUM!</v>
      </c>
      <c r="Z663" s="240" t="e">
        <f t="array" ref="Z663">INDEX(Tabela.abordagens[],SMALL(IF(Tabela.abordagens[Mês]=$L$2,ROW(Tabela.abordagens[Idade])-2),ROW(A616)),6)</f>
        <v>#NUM!</v>
      </c>
      <c r="AA663" s="240" t="e">
        <f t="array" ref="AA663">INDEX(Tabela.abordagens[],SMALL(IF(Tabela.abordagens[Mês]=$L$2,ROW(Tabela.abordagens[Idade])-2),ROW(A616)),4)</f>
        <v>#NUM!</v>
      </c>
      <c r="AB663" s="240" t="e">
        <f t="array" ref="AB663">INDEX(Tabela.abordagens[],SMALL(IF(Tabela.abordagens[Mês]=$L$2,ROW(Tabela.abordagens[Idade])-2),ROW(A616)),5)</f>
        <v>#NUM!</v>
      </c>
    </row>
    <row r="664" spans="2:28" ht="15" x14ac:dyDescent="0.25">
      <c r="B664" s="223" t="e">
        <f t="array" ref="B664">INDEX(Tabela.frequencia[],SMALL(IF(Tabela.frequencia[Mês]=$L$2,ROW(Tabela.frequencia[id])-1),ROW(A617)),1)</f>
        <v>#NUM!</v>
      </c>
      <c r="C664" s="229" t="e">
        <f t="array" ref="C664">INDEX(Tabela.frequencia[],SMALL(IF(Tabela.frequencia[Mês]=$L$2,ROW(Tabela.frequencia[id])-1),ROW(A617)),4)</f>
        <v>#NUM!</v>
      </c>
      <c r="E664" s="176" t="str">
        <f>IFERROR(VLOOKUP(D664,Tabela.cadastro[[ID]:[Nome]],2,0),"")</f>
        <v/>
      </c>
      <c r="F664" s="177" t="str">
        <f>IFERROR(VLOOKUP(D664,Tabela66[#All],2,0),"")</f>
        <v/>
      </c>
      <c r="G664" s="177" t="str">
        <f>IFERROR(VLOOKUP(D664,Tabela.cadastro[[ID]:[CP ou M]],5,0),"")</f>
        <v/>
      </c>
      <c r="H664" s="177" t="str">
        <f>IFERROR(VLOOKUP(D664,Cadastros!A:F,6,0),"")</f>
        <v/>
      </c>
      <c r="I664" s="177" t="str">
        <f>IFERROR(VLOOKUP(D664,Cadastros!A:I,9,0),"")</f>
        <v/>
      </c>
      <c r="J664" s="177" t="str">
        <f>IFERROR(VLOOKUP(D664,Cadastros!A:J,10,0),"")</f>
        <v/>
      </c>
      <c r="K664" s="177" t="str">
        <f>IF(COUNTIF(Tabela66[id],D664)=0,"",COUNTIF(Tabela66[id],D664))</f>
        <v/>
      </c>
      <c r="L664" s="198"/>
      <c r="M664" s="227" t="str">
        <f t="shared" si="50"/>
        <v/>
      </c>
      <c r="P664" s="176" t="str">
        <f>IFERROR(VLOOKUP(O664,Cadastros!A:B,2),"")</f>
        <v/>
      </c>
      <c r="Q664" s="177" t="str">
        <f t="shared" si="46"/>
        <v/>
      </c>
      <c r="R664" s="177" t="str">
        <f>IFERROR(VLOOKUP(O664,Cadastros!A:E,5,0),"")</f>
        <v/>
      </c>
      <c r="S664" s="177" t="str">
        <f>IFERROR(VLOOKUP(O664,Cadastros!A:F,6,0),"")</f>
        <v/>
      </c>
      <c r="T664" s="177" t="str">
        <f>IFERROR(VLOOKUP(O664,Cadastros!A:I,9,0),"")</f>
        <v/>
      </c>
      <c r="U664" s="177" t="str">
        <f t="shared" si="47"/>
        <v/>
      </c>
      <c r="V664" s="177" t="str">
        <f t="shared" si="48"/>
        <v/>
      </c>
      <c r="W664" s="177" t="str">
        <f t="shared" si="49"/>
        <v/>
      </c>
      <c r="Y664" s="240" t="e">
        <f t="array" ref="Y664">INDEX(Tabela.abordagens[],SMALL(IF(Tabela.abordagens[Mês]=$L$2,ROW(Tabela.abordagens[id])-2),ROW(A617)),1)</f>
        <v>#NUM!</v>
      </c>
      <c r="Z664" s="240" t="e">
        <f t="array" ref="Z664">INDEX(Tabela.abordagens[],SMALL(IF(Tabela.abordagens[Mês]=$L$2,ROW(Tabela.abordagens[Idade])-2),ROW(A617)),6)</f>
        <v>#NUM!</v>
      </c>
      <c r="AA664" s="240" t="e">
        <f t="array" ref="AA664">INDEX(Tabela.abordagens[],SMALL(IF(Tabela.abordagens[Mês]=$L$2,ROW(Tabela.abordagens[Idade])-2),ROW(A617)),4)</f>
        <v>#NUM!</v>
      </c>
      <c r="AB664" s="240" t="e">
        <f t="array" ref="AB664">INDEX(Tabela.abordagens[],SMALL(IF(Tabela.abordagens[Mês]=$L$2,ROW(Tabela.abordagens[Idade])-2),ROW(A617)),5)</f>
        <v>#NUM!</v>
      </c>
    </row>
    <row r="665" spans="2:28" ht="15" x14ac:dyDescent="0.25">
      <c r="B665" s="223" t="e">
        <f t="array" ref="B665">INDEX(Tabela.frequencia[],SMALL(IF(Tabela.frequencia[Mês]=$L$2,ROW(Tabela.frequencia[id])-1),ROW(A618)),1)</f>
        <v>#NUM!</v>
      </c>
      <c r="C665" s="229" t="e">
        <f t="array" ref="C665">INDEX(Tabela.frequencia[],SMALL(IF(Tabela.frequencia[Mês]=$L$2,ROW(Tabela.frequencia[id])-1),ROW(A618)),4)</f>
        <v>#NUM!</v>
      </c>
      <c r="E665" s="176" t="str">
        <f>IFERROR(VLOOKUP(D665,Tabela.cadastro[[ID]:[Nome]],2,0),"")</f>
        <v/>
      </c>
      <c r="F665" s="177" t="str">
        <f>IFERROR(VLOOKUP(D665,Tabela66[#All],2,0),"")</f>
        <v/>
      </c>
      <c r="G665" s="177" t="str">
        <f>IFERROR(VLOOKUP(D665,Tabela.cadastro[[ID]:[CP ou M]],5,0),"")</f>
        <v/>
      </c>
      <c r="H665" s="177" t="str">
        <f>IFERROR(VLOOKUP(D665,Cadastros!A:F,6,0),"")</f>
        <v/>
      </c>
      <c r="I665" s="177" t="str">
        <f>IFERROR(VLOOKUP(D665,Cadastros!A:I,9,0),"")</f>
        <v/>
      </c>
      <c r="J665" s="177" t="str">
        <f>IFERROR(VLOOKUP(D665,Cadastros!A:J,10,0),"")</f>
        <v/>
      </c>
      <c r="K665" s="177" t="str">
        <f>IF(COUNTIF(Tabela66[id],D665)=0,"",COUNTIF(Tabela66[id],D665))</f>
        <v/>
      </c>
      <c r="L665" s="198"/>
      <c r="M665" s="227" t="str">
        <f t="shared" si="50"/>
        <v/>
      </c>
      <c r="P665" s="176" t="str">
        <f>IFERROR(VLOOKUP(O665,Cadastros!A:B,2),"")</f>
        <v/>
      </c>
      <c r="Q665" s="177" t="str">
        <f t="shared" si="46"/>
        <v/>
      </c>
      <c r="R665" s="177" t="str">
        <f>IFERROR(VLOOKUP(O665,Cadastros!A:E,5,0),"")</f>
        <v/>
      </c>
      <c r="S665" s="177" t="str">
        <f>IFERROR(VLOOKUP(O665,Cadastros!A:F,6,0),"")</f>
        <v/>
      </c>
      <c r="T665" s="177" t="str">
        <f>IFERROR(VLOOKUP(O665,Cadastros!A:I,9,0),"")</f>
        <v/>
      </c>
      <c r="U665" s="177" t="str">
        <f t="shared" si="47"/>
        <v/>
      </c>
      <c r="V665" s="177" t="str">
        <f t="shared" si="48"/>
        <v/>
      </c>
      <c r="W665" s="177" t="str">
        <f t="shared" si="49"/>
        <v/>
      </c>
      <c r="Y665" s="240" t="e">
        <f t="array" ref="Y665">INDEX(Tabela.abordagens[],SMALL(IF(Tabela.abordagens[Mês]=$L$2,ROW(Tabela.abordagens[id])-2),ROW(A618)),1)</f>
        <v>#NUM!</v>
      </c>
      <c r="Z665" s="240" t="e">
        <f t="array" ref="Z665">INDEX(Tabela.abordagens[],SMALL(IF(Tabela.abordagens[Mês]=$L$2,ROW(Tabela.abordagens[Idade])-2),ROW(A618)),6)</f>
        <v>#NUM!</v>
      </c>
      <c r="AA665" s="240" t="e">
        <f t="array" ref="AA665">INDEX(Tabela.abordagens[],SMALL(IF(Tabela.abordagens[Mês]=$L$2,ROW(Tabela.abordagens[Idade])-2),ROW(A618)),4)</f>
        <v>#NUM!</v>
      </c>
      <c r="AB665" s="240" t="e">
        <f t="array" ref="AB665">INDEX(Tabela.abordagens[],SMALL(IF(Tabela.abordagens[Mês]=$L$2,ROW(Tabela.abordagens[Idade])-2),ROW(A618)),5)</f>
        <v>#NUM!</v>
      </c>
    </row>
    <row r="666" spans="2:28" ht="15" x14ac:dyDescent="0.25">
      <c r="B666" s="223" t="e">
        <f t="array" ref="B666">INDEX(Tabela.frequencia[],SMALL(IF(Tabela.frequencia[Mês]=$L$2,ROW(Tabela.frequencia[id])-1),ROW(A619)),1)</f>
        <v>#NUM!</v>
      </c>
      <c r="C666" s="229" t="e">
        <f t="array" ref="C666">INDEX(Tabela.frequencia[],SMALL(IF(Tabela.frequencia[Mês]=$L$2,ROW(Tabela.frequencia[id])-1),ROW(A619)),4)</f>
        <v>#NUM!</v>
      </c>
      <c r="E666" s="176" t="str">
        <f>IFERROR(VLOOKUP(D666,Tabela.cadastro[[ID]:[Nome]],2,0),"")</f>
        <v/>
      </c>
      <c r="F666" s="177" t="str">
        <f>IFERROR(VLOOKUP(D666,Tabela66[#All],2,0),"")</f>
        <v/>
      </c>
      <c r="G666" s="177" t="str">
        <f>IFERROR(VLOOKUP(D666,Tabela.cadastro[[ID]:[CP ou M]],5,0),"")</f>
        <v/>
      </c>
      <c r="H666" s="177" t="str">
        <f>IFERROR(VLOOKUP(D666,Cadastros!A:F,6,0),"")</f>
        <v/>
      </c>
      <c r="I666" s="177" t="str">
        <f>IFERROR(VLOOKUP(D666,Cadastros!A:I,9,0),"")</f>
        <v/>
      </c>
      <c r="J666" s="177" t="str">
        <f>IFERROR(VLOOKUP(D666,Cadastros!A:J,10,0),"")</f>
        <v/>
      </c>
      <c r="K666" s="177" t="str">
        <f>IF(COUNTIF(Tabela66[id],D666)=0,"",COUNTIF(Tabela66[id],D666))</f>
        <v/>
      </c>
      <c r="L666" s="198"/>
      <c r="M666" s="227" t="str">
        <f t="shared" si="50"/>
        <v/>
      </c>
      <c r="P666" s="176" t="str">
        <f>IFERROR(VLOOKUP(O666,Cadastros!A:B,2),"")</f>
        <v/>
      </c>
      <c r="Q666" s="177" t="str">
        <f t="shared" si="46"/>
        <v/>
      </c>
      <c r="R666" s="177" t="str">
        <f>IFERROR(VLOOKUP(O666,Cadastros!A:E,5,0),"")</f>
        <v/>
      </c>
      <c r="S666" s="177" t="str">
        <f>IFERROR(VLOOKUP(O666,Cadastros!A:F,6,0),"")</f>
        <v/>
      </c>
      <c r="T666" s="177" t="str">
        <f>IFERROR(VLOOKUP(O666,Cadastros!A:I,9,0),"")</f>
        <v/>
      </c>
      <c r="U666" s="177" t="str">
        <f t="shared" si="47"/>
        <v/>
      </c>
      <c r="V666" s="177" t="str">
        <f t="shared" si="48"/>
        <v/>
      </c>
      <c r="W666" s="177" t="str">
        <f t="shared" si="49"/>
        <v/>
      </c>
      <c r="Y666" s="240" t="e">
        <f t="array" ref="Y666">INDEX(Tabela.abordagens[],SMALL(IF(Tabela.abordagens[Mês]=$L$2,ROW(Tabela.abordagens[id])-2),ROW(A619)),1)</f>
        <v>#NUM!</v>
      </c>
      <c r="Z666" s="240" t="e">
        <f t="array" ref="Z666">INDEX(Tabela.abordagens[],SMALL(IF(Tabela.abordagens[Mês]=$L$2,ROW(Tabela.abordagens[Idade])-2),ROW(A619)),6)</f>
        <v>#NUM!</v>
      </c>
      <c r="AA666" s="240" t="e">
        <f t="array" ref="AA666">INDEX(Tabela.abordagens[],SMALL(IF(Tabela.abordagens[Mês]=$L$2,ROW(Tabela.abordagens[Idade])-2),ROW(A619)),4)</f>
        <v>#NUM!</v>
      </c>
      <c r="AB666" s="240" t="e">
        <f t="array" ref="AB666">INDEX(Tabela.abordagens[],SMALL(IF(Tabela.abordagens[Mês]=$L$2,ROW(Tabela.abordagens[Idade])-2),ROW(A619)),5)</f>
        <v>#NUM!</v>
      </c>
    </row>
    <row r="667" spans="2:28" ht="15" x14ac:dyDescent="0.25">
      <c r="B667" s="223" t="e">
        <f t="array" ref="B667">INDEX(Tabela.frequencia[],SMALL(IF(Tabela.frequencia[Mês]=$L$2,ROW(Tabela.frequencia[id])-1),ROW(A620)),1)</f>
        <v>#NUM!</v>
      </c>
      <c r="C667" s="229" t="e">
        <f t="array" ref="C667">INDEX(Tabela.frequencia[],SMALL(IF(Tabela.frequencia[Mês]=$L$2,ROW(Tabela.frequencia[id])-1),ROW(A620)),4)</f>
        <v>#NUM!</v>
      </c>
      <c r="E667" s="176" t="str">
        <f>IFERROR(VLOOKUP(D667,Tabela.cadastro[[ID]:[Nome]],2,0),"")</f>
        <v/>
      </c>
      <c r="F667" s="177" t="str">
        <f>IFERROR(VLOOKUP(D667,Tabela66[#All],2,0),"")</f>
        <v/>
      </c>
      <c r="G667" s="177" t="str">
        <f>IFERROR(VLOOKUP(D667,Tabela.cadastro[[ID]:[CP ou M]],5,0),"")</f>
        <v/>
      </c>
      <c r="H667" s="177" t="str">
        <f>IFERROR(VLOOKUP(D667,Cadastros!A:F,6,0),"")</f>
        <v/>
      </c>
      <c r="I667" s="177" t="str">
        <f>IFERROR(VLOOKUP(D667,Cadastros!A:I,9,0),"")</f>
        <v/>
      </c>
      <c r="J667" s="177" t="str">
        <f>IFERROR(VLOOKUP(D667,Cadastros!A:J,10,0),"")</f>
        <v/>
      </c>
      <c r="K667" s="177" t="str">
        <f>IF(COUNTIF(Tabela66[id],D667)=0,"",COUNTIF(Tabela66[id],D667))</f>
        <v/>
      </c>
      <c r="L667" s="198"/>
      <c r="M667" s="227" t="str">
        <f t="shared" si="50"/>
        <v/>
      </c>
      <c r="P667" s="176" t="str">
        <f>IFERROR(VLOOKUP(O667,Cadastros!A:B,2),"")</f>
        <v/>
      </c>
      <c r="Q667" s="177" t="str">
        <f t="shared" si="46"/>
        <v/>
      </c>
      <c r="R667" s="177" t="str">
        <f>IFERROR(VLOOKUP(O667,Cadastros!A:E,5,0),"")</f>
        <v/>
      </c>
      <c r="S667" s="177" t="str">
        <f>IFERROR(VLOOKUP(O667,Cadastros!A:F,6,0),"")</f>
        <v/>
      </c>
      <c r="T667" s="177" t="str">
        <f>IFERROR(VLOOKUP(O667,Cadastros!A:I,9,0),"")</f>
        <v/>
      </c>
      <c r="U667" s="177" t="str">
        <f t="shared" si="47"/>
        <v/>
      </c>
      <c r="V667" s="177" t="str">
        <f t="shared" si="48"/>
        <v/>
      </c>
      <c r="W667" s="177" t="str">
        <f t="shared" si="49"/>
        <v/>
      </c>
      <c r="Y667" s="240" t="e">
        <f t="array" ref="Y667">INDEX(Tabela.abordagens[],SMALL(IF(Tabela.abordagens[Mês]=$L$2,ROW(Tabela.abordagens[id])-2),ROW(A620)),1)</f>
        <v>#NUM!</v>
      </c>
      <c r="Z667" s="240" t="e">
        <f t="array" ref="Z667">INDEX(Tabela.abordagens[],SMALL(IF(Tabela.abordagens[Mês]=$L$2,ROW(Tabela.abordagens[Idade])-2),ROW(A620)),6)</f>
        <v>#NUM!</v>
      </c>
      <c r="AA667" s="240" t="e">
        <f t="array" ref="AA667">INDEX(Tabela.abordagens[],SMALL(IF(Tabela.abordagens[Mês]=$L$2,ROW(Tabela.abordagens[Idade])-2),ROW(A620)),4)</f>
        <v>#NUM!</v>
      </c>
      <c r="AB667" s="240" t="e">
        <f t="array" ref="AB667">INDEX(Tabela.abordagens[],SMALL(IF(Tabela.abordagens[Mês]=$L$2,ROW(Tabela.abordagens[Idade])-2),ROW(A620)),5)</f>
        <v>#NUM!</v>
      </c>
    </row>
    <row r="668" spans="2:28" ht="15" x14ac:dyDescent="0.25">
      <c r="B668" s="223" t="e">
        <f t="array" ref="B668">INDEX(Tabela.frequencia[],SMALL(IF(Tabela.frequencia[Mês]=$L$2,ROW(Tabela.frequencia[id])-1),ROW(A621)),1)</f>
        <v>#NUM!</v>
      </c>
      <c r="C668" s="229" t="e">
        <f t="array" ref="C668">INDEX(Tabela.frequencia[],SMALL(IF(Tabela.frequencia[Mês]=$L$2,ROW(Tabela.frequencia[id])-1),ROW(A621)),4)</f>
        <v>#NUM!</v>
      </c>
      <c r="E668" s="176" t="str">
        <f>IFERROR(VLOOKUP(D668,Tabela.cadastro[[ID]:[Nome]],2,0),"")</f>
        <v/>
      </c>
      <c r="F668" s="177" t="str">
        <f>IFERROR(VLOOKUP(D668,Tabela66[#All],2,0),"")</f>
        <v/>
      </c>
      <c r="G668" s="177" t="str">
        <f>IFERROR(VLOOKUP(D668,Tabela.cadastro[[ID]:[CP ou M]],5,0),"")</f>
        <v/>
      </c>
      <c r="H668" s="177" t="str">
        <f>IFERROR(VLOOKUP(D668,Cadastros!A:F,6,0),"")</f>
        <v/>
      </c>
      <c r="I668" s="177" t="str">
        <f>IFERROR(VLOOKUP(D668,Cadastros!A:I,9,0),"")</f>
        <v/>
      </c>
      <c r="J668" s="177" t="str">
        <f>IFERROR(VLOOKUP(D668,Cadastros!A:J,10,0),"")</f>
        <v/>
      </c>
      <c r="K668" s="177" t="str">
        <f>IF(COUNTIF(Tabela66[id],D668)=0,"",COUNTIF(Tabela66[id],D668))</f>
        <v/>
      </c>
      <c r="L668" s="198"/>
      <c r="M668" s="227" t="str">
        <f t="shared" si="50"/>
        <v/>
      </c>
      <c r="P668" s="176" t="str">
        <f>IFERROR(VLOOKUP(O668,Cadastros!A:B,2),"")</f>
        <v/>
      </c>
      <c r="Q668" s="177" t="str">
        <f t="shared" si="46"/>
        <v/>
      </c>
      <c r="R668" s="177" t="str">
        <f>IFERROR(VLOOKUP(O668,Cadastros!A:E,5,0),"")</f>
        <v/>
      </c>
      <c r="S668" s="177" t="str">
        <f>IFERROR(VLOOKUP(O668,Cadastros!A:F,6,0),"")</f>
        <v/>
      </c>
      <c r="T668" s="177" t="str">
        <f>IFERROR(VLOOKUP(O668,Cadastros!A:I,9,0),"")</f>
        <v/>
      </c>
      <c r="U668" s="177" t="str">
        <f t="shared" si="47"/>
        <v/>
      </c>
      <c r="V668" s="177" t="str">
        <f t="shared" si="48"/>
        <v/>
      </c>
      <c r="W668" s="177" t="str">
        <f t="shared" si="49"/>
        <v/>
      </c>
      <c r="Y668" s="240" t="e">
        <f t="array" ref="Y668">INDEX(Tabela.abordagens[],SMALL(IF(Tabela.abordagens[Mês]=$L$2,ROW(Tabela.abordagens[id])-2),ROW(A621)),1)</f>
        <v>#NUM!</v>
      </c>
      <c r="Z668" s="240" t="e">
        <f t="array" ref="Z668">INDEX(Tabela.abordagens[],SMALL(IF(Tabela.abordagens[Mês]=$L$2,ROW(Tabela.abordagens[Idade])-2),ROW(A621)),6)</f>
        <v>#NUM!</v>
      </c>
      <c r="AA668" s="240" t="e">
        <f t="array" ref="AA668">INDEX(Tabela.abordagens[],SMALL(IF(Tabela.abordagens[Mês]=$L$2,ROW(Tabela.abordagens[Idade])-2),ROW(A621)),4)</f>
        <v>#NUM!</v>
      </c>
      <c r="AB668" s="240" t="e">
        <f t="array" ref="AB668">INDEX(Tabela.abordagens[],SMALL(IF(Tabela.abordagens[Mês]=$L$2,ROW(Tabela.abordagens[Idade])-2),ROW(A621)),5)</f>
        <v>#NUM!</v>
      </c>
    </row>
    <row r="669" spans="2:28" ht="15" x14ac:dyDescent="0.25">
      <c r="B669" s="223" t="e">
        <f t="array" ref="B669">INDEX(Tabela.frequencia[],SMALL(IF(Tabela.frequencia[Mês]=$L$2,ROW(Tabela.frequencia[id])-1),ROW(A622)),1)</f>
        <v>#NUM!</v>
      </c>
      <c r="C669" s="229" t="e">
        <f t="array" ref="C669">INDEX(Tabela.frequencia[],SMALL(IF(Tabela.frequencia[Mês]=$L$2,ROW(Tabela.frequencia[id])-1),ROW(A622)),4)</f>
        <v>#NUM!</v>
      </c>
      <c r="E669" s="176" t="str">
        <f>IFERROR(VLOOKUP(D669,Tabela.cadastro[[ID]:[Nome]],2,0),"")</f>
        <v/>
      </c>
      <c r="F669" s="177" t="str">
        <f>IFERROR(VLOOKUP(D669,Tabela66[#All],2,0),"")</f>
        <v/>
      </c>
      <c r="G669" s="177" t="str">
        <f>IFERROR(VLOOKUP(D669,Tabela.cadastro[[ID]:[CP ou M]],5,0),"")</f>
        <v/>
      </c>
      <c r="H669" s="177" t="str">
        <f>IFERROR(VLOOKUP(D669,Cadastros!A:F,6,0),"")</f>
        <v/>
      </c>
      <c r="I669" s="177" t="str">
        <f>IFERROR(VLOOKUP(D669,Cadastros!A:I,9,0),"")</f>
        <v/>
      </c>
      <c r="J669" s="177" t="str">
        <f>IFERROR(VLOOKUP(D669,Cadastros!A:J,10,0),"")</f>
        <v/>
      </c>
      <c r="K669" s="177" t="str">
        <f>IF(COUNTIF(Tabela66[id],D669)=0,"",COUNTIF(Tabela66[id],D669))</f>
        <v/>
      </c>
      <c r="L669" s="198"/>
      <c r="M669" s="227" t="str">
        <f t="shared" si="50"/>
        <v/>
      </c>
      <c r="P669" s="176" t="str">
        <f>IFERROR(VLOOKUP(O669,Cadastros!A:B,2),"")</f>
        <v/>
      </c>
      <c r="Q669" s="177" t="str">
        <f t="shared" si="46"/>
        <v/>
      </c>
      <c r="R669" s="177" t="str">
        <f>IFERROR(VLOOKUP(O669,Cadastros!A:E,5,0),"")</f>
        <v/>
      </c>
      <c r="S669" s="177" t="str">
        <f>IFERROR(VLOOKUP(O669,Cadastros!A:F,6,0),"")</f>
        <v/>
      </c>
      <c r="T669" s="177" t="str">
        <f>IFERROR(VLOOKUP(O669,Cadastros!A:I,9,0),"")</f>
        <v/>
      </c>
      <c r="U669" s="177" t="str">
        <f t="shared" si="47"/>
        <v/>
      </c>
      <c r="V669" s="177" t="str">
        <f t="shared" si="48"/>
        <v/>
      </c>
      <c r="W669" s="177" t="str">
        <f t="shared" si="49"/>
        <v/>
      </c>
      <c r="Y669" s="240" t="e">
        <f t="array" ref="Y669">INDEX(Tabela.abordagens[],SMALL(IF(Tabela.abordagens[Mês]=$L$2,ROW(Tabela.abordagens[id])-2),ROW(A622)),1)</f>
        <v>#NUM!</v>
      </c>
      <c r="Z669" s="240" t="e">
        <f t="array" ref="Z669">INDEX(Tabela.abordagens[],SMALL(IF(Tabela.abordagens[Mês]=$L$2,ROW(Tabela.abordagens[Idade])-2),ROW(A622)),6)</f>
        <v>#NUM!</v>
      </c>
      <c r="AA669" s="240" t="e">
        <f t="array" ref="AA669">INDEX(Tabela.abordagens[],SMALL(IF(Tabela.abordagens[Mês]=$L$2,ROW(Tabela.abordagens[Idade])-2),ROW(A622)),4)</f>
        <v>#NUM!</v>
      </c>
      <c r="AB669" s="240" t="e">
        <f t="array" ref="AB669">INDEX(Tabela.abordagens[],SMALL(IF(Tabela.abordagens[Mês]=$L$2,ROW(Tabela.abordagens[Idade])-2),ROW(A622)),5)</f>
        <v>#NUM!</v>
      </c>
    </row>
    <row r="670" spans="2:28" ht="15" x14ac:dyDescent="0.25">
      <c r="B670" s="223" t="e">
        <f t="array" ref="B670">INDEX(Tabela.frequencia[],SMALL(IF(Tabela.frequencia[Mês]=$L$2,ROW(Tabela.frequencia[id])-1),ROW(A623)),1)</f>
        <v>#NUM!</v>
      </c>
      <c r="C670" s="229" t="e">
        <f t="array" ref="C670">INDEX(Tabela.frequencia[],SMALL(IF(Tabela.frequencia[Mês]=$L$2,ROW(Tabela.frequencia[id])-1),ROW(A623)),4)</f>
        <v>#NUM!</v>
      </c>
      <c r="E670" s="176" t="str">
        <f>IFERROR(VLOOKUP(D670,Tabela.cadastro[[ID]:[Nome]],2,0),"")</f>
        <v/>
      </c>
      <c r="F670" s="177" t="str">
        <f>IFERROR(VLOOKUP(D670,Tabela66[#All],2,0),"")</f>
        <v/>
      </c>
      <c r="G670" s="177" t="str">
        <f>IFERROR(VLOOKUP(D670,Tabela.cadastro[[ID]:[CP ou M]],5,0),"")</f>
        <v/>
      </c>
      <c r="H670" s="177" t="str">
        <f>IFERROR(VLOOKUP(D670,Cadastros!A:F,6,0),"")</f>
        <v/>
      </c>
      <c r="I670" s="177" t="str">
        <f>IFERROR(VLOOKUP(D670,Cadastros!A:I,9,0),"")</f>
        <v/>
      </c>
      <c r="J670" s="177" t="str">
        <f>IFERROR(VLOOKUP(D670,Cadastros!A:J,10,0),"")</f>
        <v/>
      </c>
      <c r="K670" s="177" t="str">
        <f>IF(COUNTIF(Tabela66[id],D670)=0,"",COUNTIF(Tabela66[id],D670))</f>
        <v/>
      </c>
      <c r="L670" s="198"/>
      <c r="M670" s="227" t="str">
        <f t="shared" si="50"/>
        <v/>
      </c>
      <c r="P670" s="176" t="str">
        <f>IFERROR(VLOOKUP(O670,Cadastros!A:B,2),"")</f>
        <v/>
      </c>
      <c r="Q670" s="177" t="str">
        <f t="shared" si="46"/>
        <v/>
      </c>
      <c r="R670" s="177" t="str">
        <f>IFERROR(VLOOKUP(O670,Cadastros!A:E,5,0),"")</f>
        <v/>
      </c>
      <c r="S670" s="177" t="str">
        <f>IFERROR(VLOOKUP(O670,Cadastros!A:F,6,0),"")</f>
        <v/>
      </c>
      <c r="T670" s="177" t="str">
        <f>IFERROR(VLOOKUP(O670,Cadastros!A:I,9,0),"")</f>
        <v/>
      </c>
      <c r="U670" s="177" t="str">
        <f t="shared" si="47"/>
        <v/>
      </c>
      <c r="V670" s="177" t="str">
        <f t="shared" si="48"/>
        <v/>
      </c>
      <c r="W670" s="177" t="str">
        <f t="shared" si="49"/>
        <v/>
      </c>
      <c r="Y670" s="240" t="e">
        <f t="array" ref="Y670">INDEX(Tabela.abordagens[],SMALL(IF(Tabela.abordagens[Mês]=$L$2,ROW(Tabela.abordagens[id])-2),ROW(A623)),1)</f>
        <v>#NUM!</v>
      </c>
      <c r="Z670" s="240" t="e">
        <f t="array" ref="Z670">INDEX(Tabela.abordagens[],SMALL(IF(Tabela.abordagens[Mês]=$L$2,ROW(Tabela.abordagens[Idade])-2),ROW(A623)),6)</f>
        <v>#NUM!</v>
      </c>
      <c r="AA670" s="240" t="e">
        <f t="array" ref="AA670">INDEX(Tabela.abordagens[],SMALL(IF(Tabela.abordagens[Mês]=$L$2,ROW(Tabela.abordagens[Idade])-2),ROW(A623)),4)</f>
        <v>#NUM!</v>
      </c>
      <c r="AB670" s="240" t="e">
        <f t="array" ref="AB670">INDEX(Tabela.abordagens[],SMALL(IF(Tabela.abordagens[Mês]=$L$2,ROW(Tabela.abordagens[Idade])-2),ROW(A623)),5)</f>
        <v>#NUM!</v>
      </c>
    </row>
    <row r="671" spans="2:28" ht="15" x14ac:dyDescent="0.25">
      <c r="B671" s="223" t="e">
        <f t="array" ref="B671">INDEX(Tabela.frequencia[],SMALL(IF(Tabela.frequencia[Mês]=$L$2,ROW(Tabela.frequencia[id])-1),ROW(A624)),1)</f>
        <v>#NUM!</v>
      </c>
      <c r="C671" s="229" t="e">
        <f t="array" ref="C671">INDEX(Tabela.frequencia[],SMALL(IF(Tabela.frequencia[Mês]=$L$2,ROW(Tabela.frequencia[id])-1),ROW(A624)),4)</f>
        <v>#NUM!</v>
      </c>
      <c r="E671" s="176" t="str">
        <f>IFERROR(VLOOKUP(D671,Tabela.cadastro[[ID]:[Nome]],2,0),"")</f>
        <v/>
      </c>
      <c r="F671" s="177" t="str">
        <f>IFERROR(VLOOKUP(D671,Tabela66[#All],2,0),"")</f>
        <v/>
      </c>
      <c r="G671" s="177" t="str">
        <f>IFERROR(VLOOKUP(D671,Tabela.cadastro[[ID]:[CP ou M]],5,0),"")</f>
        <v/>
      </c>
      <c r="H671" s="177" t="str">
        <f>IFERROR(VLOOKUP(D671,Cadastros!A:F,6,0),"")</f>
        <v/>
      </c>
      <c r="I671" s="177" t="str">
        <f>IFERROR(VLOOKUP(D671,Cadastros!A:I,9,0),"")</f>
        <v/>
      </c>
      <c r="J671" s="177" t="str">
        <f>IFERROR(VLOOKUP(D671,Cadastros!A:J,10,0),"")</f>
        <v/>
      </c>
      <c r="K671" s="177" t="str">
        <f>IF(COUNTIF(Tabela66[id],D671)=0,"",COUNTIF(Tabela66[id],D671))</f>
        <v/>
      </c>
      <c r="L671" s="198"/>
      <c r="M671" s="227" t="str">
        <f t="shared" si="50"/>
        <v/>
      </c>
      <c r="P671" s="176" t="str">
        <f>IFERROR(VLOOKUP(O671,Cadastros!A:B,2),"")</f>
        <v/>
      </c>
      <c r="Q671" s="177" t="str">
        <f t="shared" si="46"/>
        <v/>
      </c>
      <c r="R671" s="177" t="str">
        <f>IFERROR(VLOOKUP(O671,Cadastros!A:E,5,0),"")</f>
        <v/>
      </c>
      <c r="S671" s="177" t="str">
        <f>IFERROR(VLOOKUP(O671,Cadastros!A:F,6,0),"")</f>
        <v/>
      </c>
      <c r="T671" s="177" t="str">
        <f>IFERROR(VLOOKUP(O671,Cadastros!A:I,9,0),"")</f>
        <v/>
      </c>
      <c r="U671" s="177" t="str">
        <f t="shared" si="47"/>
        <v/>
      </c>
      <c r="V671" s="177" t="str">
        <f t="shared" si="48"/>
        <v/>
      </c>
      <c r="W671" s="177" t="str">
        <f t="shared" si="49"/>
        <v/>
      </c>
      <c r="Y671" s="240" t="e">
        <f t="array" ref="Y671">INDEX(Tabela.abordagens[],SMALL(IF(Tabela.abordagens[Mês]=$L$2,ROW(Tabela.abordagens[id])-2),ROW(A624)),1)</f>
        <v>#NUM!</v>
      </c>
      <c r="Z671" s="240" t="e">
        <f t="array" ref="Z671">INDEX(Tabela.abordagens[],SMALL(IF(Tabela.abordagens[Mês]=$L$2,ROW(Tabela.abordagens[Idade])-2),ROW(A624)),6)</f>
        <v>#NUM!</v>
      </c>
      <c r="AA671" s="240" t="e">
        <f t="array" ref="AA671">INDEX(Tabela.abordagens[],SMALL(IF(Tabela.abordagens[Mês]=$L$2,ROW(Tabela.abordagens[Idade])-2),ROW(A624)),4)</f>
        <v>#NUM!</v>
      </c>
      <c r="AB671" s="240" t="e">
        <f t="array" ref="AB671">INDEX(Tabela.abordagens[],SMALL(IF(Tabela.abordagens[Mês]=$L$2,ROW(Tabela.abordagens[Idade])-2),ROW(A624)),5)</f>
        <v>#NUM!</v>
      </c>
    </row>
    <row r="672" spans="2:28" ht="15" x14ac:dyDescent="0.25">
      <c r="B672" s="223" t="e">
        <f t="array" ref="B672">INDEX(Tabela.frequencia[],SMALL(IF(Tabela.frequencia[Mês]=$L$2,ROW(Tabela.frequencia[id])-1),ROW(A625)),1)</f>
        <v>#NUM!</v>
      </c>
      <c r="C672" s="229" t="e">
        <f t="array" ref="C672">INDEX(Tabela.frequencia[],SMALL(IF(Tabela.frequencia[Mês]=$L$2,ROW(Tabela.frequencia[id])-1),ROW(A625)),4)</f>
        <v>#NUM!</v>
      </c>
      <c r="E672" s="176" t="str">
        <f>IFERROR(VLOOKUP(D672,Tabela.cadastro[[ID]:[Nome]],2,0),"")</f>
        <v/>
      </c>
      <c r="F672" s="177" t="str">
        <f>IFERROR(VLOOKUP(D672,Tabela66[#All],2,0),"")</f>
        <v/>
      </c>
      <c r="G672" s="177" t="str">
        <f>IFERROR(VLOOKUP(D672,Tabela.cadastro[[ID]:[CP ou M]],5,0),"")</f>
        <v/>
      </c>
      <c r="H672" s="177" t="str">
        <f>IFERROR(VLOOKUP(D672,Cadastros!A:F,6,0),"")</f>
        <v/>
      </c>
      <c r="I672" s="177" t="str">
        <f>IFERROR(VLOOKUP(D672,Cadastros!A:I,9,0),"")</f>
        <v/>
      </c>
      <c r="J672" s="177" t="str">
        <f>IFERROR(VLOOKUP(D672,Cadastros!A:J,10,0),"")</f>
        <v/>
      </c>
      <c r="K672" s="177" t="str">
        <f>IF(COUNTIF(Tabela66[id],D672)=0,"",COUNTIF(Tabela66[id],D672))</f>
        <v/>
      </c>
      <c r="L672" s="198"/>
      <c r="M672" s="227" t="str">
        <f t="shared" si="50"/>
        <v/>
      </c>
      <c r="P672" s="176" t="str">
        <f>IFERROR(VLOOKUP(O672,Cadastros!A:B,2),"")</f>
        <v/>
      </c>
      <c r="Q672" s="177" t="str">
        <f t="shared" si="46"/>
        <v/>
      </c>
      <c r="R672" s="177" t="str">
        <f>IFERROR(VLOOKUP(O672,Cadastros!A:E,5,0),"")</f>
        <v/>
      </c>
      <c r="S672" s="177" t="str">
        <f>IFERROR(VLOOKUP(O672,Cadastros!A:F,6,0),"")</f>
        <v/>
      </c>
      <c r="T672" s="177" t="str">
        <f>IFERROR(VLOOKUP(O672,Cadastros!A:I,9,0),"")</f>
        <v/>
      </c>
      <c r="U672" s="177" t="str">
        <f t="shared" si="47"/>
        <v/>
      </c>
      <c r="V672" s="177" t="str">
        <f t="shared" si="48"/>
        <v/>
      </c>
      <c r="W672" s="177" t="str">
        <f t="shared" si="49"/>
        <v/>
      </c>
      <c r="Y672" s="240" t="e">
        <f t="array" ref="Y672">INDEX(Tabela.abordagens[],SMALL(IF(Tabela.abordagens[Mês]=$L$2,ROW(Tabela.abordagens[id])-2),ROW(A625)),1)</f>
        <v>#NUM!</v>
      </c>
      <c r="Z672" s="240" t="e">
        <f t="array" ref="Z672">INDEX(Tabela.abordagens[],SMALL(IF(Tabela.abordagens[Mês]=$L$2,ROW(Tabela.abordagens[Idade])-2),ROW(A625)),6)</f>
        <v>#NUM!</v>
      </c>
      <c r="AA672" s="240" t="e">
        <f t="array" ref="AA672">INDEX(Tabela.abordagens[],SMALL(IF(Tabela.abordagens[Mês]=$L$2,ROW(Tabela.abordagens[Idade])-2),ROW(A625)),4)</f>
        <v>#NUM!</v>
      </c>
      <c r="AB672" s="240" t="e">
        <f t="array" ref="AB672">INDEX(Tabela.abordagens[],SMALL(IF(Tabela.abordagens[Mês]=$L$2,ROW(Tabela.abordagens[Idade])-2),ROW(A625)),5)</f>
        <v>#NUM!</v>
      </c>
    </row>
    <row r="673" spans="2:28" ht="15" x14ac:dyDescent="0.25">
      <c r="B673" s="223" t="e">
        <f t="array" ref="B673">INDEX(Tabela.frequencia[],SMALL(IF(Tabela.frequencia[Mês]=$L$2,ROW(Tabela.frequencia[id])-1),ROW(A626)),1)</f>
        <v>#NUM!</v>
      </c>
      <c r="C673" s="229" t="e">
        <f t="array" ref="C673">INDEX(Tabela.frequencia[],SMALL(IF(Tabela.frequencia[Mês]=$L$2,ROW(Tabela.frequencia[id])-1),ROW(A626)),4)</f>
        <v>#NUM!</v>
      </c>
      <c r="E673" s="176" t="str">
        <f>IFERROR(VLOOKUP(D673,Tabela.cadastro[[ID]:[Nome]],2,0),"")</f>
        <v/>
      </c>
      <c r="F673" s="177" t="str">
        <f>IFERROR(VLOOKUP(D673,Tabela66[#All],2,0),"")</f>
        <v/>
      </c>
      <c r="G673" s="177" t="str">
        <f>IFERROR(VLOOKUP(D673,Tabela.cadastro[[ID]:[CP ou M]],5,0),"")</f>
        <v/>
      </c>
      <c r="H673" s="177" t="str">
        <f>IFERROR(VLOOKUP(D673,Cadastros!A:F,6,0),"")</f>
        <v/>
      </c>
      <c r="I673" s="177" t="str">
        <f>IFERROR(VLOOKUP(D673,Cadastros!A:I,9,0),"")</f>
        <v/>
      </c>
      <c r="J673" s="177" t="str">
        <f>IFERROR(VLOOKUP(D673,Cadastros!A:J,10,0),"")</f>
        <v/>
      </c>
      <c r="K673" s="177" t="str">
        <f>IF(COUNTIF(Tabela66[id],D673)=0,"",COUNTIF(Tabela66[id],D673))</f>
        <v/>
      </c>
      <c r="L673" s="198"/>
      <c r="M673" s="227" t="str">
        <f t="shared" si="50"/>
        <v/>
      </c>
      <c r="P673" s="176" t="str">
        <f>IFERROR(VLOOKUP(O673,Cadastros!A:B,2),"")</f>
        <v/>
      </c>
      <c r="Q673" s="177" t="str">
        <f t="shared" si="46"/>
        <v/>
      </c>
      <c r="R673" s="177" t="str">
        <f>IFERROR(VLOOKUP(O673,Cadastros!A:E,5,0),"")</f>
        <v/>
      </c>
      <c r="S673" s="177" t="str">
        <f>IFERROR(VLOOKUP(O673,Cadastros!A:F,6,0),"")</f>
        <v/>
      </c>
      <c r="T673" s="177" t="str">
        <f>IFERROR(VLOOKUP(O673,Cadastros!A:I,9,0),"")</f>
        <v/>
      </c>
      <c r="U673" s="177" t="str">
        <f t="shared" si="47"/>
        <v/>
      </c>
      <c r="V673" s="177" t="str">
        <f t="shared" si="48"/>
        <v/>
      </c>
      <c r="W673" s="177" t="str">
        <f t="shared" si="49"/>
        <v/>
      </c>
      <c r="Y673" s="240" t="e">
        <f t="array" ref="Y673">INDEX(Tabela.abordagens[],SMALL(IF(Tabela.abordagens[Mês]=$L$2,ROW(Tabela.abordagens[id])-2),ROW(A626)),1)</f>
        <v>#NUM!</v>
      </c>
      <c r="Z673" s="240" t="e">
        <f t="array" ref="Z673">INDEX(Tabela.abordagens[],SMALL(IF(Tabela.abordagens[Mês]=$L$2,ROW(Tabela.abordagens[Idade])-2),ROW(A626)),6)</f>
        <v>#NUM!</v>
      </c>
      <c r="AA673" s="240" t="e">
        <f t="array" ref="AA673">INDEX(Tabela.abordagens[],SMALL(IF(Tabela.abordagens[Mês]=$L$2,ROW(Tabela.abordagens[Idade])-2),ROW(A626)),4)</f>
        <v>#NUM!</v>
      </c>
      <c r="AB673" s="240" t="e">
        <f t="array" ref="AB673">INDEX(Tabela.abordagens[],SMALL(IF(Tabela.abordagens[Mês]=$L$2,ROW(Tabela.abordagens[Idade])-2),ROW(A626)),5)</f>
        <v>#NUM!</v>
      </c>
    </row>
    <row r="674" spans="2:28" ht="15" x14ac:dyDescent="0.25">
      <c r="B674" s="223" t="e">
        <f t="array" ref="B674">INDEX(Tabela.frequencia[],SMALL(IF(Tabela.frequencia[Mês]=$L$2,ROW(Tabela.frequencia[id])-1),ROW(A627)),1)</f>
        <v>#NUM!</v>
      </c>
      <c r="C674" s="229" t="e">
        <f t="array" ref="C674">INDEX(Tabela.frequencia[],SMALL(IF(Tabela.frequencia[Mês]=$L$2,ROW(Tabela.frequencia[id])-1),ROW(A627)),4)</f>
        <v>#NUM!</v>
      </c>
      <c r="E674" s="176" t="str">
        <f>IFERROR(VLOOKUP(D674,Tabela.cadastro[[ID]:[Nome]],2,0),"")</f>
        <v/>
      </c>
      <c r="F674" s="177" t="str">
        <f>IFERROR(VLOOKUP(D674,Tabela66[#All],2,0),"")</f>
        <v/>
      </c>
      <c r="G674" s="177" t="str">
        <f>IFERROR(VLOOKUP(D674,Tabela.cadastro[[ID]:[CP ou M]],5,0),"")</f>
        <v/>
      </c>
      <c r="H674" s="177" t="str">
        <f>IFERROR(VLOOKUP(D674,Cadastros!A:F,6,0),"")</f>
        <v/>
      </c>
      <c r="I674" s="177" t="str">
        <f>IFERROR(VLOOKUP(D674,Cadastros!A:I,9,0),"")</f>
        <v/>
      </c>
      <c r="J674" s="177" t="str">
        <f>IFERROR(VLOOKUP(D674,Cadastros!A:J,10,0),"")</f>
        <v/>
      </c>
      <c r="K674" s="177" t="str">
        <f>IF(COUNTIF(Tabela66[id],D674)=0,"",COUNTIF(Tabela66[id],D674))</f>
        <v/>
      </c>
      <c r="L674" s="198"/>
      <c r="M674" s="227" t="str">
        <f t="shared" si="50"/>
        <v/>
      </c>
      <c r="P674" s="176" t="str">
        <f>IFERROR(VLOOKUP(O674,Cadastros!A:B,2),"")</f>
        <v/>
      </c>
      <c r="Q674" s="177" t="str">
        <f t="shared" ref="Q674:Q737" si="51">IFERROR(VLOOKUP(O674,$Y$33:$Z$866,2,0),"")</f>
        <v/>
      </c>
      <c r="R674" s="177" t="str">
        <f>IFERROR(VLOOKUP(O674,Cadastros!A:E,5,0),"")</f>
        <v/>
      </c>
      <c r="S674" s="177" t="str">
        <f>IFERROR(VLOOKUP(O674,Cadastros!A:F,6,0),"")</f>
        <v/>
      </c>
      <c r="T674" s="177" t="str">
        <f>IFERROR(VLOOKUP(O674,Cadastros!A:I,9,0),"")</f>
        <v/>
      </c>
      <c r="U674" s="177" t="str">
        <f t="shared" ref="U674:U737" si="52">IFERROR(VLOOKUP(O674,Y$33:AB$866,3,0),"")</f>
        <v/>
      </c>
      <c r="V674" s="177" t="str">
        <f t="shared" ref="V674:V737" si="53">IFERROR(VLOOKUP(O674,Y$33:AB$866,4,0),"")</f>
        <v/>
      </c>
      <c r="W674" s="177" t="str">
        <f t="shared" ref="W674:W737" si="54">IF(COUNTIF(Y$33:Y$866,O674)=0,"",COUNTIF(Y$33:Y$866,O674))</f>
        <v/>
      </c>
      <c r="Y674" s="240" t="e">
        <f t="array" ref="Y674">INDEX(Tabela.abordagens[],SMALL(IF(Tabela.abordagens[Mês]=$L$2,ROW(Tabela.abordagens[id])-2),ROW(A627)),1)</f>
        <v>#NUM!</v>
      </c>
      <c r="Z674" s="240" t="e">
        <f t="array" ref="Z674">INDEX(Tabela.abordagens[],SMALL(IF(Tabela.abordagens[Mês]=$L$2,ROW(Tabela.abordagens[Idade])-2),ROW(A627)),6)</f>
        <v>#NUM!</v>
      </c>
      <c r="AA674" s="240" t="e">
        <f t="array" ref="AA674">INDEX(Tabela.abordagens[],SMALL(IF(Tabela.abordagens[Mês]=$L$2,ROW(Tabela.abordagens[Idade])-2),ROW(A627)),4)</f>
        <v>#NUM!</v>
      </c>
      <c r="AB674" s="240" t="e">
        <f t="array" ref="AB674">INDEX(Tabela.abordagens[],SMALL(IF(Tabela.abordagens[Mês]=$L$2,ROW(Tabela.abordagens[Idade])-2),ROW(A627)),5)</f>
        <v>#NUM!</v>
      </c>
    </row>
    <row r="675" spans="2:28" ht="15" x14ac:dyDescent="0.25">
      <c r="B675" s="223" t="e">
        <f t="array" ref="B675">INDEX(Tabela.frequencia[],SMALL(IF(Tabela.frequencia[Mês]=$L$2,ROW(Tabela.frequencia[id])-1),ROW(A628)),1)</f>
        <v>#NUM!</v>
      </c>
      <c r="C675" s="229" t="e">
        <f t="array" ref="C675">INDEX(Tabela.frequencia[],SMALL(IF(Tabela.frequencia[Mês]=$L$2,ROW(Tabela.frequencia[id])-1),ROW(A628)),4)</f>
        <v>#NUM!</v>
      </c>
      <c r="E675" s="176" t="str">
        <f>IFERROR(VLOOKUP(D675,Tabela.cadastro[[ID]:[Nome]],2,0),"")</f>
        <v/>
      </c>
      <c r="F675" s="177" t="str">
        <f>IFERROR(VLOOKUP(D675,Tabela66[#All],2,0),"")</f>
        <v/>
      </c>
      <c r="G675" s="177" t="str">
        <f>IFERROR(VLOOKUP(D675,Tabela.cadastro[[ID]:[CP ou M]],5,0),"")</f>
        <v/>
      </c>
      <c r="H675" s="177" t="str">
        <f>IFERROR(VLOOKUP(D675,Cadastros!A:F,6,0),"")</f>
        <v/>
      </c>
      <c r="I675" s="177" t="str">
        <f>IFERROR(VLOOKUP(D675,Cadastros!A:I,9,0),"")</f>
        <v/>
      </c>
      <c r="J675" s="177" t="str">
        <f>IFERROR(VLOOKUP(D675,Cadastros!A:J,10,0),"")</f>
        <v/>
      </c>
      <c r="K675" s="177" t="str">
        <f>IF(COUNTIF(Tabela66[id],D675)=0,"",COUNTIF(Tabela66[id],D675))</f>
        <v/>
      </c>
      <c r="L675" s="198"/>
      <c r="M675" s="227" t="str">
        <f t="shared" si="50"/>
        <v/>
      </c>
      <c r="P675" s="176" t="str">
        <f>IFERROR(VLOOKUP(O675,Cadastros!A:B,2),"")</f>
        <v/>
      </c>
      <c r="Q675" s="177" t="str">
        <f t="shared" si="51"/>
        <v/>
      </c>
      <c r="R675" s="177" t="str">
        <f>IFERROR(VLOOKUP(O675,Cadastros!A:E,5,0),"")</f>
        <v/>
      </c>
      <c r="S675" s="177" t="str">
        <f>IFERROR(VLOOKUP(O675,Cadastros!A:F,6,0),"")</f>
        <v/>
      </c>
      <c r="T675" s="177" t="str">
        <f>IFERROR(VLOOKUP(O675,Cadastros!A:I,9,0),"")</f>
        <v/>
      </c>
      <c r="U675" s="177" t="str">
        <f t="shared" si="52"/>
        <v/>
      </c>
      <c r="V675" s="177" t="str">
        <f t="shared" si="53"/>
        <v/>
      </c>
      <c r="W675" s="177" t="str">
        <f t="shared" si="54"/>
        <v/>
      </c>
      <c r="Y675" s="240" t="e">
        <f t="array" ref="Y675">INDEX(Tabela.abordagens[],SMALL(IF(Tabela.abordagens[Mês]=$L$2,ROW(Tabela.abordagens[id])-2),ROW(A628)),1)</f>
        <v>#NUM!</v>
      </c>
      <c r="Z675" s="240" t="e">
        <f t="array" ref="Z675">INDEX(Tabela.abordagens[],SMALL(IF(Tabela.abordagens[Mês]=$L$2,ROW(Tabela.abordagens[Idade])-2),ROW(A628)),6)</f>
        <v>#NUM!</v>
      </c>
      <c r="AA675" s="240" t="e">
        <f t="array" ref="AA675">INDEX(Tabela.abordagens[],SMALL(IF(Tabela.abordagens[Mês]=$L$2,ROW(Tabela.abordagens[Idade])-2),ROW(A628)),4)</f>
        <v>#NUM!</v>
      </c>
      <c r="AB675" s="240" t="e">
        <f t="array" ref="AB675">INDEX(Tabela.abordagens[],SMALL(IF(Tabela.abordagens[Mês]=$L$2,ROW(Tabela.abordagens[Idade])-2),ROW(A628)),5)</f>
        <v>#NUM!</v>
      </c>
    </row>
    <row r="676" spans="2:28" ht="15" x14ac:dyDescent="0.25">
      <c r="B676" s="223" t="e">
        <f t="array" ref="B676">INDEX(Tabela.frequencia[],SMALL(IF(Tabela.frequencia[Mês]=$L$2,ROW(Tabela.frequencia[id])-1),ROW(A629)),1)</f>
        <v>#NUM!</v>
      </c>
      <c r="C676" s="229" t="e">
        <f t="array" ref="C676">INDEX(Tabela.frequencia[],SMALL(IF(Tabela.frequencia[Mês]=$L$2,ROW(Tabela.frequencia[id])-1),ROW(A629)),4)</f>
        <v>#NUM!</v>
      </c>
      <c r="E676" s="176" t="str">
        <f>IFERROR(VLOOKUP(D676,Tabela.cadastro[[ID]:[Nome]],2,0),"")</f>
        <v/>
      </c>
      <c r="F676" s="177" t="str">
        <f>IFERROR(VLOOKUP(D676,Tabela66[#All],2,0),"")</f>
        <v/>
      </c>
      <c r="G676" s="177" t="str">
        <f>IFERROR(VLOOKUP(D676,Tabela.cadastro[[ID]:[CP ou M]],5,0),"")</f>
        <v/>
      </c>
      <c r="H676" s="177" t="str">
        <f>IFERROR(VLOOKUP(D676,Cadastros!A:F,6,0),"")</f>
        <v/>
      </c>
      <c r="I676" s="177" t="str">
        <f>IFERROR(VLOOKUP(D676,Cadastros!A:I,9,0),"")</f>
        <v/>
      </c>
      <c r="J676" s="177" t="str">
        <f>IFERROR(VLOOKUP(D676,Cadastros!A:J,10,0),"")</f>
        <v/>
      </c>
      <c r="K676" s="177" t="str">
        <f>IF(COUNTIF(Tabela66[id],D676)=0,"",COUNTIF(Tabela66[id],D676))</f>
        <v/>
      </c>
      <c r="L676" s="198"/>
      <c r="M676" s="227" t="str">
        <f t="shared" si="50"/>
        <v/>
      </c>
      <c r="P676" s="176" t="str">
        <f>IFERROR(VLOOKUP(O676,Cadastros!A:B,2),"")</f>
        <v/>
      </c>
      <c r="Q676" s="177" t="str">
        <f t="shared" si="51"/>
        <v/>
      </c>
      <c r="R676" s="177" t="str">
        <f>IFERROR(VLOOKUP(O676,Cadastros!A:E,5,0),"")</f>
        <v/>
      </c>
      <c r="S676" s="177" t="str">
        <f>IFERROR(VLOOKUP(O676,Cadastros!A:F,6,0),"")</f>
        <v/>
      </c>
      <c r="T676" s="177" t="str">
        <f>IFERROR(VLOOKUP(O676,Cadastros!A:I,9,0),"")</f>
        <v/>
      </c>
      <c r="U676" s="177" t="str">
        <f t="shared" si="52"/>
        <v/>
      </c>
      <c r="V676" s="177" t="str">
        <f t="shared" si="53"/>
        <v/>
      </c>
      <c r="W676" s="177" t="str">
        <f t="shared" si="54"/>
        <v/>
      </c>
      <c r="Y676" s="240" t="e">
        <f t="array" ref="Y676">INDEX(Tabela.abordagens[],SMALL(IF(Tabela.abordagens[Mês]=$L$2,ROW(Tabela.abordagens[id])-2),ROW(A629)),1)</f>
        <v>#NUM!</v>
      </c>
      <c r="Z676" s="240" t="e">
        <f t="array" ref="Z676">INDEX(Tabela.abordagens[],SMALL(IF(Tabela.abordagens[Mês]=$L$2,ROW(Tabela.abordagens[Idade])-2),ROW(A629)),6)</f>
        <v>#NUM!</v>
      </c>
      <c r="AA676" s="240" t="e">
        <f t="array" ref="AA676">INDEX(Tabela.abordagens[],SMALL(IF(Tabela.abordagens[Mês]=$L$2,ROW(Tabela.abordagens[Idade])-2),ROW(A629)),4)</f>
        <v>#NUM!</v>
      </c>
      <c r="AB676" s="240" t="e">
        <f t="array" ref="AB676">INDEX(Tabela.abordagens[],SMALL(IF(Tabela.abordagens[Mês]=$L$2,ROW(Tabela.abordagens[Idade])-2),ROW(A629)),5)</f>
        <v>#NUM!</v>
      </c>
    </row>
    <row r="677" spans="2:28" ht="15" x14ac:dyDescent="0.25">
      <c r="B677" s="223" t="e">
        <f t="array" ref="B677">INDEX(Tabela.frequencia[],SMALL(IF(Tabela.frequencia[Mês]=$L$2,ROW(Tabela.frequencia[id])-1),ROW(A630)),1)</f>
        <v>#NUM!</v>
      </c>
      <c r="C677" s="229" t="e">
        <f t="array" ref="C677">INDEX(Tabela.frequencia[],SMALL(IF(Tabela.frequencia[Mês]=$L$2,ROW(Tabela.frequencia[id])-1),ROW(A630)),4)</f>
        <v>#NUM!</v>
      </c>
      <c r="E677" s="176" t="str">
        <f>IFERROR(VLOOKUP(D677,Tabela.cadastro[[ID]:[Nome]],2,0),"")</f>
        <v/>
      </c>
      <c r="F677" s="177" t="str">
        <f>IFERROR(VLOOKUP(D677,Tabela66[#All],2,0),"")</f>
        <v/>
      </c>
      <c r="G677" s="177" t="str">
        <f>IFERROR(VLOOKUP(D677,Tabela.cadastro[[ID]:[CP ou M]],5,0),"")</f>
        <v/>
      </c>
      <c r="H677" s="177" t="str">
        <f>IFERROR(VLOOKUP(D677,Cadastros!A:F,6,0),"")</f>
        <v/>
      </c>
      <c r="I677" s="177" t="str">
        <f>IFERROR(VLOOKUP(D677,Cadastros!A:I,9,0),"")</f>
        <v/>
      </c>
      <c r="J677" s="177" t="str">
        <f>IFERROR(VLOOKUP(D677,Cadastros!A:J,10,0),"")</f>
        <v/>
      </c>
      <c r="K677" s="177" t="str">
        <f>IF(COUNTIF(Tabela66[id],D677)=0,"",COUNTIF(Tabela66[id],D677))</f>
        <v/>
      </c>
      <c r="L677" s="198"/>
      <c r="M677" s="227" t="str">
        <f t="shared" si="50"/>
        <v/>
      </c>
      <c r="P677" s="176" t="str">
        <f>IFERROR(VLOOKUP(O677,Cadastros!A:B,2),"")</f>
        <v/>
      </c>
      <c r="Q677" s="177" t="str">
        <f t="shared" si="51"/>
        <v/>
      </c>
      <c r="R677" s="177" t="str">
        <f>IFERROR(VLOOKUP(O677,Cadastros!A:E,5,0),"")</f>
        <v/>
      </c>
      <c r="S677" s="177" t="str">
        <f>IFERROR(VLOOKUP(O677,Cadastros!A:F,6,0),"")</f>
        <v/>
      </c>
      <c r="T677" s="177" t="str">
        <f>IFERROR(VLOOKUP(O677,Cadastros!A:I,9,0),"")</f>
        <v/>
      </c>
      <c r="U677" s="177" t="str">
        <f t="shared" si="52"/>
        <v/>
      </c>
      <c r="V677" s="177" t="str">
        <f t="shared" si="53"/>
        <v/>
      </c>
      <c r="W677" s="177" t="str">
        <f t="shared" si="54"/>
        <v/>
      </c>
      <c r="Y677" s="240" t="e">
        <f t="array" ref="Y677">INDEX(Tabela.abordagens[],SMALL(IF(Tabela.abordagens[Mês]=$L$2,ROW(Tabela.abordagens[id])-2),ROW(A630)),1)</f>
        <v>#NUM!</v>
      </c>
      <c r="Z677" s="240" t="e">
        <f t="array" ref="Z677">INDEX(Tabela.abordagens[],SMALL(IF(Tabela.abordagens[Mês]=$L$2,ROW(Tabela.abordagens[Idade])-2),ROW(A630)),6)</f>
        <v>#NUM!</v>
      </c>
      <c r="AA677" s="240" t="e">
        <f t="array" ref="AA677">INDEX(Tabela.abordagens[],SMALL(IF(Tabela.abordagens[Mês]=$L$2,ROW(Tabela.abordagens[Idade])-2),ROW(A630)),4)</f>
        <v>#NUM!</v>
      </c>
      <c r="AB677" s="240" t="e">
        <f t="array" ref="AB677">INDEX(Tabela.abordagens[],SMALL(IF(Tabela.abordagens[Mês]=$L$2,ROW(Tabela.abordagens[Idade])-2),ROW(A630)),5)</f>
        <v>#NUM!</v>
      </c>
    </row>
    <row r="678" spans="2:28" ht="15" x14ac:dyDescent="0.25">
      <c r="B678" s="223" t="e">
        <f t="array" ref="B678">INDEX(Tabela.frequencia[],SMALL(IF(Tabela.frequencia[Mês]=$L$2,ROW(Tabela.frequencia[id])-1),ROW(A631)),1)</f>
        <v>#NUM!</v>
      </c>
      <c r="C678" s="229" t="e">
        <f t="array" ref="C678">INDEX(Tabela.frequencia[],SMALL(IF(Tabela.frequencia[Mês]=$L$2,ROW(Tabela.frequencia[id])-1),ROW(A631)),4)</f>
        <v>#NUM!</v>
      </c>
      <c r="E678" s="176" t="str">
        <f>IFERROR(VLOOKUP(D678,Tabela.cadastro[[ID]:[Nome]],2,0),"")</f>
        <v/>
      </c>
      <c r="F678" s="177" t="str">
        <f>IFERROR(VLOOKUP(D678,Tabela66[#All],2,0),"")</f>
        <v/>
      </c>
      <c r="G678" s="177" t="str">
        <f>IFERROR(VLOOKUP(D678,Tabela.cadastro[[ID]:[CP ou M]],5,0),"")</f>
        <v/>
      </c>
      <c r="H678" s="177" t="str">
        <f>IFERROR(VLOOKUP(D678,Cadastros!A:F,6,0),"")</f>
        <v/>
      </c>
      <c r="I678" s="177" t="str">
        <f>IFERROR(VLOOKUP(D678,Cadastros!A:I,9,0),"")</f>
        <v/>
      </c>
      <c r="J678" s="177" t="str">
        <f>IFERROR(VLOOKUP(D678,Cadastros!A:J,10,0),"")</f>
        <v/>
      </c>
      <c r="K678" s="177" t="str">
        <f>IF(COUNTIF(Tabela66[id],D678)=0,"",COUNTIF(Tabela66[id],D678))</f>
        <v/>
      </c>
      <c r="L678" s="198"/>
      <c r="M678" s="227" t="str">
        <f t="shared" si="50"/>
        <v/>
      </c>
      <c r="P678" s="176" t="str">
        <f>IFERROR(VLOOKUP(O678,Cadastros!A:B,2),"")</f>
        <v/>
      </c>
      <c r="Q678" s="177" t="str">
        <f t="shared" si="51"/>
        <v/>
      </c>
      <c r="R678" s="177" t="str">
        <f>IFERROR(VLOOKUP(O678,Cadastros!A:E,5,0),"")</f>
        <v/>
      </c>
      <c r="S678" s="177" t="str">
        <f>IFERROR(VLOOKUP(O678,Cadastros!A:F,6,0),"")</f>
        <v/>
      </c>
      <c r="T678" s="177" t="str">
        <f>IFERROR(VLOOKUP(O678,Cadastros!A:I,9,0),"")</f>
        <v/>
      </c>
      <c r="U678" s="177" t="str">
        <f t="shared" si="52"/>
        <v/>
      </c>
      <c r="V678" s="177" t="str">
        <f t="shared" si="53"/>
        <v/>
      </c>
      <c r="W678" s="177" t="str">
        <f t="shared" si="54"/>
        <v/>
      </c>
      <c r="Y678" s="240" t="e">
        <f t="array" ref="Y678">INDEX(Tabela.abordagens[],SMALL(IF(Tabela.abordagens[Mês]=$L$2,ROW(Tabela.abordagens[id])-2),ROW(A631)),1)</f>
        <v>#NUM!</v>
      </c>
      <c r="Z678" s="240" t="e">
        <f t="array" ref="Z678">INDEX(Tabela.abordagens[],SMALL(IF(Tabela.abordagens[Mês]=$L$2,ROW(Tabela.abordagens[Idade])-2),ROW(A631)),6)</f>
        <v>#NUM!</v>
      </c>
      <c r="AA678" s="240" t="e">
        <f t="array" ref="AA678">INDEX(Tabela.abordagens[],SMALL(IF(Tabela.abordagens[Mês]=$L$2,ROW(Tabela.abordagens[Idade])-2),ROW(A631)),4)</f>
        <v>#NUM!</v>
      </c>
      <c r="AB678" s="240" t="e">
        <f t="array" ref="AB678">INDEX(Tabela.abordagens[],SMALL(IF(Tabela.abordagens[Mês]=$L$2,ROW(Tabela.abordagens[Idade])-2),ROW(A631)),5)</f>
        <v>#NUM!</v>
      </c>
    </row>
    <row r="679" spans="2:28" ht="15" x14ac:dyDescent="0.25">
      <c r="B679" s="223" t="e">
        <f t="array" ref="B679">INDEX(Tabela.frequencia[],SMALL(IF(Tabela.frequencia[Mês]=$L$2,ROW(Tabela.frequencia[id])-1),ROW(A632)),1)</f>
        <v>#NUM!</v>
      </c>
      <c r="C679" s="229" t="e">
        <f t="array" ref="C679">INDEX(Tabela.frequencia[],SMALL(IF(Tabela.frequencia[Mês]=$L$2,ROW(Tabela.frequencia[id])-1),ROW(A632)),4)</f>
        <v>#NUM!</v>
      </c>
      <c r="E679" s="176" t="str">
        <f>IFERROR(VLOOKUP(D679,Tabela.cadastro[[ID]:[Nome]],2,0),"")</f>
        <v/>
      </c>
      <c r="F679" s="177" t="str">
        <f>IFERROR(VLOOKUP(D679,Tabela66[#All],2,0),"")</f>
        <v/>
      </c>
      <c r="G679" s="177" t="str">
        <f>IFERROR(VLOOKUP(D679,Tabela.cadastro[[ID]:[CP ou M]],5,0),"")</f>
        <v/>
      </c>
      <c r="H679" s="177" t="str">
        <f>IFERROR(VLOOKUP(D679,Cadastros!A:F,6,0),"")</f>
        <v/>
      </c>
      <c r="I679" s="177" t="str">
        <f>IFERROR(VLOOKUP(D679,Cadastros!A:I,9,0),"")</f>
        <v/>
      </c>
      <c r="J679" s="177" t="str">
        <f>IFERROR(VLOOKUP(D679,Cadastros!A:J,10,0),"")</f>
        <v/>
      </c>
      <c r="K679" s="177" t="str">
        <f>IF(COUNTIF(Tabela66[id],D679)=0,"",COUNTIF(Tabela66[id],D679))</f>
        <v/>
      </c>
      <c r="L679" s="198"/>
      <c r="M679" s="227" t="str">
        <f t="shared" si="50"/>
        <v/>
      </c>
      <c r="P679" s="176" t="str">
        <f>IFERROR(VLOOKUP(O679,Cadastros!A:B,2),"")</f>
        <v/>
      </c>
      <c r="Q679" s="177" t="str">
        <f t="shared" si="51"/>
        <v/>
      </c>
      <c r="R679" s="177" t="str">
        <f>IFERROR(VLOOKUP(O679,Cadastros!A:E,5,0),"")</f>
        <v/>
      </c>
      <c r="S679" s="177" t="str">
        <f>IFERROR(VLOOKUP(O679,Cadastros!A:F,6,0),"")</f>
        <v/>
      </c>
      <c r="T679" s="177" t="str">
        <f>IFERROR(VLOOKUP(O679,Cadastros!A:I,9,0),"")</f>
        <v/>
      </c>
      <c r="U679" s="177" t="str">
        <f t="shared" si="52"/>
        <v/>
      </c>
      <c r="V679" s="177" t="str">
        <f t="shared" si="53"/>
        <v/>
      </c>
      <c r="W679" s="177" t="str">
        <f t="shared" si="54"/>
        <v/>
      </c>
      <c r="Y679" s="240" t="e">
        <f t="array" ref="Y679">INDEX(Tabela.abordagens[],SMALL(IF(Tabela.abordagens[Mês]=$L$2,ROW(Tabela.abordagens[id])-2),ROW(A632)),1)</f>
        <v>#NUM!</v>
      </c>
      <c r="Z679" s="240" t="e">
        <f t="array" ref="Z679">INDEX(Tabela.abordagens[],SMALL(IF(Tabela.abordagens[Mês]=$L$2,ROW(Tabela.abordagens[Idade])-2),ROW(A632)),6)</f>
        <v>#NUM!</v>
      </c>
      <c r="AA679" s="240" t="e">
        <f t="array" ref="AA679">INDEX(Tabela.abordagens[],SMALL(IF(Tabela.abordagens[Mês]=$L$2,ROW(Tabela.abordagens[Idade])-2),ROW(A632)),4)</f>
        <v>#NUM!</v>
      </c>
      <c r="AB679" s="240" t="e">
        <f t="array" ref="AB679">INDEX(Tabela.abordagens[],SMALL(IF(Tabela.abordagens[Mês]=$L$2,ROW(Tabela.abordagens[Idade])-2),ROW(A632)),5)</f>
        <v>#NUM!</v>
      </c>
    </row>
    <row r="680" spans="2:28" ht="15" x14ac:dyDescent="0.25">
      <c r="B680" s="223" t="e">
        <f t="array" ref="B680">INDEX(Tabela.frequencia[],SMALL(IF(Tabela.frequencia[Mês]=$L$2,ROW(Tabela.frequencia[id])-1),ROW(A633)),1)</f>
        <v>#NUM!</v>
      </c>
      <c r="C680" s="229" t="e">
        <f t="array" ref="C680">INDEX(Tabela.frequencia[],SMALL(IF(Tabela.frequencia[Mês]=$L$2,ROW(Tabela.frequencia[id])-1),ROW(A633)),4)</f>
        <v>#NUM!</v>
      </c>
      <c r="E680" s="176" t="str">
        <f>IFERROR(VLOOKUP(D680,Tabela.cadastro[[ID]:[Nome]],2,0),"")</f>
        <v/>
      </c>
      <c r="F680" s="177" t="str">
        <f>IFERROR(VLOOKUP(D680,Tabela66[#All],2,0),"")</f>
        <v/>
      </c>
      <c r="G680" s="177" t="str">
        <f>IFERROR(VLOOKUP(D680,Tabela.cadastro[[ID]:[CP ou M]],5,0),"")</f>
        <v/>
      </c>
      <c r="H680" s="177" t="str">
        <f>IFERROR(VLOOKUP(D680,Cadastros!A:F,6,0),"")</f>
        <v/>
      </c>
      <c r="I680" s="177" t="str">
        <f>IFERROR(VLOOKUP(D680,Cadastros!A:I,9,0),"")</f>
        <v/>
      </c>
      <c r="J680" s="177" t="str">
        <f>IFERROR(VLOOKUP(D680,Cadastros!A:J,10,0),"")</f>
        <v/>
      </c>
      <c r="K680" s="177" t="str">
        <f>IF(COUNTIF(Tabela66[id],D680)=0,"",COUNTIF(Tabela66[id],D680))</f>
        <v/>
      </c>
      <c r="L680" s="198"/>
      <c r="M680" s="227" t="str">
        <f t="shared" si="50"/>
        <v/>
      </c>
      <c r="P680" s="176" t="str">
        <f>IFERROR(VLOOKUP(O680,Cadastros!A:B,2),"")</f>
        <v/>
      </c>
      <c r="Q680" s="177" t="str">
        <f t="shared" si="51"/>
        <v/>
      </c>
      <c r="R680" s="177" t="str">
        <f>IFERROR(VLOOKUP(O680,Cadastros!A:E,5,0),"")</f>
        <v/>
      </c>
      <c r="S680" s="177" t="str">
        <f>IFERROR(VLOOKUP(O680,Cadastros!A:F,6,0),"")</f>
        <v/>
      </c>
      <c r="T680" s="177" t="str">
        <f>IFERROR(VLOOKUP(O680,Cadastros!A:I,9,0),"")</f>
        <v/>
      </c>
      <c r="U680" s="177" t="str">
        <f t="shared" si="52"/>
        <v/>
      </c>
      <c r="V680" s="177" t="str">
        <f t="shared" si="53"/>
        <v/>
      </c>
      <c r="W680" s="177" t="str">
        <f t="shared" si="54"/>
        <v/>
      </c>
      <c r="Y680" s="240" t="e">
        <f t="array" ref="Y680">INDEX(Tabela.abordagens[],SMALL(IF(Tabela.abordagens[Mês]=$L$2,ROW(Tabela.abordagens[id])-2),ROW(A633)),1)</f>
        <v>#NUM!</v>
      </c>
      <c r="Z680" s="240" t="e">
        <f t="array" ref="Z680">INDEX(Tabela.abordagens[],SMALL(IF(Tabela.abordagens[Mês]=$L$2,ROW(Tabela.abordagens[Idade])-2),ROW(A633)),6)</f>
        <v>#NUM!</v>
      </c>
      <c r="AA680" s="240" t="e">
        <f t="array" ref="AA680">INDEX(Tabela.abordagens[],SMALL(IF(Tabela.abordagens[Mês]=$L$2,ROW(Tabela.abordagens[Idade])-2),ROW(A633)),4)</f>
        <v>#NUM!</v>
      </c>
      <c r="AB680" s="240" t="e">
        <f t="array" ref="AB680">INDEX(Tabela.abordagens[],SMALL(IF(Tabela.abordagens[Mês]=$L$2,ROW(Tabela.abordagens[Idade])-2),ROW(A633)),5)</f>
        <v>#NUM!</v>
      </c>
    </row>
    <row r="681" spans="2:28" ht="15" x14ac:dyDescent="0.25">
      <c r="B681" s="223" t="e">
        <f t="array" ref="B681">INDEX(Tabela.frequencia[],SMALL(IF(Tabela.frequencia[Mês]=$L$2,ROW(Tabela.frequencia[id])-1),ROW(A634)),1)</f>
        <v>#NUM!</v>
      </c>
      <c r="C681" s="229" t="e">
        <f t="array" ref="C681">INDEX(Tabela.frequencia[],SMALL(IF(Tabela.frequencia[Mês]=$L$2,ROW(Tabela.frequencia[id])-1),ROW(A634)),4)</f>
        <v>#NUM!</v>
      </c>
      <c r="E681" s="176" t="str">
        <f>IFERROR(VLOOKUP(D681,Tabela.cadastro[[ID]:[Nome]],2,0),"")</f>
        <v/>
      </c>
      <c r="F681" s="177" t="str">
        <f>IFERROR(VLOOKUP(D681,Tabela66[#All],2,0),"")</f>
        <v/>
      </c>
      <c r="G681" s="177" t="str">
        <f>IFERROR(VLOOKUP(D681,Tabela.cadastro[[ID]:[CP ou M]],5,0),"")</f>
        <v/>
      </c>
      <c r="H681" s="177" t="str">
        <f>IFERROR(VLOOKUP(D681,Cadastros!A:F,6,0),"")</f>
        <v/>
      </c>
      <c r="I681" s="177" t="str">
        <f>IFERROR(VLOOKUP(D681,Cadastros!A:I,9,0),"")</f>
        <v/>
      </c>
      <c r="J681" s="177" t="str">
        <f>IFERROR(VLOOKUP(D681,Cadastros!A:J,10,0),"")</f>
        <v/>
      </c>
      <c r="K681" s="177" t="str">
        <f>IF(COUNTIF(Tabela66[id],D681)=0,"",COUNTIF(Tabela66[id],D681))</f>
        <v/>
      </c>
      <c r="L681" s="198"/>
      <c r="M681" s="227" t="str">
        <f t="shared" si="50"/>
        <v/>
      </c>
      <c r="P681" s="176" t="str">
        <f>IFERROR(VLOOKUP(O681,Cadastros!A:B,2),"")</f>
        <v/>
      </c>
      <c r="Q681" s="177" t="str">
        <f t="shared" si="51"/>
        <v/>
      </c>
      <c r="R681" s="177" t="str">
        <f>IFERROR(VLOOKUP(O681,Cadastros!A:E,5,0),"")</f>
        <v/>
      </c>
      <c r="S681" s="177" t="str">
        <f>IFERROR(VLOOKUP(O681,Cadastros!A:F,6,0),"")</f>
        <v/>
      </c>
      <c r="T681" s="177" t="str">
        <f>IFERROR(VLOOKUP(O681,Cadastros!A:I,9,0),"")</f>
        <v/>
      </c>
      <c r="U681" s="177" t="str">
        <f t="shared" si="52"/>
        <v/>
      </c>
      <c r="V681" s="177" t="str">
        <f t="shared" si="53"/>
        <v/>
      </c>
      <c r="W681" s="177" t="str">
        <f t="shared" si="54"/>
        <v/>
      </c>
      <c r="Y681" s="240" t="e">
        <f t="array" ref="Y681">INDEX(Tabela.abordagens[],SMALL(IF(Tabela.abordagens[Mês]=$L$2,ROW(Tabela.abordagens[id])-2),ROW(A634)),1)</f>
        <v>#NUM!</v>
      </c>
      <c r="Z681" s="240" t="e">
        <f t="array" ref="Z681">INDEX(Tabela.abordagens[],SMALL(IF(Tabela.abordagens[Mês]=$L$2,ROW(Tabela.abordagens[Idade])-2),ROW(A634)),6)</f>
        <v>#NUM!</v>
      </c>
      <c r="AA681" s="240" t="e">
        <f t="array" ref="AA681">INDEX(Tabela.abordagens[],SMALL(IF(Tabela.abordagens[Mês]=$L$2,ROW(Tabela.abordagens[Idade])-2),ROW(A634)),4)</f>
        <v>#NUM!</v>
      </c>
      <c r="AB681" s="240" t="e">
        <f t="array" ref="AB681">INDEX(Tabela.abordagens[],SMALL(IF(Tabela.abordagens[Mês]=$L$2,ROW(Tabela.abordagens[Idade])-2),ROW(A634)),5)</f>
        <v>#NUM!</v>
      </c>
    </row>
    <row r="682" spans="2:28" ht="15" x14ac:dyDescent="0.25">
      <c r="B682" s="223" t="e">
        <f t="array" ref="B682">INDEX(Tabela.frequencia[],SMALL(IF(Tabela.frequencia[Mês]=$L$2,ROW(Tabela.frequencia[id])-1),ROW(A635)),1)</f>
        <v>#NUM!</v>
      </c>
      <c r="C682" s="229" t="e">
        <f t="array" ref="C682">INDEX(Tabela.frequencia[],SMALL(IF(Tabela.frequencia[Mês]=$L$2,ROW(Tabela.frequencia[id])-1),ROW(A635)),4)</f>
        <v>#NUM!</v>
      </c>
      <c r="E682" s="176" t="str">
        <f>IFERROR(VLOOKUP(D682,Tabela.cadastro[[ID]:[Nome]],2,0),"")</f>
        <v/>
      </c>
      <c r="F682" s="177" t="str">
        <f>IFERROR(VLOOKUP(D682,Tabela66[#All],2,0),"")</f>
        <v/>
      </c>
      <c r="G682" s="177" t="str">
        <f>IFERROR(VLOOKUP(D682,Tabela.cadastro[[ID]:[CP ou M]],5,0),"")</f>
        <v/>
      </c>
      <c r="H682" s="177" t="str">
        <f>IFERROR(VLOOKUP(D682,Cadastros!A:F,6,0),"")</f>
        <v/>
      </c>
      <c r="I682" s="177" t="str">
        <f>IFERROR(VLOOKUP(D682,Cadastros!A:I,9,0),"")</f>
        <v/>
      </c>
      <c r="J682" s="177" t="str">
        <f>IFERROR(VLOOKUP(D682,Cadastros!A:J,10,0),"")</f>
        <v/>
      </c>
      <c r="K682" s="177" t="str">
        <f>IF(COUNTIF(Tabela66[id],D682)=0,"",COUNTIF(Tabela66[id],D682))</f>
        <v/>
      </c>
      <c r="L682" s="198"/>
      <c r="M682" s="227" t="str">
        <f t="shared" ref="M682:M745" si="55">IF(AND(K682:K1513&gt;=5,L682:L1513="Não"),"*","")</f>
        <v/>
      </c>
      <c r="P682" s="176" t="str">
        <f>IFERROR(VLOOKUP(O682,Cadastros!A:B,2),"")</f>
        <v/>
      </c>
      <c r="Q682" s="177" t="str">
        <f t="shared" si="51"/>
        <v/>
      </c>
      <c r="R682" s="177" t="str">
        <f>IFERROR(VLOOKUP(O682,Cadastros!A:E,5,0),"")</f>
        <v/>
      </c>
      <c r="S682" s="177" t="str">
        <f>IFERROR(VLOOKUP(O682,Cadastros!A:F,6,0),"")</f>
        <v/>
      </c>
      <c r="T682" s="177" t="str">
        <f>IFERROR(VLOOKUP(O682,Cadastros!A:I,9,0),"")</f>
        <v/>
      </c>
      <c r="U682" s="177" t="str">
        <f t="shared" si="52"/>
        <v/>
      </c>
      <c r="V682" s="177" t="str">
        <f t="shared" si="53"/>
        <v/>
      </c>
      <c r="W682" s="177" t="str">
        <f t="shared" si="54"/>
        <v/>
      </c>
      <c r="Y682" s="240" t="e">
        <f t="array" ref="Y682">INDEX(Tabela.abordagens[],SMALL(IF(Tabela.abordagens[Mês]=$L$2,ROW(Tabela.abordagens[id])-2),ROW(A635)),1)</f>
        <v>#NUM!</v>
      </c>
      <c r="Z682" s="240" t="e">
        <f t="array" ref="Z682">INDEX(Tabela.abordagens[],SMALL(IF(Tabela.abordagens[Mês]=$L$2,ROW(Tabela.abordagens[Idade])-2),ROW(A635)),6)</f>
        <v>#NUM!</v>
      </c>
      <c r="AA682" s="240" t="e">
        <f t="array" ref="AA682">INDEX(Tabela.abordagens[],SMALL(IF(Tabela.abordagens[Mês]=$L$2,ROW(Tabela.abordagens[Idade])-2),ROW(A635)),4)</f>
        <v>#NUM!</v>
      </c>
      <c r="AB682" s="240" t="e">
        <f t="array" ref="AB682">INDEX(Tabela.abordagens[],SMALL(IF(Tabela.abordagens[Mês]=$L$2,ROW(Tabela.abordagens[Idade])-2),ROW(A635)),5)</f>
        <v>#NUM!</v>
      </c>
    </row>
    <row r="683" spans="2:28" ht="15" x14ac:dyDescent="0.25">
      <c r="B683" s="223" t="e">
        <f t="array" ref="B683">INDEX(Tabela.frequencia[],SMALL(IF(Tabela.frequencia[Mês]=$L$2,ROW(Tabela.frequencia[id])-1),ROW(A636)),1)</f>
        <v>#NUM!</v>
      </c>
      <c r="C683" s="229" t="e">
        <f t="array" ref="C683">INDEX(Tabela.frequencia[],SMALL(IF(Tabela.frequencia[Mês]=$L$2,ROW(Tabela.frequencia[id])-1),ROW(A636)),4)</f>
        <v>#NUM!</v>
      </c>
      <c r="E683" s="176" t="str">
        <f>IFERROR(VLOOKUP(D683,Tabela.cadastro[[ID]:[Nome]],2,0),"")</f>
        <v/>
      </c>
      <c r="F683" s="177" t="str">
        <f>IFERROR(VLOOKUP(D683,Tabela66[#All],2,0),"")</f>
        <v/>
      </c>
      <c r="G683" s="177" t="str">
        <f>IFERROR(VLOOKUP(D683,Tabela.cadastro[[ID]:[CP ou M]],5,0),"")</f>
        <v/>
      </c>
      <c r="H683" s="177" t="str">
        <f>IFERROR(VLOOKUP(D683,Cadastros!A:F,6,0),"")</f>
        <v/>
      </c>
      <c r="I683" s="177" t="str">
        <f>IFERROR(VLOOKUP(D683,Cadastros!A:I,9,0),"")</f>
        <v/>
      </c>
      <c r="J683" s="177" t="str">
        <f>IFERROR(VLOOKUP(D683,Cadastros!A:J,10,0),"")</f>
        <v/>
      </c>
      <c r="K683" s="177" t="str">
        <f>IF(COUNTIF(Tabela66[id],D683)=0,"",COUNTIF(Tabela66[id],D683))</f>
        <v/>
      </c>
      <c r="L683" s="198"/>
      <c r="M683" s="227" t="str">
        <f t="shared" si="55"/>
        <v/>
      </c>
      <c r="P683" s="176" t="str">
        <f>IFERROR(VLOOKUP(O683,Cadastros!A:B,2),"")</f>
        <v/>
      </c>
      <c r="Q683" s="177" t="str">
        <f t="shared" si="51"/>
        <v/>
      </c>
      <c r="R683" s="177" t="str">
        <f>IFERROR(VLOOKUP(O683,Cadastros!A:E,5,0),"")</f>
        <v/>
      </c>
      <c r="S683" s="177" t="str">
        <f>IFERROR(VLOOKUP(O683,Cadastros!A:F,6,0),"")</f>
        <v/>
      </c>
      <c r="T683" s="177" t="str">
        <f>IFERROR(VLOOKUP(O683,Cadastros!A:I,9,0),"")</f>
        <v/>
      </c>
      <c r="U683" s="177" t="str">
        <f t="shared" si="52"/>
        <v/>
      </c>
      <c r="V683" s="177" t="str">
        <f t="shared" si="53"/>
        <v/>
      </c>
      <c r="W683" s="177" t="str">
        <f t="shared" si="54"/>
        <v/>
      </c>
      <c r="Y683" s="240" t="e">
        <f t="array" ref="Y683">INDEX(Tabela.abordagens[],SMALL(IF(Tabela.abordagens[Mês]=$L$2,ROW(Tabela.abordagens[id])-2),ROW(A636)),1)</f>
        <v>#NUM!</v>
      </c>
      <c r="Z683" s="240" t="e">
        <f t="array" ref="Z683">INDEX(Tabela.abordagens[],SMALL(IF(Tabela.abordagens[Mês]=$L$2,ROW(Tabela.abordagens[Idade])-2),ROW(A636)),6)</f>
        <v>#NUM!</v>
      </c>
      <c r="AA683" s="240" t="e">
        <f t="array" ref="AA683">INDEX(Tabela.abordagens[],SMALL(IF(Tabela.abordagens[Mês]=$L$2,ROW(Tabela.abordagens[Idade])-2),ROW(A636)),4)</f>
        <v>#NUM!</v>
      </c>
      <c r="AB683" s="240" t="e">
        <f t="array" ref="AB683">INDEX(Tabela.abordagens[],SMALL(IF(Tabela.abordagens[Mês]=$L$2,ROW(Tabela.abordagens[Idade])-2),ROW(A636)),5)</f>
        <v>#NUM!</v>
      </c>
    </row>
    <row r="684" spans="2:28" ht="15" x14ac:dyDescent="0.25">
      <c r="B684" s="223" t="e">
        <f t="array" ref="B684">INDEX(Tabela.frequencia[],SMALL(IF(Tabela.frequencia[Mês]=$L$2,ROW(Tabela.frequencia[id])-1),ROW(A637)),1)</f>
        <v>#NUM!</v>
      </c>
      <c r="C684" s="229" t="e">
        <f t="array" ref="C684">INDEX(Tabela.frequencia[],SMALL(IF(Tabela.frequencia[Mês]=$L$2,ROW(Tabela.frequencia[id])-1),ROW(A637)),4)</f>
        <v>#NUM!</v>
      </c>
      <c r="E684" s="176" t="str">
        <f>IFERROR(VLOOKUP(D684,Tabela.cadastro[[ID]:[Nome]],2,0),"")</f>
        <v/>
      </c>
      <c r="F684" s="177" t="str">
        <f>IFERROR(VLOOKUP(D684,Tabela66[#All],2,0),"")</f>
        <v/>
      </c>
      <c r="G684" s="177" t="str">
        <f>IFERROR(VLOOKUP(D684,Tabela.cadastro[[ID]:[CP ou M]],5,0),"")</f>
        <v/>
      </c>
      <c r="H684" s="177" t="str">
        <f>IFERROR(VLOOKUP(D684,Cadastros!A:F,6,0),"")</f>
        <v/>
      </c>
      <c r="I684" s="177" t="str">
        <f>IFERROR(VLOOKUP(D684,Cadastros!A:I,9,0),"")</f>
        <v/>
      </c>
      <c r="J684" s="177" t="str">
        <f>IFERROR(VLOOKUP(D684,Cadastros!A:J,10,0),"")</f>
        <v/>
      </c>
      <c r="K684" s="177" t="str">
        <f>IF(COUNTIF(Tabela66[id],D684)=0,"",COUNTIF(Tabela66[id],D684))</f>
        <v/>
      </c>
      <c r="L684" s="198"/>
      <c r="M684" s="227" t="str">
        <f t="shared" si="55"/>
        <v/>
      </c>
      <c r="P684" s="176" t="str">
        <f>IFERROR(VLOOKUP(O684,Cadastros!A:B,2),"")</f>
        <v/>
      </c>
      <c r="Q684" s="177" t="str">
        <f t="shared" si="51"/>
        <v/>
      </c>
      <c r="R684" s="177" t="str">
        <f>IFERROR(VLOOKUP(O684,Cadastros!A:E,5,0),"")</f>
        <v/>
      </c>
      <c r="S684" s="177" t="str">
        <f>IFERROR(VLOOKUP(O684,Cadastros!A:F,6,0),"")</f>
        <v/>
      </c>
      <c r="T684" s="177" t="str">
        <f>IFERROR(VLOOKUP(O684,Cadastros!A:I,9,0),"")</f>
        <v/>
      </c>
      <c r="U684" s="177" t="str">
        <f t="shared" si="52"/>
        <v/>
      </c>
      <c r="V684" s="177" t="str">
        <f t="shared" si="53"/>
        <v/>
      </c>
      <c r="W684" s="177" t="str">
        <f t="shared" si="54"/>
        <v/>
      </c>
      <c r="Y684" s="240" t="e">
        <f t="array" ref="Y684">INDEX(Tabela.abordagens[],SMALL(IF(Tabela.abordagens[Mês]=$L$2,ROW(Tabela.abordagens[id])-2),ROW(A637)),1)</f>
        <v>#NUM!</v>
      </c>
      <c r="Z684" s="240" t="e">
        <f t="array" ref="Z684">INDEX(Tabela.abordagens[],SMALL(IF(Tabela.abordagens[Mês]=$L$2,ROW(Tabela.abordagens[Idade])-2),ROW(A637)),6)</f>
        <v>#NUM!</v>
      </c>
      <c r="AA684" s="240" t="e">
        <f t="array" ref="AA684">INDEX(Tabela.abordagens[],SMALL(IF(Tabela.abordagens[Mês]=$L$2,ROW(Tabela.abordagens[Idade])-2),ROW(A637)),4)</f>
        <v>#NUM!</v>
      </c>
      <c r="AB684" s="240" t="e">
        <f t="array" ref="AB684">INDEX(Tabela.abordagens[],SMALL(IF(Tabela.abordagens[Mês]=$L$2,ROW(Tabela.abordagens[Idade])-2),ROW(A637)),5)</f>
        <v>#NUM!</v>
      </c>
    </row>
    <row r="685" spans="2:28" ht="15" x14ac:dyDescent="0.25">
      <c r="B685" s="223" t="e">
        <f t="array" ref="B685">INDEX(Tabela.frequencia[],SMALL(IF(Tabela.frequencia[Mês]=$L$2,ROW(Tabela.frequencia[id])-1),ROW(A638)),1)</f>
        <v>#NUM!</v>
      </c>
      <c r="C685" s="229" t="e">
        <f t="array" ref="C685">INDEX(Tabela.frequencia[],SMALL(IF(Tabela.frequencia[Mês]=$L$2,ROW(Tabela.frequencia[id])-1),ROW(A638)),4)</f>
        <v>#NUM!</v>
      </c>
      <c r="E685" s="176" t="str">
        <f>IFERROR(VLOOKUP(D685,Tabela.cadastro[[ID]:[Nome]],2,0),"")</f>
        <v/>
      </c>
      <c r="F685" s="177" t="str">
        <f>IFERROR(VLOOKUP(D685,Tabela66[#All],2,0),"")</f>
        <v/>
      </c>
      <c r="G685" s="177" t="str">
        <f>IFERROR(VLOOKUP(D685,Tabela.cadastro[[ID]:[CP ou M]],5,0),"")</f>
        <v/>
      </c>
      <c r="H685" s="177" t="str">
        <f>IFERROR(VLOOKUP(D685,Cadastros!A:F,6,0),"")</f>
        <v/>
      </c>
      <c r="I685" s="177" t="str">
        <f>IFERROR(VLOOKUP(D685,Cadastros!A:I,9,0),"")</f>
        <v/>
      </c>
      <c r="J685" s="177" t="str">
        <f>IFERROR(VLOOKUP(D685,Cadastros!A:J,10,0),"")</f>
        <v/>
      </c>
      <c r="K685" s="177" t="str">
        <f>IF(COUNTIF(Tabela66[id],D685)=0,"",COUNTIF(Tabela66[id],D685))</f>
        <v/>
      </c>
      <c r="L685" s="198"/>
      <c r="M685" s="227" t="str">
        <f t="shared" si="55"/>
        <v/>
      </c>
      <c r="P685" s="176" t="str">
        <f>IFERROR(VLOOKUP(O685,Cadastros!A:B,2),"")</f>
        <v/>
      </c>
      <c r="Q685" s="177" t="str">
        <f t="shared" si="51"/>
        <v/>
      </c>
      <c r="R685" s="177" t="str">
        <f>IFERROR(VLOOKUP(O685,Cadastros!A:E,5,0),"")</f>
        <v/>
      </c>
      <c r="S685" s="177" t="str">
        <f>IFERROR(VLOOKUP(O685,Cadastros!A:F,6,0),"")</f>
        <v/>
      </c>
      <c r="T685" s="177" t="str">
        <f>IFERROR(VLOOKUP(O685,Cadastros!A:I,9,0),"")</f>
        <v/>
      </c>
      <c r="U685" s="177" t="str">
        <f t="shared" si="52"/>
        <v/>
      </c>
      <c r="V685" s="177" t="str">
        <f t="shared" si="53"/>
        <v/>
      </c>
      <c r="W685" s="177" t="str">
        <f t="shared" si="54"/>
        <v/>
      </c>
      <c r="Y685" s="240" t="e">
        <f t="array" ref="Y685">INDEX(Tabela.abordagens[],SMALL(IF(Tabela.abordagens[Mês]=$L$2,ROW(Tabela.abordagens[id])-2),ROW(A638)),1)</f>
        <v>#NUM!</v>
      </c>
      <c r="Z685" s="240" t="e">
        <f t="array" ref="Z685">INDEX(Tabela.abordagens[],SMALL(IF(Tabela.abordagens[Mês]=$L$2,ROW(Tabela.abordagens[Idade])-2),ROW(A638)),6)</f>
        <v>#NUM!</v>
      </c>
      <c r="AA685" s="240" t="e">
        <f t="array" ref="AA685">INDEX(Tabela.abordagens[],SMALL(IF(Tabela.abordagens[Mês]=$L$2,ROW(Tabela.abordagens[Idade])-2),ROW(A638)),4)</f>
        <v>#NUM!</v>
      </c>
      <c r="AB685" s="240" t="e">
        <f t="array" ref="AB685">INDEX(Tabela.abordagens[],SMALL(IF(Tabela.abordagens[Mês]=$L$2,ROW(Tabela.abordagens[Idade])-2),ROW(A638)),5)</f>
        <v>#NUM!</v>
      </c>
    </row>
    <row r="686" spans="2:28" ht="15" x14ac:dyDescent="0.25">
      <c r="B686" s="223" t="e">
        <f t="array" ref="B686">INDEX(Tabela.frequencia[],SMALL(IF(Tabela.frequencia[Mês]=$L$2,ROW(Tabela.frequencia[id])-1),ROW(A639)),1)</f>
        <v>#NUM!</v>
      </c>
      <c r="C686" s="229" t="e">
        <f t="array" ref="C686">INDEX(Tabela.frequencia[],SMALL(IF(Tabela.frequencia[Mês]=$L$2,ROW(Tabela.frequencia[id])-1),ROW(A639)),4)</f>
        <v>#NUM!</v>
      </c>
      <c r="E686" s="176" t="str">
        <f>IFERROR(VLOOKUP(D686,Tabela.cadastro[[ID]:[Nome]],2,0),"")</f>
        <v/>
      </c>
      <c r="F686" s="177" t="str">
        <f>IFERROR(VLOOKUP(D686,Tabela66[#All],2,0),"")</f>
        <v/>
      </c>
      <c r="G686" s="177" t="str">
        <f>IFERROR(VLOOKUP(D686,Tabela.cadastro[[ID]:[CP ou M]],5,0),"")</f>
        <v/>
      </c>
      <c r="H686" s="177" t="str">
        <f>IFERROR(VLOOKUP(D686,Cadastros!A:F,6,0),"")</f>
        <v/>
      </c>
      <c r="I686" s="177" t="str">
        <f>IFERROR(VLOOKUP(D686,Cadastros!A:I,9,0),"")</f>
        <v/>
      </c>
      <c r="J686" s="177" t="str">
        <f>IFERROR(VLOOKUP(D686,Cadastros!A:J,10,0),"")</f>
        <v/>
      </c>
      <c r="K686" s="177" t="str">
        <f>IF(COUNTIF(Tabela66[id],D686)=0,"",COUNTIF(Tabela66[id],D686))</f>
        <v/>
      </c>
      <c r="L686" s="198"/>
      <c r="M686" s="227" t="str">
        <f t="shared" si="55"/>
        <v/>
      </c>
      <c r="P686" s="176" t="str">
        <f>IFERROR(VLOOKUP(O686,Cadastros!A:B,2),"")</f>
        <v/>
      </c>
      <c r="Q686" s="177" t="str">
        <f t="shared" si="51"/>
        <v/>
      </c>
      <c r="R686" s="177" t="str">
        <f>IFERROR(VLOOKUP(O686,Cadastros!A:E,5,0),"")</f>
        <v/>
      </c>
      <c r="S686" s="177" t="str">
        <f>IFERROR(VLOOKUP(O686,Cadastros!A:F,6,0),"")</f>
        <v/>
      </c>
      <c r="T686" s="177" t="str">
        <f>IFERROR(VLOOKUP(O686,Cadastros!A:I,9,0),"")</f>
        <v/>
      </c>
      <c r="U686" s="177" t="str">
        <f t="shared" si="52"/>
        <v/>
      </c>
      <c r="V686" s="177" t="str">
        <f t="shared" si="53"/>
        <v/>
      </c>
      <c r="W686" s="177" t="str">
        <f t="shared" si="54"/>
        <v/>
      </c>
      <c r="Y686" s="240" t="e">
        <f t="array" ref="Y686">INDEX(Tabela.abordagens[],SMALL(IF(Tabela.abordagens[Mês]=$L$2,ROW(Tabela.abordagens[id])-2),ROW(A639)),1)</f>
        <v>#NUM!</v>
      </c>
      <c r="Z686" s="240" t="e">
        <f t="array" ref="Z686">INDEX(Tabela.abordagens[],SMALL(IF(Tabela.abordagens[Mês]=$L$2,ROW(Tabela.abordagens[Idade])-2),ROW(A639)),6)</f>
        <v>#NUM!</v>
      </c>
      <c r="AA686" s="240" t="e">
        <f t="array" ref="AA686">INDEX(Tabela.abordagens[],SMALL(IF(Tabela.abordagens[Mês]=$L$2,ROW(Tabela.abordagens[Idade])-2),ROW(A639)),4)</f>
        <v>#NUM!</v>
      </c>
      <c r="AB686" s="240" t="e">
        <f t="array" ref="AB686">INDEX(Tabela.abordagens[],SMALL(IF(Tabela.abordagens[Mês]=$L$2,ROW(Tabela.abordagens[Idade])-2),ROW(A639)),5)</f>
        <v>#NUM!</v>
      </c>
    </row>
    <row r="687" spans="2:28" ht="15" x14ac:dyDescent="0.25">
      <c r="B687" s="223" t="e">
        <f t="array" ref="B687">INDEX(Tabela.frequencia[],SMALL(IF(Tabela.frequencia[Mês]=$L$2,ROW(Tabela.frequencia[id])-1),ROW(A640)),1)</f>
        <v>#NUM!</v>
      </c>
      <c r="C687" s="229" t="e">
        <f t="array" ref="C687">INDEX(Tabela.frequencia[],SMALL(IF(Tabela.frequencia[Mês]=$L$2,ROW(Tabela.frequencia[id])-1),ROW(A640)),4)</f>
        <v>#NUM!</v>
      </c>
      <c r="E687" s="176" t="str">
        <f>IFERROR(VLOOKUP(D687,Tabela.cadastro[[ID]:[Nome]],2,0),"")</f>
        <v/>
      </c>
      <c r="F687" s="177" t="str">
        <f>IFERROR(VLOOKUP(D687,Tabela66[#All],2,0),"")</f>
        <v/>
      </c>
      <c r="G687" s="177" t="str">
        <f>IFERROR(VLOOKUP(D687,Tabela.cadastro[[ID]:[CP ou M]],5,0),"")</f>
        <v/>
      </c>
      <c r="H687" s="177" t="str">
        <f>IFERROR(VLOOKUP(D687,Cadastros!A:F,6,0),"")</f>
        <v/>
      </c>
      <c r="I687" s="177" t="str">
        <f>IFERROR(VLOOKUP(D687,Cadastros!A:I,9,0),"")</f>
        <v/>
      </c>
      <c r="J687" s="177" t="str">
        <f>IFERROR(VLOOKUP(D687,Cadastros!A:J,10,0),"")</f>
        <v/>
      </c>
      <c r="K687" s="177" t="str">
        <f>IF(COUNTIF(Tabela66[id],D687)=0,"",COUNTIF(Tabela66[id],D687))</f>
        <v/>
      </c>
      <c r="L687" s="198"/>
      <c r="M687" s="227" t="str">
        <f t="shared" si="55"/>
        <v/>
      </c>
      <c r="P687" s="176" t="str">
        <f>IFERROR(VLOOKUP(O687,Cadastros!A:B,2),"")</f>
        <v/>
      </c>
      <c r="Q687" s="177" t="str">
        <f t="shared" si="51"/>
        <v/>
      </c>
      <c r="R687" s="177" t="str">
        <f>IFERROR(VLOOKUP(O687,Cadastros!A:E,5,0),"")</f>
        <v/>
      </c>
      <c r="S687" s="177" t="str">
        <f>IFERROR(VLOOKUP(O687,Cadastros!A:F,6,0),"")</f>
        <v/>
      </c>
      <c r="T687" s="177" t="str">
        <f>IFERROR(VLOOKUP(O687,Cadastros!A:I,9,0),"")</f>
        <v/>
      </c>
      <c r="U687" s="177" t="str">
        <f t="shared" si="52"/>
        <v/>
      </c>
      <c r="V687" s="177" t="str">
        <f t="shared" si="53"/>
        <v/>
      </c>
      <c r="W687" s="177" t="str">
        <f t="shared" si="54"/>
        <v/>
      </c>
      <c r="Y687" s="240" t="e">
        <f t="array" ref="Y687">INDEX(Tabela.abordagens[],SMALL(IF(Tabela.abordagens[Mês]=$L$2,ROW(Tabela.abordagens[id])-2),ROW(A640)),1)</f>
        <v>#NUM!</v>
      </c>
      <c r="Z687" s="240" t="e">
        <f t="array" ref="Z687">INDEX(Tabela.abordagens[],SMALL(IF(Tabela.abordagens[Mês]=$L$2,ROW(Tabela.abordagens[Idade])-2),ROW(A640)),6)</f>
        <v>#NUM!</v>
      </c>
      <c r="AA687" s="240" t="e">
        <f t="array" ref="AA687">INDEX(Tabela.abordagens[],SMALL(IF(Tabela.abordagens[Mês]=$L$2,ROW(Tabela.abordagens[Idade])-2),ROW(A640)),4)</f>
        <v>#NUM!</v>
      </c>
      <c r="AB687" s="240" t="e">
        <f t="array" ref="AB687">INDEX(Tabela.abordagens[],SMALL(IF(Tabela.abordagens[Mês]=$L$2,ROW(Tabela.abordagens[Idade])-2),ROW(A640)),5)</f>
        <v>#NUM!</v>
      </c>
    </row>
    <row r="688" spans="2:28" ht="15" x14ac:dyDescent="0.25">
      <c r="B688" s="223" t="e">
        <f t="array" ref="B688">INDEX(Tabela.frequencia[],SMALL(IF(Tabela.frequencia[Mês]=$L$2,ROW(Tabela.frequencia[id])-1),ROW(A641)),1)</f>
        <v>#NUM!</v>
      </c>
      <c r="C688" s="229" t="e">
        <f t="array" ref="C688">INDEX(Tabela.frequencia[],SMALL(IF(Tabela.frequencia[Mês]=$L$2,ROW(Tabela.frequencia[id])-1),ROW(A641)),4)</f>
        <v>#NUM!</v>
      </c>
      <c r="E688" s="176" t="str">
        <f>IFERROR(VLOOKUP(D688,Tabela.cadastro[[ID]:[Nome]],2,0),"")</f>
        <v/>
      </c>
      <c r="F688" s="177" t="str">
        <f>IFERROR(VLOOKUP(D688,Tabela66[#All],2,0),"")</f>
        <v/>
      </c>
      <c r="G688" s="177" t="str">
        <f>IFERROR(VLOOKUP(D688,Tabela.cadastro[[ID]:[CP ou M]],5,0),"")</f>
        <v/>
      </c>
      <c r="H688" s="177" t="str">
        <f>IFERROR(VLOOKUP(D688,Cadastros!A:F,6,0),"")</f>
        <v/>
      </c>
      <c r="I688" s="177" t="str">
        <f>IFERROR(VLOOKUP(D688,Cadastros!A:I,9,0),"")</f>
        <v/>
      </c>
      <c r="J688" s="177" t="str">
        <f>IFERROR(VLOOKUP(D688,Cadastros!A:J,10,0),"")</f>
        <v/>
      </c>
      <c r="K688" s="177" t="str">
        <f>IF(COUNTIF(Tabela66[id],D688)=0,"",COUNTIF(Tabela66[id],D688))</f>
        <v/>
      </c>
      <c r="L688" s="198"/>
      <c r="M688" s="227" t="str">
        <f t="shared" si="55"/>
        <v/>
      </c>
      <c r="P688" s="176" t="str">
        <f>IFERROR(VLOOKUP(O688,Cadastros!A:B,2),"")</f>
        <v/>
      </c>
      <c r="Q688" s="177" t="str">
        <f t="shared" si="51"/>
        <v/>
      </c>
      <c r="R688" s="177" t="str">
        <f>IFERROR(VLOOKUP(O688,Cadastros!A:E,5,0),"")</f>
        <v/>
      </c>
      <c r="S688" s="177" t="str">
        <f>IFERROR(VLOOKUP(O688,Cadastros!A:F,6,0),"")</f>
        <v/>
      </c>
      <c r="T688" s="177" t="str">
        <f>IFERROR(VLOOKUP(O688,Cadastros!A:I,9,0),"")</f>
        <v/>
      </c>
      <c r="U688" s="177" t="str">
        <f t="shared" si="52"/>
        <v/>
      </c>
      <c r="V688" s="177" t="str">
        <f t="shared" si="53"/>
        <v/>
      </c>
      <c r="W688" s="177" t="str">
        <f t="shared" si="54"/>
        <v/>
      </c>
      <c r="Y688" s="240" t="e">
        <f t="array" ref="Y688">INDEX(Tabela.abordagens[],SMALL(IF(Tabela.abordagens[Mês]=$L$2,ROW(Tabela.abordagens[id])-2),ROW(A641)),1)</f>
        <v>#NUM!</v>
      </c>
      <c r="Z688" s="240" t="e">
        <f t="array" ref="Z688">INDEX(Tabela.abordagens[],SMALL(IF(Tabela.abordagens[Mês]=$L$2,ROW(Tabela.abordagens[Idade])-2),ROW(A641)),6)</f>
        <v>#NUM!</v>
      </c>
      <c r="AA688" s="240" t="e">
        <f t="array" ref="AA688">INDEX(Tabela.abordagens[],SMALL(IF(Tabela.abordagens[Mês]=$L$2,ROW(Tabela.abordagens[Idade])-2),ROW(A641)),4)</f>
        <v>#NUM!</v>
      </c>
      <c r="AB688" s="240" t="e">
        <f t="array" ref="AB688">INDEX(Tabela.abordagens[],SMALL(IF(Tabela.abordagens[Mês]=$L$2,ROW(Tabela.abordagens[Idade])-2),ROW(A641)),5)</f>
        <v>#NUM!</v>
      </c>
    </row>
    <row r="689" spans="2:28" ht="15" x14ac:dyDescent="0.25">
      <c r="B689" s="223" t="e">
        <f t="array" ref="B689">INDEX(Tabela.frequencia[],SMALL(IF(Tabela.frequencia[Mês]=$L$2,ROW(Tabela.frequencia[id])-1),ROW(A642)),1)</f>
        <v>#NUM!</v>
      </c>
      <c r="C689" s="229" t="e">
        <f t="array" ref="C689">INDEX(Tabela.frequencia[],SMALL(IF(Tabela.frequencia[Mês]=$L$2,ROW(Tabela.frequencia[id])-1),ROW(A642)),4)</f>
        <v>#NUM!</v>
      </c>
      <c r="E689" s="176" t="str">
        <f>IFERROR(VLOOKUP(D689,Tabela.cadastro[[ID]:[Nome]],2,0),"")</f>
        <v/>
      </c>
      <c r="F689" s="177" t="str">
        <f>IFERROR(VLOOKUP(D689,Tabela66[#All],2,0),"")</f>
        <v/>
      </c>
      <c r="G689" s="177" t="str">
        <f>IFERROR(VLOOKUP(D689,Tabela.cadastro[[ID]:[CP ou M]],5,0),"")</f>
        <v/>
      </c>
      <c r="H689" s="177" t="str">
        <f>IFERROR(VLOOKUP(D689,Cadastros!A:F,6,0),"")</f>
        <v/>
      </c>
      <c r="I689" s="177" t="str">
        <f>IFERROR(VLOOKUP(D689,Cadastros!A:I,9,0),"")</f>
        <v/>
      </c>
      <c r="J689" s="177" t="str">
        <f>IFERROR(VLOOKUP(D689,Cadastros!A:J,10,0),"")</f>
        <v/>
      </c>
      <c r="K689" s="177" t="str">
        <f>IF(COUNTIF(Tabela66[id],D689)=0,"",COUNTIF(Tabela66[id],D689))</f>
        <v/>
      </c>
      <c r="L689" s="198"/>
      <c r="M689" s="227" t="str">
        <f t="shared" si="55"/>
        <v/>
      </c>
      <c r="P689" s="176" t="str">
        <f>IFERROR(VLOOKUP(O689,Cadastros!A:B,2),"")</f>
        <v/>
      </c>
      <c r="Q689" s="177" t="str">
        <f t="shared" si="51"/>
        <v/>
      </c>
      <c r="R689" s="177" t="str">
        <f>IFERROR(VLOOKUP(O689,Cadastros!A:E,5,0),"")</f>
        <v/>
      </c>
      <c r="S689" s="177" t="str">
        <f>IFERROR(VLOOKUP(O689,Cadastros!A:F,6,0),"")</f>
        <v/>
      </c>
      <c r="T689" s="177" t="str">
        <f>IFERROR(VLOOKUP(O689,Cadastros!A:I,9,0),"")</f>
        <v/>
      </c>
      <c r="U689" s="177" t="str">
        <f t="shared" si="52"/>
        <v/>
      </c>
      <c r="V689" s="177" t="str">
        <f t="shared" si="53"/>
        <v/>
      </c>
      <c r="W689" s="177" t="str">
        <f t="shared" si="54"/>
        <v/>
      </c>
      <c r="Y689" s="240" t="e">
        <f t="array" ref="Y689">INDEX(Tabela.abordagens[],SMALL(IF(Tabela.abordagens[Mês]=$L$2,ROW(Tabela.abordagens[id])-2),ROW(A642)),1)</f>
        <v>#NUM!</v>
      </c>
      <c r="Z689" s="240" t="e">
        <f t="array" ref="Z689">INDEX(Tabela.abordagens[],SMALL(IF(Tabela.abordagens[Mês]=$L$2,ROW(Tabela.abordagens[Idade])-2),ROW(A642)),6)</f>
        <v>#NUM!</v>
      </c>
      <c r="AA689" s="240" t="e">
        <f t="array" ref="AA689">INDEX(Tabela.abordagens[],SMALL(IF(Tabela.abordagens[Mês]=$L$2,ROW(Tabela.abordagens[Idade])-2),ROW(A642)),4)</f>
        <v>#NUM!</v>
      </c>
      <c r="AB689" s="240" t="e">
        <f t="array" ref="AB689">INDEX(Tabela.abordagens[],SMALL(IF(Tabela.abordagens[Mês]=$L$2,ROW(Tabela.abordagens[Idade])-2),ROW(A642)),5)</f>
        <v>#NUM!</v>
      </c>
    </row>
    <row r="690" spans="2:28" ht="15" x14ac:dyDescent="0.25">
      <c r="B690" s="223" t="e">
        <f t="array" ref="B690">INDEX(Tabela.frequencia[],SMALL(IF(Tabela.frequencia[Mês]=$L$2,ROW(Tabela.frequencia[id])-1),ROW(A643)),1)</f>
        <v>#NUM!</v>
      </c>
      <c r="C690" s="229" t="e">
        <f t="array" ref="C690">INDEX(Tabela.frequencia[],SMALL(IF(Tabela.frequencia[Mês]=$L$2,ROW(Tabela.frequencia[id])-1),ROW(A643)),4)</f>
        <v>#NUM!</v>
      </c>
      <c r="E690" s="176" t="str">
        <f>IFERROR(VLOOKUP(D690,Tabela.cadastro[[ID]:[Nome]],2,0),"")</f>
        <v/>
      </c>
      <c r="F690" s="177" t="str">
        <f>IFERROR(VLOOKUP(D690,Tabela66[#All],2,0),"")</f>
        <v/>
      </c>
      <c r="G690" s="177" t="str">
        <f>IFERROR(VLOOKUP(D690,Tabela.cadastro[[ID]:[CP ou M]],5,0),"")</f>
        <v/>
      </c>
      <c r="H690" s="177" t="str">
        <f>IFERROR(VLOOKUP(D690,Cadastros!A:F,6,0),"")</f>
        <v/>
      </c>
      <c r="I690" s="177" t="str">
        <f>IFERROR(VLOOKUP(D690,Cadastros!A:I,9,0),"")</f>
        <v/>
      </c>
      <c r="J690" s="177" t="str">
        <f>IFERROR(VLOOKUP(D690,Cadastros!A:J,10,0),"")</f>
        <v/>
      </c>
      <c r="K690" s="177" t="str">
        <f>IF(COUNTIF(Tabela66[id],D690)=0,"",COUNTIF(Tabela66[id],D690))</f>
        <v/>
      </c>
      <c r="L690" s="198"/>
      <c r="M690" s="227" t="str">
        <f t="shared" si="55"/>
        <v/>
      </c>
      <c r="P690" s="176" t="str">
        <f>IFERROR(VLOOKUP(O690,Cadastros!A:B,2),"")</f>
        <v/>
      </c>
      <c r="Q690" s="177" t="str">
        <f t="shared" si="51"/>
        <v/>
      </c>
      <c r="R690" s="177" t="str">
        <f>IFERROR(VLOOKUP(O690,Cadastros!A:E,5,0),"")</f>
        <v/>
      </c>
      <c r="S690" s="177" t="str">
        <f>IFERROR(VLOOKUP(O690,Cadastros!A:F,6,0),"")</f>
        <v/>
      </c>
      <c r="T690" s="177" t="str">
        <f>IFERROR(VLOOKUP(O690,Cadastros!A:I,9,0),"")</f>
        <v/>
      </c>
      <c r="U690" s="177" t="str">
        <f t="shared" si="52"/>
        <v/>
      </c>
      <c r="V690" s="177" t="str">
        <f t="shared" si="53"/>
        <v/>
      </c>
      <c r="W690" s="177" t="str">
        <f t="shared" si="54"/>
        <v/>
      </c>
      <c r="Y690" s="240" t="e">
        <f t="array" ref="Y690">INDEX(Tabela.abordagens[],SMALL(IF(Tabela.abordagens[Mês]=$L$2,ROW(Tabela.abordagens[id])-2),ROW(A643)),1)</f>
        <v>#NUM!</v>
      </c>
      <c r="Z690" s="240" t="e">
        <f t="array" ref="Z690">INDEX(Tabela.abordagens[],SMALL(IF(Tabela.abordagens[Mês]=$L$2,ROW(Tabela.abordagens[Idade])-2),ROW(A643)),6)</f>
        <v>#NUM!</v>
      </c>
      <c r="AA690" s="240" t="e">
        <f t="array" ref="AA690">INDEX(Tabela.abordagens[],SMALL(IF(Tabela.abordagens[Mês]=$L$2,ROW(Tabela.abordagens[Idade])-2),ROW(A643)),4)</f>
        <v>#NUM!</v>
      </c>
      <c r="AB690" s="240" t="e">
        <f t="array" ref="AB690">INDEX(Tabela.abordagens[],SMALL(IF(Tabela.abordagens[Mês]=$L$2,ROW(Tabela.abordagens[Idade])-2),ROW(A643)),5)</f>
        <v>#NUM!</v>
      </c>
    </row>
    <row r="691" spans="2:28" ht="15" x14ac:dyDescent="0.25">
      <c r="B691" s="223" t="e">
        <f t="array" ref="B691">INDEX(Tabela.frequencia[],SMALL(IF(Tabela.frequencia[Mês]=$L$2,ROW(Tabela.frequencia[id])-1),ROW(A644)),1)</f>
        <v>#NUM!</v>
      </c>
      <c r="C691" s="229" t="e">
        <f t="array" ref="C691">INDEX(Tabela.frequencia[],SMALL(IF(Tabela.frequencia[Mês]=$L$2,ROW(Tabela.frequencia[id])-1),ROW(A644)),4)</f>
        <v>#NUM!</v>
      </c>
      <c r="E691" s="176" t="str">
        <f>IFERROR(VLOOKUP(D691,Tabela.cadastro[[ID]:[Nome]],2,0),"")</f>
        <v/>
      </c>
      <c r="F691" s="177" t="str">
        <f>IFERROR(VLOOKUP(D691,Tabela66[#All],2,0),"")</f>
        <v/>
      </c>
      <c r="G691" s="177" t="str">
        <f>IFERROR(VLOOKUP(D691,Tabela.cadastro[[ID]:[CP ou M]],5,0),"")</f>
        <v/>
      </c>
      <c r="H691" s="177" t="str">
        <f>IFERROR(VLOOKUP(D691,Cadastros!A:F,6,0),"")</f>
        <v/>
      </c>
      <c r="I691" s="177" t="str">
        <f>IFERROR(VLOOKUP(D691,Cadastros!A:I,9,0),"")</f>
        <v/>
      </c>
      <c r="J691" s="177" t="str">
        <f>IFERROR(VLOOKUP(D691,Cadastros!A:J,10,0),"")</f>
        <v/>
      </c>
      <c r="K691" s="177" t="str">
        <f>IF(COUNTIF(Tabela66[id],D691)=0,"",COUNTIF(Tabela66[id],D691))</f>
        <v/>
      </c>
      <c r="L691" s="198"/>
      <c r="M691" s="227" t="str">
        <f t="shared" si="55"/>
        <v/>
      </c>
      <c r="P691" s="176" t="str">
        <f>IFERROR(VLOOKUP(O691,Cadastros!A:B,2),"")</f>
        <v/>
      </c>
      <c r="Q691" s="177" t="str">
        <f t="shared" si="51"/>
        <v/>
      </c>
      <c r="R691" s="177" t="str">
        <f>IFERROR(VLOOKUP(O691,Cadastros!A:E,5,0),"")</f>
        <v/>
      </c>
      <c r="S691" s="177" t="str">
        <f>IFERROR(VLOOKUP(O691,Cadastros!A:F,6,0),"")</f>
        <v/>
      </c>
      <c r="T691" s="177" t="str">
        <f>IFERROR(VLOOKUP(O691,Cadastros!A:I,9,0),"")</f>
        <v/>
      </c>
      <c r="U691" s="177" t="str">
        <f t="shared" si="52"/>
        <v/>
      </c>
      <c r="V691" s="177" t="str">
        <f t="shared" si="53"/>
        <v/>
      </c>
      <c r="W691" s="177" t="str">
        <f t="shared" si="54"/>
        <v/>
      </c>
      <c r="Y691" s="240" t="e">
        <f t="array" ref="Y691">INDEX(Tabela.abordagens[],SMALL(IF(Tabela.abordagens[Mês]=$L$2,ROW(Tabela.abordagens[id])-2),ROW(A644)),1)</f>
        <v>#NUM!</v>
      </c>
      <c r="Z691" s="240" t="e">
        <f t="array" ref="Z691">INDEX(Tabela.abordagens[],SMALL(IF(Tabela.abordagens[Mês]=$L$2,ROW(Tabela.abordagens[Idade])-2),ROW(A644)),6)</f>
        <v>#NUM!</v>
      </c>
      <c r="AA691" s="240" t="e">
        <f t="array" ref="AA691">INDEX(Tabela.abordagens[],SMALL(IF(Tabela.abordagens[Mês]=$L$2,ROW(Tabela.abordagens[Idade])-2),ROW(A644)),4)</f>
        <v>#NUM!</v>
      </c>
      <c r="AB691" s="240" t="e">
        <f t="array" ref="AB691">INDEX(Tabela.abordagens[],SMALL(IF(Tabela.abordagens[Mês]=$L$2,ROW(Tabela.abordagens[Idade])-2),ROW(A644)),5)</f>
        <v>#NUM!</v>
      </c>
    </row>
    <row r="692" spans="2:28" ht="15" x14ac:dyDescent="0.25">
      <c r="B692" s="223" t="e">
        <f t="array" ref="B692">INDEX(Tabela.frequencia[],SMALL(IF(Tabela.frequencia[Mês]=$L$2,ROW(Tabela.frequencia[id])-1),ROW(A645)),1)</f>
        <v>#NUM!</v>
      </c>
      <c r="C692" s="229" t="e">
        <f t="array" ref="C692">INDEX(Tabela.frequencia[],SMALL(IF(Tabela.frequencia[Mês]=$L$2,ROW(Tabela.frequencia[id])-1),ROW(A645)),4)</f>
        <v>#NUM!</v>
      </c>
      <c r="E692" s="176" t="str">
        <f>IFERROR(VLOOKUP(D692,Tabela.cadastro[[ID]:[Nome]],2,0),"")</f>
        <v/>
      </c>
      <c r="F692" s="177" t="str">
        <f>IFERROR(VLOOKUP(D692,Tabela66[#All],2,0),"")</f>
        <v/>
      </c>
      <c r="G692" s="177" t="str">
        <f>IFERROR(VLOOKUP(D692,Tabela.cadastro[[ID]:[CP ou M]],5,0),"")</f>
        <v/>
      </c>
      <c r="H692" s="177" t="str">
        <f>IFERROR(VLOOKUP(D692,Cadastros!A:F,6,0),"")</f>
        <v/>
      </c>
      <c r="I692" s="177" t="str">
        <f>IFERROR(VLOOKUP(D692,Cadastros!A:I,9,0),"")</f>
        <v/>
      </c>
      <c r="J692" s="177" t="str">
        <f>IFERROR(VLOOKUP(D692,Cadastros!A:J,10,0),"")</f>
        <v/>
      </c>
      <c r="K692" s="177" t="str">
        <f>IF(COUNTIF(Tabela66[id],D692)=0,"",COUNTIF(Tabela66[id],D692))</f>
        <v/>
      </c>
      <c r="L692" s="198"/>
      <c r="M692" s="227" t="str">
        <f t="shared" si="55"/>
        <v/>
      </c>
      <c r="P692" s="176" t="str">
        <f>IFERROR(VLOOKUP(O692,Cadastros!A:B,2),"")</f>
        <v/>
      </c>
      <c r="Q692" s="177" t="str">
        <f t="shared" si="51"/>
        <v/>
      </c>
      <c r="R692" s="177" t="str">
        <f>IFERROR(VLOOKUP(O692,Cadastros!A:E,5,0),"")</f>
        <v/>
      </c>
      <c r="S692" s="177" t="str">
        <f>IFERROR(VLOOKUP(O692,Cadastros!A:F,6,0),"")</f>
        <v/>
      </c>
      <c r="T692" s="177" t="str">
        <f>IFERROR(VLOOKUP(O692,Cadastros!A:I,9,0),"")</f>
        <v/>
      </c>
      <c r="U692" s="177" t="str">
        <f t="shared" si="52"/>
        <v/>
      </c>
      <c r="V692" s="177" t="str">
        <f t="shared" si="53"/>
        <v/>
      </c>
      <c r="W692" s="177" t="str">
        <f t="shared" si="54"/>
        <v/>
      </c>
      <c r="Y692" s="240" t="e">
        <f t="array" ref="Y692">INDEX(Tabela.abordagens[],SMALL(IF(Tabela.abordagens[Mês]=$L$2,ROW(Tabela.abordagens[id])-2),ROW(A645)),1)</f>
        <v>#NUM!</v>
      </c>
      <c r="Z692" s="240" t="e">
        <f t="array" ref="Z692">INDEX(Tabela.abordagens[],SMALL(IF(Tabela.abordagens[Mês]=$L$2,ROW(Tabela.abordagens[Idade])-2),ROW(A645)),6)</f>
        <v>#NUM!</v>
      </c>
      <c r="AA692" s="240" t="e">
        <f t="array" ref="AA692">INDEX(Tabela.abordagens[],SMALL(IF(Tabela.abordagens[Mês]=$L$2,ROW(Tabela.abordagens[Idade])-2),ROW(A645)),4)</f>
        <v>#NUM!</v>
      </c>
      <c r="AB692" s="240" t="e">
        <f t="array" ref="AB692">INDEX(Tabela.abordagens[],SMALL(IF(Tabela.abordagens[Mês]=$L$2,ROW(Tabela.abordagens[Idade])-2),ROW(A645)),5)</f>
        <v>#NUM!</v>
      </c>
    </row>
    <row r="693" spans="2:28" ht="15" x14ac:dyDescent="0.25">
      <c r="B693" s="223" t="e">
        <f t="array" ref="B693">INDEX(Tabela.frequencia[],SMALL(IF(Tabela.frequencia[Mês]=$L$2,ROW(Tabela.frequencia[id])-1),ROW(A646)),1)</f>
        <v>#NUM!</v>
      </c>
      <c r="C693" s="229" t="e">
        <f t="array" ref="C693">INDEX(Tabela.frequencia[],SMALL(IF(Tabela.frequencia[Mês]=$L$2,ROW(Tabela.frequencia[id])-1),ROW(A646)),4)</f>
        <v>#NUM!</v>
      </c>
      <c r="E693" s="176" t="str">
        <f>IFERROR(VLOOKUP(D693,Tabela.cadastro[[ID]:[Nome]],2,0),"")</f>
        <v/>
      </c>
      <c r="F693" s="177" t="str">
        <f>IFERROR(VLOOKUP(D693,Tabela66[#All],2,0),"")</f>
        <v/>
      </c>
      <c r="G693" s="177" t="str">
        <f>IFERROR(VLOOKUP(D693,Tabela.cadastro[[ID]:[CP ou M]],5,0),"")</f>
        <v/>
      </c>
      <c r="H693" s="177" t="str">
        <f>IFERROR(VLOOKUP(D693,Cadastros!A:F,6,0),"")</f>
        <v/>
      </c>
      <c r="I693" s="177" t="str">
        <f>IFERROR(VLOOKUP(D693,Cadastros!A:I,9,0),"")</f>
        <v/>
      </c>
      <c r="J693" s="177" t="str">
        <f>IFERROR(VLOOKUP(D693,Cadastros!A:J,10,0),"")</f>
        <v/>
      </c>
      <c r="K693" s="177" t="str">
        <f>IF(COUNTIF(Tabela66[id],D693)=0,"",COUNTIF(Tabela66[id],D693))</f>
        <v/>
      </c>
      <c r="L693" s="198"/>
      <c r="M693" s="227" t="str">
        <f t="shared" si="55"/>
        <v/>
      </c>
      <c r="P693" s="176" t="str">
        <f>IFERROR(VLOOKUP(O693,Cadastros!A:B,2),"")</f>
        <v/>
      </c>
      <c r="Q693" s="177" t="str">
        <f t="shared" si="51"/>
        <v/>
      </c>
      <c r="R693" s="177" t="str">
        <f>IFERROR(VLOOKUP(O693,Cadastros!A:E,5,0),"")</f>
        <v/>
      </c>
      <c r="S693" s="177" t="str">
        <f>IFERROR(VLOOKUP(O693,Cadastros!A:F,6,0),"")</f>
        <v/>
      </c>
      <c r="T693" s="177" t="str">
        <f>IFERROR(VLOOKUP(O693,Cadastros!A:I,9,0),"")</f>
        <v/>
      </c>
      <c r="U693" s="177" t="str">
        <f t="shared" si="52"/>
        <v/>
      </c>
      <c r="V693" s="177" t="str">
        <f t="shared" si="53"/>
        <v/>
      </c>
      <c r="W693" s="177" t="str">
        <f t="shared" si="54"/>
        <v/>
      </c>
      <c r="Y693" s="240" t="e">
        <f t="array" ref="Y693">INDEX(Tabela.abordagens[],SMALL(IF(Tabela.abordagens[Mês]=$L$2,ROW(Tabela.abordagens[id])-2),ROW(A646)),1)</f>
        <v>#NUM!</v>
      </c>
      <c r="Z693" s="240" t="e">
        <f t="array" ref="Z693">INDEX(Tabela.abordagens[],SMALL(IF(Tabela.abordagens[Mês]=$L$2,ROW(Tabela.abordagens[Idade])-2),ROW(A646)),6)</f>
        <v>#NUM!</v>
      </c>
      <c r="AA693" s="240" t="e">
        <f t="array" ref="AA693">INDEX(Tabela.abordagens[],SMALL(IF(Tabela.abordagens[Mês]=$L$2,ROW(Tabela.abordagens[Idade])-2),ROW(A646)),4)</f>
        <v>#NUM!</v>
      </c>
      <c r="AB693" s="240" t="e">
        <f t="array" ref="AB693">INDEX(Tabela.abordagens[],SMALL(IF(Tabela.abordagens[Mês]=$L$2,ROW(Tabela.abordagens[Idade])-2),ROW(A646)),5)</f>
        <v>#NUM!</v>
      </c>
    </row>
    <row r="694" spans="2:28" ht="15" x14ac:dyDescent="0.25">
      <c r="B694" s="223" t="e">
        <f t="array" ref="B694">INDEX(Tabela.frequencia[],SMALL(IF(Tabela.frequencia[Mês]=$L$2,ROW(Tabela.frequencia[id])-1),ROW(A647)),1)</f>
        <v>#NUM!</v>
      </c>
      <c r="C694" s="229" t="e">
        <f t="array" ref="C694">INDEX(Tabela.frequencia[],SMALL(IF(Tabela.frequencia[Mês]=$L$2,ROW(Tabela.frequencia[id])-1),ROW(A647)),4)</f>
        <v>#NUM!</v>
      </c>
      <c r="E694" s="176" t="str">
        <f>IFERROR(VLOOKUP(D694,Tabela.cadastro[[ID]:[Nome]],2,0),"")</f>
        <v/>
      </c>
      <c r="F694" s="177" t="str">
        <f>IFERROR(VLOOKUP(D694,Tabela66[#All],2,0),"")</f>
        <v/>
      </c>
      <c r="G694" s="177" t="str">
        <f>IFERROR(VLOOKUP(D694,Tabela.cadastro[[ID]:[CP ou M]],5,0),"")</f>
        <v/>
      </c>
      <c r="H694" s="177" t="str">
        <f>IFERROR(VLOOKUP(D694,Cadastros!A:F,6,0),"")</f>
        <v/>
      </c>
      <c r="I694" s="177" t="str">
        <f>IFERROR(VLOOKUP(D694,Cadastros!A:I,9,0),"")</f>
        <v/>
      </c>
      <c r="J694" s="177" t="str">
        <f>IFERROR(VLOOKUP(D694,Cadastros!A:J,10,0),"")</f>
        <v/>
      </c>
      <c r="K694" s="177" t="str">
        <f>IF(COUNTIF(Tabela66[id],D694)=0,"",COUNTIF(Tabela66[id],D694))</f>
        <v/>
      </c>
      <c r="L694" s="198"/>
      <c r="M694" s="227" t="str">
        <f t="shared" si="55"/>
        <v/>
      </c>
      <c r="P694" s="176" t="str">
        <f>IFERROR(VLOOKUP(O694,Cadastros!A:B,2),"")</f>
        <v/>
      </c>
      <c r="Q694" s="177" t="str">
        <f t="shared" si="51"/>
        <v/>
      </c>
      <c r="R694" s="177" t="str">
        <f>IFERROR(VLOOKUP(O694,Cadastros!A:E,5,0),"")</f>
        <v/>
      </c>
      <c r="S694" s="177" t="str">
        <f>IFERROR(VLOOKUP(O694,Cadastros!A:F,6,0),"")</f>
        <v/>
      </c>
      <c r="T694" s="177" t="str">
        <f>IFERROR(VLOOKUP(O694,Cadastros!A:I,9,0),"")</f>
        <v/>
      </c>
      <c r="U694" s="177" t="str">
        <f t="shared" si="52"/>
        <v/>
      </c>
      <c r="V694" s="177" t="str">
        <f t="shared" si="53"/>
        <v/>
      </c>
      <c r="W694" s="177" t="str">
        <f t="shared" si="54"/>
        <v/>
      </c>
      <c r="Y694" s="240" t="e">
        <f t="array" ref="Y694">INDEX(Tabela.abordagens[],SMALL(IF(Tabela.abordagens[Mês]=$L$2,ROW(Tabela.abordagens[id])-2),ROW(A647)),1)</f>
        <v>#NUM!</v>
      </c>
      <c r="Z694" s="240" t="e">
        <f t="array" ref="Z694">INDEX(Tabela.abordagens[],SMALL(IF(Tabela.abordagens[Mês]=$L$2,ROW(Tabela.abordagens[Idade])-2),ROW(A647)),6)</f>
        <v>#NUM!</v>
      </c>
      <c r="AA694" s="240" t="e">
        <f t="array" ref="AA694">INDEX(Tabela.abordagens[],SMALL(IF(Tabela.abordagens[Mês]=$L$2,ROW(Tabela.abordagens[Idade])-2),ROW(A647)),4)</f>
        <v>#NUM!</v>
      </c>
      <c r="AB694" s="240" t="e">
        <f t="array" ref="AB694">INDEX(Tabela.abordagens[],SMALL(IF(Tabela.abordagens[Mês]=$L$2,ROW(Tabela.abordagens[Idade])-2),ROW(A647)),5)</f>
        <v>#NUM!</v>
      </c>
    </row>
    <row r="695" spans="2:28" ht="15" x14ac:dyDescent="0.25">
      <c r="B695" s="223" t="e">
        <f t="array" ref="B695">INDEX(Tabela.frequencia[],SMALL(IF(Tabela.frequencia[Mês]=$L$2,ROW(Tabela.frequencia[id])-1),ROW(A648)),1)</f>
        <v>#NUM!</v>
      </c>
      <c r="C695" s="229" t="e">
        <f t="array" ref="C695">INDEX(Tabela.frequencia[],SMALL(IF(Tabela.frequencia[Mês]=$L$2,ROW(Tabela.frequencia[id])-1),ROW(A648)),4)</f>
        <v>#NUM!</v>
      </c>
      <c r="E695" s="176" t="str">
        <f>IFERROR(VLOOKUP(D695,Tabela.cadastro[[ID]:[Nome]],2,0),"")</f>
        <v/>
      </c>
      <c r="F695" s="177" t="str">
        <f>IFERROR(VLOOKUP(D695,Tabela66[#All],2,0),"")</f>
        <v/>
      </c>
      <c r="G695" s="177" t="str">
        <f>IFERROR(VLOOKUP(D695,Tabela.cadastro[[ID]:[CP ou M]],5,0),"")</f>
        <v/>
      </c>
      <c r="H695" s="177" t="str">
        <f>IFERROR(VLOOKUP(D695,Cadastros!A:F,6,0),"")</f>
        <v/>
      </c>
      <c r="I695" s="177" t="str">
        <f>IFERROR(VLOOKUP(D695,Cadastros!A:I,9,0),"")</f>
        <v/>
      </c>
      <c r="J695" s="177" t="str">
        <f>IFERROR(VLOOKUP(D695,Cadastros!A:J,10,0),"")</f>
        <v/>
      </c>
      <c r="K695" s="177" t="str">
        <f>IF(COUNTIF(Tabela66[id],D695)=0,"",COUNTIF(Tabela66[id],D695))</f>
        <v/>
      </c>
      <c r="L695" s="198"/>
      <c r="M695" s="227" t="str">
        <f t="shared" si="55"/>
        <v/>
      </c>
      <c r="P695" s="176" t="str">
        <f>IFERROR(VLOOKUP(O695,Cadastros!A:B,2),"")</f>
        <v/>
      </c>
      <c r="Q695" s="177" t="str">
        <f t="shared" si="51"/>
        <v/>
      </c>
      <c r="R695" s="177" t="str">
        <f>IFERROR(VLOOKUP(O695,Cadastros!A:E,5,0),"")</f>
        <v/>
      </c>
      <c r="S695" s="177" t="str">
        <f>IFERROR(VLOOKUP(O695,Cadastros!A:F,6,0),"")</f>
        <v/>
      </c>
      <c r="T695" s="177" t="str">
        <f>IFERROR(VLOOKUP(O695,Cadastros!A:I,9,0),"")</f>
        <v/>
      </c>
      <c r="U695" s="177" t="str">
        <f t="shared" si="52"/>
        <v/>
      </c>
      <c r="V695" s="177" t="str">
        <f t="shared" si="53"/>
        <v/>
      </c>
      <c r="W695" s="177" t="str">
        <f t="shared" si="54"/>
        <v/>
      </c>
      <c r="Y695" s="240" t="e">
        <f t="array" ref="Y695">INDEX(Tabela.abordagens[],SMALL(IF(Tabela.abordagens[Mês]=$L$2,ROW(Tabela.abordagens[id])-2),ROW(A648)),1)</f>
        <v>#NUM!</v>
      </c>
      <c r="Z695" s="240" t="e">
        <f t="array" ref="Z695">INDEX(Tabela.abordagens[],SMALL(IF(Tabela.abordagens[Mês]=$L$2,ROW(Tabela.abordagens[Idade])-2),ROW(A648)),6)</f>
        <v>#NUM!</v>
      </c>
      <c r="AA695" s="240" t="e">
        <f t="array" ref="AA695">INDEX(Tabela.abordagens[],SMALL(IF(Tabela.abordagens[Mês]=$L$2,ROW(Tabela.abordagens[Idade])-2),ROW(A648)),4)</f>
        <v>#NUM!</v>
      </c>
      <c r="AB695" s="240" t="e">
        <f t="array" ref="AB695">INDEX(Tabela.abordagens[],SMALL(IF(Tabela.abordagens[Mês]=$L$2,ROW(Tabela.abordagens[Idade])-2),ROW(A648)),5)</f>
        <v>#NUM!</v>
      </c>
    </row>
    <row r="696" spans="2:28" ht="15" x14ac:dyDescent="0.25">
      <c r="B696" s="223" t="e">
        <f t="array" ref="B696">INDEX(Tabela.frequencia[],SMALL(IF(Tabela.frequencia[Mês]=$L$2,ROW(Tabela.frequencia[id])-1),ROW(A649)),1)</f>
        <v>#NUM!</v>
      </c>
      <c r="C696" s="229" t="e">
        <f t="array" ref="C696">INDEX(Tabela.frequencia[],SMALL(IF(Tabela.frequencia[Mês]=$L$2,ROW(Tabela.frequencia[id])-1),ROW(A649)),4)</f>
        <v>#NUM!</v>
      </c>
      <c r="E696" s="176" t="str">
        <f>IFERROR(VLOOKUP(D696,Tabela.cadastro[[ID]:[Nome]],2,0),"")</f>
        <v/>
      </c>
      <c r="F696" s="177" t="str">
        <f>IFERROR(VLOOKUP(D696,Tabela66[#All],2,0),"")</f>
        <v/>
      </c>
      <c r="G696" s="177" t="str">
        <f>IFERROR(VLOOKUP(D696,Tabela.cadastro[[ID]:[CP ou M]],5,0),"")</f>
        <v/>
      </c>
      <c r="H696" s="177" t="str">
        <f>IFERROR(VLOOKUP(D696,Cadastros!A:F,6,0),"")</f>
        <v/>
      </c>
      <c r="I696" s="177" t="str">
        <f>IFERROR(VLOOKUP(D696,Cadastros!A:I,9,0),"")</f>
        <v/>
      </c>
      <c r="J696" s="177" t="str">
        <f>IFERROR(VLOOKUP(D696,Cadastros!A:J,10,0),"")</f>
        <v/>
      </c>
      <c r="K696" s="177" t="str">
        <f>IF(COUNTIF(Tabela66[id],D696)=0,"",COUNTIF(Tabela66[id],D696))</f>
        <v/>
      </c>
      <c r="L696" s="198"/>
      <c r="M696" s="227" t="str">
        <f t="shared" si="55"/>
        <v/>
      </c>
      <c r="P696" s="176" t="str">
        <f>IFERROR(VLOOKUP(O696,Cadastros!A:B,2),"")</f>
        <v/>
      </c>
      <c r="Q696" s="177" t="str">
        <f t="shared" si="51"/>
        <v/>
      </c>
      <c r="R696" s="177" t="str">
        <f>IFERROR(VLOOKUP(O696,Cadastros!A:E,5,0),"")</f>
        <v/>
      </c>
      <c r="S696" s="177" t="str">
        <f>IFERROR(VLOOKUP(O696,Cadastros!A:F,6,0),"")</f>
        <v/>
      </c>
      <c r="T696" s="177" t="str">
        <f>IFERROR(VLOOKUP(O696,Cadastros!A:I,9,0),"")</f>
        <v/>
      </c>
      <c r="U696" s="177" t="str">
        <f t="shared" si="52"/>
        <v/>
      </c>
      <c r="V696" s="177" t="str">
        <f t="shared" si="53"/>
        <v/>
      </c>
      <c r="W696" s="177" t="str">
        <f t="shared" si="54"/>
        <v/>
      </c>
      <c r="Y696" s="240" t="e">
        <f t="array" ref="Y696">INDEX(Tabela.abordagens[],SMALL(IF(Tabela.abordagens[Mês]=$L$2,ROW(Tabela.abordagens[id])-2),ROW(A649)),1)</f>
        <v>#NUM!</v>
      </c>
      <c r="Z696" s="240" t="e">
        <f t="array" ref="Z696">INDEX(Tabela.abordagens[],SMALL(IF(Tabela.abordagens[Mês]=$L$2,ROW(Tabela.abordagens[Idade])-2),ROW(A649)),6)</f>
        <v>#NUM!</v>
      </c>
      <c r="AA696" s="240" t="e">
        <f t="array" ref="AA696">INDEX(Tabela.abordagens[],SMALL(IF(Tabela.abordagens[Mês]=$L$2,ROW(Tabela.abordagens[Idade])-2),ROW(A649)),4)</f>
        <v>#NUM!</v>
      </c>
      <c r="AB696" s="240" t="e">
        <f t="array" ref="AB696">INDEX(Tabela.abordagens[],SMALL(IF(Tabela.abordagens[Mês]=$L$2,ROW(Tabela.abordagens[Idade])-2),ROW(A649)),5)</f>
        <v>#NUM!</v>
      </c>
    </row>
    <row r="697" spans="2:28" ht="15" x14ac:dyDescent="0.25">
      <c r="B697" s="223" t="e">
        <f t="array" ref="B697">INDEX(Tabela.frequencia[],SMALL(IF(Tabela.frequencia[Mês]=$L$2,ROW(Tabela.frequencia[id])-1),ROW(A650)),1)</f>
        <v>#NUM!</v>
      </c>
      <c r="C697" s="229" t="e">
        <f t="array" ref="C697">INDEX(Tabela.frequencia[],SMALL(IF(Tabela.frequencia[Mês]=$L$2,ROW(Tabela.frequencia[id])-1),ROW(A650)),4)</f>
        <v>#NUM!</v>
      </c>
      <c r="E697" s="176" t="str">
        <f>IFERROR(VLOOKUP(D697,Tabela.cadastro[[ID]:[Nome]],2,0),"")</f>
        <v/>
      </c>
      <c r="F697" s="177" t="str">
        <f>IFERROR(VLOOKUP(D697,Tabela66[#All],2,0),"")</f>
        <v/>
      </c>
      <c r="G697" s="177" t="str">
        <f>IFERROR(VLOOKUP(D697,Tabela.cadastro[[ID]:[CP ou M]],5,0),"")</f>
        <v/>
      </c>
      <c r="H697" s="177" t="str">
        <f>IFERROR(VLOOKUP(D697,Cadastros!A:F,6,0),"")</f>
        <v/>
      </c>
      <c r="I697" s="177" t="str">
        <f>IFERROR(VLOOKUP(D697,Cadastros!A:I,9,0),"")</f>
        <v/>
      </c>
      <c r="J697" s="177" t="str">
        <f>IFERROR(VLOOKUP(D697,Cadastros!A:J,10,0),"")</f>
        <v/>
      </c>
      <c r="K697" s="177" t="str">
        <f>IF(COUNTIF(Tabela66[id],D697)=0,"",COUNTIF(Tabela66[id],D697))</f>
        <v/>
      </c>
      <c r="L697" s="198"/>
      <c r="M697" s="227" t="str">
        <f t="shared" si="55"/>
        <v/>
      </c>
      <c r="P697" s="176" t="str">
        <f>IFERROR(VLOOKUP(O697,Cadastros!A:B,2),"")</f>
        <v/>
      </c>
      <c r="Q697" s="177" t="str">
        <f t="shared" si="51"/>
        <v/>
      </c>
      <c r="R697" s="177" t="str">
        <f>IFERROR(VLOOKUP(O697,Cadastros!A:E,5,0),"")</f>
        <v/>
      </c>
      <c r="S697" s="177" t="str">
        <f>IFERROR(VLOOKUP(O697,Cadastros!A:F,6,0),"")</f>
        <v/>
      </c>
      <c r="T697" s="177" t="str">
        <f>IFERROR(VLOOKUP(O697,Cadastros!A:I,9,0),"")</f>
        <v/>
      </c>
      <c r="U697" s="177" t="str">
        <f t="shared" si="52"/>
        <v/>
      </c>
      <c r="V697" s="177" t="str">
        <f t="shared" si="53"/>
        <v/>
      </c>
      <c r="W697" s="177" t="str">
        <f t="shared" si="54"/>
        <v/>
      </c>
      <c r="Y697" s="240" t="e">
        <f t="array" ref="Y697">INDEX(Tabela.abordagens[],SMALL(IF(Tabela.abordagens[Mês]=$L$2,ROW(Tabela.abordagens[id])-2),ROW(A650)),1)</f>
        <v>#NUM!</v>
      </c>
      <c r="Z697" s="240" t="e">
        <f t="array" ref="Z697">INDEX(Tabela.abordagens[],SMALL(IF(Tabela.abordagens[Mês]=$L$2,ROW(Tabela.abordagens[Idade])-2),ROW(A650)),6)</f>
        <v>#NUM!</v>
      </c>
      <c r="AA697" s="240" t="e">
        <f t="array" ref="AA697">INDEX(Tabela.abordagens[],SMALL(IF(Tabela.abordagens[Mês]=$L$2,ROW(Tabela.abordagens[Idade])-2),ROW(A650)),4)</f>
        <v>#NUM!</v>
      </c>
      <c r="AB697" s="240" t="e">
        <f t="array" ref="AB697">INDEX(Tabela.abordagens[],SMALL(IF(Tabela.abordagens[Mês]=$L$2,ROW(Tabela.abordagens[Idade])-2),ROW(A650)),5)</f>
        <v>#NUM!</v>
      </c>
    </row>
    <row r="698" spans="2:28" ht="15" x14ac:dyDescent="0.25">
      <c r="B698" s="223" t="e">
        <f t="array" ref="B698">INDEX(Tabela.frequencia[],SMALL(IF(Tabela.frequencia[Mês]=$L$2,ROW(Tabela.frequencia[id])-1),ROW(A651)),1)</f>
        <v>#NUM!</v>
      </c>
      <c r="C698" s="229" t="e">
        <f t="array" ref="C698">INDEX(Tabela.frequencia[],SMALL(IF(Tabela.frequencia[Mês]=$L$2,ROW(Tabela.frequencia[id])-1),ROW(A651)),4)</f>
        <v>#NUM!</v>
      </c>
      <c r="E698" s="176" t="str">
        <f>IFERROR(VLOOKUP(D698,Tabela.cadastro[[ID]:[Nome]],2,0),"")</f>
        <v/>
      </c>
      <c r="F698" s="177" t="str">
        <f>IFERROR(VLOOKUP(D698,Tabela66[#All],2,0),"")</f>
        <v/>
      </c>
      <c r="G698" s="177" t="str">
        <f>IFERROR(VLOOKUP(D698,Tabela.cadastro[[ID]:[CP ou M]],5,0),"")</f>
        <v/>
      </c>
      <c r="H698" s="177" t="str">
        <f>IFERROR(VLOOKUP(D698,Cadastros!A:F,6,0),"")</f>
        <v/>
      </c>
      <c r="I698" s="177" t="str">
        <f>IFERROR(VLOOKUP(D698,Cadastros!A:I,9,0),"")</f>
        <v/>
      </c>
      <c r="J698" s="177" t="str">
        <f>IFERROR(VLOOKUP(D698,Cadastros!A:J,10,0),"")</f>
        <v/>
      </c>
      <c r="K698" s="177" t="str">
        <f>IF(COUNTIF(Tabela66[id],D698)=0,"",COUNTIF(Tabela66[id],D698))</f>
        <v/>
      </c>
      <c r="L698" s="198"/>
      <c r="M698" s="227" t="str">
        <f t="shared" si="55"/>
        <v/>
      </c>
      <c r="P698" s="176" t="str">
        <f>IFERROR(VLOOKUP(O698,Cadastros!A:B,2),"")</f>
        <v/>
      </c>
      <c r="Q698" s="177" t="str">
        <f t="shared" si="51"/>
        <v/>
      </c>
      <c r="R698" s="177" t="str">
        <f>IFERROR(VLOOKUP(O698,Cadastros!A:E,5,0),"")</f>
        <v/>
      </c>
      <c r="S698" s="177" t="str">
        <f>IFERROR(VLOOKUP(O698,Cadastros!A:F,6,0),"")</f>
        <v/>
      </c>
      <c r="T698" s="177" t="str">
        <f>IFERROR(VLOOKUP(O698,Cadastros!A:I,9,0),"")</f>
        <v/>
      </c>
      <c r="U698" s="177" t="str">
        <f t="shared" si="52"/>
        <v/>
      </c>
      <c r="V698" s="177" t="str">
        <f t="shared" si="53"/>
        <v/>
      </c>
      <c r="W698" s="177" t="str">
        <f t="shared" si="54"/>
        <v/>
      </c>
      <c r="Y698" s="240" t="e">
        <f t="array" ref="Y698">INDEX(Tabela.abordagens[],SMALL(IF(Tabela.abordagens[Mês]=$L$2,ROW(Tabela.abordagens[id])-2),ROW(A651)),1)</f>
        <v>#NUM!</v>
      </c>
      <c r="Z698" s="240" t="e">
        <f t="array" ref="Z698">INDEX(Tabela.abordagens[],SMALL(IF(Tabela.abordagens[Mês]=$L$2,ROW(Tabela.abordagens[Idade])-2),ROW(A651)),6)</f>
        <v>#NUM!</v>
      </c>
      <c r="AA698" s="240" t="e">
        <f t="array" ref="AA698">INDEX(Tabela.abordagens[],SMALL(IF(Tabela.abordagens[Mês]=$L$2,ROW(Tabela.abordagens[Idade])-2),ROW(A651)),4)</f>
        <v>#NUM!</v>
      </c>
      <c r="AB698" s="240" t="e">
        <f t="array" ref="AB698">INDEX(Tabela.abordagens[],SMALL(IF(Tabela.abordagens[Mês]=$L$2,ROW(Tabela.abordagens[Idade])-2),ROW(A651)),5)</f>
        <v>#NUM!</v>
      </c>
    </row>
    <row r="699" spans="2:28" ht="15" x14ac:dyDescent="0.25">
      <c r="B699" s="223" t="e">
        <f t="array" ref="B699">INDEX(Tabela.frequencia[],SMALL(IF(Tabela.frequencia[Mês]=$L$2,ROW(Tabela.frequencia[id])-1),ROW(A652)),1)</f>
        <v>#NUM!</v>
      </c>
      <c r="C699" s="229" t="e">
        <f t="array" ref="C699">INDEX(Tabela.frequencia[],SMALL(IF(Tabela.frequencia[Mês]=$L$2,ROW(Tabela.frequencia[id])-1),ROW(A652)),4)</f>
        <v>#NUM!</v>
      </c>
      <c r="E699" s="176" t="str">
        <f>IFERROR(VLOOKUP(D699,Tabela.cadastro[[ID]:[Nome]],2,0),"")</f>
        <v/>
      </c>
      <c r="F699" s="177" t="str">
        <f>IFERROR(VLOOKUP(D699,Tabela66[#All],2,0),"")</f>
        <v/>
      </c>
      <c r="G699" s="177" t="str">
        <f>IFERROR(VLOOKUP(D699,Tabela.cadastro[[ID]:[CP ou M]],5,0),"")</f>
        <v/>
      </c>
      <c r="H699" s="177" t="str">
        <f>IFERROR(VLOOKUP(D699,Cadastros!A:F,6,0),"")</f>
        <v/>
      </c>
      <c r="I699" s="177" t="str">
        <f>IFERROR(VLOOKUP(D699,Cadastros!A:I,9,0),"")</f>
        <v/>
      </c>
      <c r="J699" s="177" t="str">
        <f>IFERROR(VLOOKUP(D699,Cadastros!A:J,10,0),"")</f>
        <v/>
      </c>
      <c r="K699" s="177" t="str">
        <f>IF(COUNTIF(Tabela66[id],D699)=0,"",COUNTIF(Tabela66[id],D699))</f>
        <v/>
      </c>
      <c r="L699" s="198"/>
      <c r="M699" s="227" t="str">
        <f t="shared" si="55"/>
        <v/>
      </c>
      <c r="P699" s="176" t="str">
        <f>IFERROR(VLOOKUP(O699,Cadastros!A:B,2),"")</f>
        <v/>
      </c>
      <c r="Q699" s="177" t="str">
        <f t="shared" si="51"/>
        <v/>
      </c>
      <c r="R699" s="177" t="str">
        <f>IFERROR(VLOOKUP(O699,Cadastros!A:E,5,0),"")</f>
        <v/>
      </c>
      <c r="S699" s="177" t="str">
        <f>IFERROR(VLOOKUP(O699,Cadastros!A:F,6,0),"")</f>
        <v/>
      </c>
      <c r="T699" s="177" t="str">
        <f>IFERROR(VLOOKUP(O699,Cadastros!A:I,9,0),"")</f>
        <v/>
      </c>
      <c r="U699" s="177" t="str">
        <f t="shared" si="52"/>
        <v/>
      </c>
      <c r="V699" s="177" t="str">
        <f t="shared" si="53"/>
        <v/>
      </c>
      <c r="W699" s="177" t="str">
        <f t="shared" si="54"/>
        <v/>
      </c>
      <c r="Y699" s="240" t="e">
        <f t="array" ref="Y699">INDEX(Tabela.abordagens[],SMALL(IF(Tabela.abordagens[Mês]=$L$2,ROW(Tabela.abordagens[id])-2),ROW(A652)),1)</f>
        <v>#NUM!</v>
      </c>
      <c r="Z699" s="240" t="e">
        <f t="array" ref="Z699">INDEX(Tabela.abordagens[],SMALL(IF(Tabela.abordagens[Mês]=$L$2,ROW(Tabela.abordagens[Idade])-2),ROW(A652)),6)</f>
        <v>#NUM!</v>
      </c>
      <c r="AA699" s="240" t="e">
        <f t="array" ref="AA699">INDEX(Tabela.abordagens[],SMALL(IF(Tabela.abordagens[Mês]=$L$2,ROW(Tabela.abordagens[Idade])-2),ROW(A652)),4)</f>
        <v>#NUM!</v>
      </c>
      <c r="AB699" s="240" t="e">
        <f t="array" ref="AB699">INDEX(Tabela.abordagens[],SMALL(IF(Tabela.abordagens[Mês]=$L$2,ROW(Tabela.abordagens[Idade])-2),ROW(A652)),5)</f>
        <v>#NUM!</v>
      </c>
    </row>
    <row r="700" spans="2:28" ht="15" x14ac:dyDescent="0.25">
      <c r="B700" s="223" t="e">
        <f t="array" ref="B700">INDEX(Tabela.frequencia[],SMALL(IF(Tabela.frequencia[Mês]=$L$2,ROW(Tabela.frequencia[id])-1),ROW(A653)),1)</f>
        <v>#NUM!</v>
      </c>
      <c r="C700" s="229" t="e">
        <f t="array" ref="C700">INDEX(Tabela.frequencia[],SMALL(IF(Tabela.frequencia[Mês]=$L$2,ROW(Tabela.frequencia[id])-1),ROW(A653)),4)</f>
        <v>#NUM!</v>
      </c>
      <c r="E700" s="176" t="str">
        <f>IFERROR(VLOOKUP(D700,Tabela.cadastro[[ID]:[Nome]],2,0),"")</f>
        <v/>
      </c>
      <c r="F700" s="177" t="str">
        <f>IFERROR(VLOOKUP(D700,Tabela66[#All],2,0),"")</f>
        <v/>
      </c>
      <c r="G700" s="177" t="str">
        <f>IFERROR(VLOOKUP(D700,Tabela.cadastro[[ID]:[CP ou M]],5,0),"")</f>
        <v/>
      </c>
      <c r="H700" s="177" t="str">
        <f>IFERROR(VLOOKUP(D700,Cadastros!A:F,6,0),"")</f>
        <v/>
      </c>
      <c r="I700" s="177" t="str">
        <f>IFERROR(VLOOKUP(D700,Cadastros!A:I,9,0),"")</f>
        <v/>
      </c>
      <c r="J700" s="177" t="str">
        <f>IFERROR(VLOOKUP(D700,Cadastros!A:J,10,0),"")</f>
        <v/>
      </c>
      <c r="K700" s="177" t="str">
        <f>IF(COUNTIF(Tabela66[id],D700)=0,"",COUNTIF(Tabela66[id],D700))</f>
        <v/>
      </c>
      <c r="L700" s="198"/>
      <c r="M700" s="227" t="str">
        <f t="shared" si="55"/>
        <v/>
      </c>
      <c r="P700" s="176" t="str">
        <f>IFERROR(VLOOKUP(O700,Cadastros!A:B,2),"")</f>
        <v/>
      </c>
      <c r="Q700" s="177" t="str">
        <f t="shared" si="51"/>
        <v/>
      </c>
      <c r="R700" s="177" t="str">
        <f>IFERROR(VLOOKUP(O700,Cadastros!A:E,5,0),"")</f>
        <v/>
      </c>
      <c r="S700" s="177" t="str">
        <f>IFERROR(VLOOKUP(O700,Cadastros!A:F,6,0),"")</f>
        <v/>
      </c>
      <c r="T700" s="177" t="str">
        <f>IFERROR(VLOOKUP(O700,Cadastros!A:I,9,0),"")</f>
        <v/>
      </c>
      <c r="U700" s="177" t="str">
        <f t="shared" si="52"/>
        <v/>
      </c>
      <c r="V700" s="177" t="str">
        <f t="shared" si="53"/>
        <v/>
      </c>
      <c r="W700" s="177" t="str">
        <f t="shared" si="54"/>
        <v/>
      </c>
      <c r="Y700" s="240" t="e">
        <f t="array" ref="Y700">INDEX(Tabela.abordagens[],SMALL(IF(Tabela.abordagens[Mês]=$L$2,ROW(Tabela.abordagens[id])-2),ROW(A653)),1)</f>
        <v>#NUM!</v>
      </c>
      <c r="Z700" s="240" t="e">
        <f t="array" ref="Z700">INDEX(Tabela.abordagens[],SMALL(IF(Tabela.abordagens[Mês]=$L$2,ROW(Tabela.abordagens[Idade])-2),ROW(A653)),6)</f>
        <v>#NUM!</v>
      </c>
      <c r="AA700" s="240" t="e">
        <f t="array" ref="AA700">INDEX(Tabela.abordagens[],SMALL(IF(Tabela.abordagens[Mês]=$L$2,ROW(Tabela.abordagens[Idade])-2),ROW(A653)),4)</f>
        <v>#NUM!</v>
      </c>
      <c r="AB700" s="240" t="e">
        <f t="array" ref="AB700">INDEX(Tabela.abordagens[],SMALL(IF(Tabela.abordagens[Mês]=$L$2,ROW(Tabela.abordagens[Idade])-2),ROW(A653)),5)</f>
        <v>#NUM!</v>
      </c>
    </row>
    <row r="701" spans="2:28" ht="15" x14ac:dyDescent="0.25">
      <c r="B701" s="223" t="e">
        <f t="array" ref="B701">INDEX(Tabela.frequencia[],SMALL(IF(Tabela.frequencia[Mês]=$L$2,ROW(Tabela.frequencia[id])-1),ROW(A654)),1)</f>
        <v>#NUM!</v>
      </c>
      <c r="C701" s="229" t="e">
        <f t="array" ref="C701">INDEX(Tabela.frequencia[],SMALL(IF(Tabela.frequencia[Mês]=$L$2,ROW(Tabela.frequencia[id])-1),ROW(A654)),4)</f>
        <v>#NUM!</v>
      </c>
      <c r="E701" s="176" t="str">
        <f>IFERROR(VLOOKUP(D701,Tabela.cadastro[[ID]:[Nome]],2,0),"")</f>
        <v/>
      </c>
      <c r="F701" s="177" t="str">
        <f>IFERROR(VLOOKUP(D701,Tabela66[#All],2,0),"")</f>
        <v/>
      </c>
      <c r="G701" s="177" t="str">
        <f>IFERROR(VLOOKUP(D701,Tabela.cadastro[[ID]:[CP ou M]],5,0),"")</f>
        <v/>
      </c>
      <c r="H701" s="177" t="str">
        <f>IFERROR(VLOOKUP(D701,Cadastros!A:F,6,0),"")</f>
        <v/>
      </c>
      <c r="I701" s="177" t="str">
        <f>IFERROR(VLOOKUP(D701,Cadastros!A:I,9,0),"")</f>
        <v/>
      </c>
      <c r="J701" s="177" t="str">
        <f>IFERROR(VLOOKUP(D701,Cadastros!A:J,10,0),"")</f>
        <v/>
      </c>
      <c r="K701" s="177" t="str">
        <f>IF(COUNTIF(Tabela66[id],D701)=0,"",COUNTIF(Tabela66[id],D701))</f>
        <v/>
      </c>
      <c r="L701" s="198"/>
      <c r="M701" s="227" t="str">
        <f t="shared" si="55"/>
        <v/>
      </c>
      <c r="P701" s="176" t="str">
        <f>IFERROR(VLOOKUP(O701,Cadastros!A:B,2),"")</f>
        <v/>
      </c>
      <c r="Q701" s="177" t="str">
        <f t="shared" si="51"/>
        <v/>
      </c>
      <c r="R701" s="177" t="str">
        <f>IFERROR(VLOOKUP(O701,Cadastros!A:E,5,0),"")</f>
        <v/>
      </c>
      <c r="S701" s="177" t="str">
        <f>IFERROR(VLOOKUP(O701,Cadastros!A:F,6,0),"")</f>
        <v/>
      </c>
      <c r="T701" s="177" t="str">
        <f>IFERROR(VLOOKUP(O701,Cadastros!A:I,9,0),"")</f>
        <v/>
      </c>
      <c r="U701" s="177" t="str">
        <f t="shared" si="52"/>
        <v/>
      </c>
      <c r="V701" s="177" t="str">
        <f t="shared" si="53"/>
        <v/>
      </c>
      <c r="W701" s="177" t="str">
        <f t="shared" si="54"/>
        <v/>
      </c>
      <c r="Y701" s="240" t="e">
        <f t="array" ref="Y701">INDEX(Tabela.abordagens[],SMALL(IF(Tabela.abordagens[Mês]=$L$2,ROW(Tabela.abordagens[id])-2),ROW(A654)),1)</f>
        <v>#NUM!</v>
      </c>
      <c r="Z701" s="240" t="e">
        <f t="array" ref="Z701">INDEX(Tabela.abordagens[],SMALL(IF(Tabela.abordagens[Mês]=$L$2,ROW(Tabela.abordagens[Idade])-2),ROW(A654)),6)</f>
        <v>#NUM!</v>
      </c>
      <c r="AA701" s="240" t="e">
        <f t="array" ref="AA701">INDEX(Tabela.abordagens[],SMALL(IF(Tabela.abordagens[Mês]=$L$2,ROW(Tabela.abordagens[Idade])-2),ROW(A654)),4)</f>
        <v>#NUM!</v>
      </c>
      <c r="AB701" s="240" t="e">
        <f t="array" ref="AB701">INDEX(Tabela.abordagens[],SMALL(IF(Tabela.abordagens[Mês]=$L$2,ROW(Tabela.abordagens[Idade])-2),ROW(A654)),5)</f>
        <v>#NUM!</v>
      </c>
    </row>
    <row r="702" spans="2:28" ht="15" x14ac:dyDescent="0.25">
      <c r="B702" s="223" t="e">
        <f t="array" ref="B702">INDEX(Tabela.frequencia[],SMALL(IF(Tabela.frequencia[Mês]=$L$2,ROW(Tabela.frequencia[id])-1),ROW(A655)),1)</f>
        <v>#NUM!</v>
      </c>
      <c r="C702" s="229" t="e">
        <f t="array" ref="C702">INDEX(Tabela.frequencia[],SMALL(IF(Tabela.frequencia[Mês]=$L$2,ROW(Tabela.frequencia[id])-1),ROW(A655)),4)</f>
        <v>#NUM!</v>
      </c>
      <c r="E702" s="176" t="str">
        <f>IFERROR(VLOOKUP(D702,Tabela.cadastro[[ID]:[Nome]],2,0),"")</f>
        <v/>
      </c>
      <c r="F702" s="177" t="str">
        <f>IFERROR(VLOOKUP(D702,Tabela66[#All],2,0),"")</f>
        <v/>
      </c>
      <c r="G702" s="177" t="str">
        <f>IFERROR(VLOOKUP(D702,Tabela.cadastro[[ID]:[CP ou M]],5,0),"")</f>
        <v/>
      </c>
      <c r="H702" s="177" t="str">
        <f>IFERROR(VLOOKUP(D702,Cadastros!A:F,6,0),"")</f>
        <v/>
      </c>
      <c r="I702" s="177" t="str">
        <f>IFERROR(VLOOKUP(D702,Cadastros!A:I,9,0),"")</f>
        <v/>
      </c>
      <c r="J702" s="177" t="str">
        <f>IFERROR(VLOOKUP(D702,Cadastros!A:J,10,0),"")</f>
        <v/>
      </c>
      <c r="K702" s="177" t="str">
        <f>IF(COUNTIF(Tabela66[id],D702)=0,"",COUNTIF(Tabela66[id],D702))</f>
        <v/>
      </c>
      <c r="L702" s="198"/>
      <c r="M702" s="227" t="str">
        <f t="shared" si="55"/>
        <v/>
      </c>
      <c r="P702" s="176" t="str">
        <f>IFERROR(VLOOKUP(O702,Cadastros!A:B,2),"")</f>
        <v/>
      </c>
      <c r="Q702" s="177" t="str">
        <f t="shared" si="51"/>
        <v/>
      </c>
      <c r="R702" s="177" t="str">
        <f>IFERROR(VLOOKUP(O702,Cadastros!A:E,5,0),"")</f>
        <v/>
      </c>
      <c r="S702" s="177" t="str">
        <f>IFERROR(VLOOKUP(O702,Cadastros!A:F,6,0),"")</f>
        <v/>
      </c>
      <c r="T702" s="177" t="str">
        <f>IFERROR(VLOOKUP(O702,Cadastros!A:I,9,0),"")</f>
        <v/>
      </c>
      <c r="U702" s="177" t="str">
        <f t="shared" si="52"/>
        <v/>
      </c>
      <c r="V702" s="177" t="str">
        <f t="shared" si="53"/>
        <v/>
      </c>
      <c r="W702" s="177" t="str">
        <f t="shared" si="54"/>
        <v/>
      </c>
      <c r="Y702" s="240" t="e">
        <f t="array" ref="Y702">INDEX(Tabela.abordagens[],SMALL(IF(Tabela.abordagens[Mês]=$L$2,ROW(Tabela.abordagens[id])-2),ROW(A655)),1)</f>
        <v>#NUM!</v>
      </c>
      <c r="Z702" s="240" t="e">
        <f t="array" ref="Z702">INDEX(Tabela.abordagens[],SMALL(IF(Tabela.abordagens[Mês]=$L$2,ROW(Tabela.abordagens[Idade])-2),ROW(A655)),6)</f>
        <v>#NUM!</v>
      </c>
      <c r="AA702" s="240" t="e">
        <f t="array" ref="AA702">INDEX(Tabela.abordagens[],SMALL(IF(Tabela.abordagens[Mês]=$L$2,ROW(Tabela.abordagens[Idade])-2),ROW(A655)),4)</f>
        <v>#NUM!</v>
      </c>
      <c r="AB702" s="240" t="e">
        <f t="array" ref="AB702">INDEX(Tabela.abordagens[],SMALL(IF(Tabela.abordagens[Mês]=$L$2,ROW(Tabela.abordagens[Idade])-2),ROW(A655)),5)</f>
        <v>#NUM!</v>
      </c>
    </row>
    <row r="703" spans="2:28" ht="15" x14ac:dyDescent="0.25">
      <c r="B703" s="223" t="e">
        <f t="array" ref="B703">INDEX(Tabela.frequencia[],SMALL(IF(Tabela.frequencia[Mês]=$L$2,ROW(Tabela.frequencia[id])-1),ROW(A656)),1)</f>
        <v>#NUM!</v>
      </c>
      <c r="C703" s="229" t="e">
        <f t="array" ref="C703">INDEX(Tabela.frequencia[],SMALL(IF(Tabela.frequencia[Mês]=$L$2,ROW(Tabela.frequencia[id])-1),ROW(A656)),4)</f>
        <v>#NUM!</v>
      </c>
      <c r="E703" s="176" t="str">
        <f>IFERROR(VLOOKUP(D703,Tabela.cadastro[[ID]:[Nome]],2,0),"")</f>
        <v/>
      </c>
      <c r="F703" s="177" t="str">
        <f>IFERROR(VLOOKUP(D703,Tabela66[#All],2,0),"")</f>
        <v/>
      </c>
      <c r="G703" s="177" t="str">
        <f>IFERROR(VLOOKUP(D703,Tabela.cadastro[[ID]:[CP ou M]],5,0),"")</f>
        <v/>
      </c>
      <c r="H703" s="177" t="str">
        <f>IFERROR(VLOOKUP(D703,Cadastros!A:F,6,0),"")</f>
        <v/>
      </c>
      <c r="I703" s="177" t="str">
        <f>IFERROR(VLOOKUP(D703,Cadastros!A:I,9,0),"")</f>
        <v/>
      </c>
      <c r="J703" s="177" t="str">
        <f>IFERROR(VLOOKUP(D703,Cadastros!A:J,10,0),"")</f>
        <v/>
      </c>
      <c r="K703" s="177" t="str">
        <f>IF(COUNTIF(Tabela66[id],D703)=0,"",COUNTIF(Tabela66[id],D703))</f>
        <v/>
      </c>
      <c r="L703" s="198"/>
      <c r="M703" s="227" t="str">
        <f t="shared" si="55"/>
        <v/>
      </c>
      <c r="P703" s="176" t="str">
        <f>IFERROR(VLOOKUP(O703,Cadastros!A:B,2),"")</f>
        <v/>
      </c>
      <c r="Q703" s="177" t="str">
        <f t="shared" si="51"/>
        <v/>
      </c>
      <c r="R703" s="177" t="str">
        <f>IFERROR(VLOOKUP(O703,Cadastros!A:E,5,0),"")</f>
        <v/>
      </c>
      <c r="S703" s="177" t="str">
        <f>IFERROR(VLOOKUP(O703,Cadastros!A:F,6,0),"")</f>
        <v/>
      </c>
      <c r="T703" s="177" t="str">
        <f>IFERROR(VLOOKUP(O703,Cadastros!A:I,9,0),"")</f>
        <v/>
      </c>
      <c r="U703" s="177" t="str">
        <f t="shared" si="52"/>
        <v/>
      </c>
      <c r="V703" s="177" t="str">
        <f t="shared" si="53"/>
        <v/>
      </c>
      <c r="W703" s="177" t="str">
        <f t="shared" si="54"/>
        <v/>
      </c>
      <c r="Y703" s="240" t="e">
        <f t="array" ref="Y703">INDEX(Tabela.abordagens[],SMALL(IF(Tabela.abordagens[Mês]=$L$2,ROW(Tabela.abordagens[id])-2),ROW(A656)),1)</f>
        <v>#NUM!</v>
      </c>
      <c r="Z703" s="240" t="e">
        <f t="array" ref="Z703">INDEX(Tabela.abordagens[],SMALL(IF(Tabela.abordagens[Mês]=$L$2,ROW(Tabela.abordagens[Idade])-2),ROW(A656)),6)</f>
        <v>#NUM!</v>
      </c>
      <c r="AA703" s="240" t="e">
        <f t="array" ref="AA703">INDEX(Tabela.abordagens[],SMALL(IF(Tabela.abordagens[Mês]=$L$2,ROW(Tabela.abordagens[Idade])-2),ROW(A656)),4)</f>
        <v>#NUM!</v>
      </c>
      <c r="AB703" s="240" t="e">
        <f t="array" ref="AB703">INDEX(Tabela.abordagens[],SMALL(IF(Tabela.abordagens[Mês]=$L$2,ROW(Tabela.abordagens[Idade])-2),ROW(A656)),5)</f>
        <v>#NUM!</v>
      </c>
    </row>
    <row r="704" spans="2:28" ht="15" x14ac:dyDescent="0.25">
      <c r="B704" s="223" t="e">
        <f t="array" ref="B704">INDEX(Tabela.frequencia[],SMALL(IF(Tabela.frequencia[Mês]=$L$2,ROW(Tabela.frequencia[id])-1),ROW(A657)),1)</f>
        <v>#NUM!</v>
      </c>
      <c r="C704" s="229" t="e">
        <f t="array" ref="C704">INDEX(Tabela.frequencia[],SMALL(IF(Tabela.frequencia[Mês]=$L$2,ROW(Tabela.frequencia[id])-1),ROW(A657)),4)</f>
        <v>#NUM!</v>
      </c>
      <c r="E704" s="176" t="str">
        <f>IFERROR(VLOOKUP(D704,Tabela.cadastro[[ID]:[Nome]],2,0),"")</f>
        <v/>
      </c>
      <c r="F704" s="177" t="str">
        <f>IFERROR(VLOOKUP(D704,Tabela66[#All],2,0),"")</f>
        <v/>
      </c>
      <c r="G704" s="177" t="str">
        <f>IFERROR(VLOOKUP(D704,Tabela.cadastro[[ID]:[CP ou M]],5,0),"")</f>
        <v/>
      </c>
      <c r="H704" s="177" t="str">
        <f>IFERROR(VLOOKUP(D704,Cadastros!A:F,6,0),"")</f>
        <v/>
      </c>
      <c r="I704" s="177" t="str">
        <f>IFERROR(VLOOKUP(D704,Cadastros!A:I,9,0),"")</f>
        <v/>
      </c>
      <c r="J704" s="177" t="str">
        <f>IFERROR(VLOOKUP(D704,Cadastros!A:J,10,0),"")</f>
        <v/>
      </c>
      <c r="K704" s="177" t="str">
        <f>IF(COUNTIF(Tabela66[id],D704)=0,"",COUNTIF(Tabela66[id],D704))</f>
        <v/>
      </c>
      <c r="L704" s="198"/>
      <c r="M704" s="227" t="str">
        <f t="shared" si="55"/>
        <v/>
      </c>
      <c r="P704" s="176" t="str">
        <f>IFERROR(VLOOKUP(O704,Cadastros!A:B,2),"")</f>
        <v/>
      </c>
      <c r="Q704" s="177" t="str">
        <f t="shared" si="51"/>
        <v/>
      </c>
      <c r="R704" s="177" t="str">
        <f>IFERROR(VLOOKUP(O704,Cadastros!A:E,5,0),"")</f>
        <v/>
      </c>
      <c r="S704" s="177" t="str">
        <f>IFERROR(VLOOKUP(O704,Cadastros!A:F,6,0),"")</f>
        <v/>
      </c>
      <c r="T704" s="177" t="str">
        <f>IFERROR(VLOOKUP(O704,Cadastros!A:I,9,0),"")</f>
        <v/>
      </c>
      <c r="U704" s="177" t="str">
        <f t="shared" si="52"/>
        <v/>
      </c>
      <c r="V704" s="177" t="str">
        <f t="shared" si="53"/>
        <v/>
      </c>
      <c r="W704" s="177" t="str">
        <f t="shared" si="54"/>
        <v/>
      </c>
      <c r="Y704" s="240" t="e">
        <f t="array" ref="Y704">INDEX(Tabela.abordagens[],SMALL(IF(Tabela.abordagens[Mês]=$L$2,ROW(Tabela.abordagens[id])-2),ROW(A657)),1)</f>
        <v>#NUM!</v>
      </c>
      <c r="Z704" s="240" t="e">
        <f t="array" ref="Z704">INDEX(Tabela.abordagens[],SMALL(IF(Tabela.abordagens[Mês]=$L$2,ROW(Tabela.abordagens[Idade])-2),ROW(A657)),6)</f>
        <v>#NUM!</v>
      </c>
      <c r="AA704" s="240" t="e">
        <f t="array" ref="AA704">INDEX(Tabela.abordagens[],SMALL(IF(Tabela.abordagens[Mês]=$L$2,ROW(Tabela.abordagens[Idade])-2),ROW(A657)),4)</f>
        <v>#NUM!</v>
      </c>
      <c r="AB704" s="240" t="e">
        <f t="array" ref="AB704">INDEX(Tabela.abordagens[],SMALL(IF(Tabela.abordagens[Mês]=$L$2,ROW(Tabela.abordagens[Idade])-2),ROW(A657)),5)</f>
        <v>#NUM!</v>
      </c>
    </row>
    <row r="705" spans="2:28" ht="15" x14ac:dyDescent="0.25">
      <c r="B705" s="223" t="e">
        <f t="array" ref="B705">INDEX(Tabela.frequencia[],SMALL(IF(Tabela.frequencia[Mês]=$L$2,ROW(Tabela.frequencia[id])-1),ROW(A658)),1)</f>
        <v>#NUM!</v>
      </c>
      <c r="C705" s="229" t="e">
        <f t="array" ref="C705">INDEX(Tabela.frequencia[],SMALL(IF(Tabela.frequencia[Mês]=$L$2,ROW(Tabela.frequencia[id])-1),ROW(A658)),4)</f>
        <v>#NUM!</v>
      </c>
      <c r="E705" s="176" t="str">
        <f>IFERROR(VLOOKUP(D705,Tabela.cadastro[[ID]:[Nome]],2,0),"")</f>
        <v/>
      </c>
      <c r="F705" s="177" t="str">
        <f>IFERROR(VLOOKUP(D705,Tabela66[#All],2,0),"")</f>
        <v/>
      </c>
      <c r="G705" s="177" t="str">
        <f>IFERROR(VLOOKUP(D705,Tabela.cadastro[[ID]:[CP ou M]],5,0),"")</f>
        <v/>
      </c>
      <c r="H705" s="177" t="str">
        <f>IFERROR(VLOOKUP(D705,Cadastros!A:F,6,0),"")</f>
        <v/>
      </c>
      <c r="I705" s="177" t="str">
        <f>IFERROR(VLOOKUP(D705,Cadastros!A:I,9,0),"")</f>
        <v/>
      </c>
      <c r="J705" s="177" t="str">
        <f>IFERROR(VLOOKUP(D705,Cadastros!A:J,10,0),"")</f>
        <v/>
      </c>
      <c r="K705" s="177" t="str">
        <f>IF(COUNTIF(Tabela66[id],D705)=0,"",COUNTIF(Tabela66[id],D705))</f>
        <v/>
      </c>
      <c r="L705" s="198"/>
      <c r="M705" s="227" t="str">
        <f t="shared" si="55"/>
        <v/>
      </c>
      <c r="P705" s="176" t="str">
        <f>IFERROR(VLOOKUP(O705,Cadastros!A:B,2),"")</f>
        <v/>
      </c>
      <c r="Q705" s="177" t="str">
        <f t="shared" si="51"/>
        <v/>
      </c>
      <c r="R705" s="177" t="str">
        <f>IFERROR(VLOOKUP(O705,Cadastros!A:E,5,0),"")</f>
        <v/>
      </c>
      <c r="S705" s="177" t="str">
        <f>IFERROR(VLOOKUP(O705,Cadastros!A:F,6,0),"")</f>
        <v/>
      </c>
      <c r="T705" s="177" t="str">
        <f>IFERROR(VLOOKUP(O705,Cadastros!A:I,9,0),"")</f>
        <v/>
      </c>
      <c r="U705" s="177" t="str">
        <f t="shared" si="52"/>
        <v/>
      </c>
      <c r="V705" s="177" t="str">
        <f t="shared" si="53"/>
        <v/>
      </c>
      <c r="W705" s="177" t="str">
        <f t="shared" si="54"/>
        <v/>
      </c>
      <c r="Y705" s="240" t="e">
        <f t="array" ref="Y705">INDEX(Tabela.abordagens[],SMALL(IF(Tabela.abordagens[Mês]=$L$2,ROW(Tabela.abordagens[id])-2),ROW(A658)),1)</f>
        <v>#NUM!</v>
      </c>
      <c r="Z705" s="240" t="e">
        <f t="array" ref="Z705">INDEX(Tabela.abordagens[],SMALL(IF(Tabela.abordagens[Mês]=$L$2,ROW(Tabela.abordagens[Idade])-2),ROW(A658)),6)</f>
        <v>#NUM!</v>
      </c>
      <c r="AA705" s="240" t="e">
        <f t="array" ref="AA705">INDEX(Tabela.abordagens[],SMALL(IF(Tabela.abordagens[Mês]=$L$2,ROW(Tabela.abordagens[Idade])-2),ROW(A658)),4)</f>
        <v>#NUM!</v>
      </c>
      <c r="AB705" s="240" t="e">
        <f t="array" ref="AB705">INDEX(Tabela.abordagens[],SMALL(IF(Tabela.abordagens[Mês]=$L$2,ROW(Tabela.abordagens[Idade])-2),ROW(A658)),5)</f>
        <v>#NUM!</v>
      </c>
    </row>
    <row r="706" spans="2:28" ht="15" x14ac:dyDescent="0.25">
      <c r="B706" s="223" t="e">
        <f t="array" ref="B706">INDEX(Tabela.frequencia[],SMALL(IF(Tabela.frequencia[Mês]=$L$2,ROW(Tabela.frequencia[id])-1),ROW(A659)),1)</f>
        <v>#NUM!</v>
      </c>
      <c r="C706" s="229" t="e">
        <f t="array" ref="C706">INDEX(Tabela.frequencia[],SMALL(IF(Tabela.frequencia[Mês]=$L$2,ROW(Tabela.frequencia[id])-1),ROW(A659)),4)</f>
        <v>#NUM!</v>
      </c>
      <c r="E706" s="176" t="str">
        <f>IFERROR(VLOOKUP(D706,Tabela.cadastro[[ID]:[Nome]],2,0),"")</f>
        <v/>
      </c>
      <c r="F706" s="177" t="str">
        <f>IFERROR(VLOOKUP(D706,Tabela66[#All],2,0),"")</f>
        <v/>
      </c>
      <c r="G706" s="177" t="str">
        <f>IFERROR(VLOOKUP(D706,Tabela.cadastro[[ID]:[CP ou M]],5,0),"")</f>
        <v/>
      </c>
      <c r="H706" s="177" t="str">
        <f>IFERROR(VLOOKUP(D706,Cadastros!A:F,6,0),"")</f>
        <v/>
      </c>
      <c r="I706" s="177" t="str">
        <f>IFERROR(VLOOKUP(D706,Cadastros!A:I,9,0),"")</f>
        <v/>
      </c>
      <c r="J706" s="177" t="str">
        <f>IFERROR(VLOOKUP(D706,Cadastros!A:J,10,0),"")</f>
        <v/>
      </c>
      <c r="K706" s="177" t="str">
        <f>IF(COUNTIF(Tabela66[id],D706)=0,"",COUNTIF(Tabela66[id],D706))</f>
        <v/>
      </c>
      <c r="L706" s="198"/>
      <c r="M706" s="227" t="str">
        <f t="shared" si="55"/>
        <v/>
      </c>
      <c r="P706" s="176" t="str">
        <f>IFERROR(VLOOKUP(O706,Cadastros!A:B,2),"")</f>
        <v/>
      </c>
      <c r="Q706" s="177" t="str">
        <f t="shared" si="51"/>
        <v/>
      </c>
      <c r="R706" s="177" t="str">
        <f>IFERROR(VLOOKUP(O706,Cadastros!A:E,5,0),"")</f>
        <v/>
      </c>
      <c r="S706" s="177" t="str">
        <f>IFERROR(VLOOKUP(O706,Cadastros!A:F,6,0),"")</f>
        <v/>
      </c>
      <c r="T706" s="177" t="str">
        <f>IFERROR(VLOOKUP(O706,Cadastros!A:I,9,0),"")</f>
        <v/>
      </c>
      <c r="U706" s="177" t="str">
        <f t="shared" si="52"/>
        <v/>
      </c>
      <c r="V706" s="177" t="str">
        <f t="shared" si="53"/>
        <v/>
      </c>
      <c r="W706" s="177" t="str">
        <f t="shared" si="54"/>
        <v/>
      </c>
      <c r="Y706" s="240" t="e">
        <f t="array" ref="Y706">INDEX(Tabela.abordagens[],SMALL(IF(Tabela.abordagens[Mês]=$L$2,ROW(Tabela.abordagens[id])-2),ROW(A659)),1)</f>
        <v>#NUM!</v>
      </c>
      <c r="Z706" s="240" t="e">
        <f t="array" ref="Z706">INDEX(Tabela.abordagens[],SMALL(IF(Tabela.abordagens[Mês]=$L$2,ROW(Tabela.abordagens[Idade])-2),ROW(A659)),6)</f>
        <v>#NUM!</v>
      </c>
      <c r="AA706" s="240" t="e">
        <f t="array" ref="AA706">INDEX(Tabela.abordagens[],SMALL(IF(Tabela.abordagens[Mês]=$L$2,ROW(Tabela.abordagens[Idade])-2),ROW(A659)),4)</f>
        <v>#NUM!</v>
      </c>
      <c r="AB706" s="240" t="e">
        <f t="array" ref="AB706">INDEX(Tabela.abordagens[],SMALL(IF(Tabela.abordagens[Mês]=$L$2,ROW(Tabela.abordagens[Idade])-2),ROW(A659)),5)</f>
        <v>#NUM!</v>
      </c>
    </row>
    <row r="707" spans="2:28" ht="15" x14ac:dyDescent="0.25">
      <c r="B707" s="223" t="e">
        <f t="array" ref="B707">INDEX(Tabela.frequencia[],SMALL(IF(Tabela.frequencia[Mês]=$L$2,ROW(Tabela.frequencia[id])-1),ROW(A660)),1)</f>
        <v>#NUM!</v>
      </c>
      <c r="C707" s="229" t="e">
        <f t="array" ref="C707">INDEX(Tabela.frequencia[],SMALL(IF(Tabela.frequencia[Mês]=$L$2,ROW(Tabela.frequencia[id])-1),ROW(A660)),4)</f>
        <v>#NUM!</v>
      </c>
      <c r="E707" s="176" t="str">
        <f>IFERROR(VLOOKUP(D707,Tabela.cadastro[[ID]:[Nome]],2,0),"")</f>
        <v/>
      </c>
      <c r="F707" s="177" t="str">
        <f>IFERROR(VLOOKUP(D707,Tabela66[#All],2,0),"")</f>
        <v/>
      </c>
      <c r="G707" s="177" t="str">
        <f>IFERROR(VLOOKUP(D707,Tabela.cadastro[[ID]:[CP ou M]],5,0),"")</f>
        <v/>
      </c>
      <c r="H707" s="177" t="str">
        <f>IFERROR(VLOOKUP(D707,Cadastros!A:F,6,0),"")</f>
        <v/>
      </c>
      <c r="I707" s="177" t="str">
        <f>IFERROR(VLOOKUP(D707,Cadastros!A:I,9,0),"")</f>
        <v/>
      </c>
      <c r="J707" s="177" t="str">
        <f>IFERROR(VLOOKUP(D707,Cadastros!A:J,10,0),"")</f>
        <v/>
      </c>
      <c r="K707" s="177" t="str">
        <f>IF(COUNTIF(Tabela66[id],D707)=0,"",COUNTIF(Tabela66[id],D707))</f>
        <v/>
      </c>
      <c r="L707" s="198"/>
      <c r="M707" s="227" t="str">
        <f t="shared" si="55"/>
        <v/>
      </c>
      <c r="P707" s="176" t="str">
        <f>IFERROR(VLOOKUP(O707,Cadastros!A:B,2),"")</f>
        <v/>
      </c>
      <c r="Q707" s="177" t="str">
        <f t="shared" si="51"/>
        <v/>
      </c>
      <c r="R707" s="177" t="str">
        <f>IFERROR(VLOOKUP(O707,Cadastros!A:E,5,0),"")</f>
        <v/>
      </c>
      <c r="S707" s="177" t="str">
        <f>IFERROR(VLOOKUP(O707,Cadastros!A:F,6,0),"")</f>
        <v/>
      </c>
      <c r="T707" s="177" t="str">
        <f>IFERROR(VLOOKUP(O707,Cadastros!A:I,9,0),"")</f>
        <v/>
      </c>
      <c r="U707" s="177" t="str">
        <f t="shared" si="52"/>
        <v/>
      </c>
      <c r="V707" s="177" t="str">
        <f t="shared" si="53"/>
        <v/>
      </c>
      <c r="W707" s="177" t="str">
        <f t="shared" si="54"/>
        <v/>
      </c>
      <c r="Y707" s="240" t="e">
        <f t="array" ref="Y707">INDEX(Tabela.abordagens[],SMALL(IF(Tabela.abordagens[Mês]=$L$2,ROW(Tabela.abordagens[id])-2),ROW(A660)),1)</f>
        <v>#NUM!</v>
      </c>
      <c r="Z707" s="240" t="e">
        <f t="array" ref="Z707">INDEX(Tabela.abordagens[],SMALL(IF(Tabela.abordagens[Mês]=$L$2,ROW(Tabela.abordagens[Idade])-2),ROW(A660)),6)</f>
        <v>#NUM!</v>
      </c>
      <c r="AA707" s="240" t="e">
        <f t="array" ref="AA707">INDEX(Tabela.abordagens[],SMALL(IF(Tabela.abordagens[Mês]=$L$2,ROW(Tabela.abordagens[Idade])-2),ROW(A660)),4)</f>
        <v>#NUM!</v>
      </c>
      <c r="AB707" s="240" t="e">
        <f t="array" ref="AB707">INDEX(Tabela.abordagens[],SMALL(IF(Tabela.abordagens[Mês]=$L$2,ROW(Tabela.abordagens[Idade])-2),ROW(A660)),5)</f>
        <v>#NUM!</v>
      </c>
    </row>
    <row r="708" spans="2:28" ht="15" x14ac:dyDescent="0.25">
      <c r="B708" s="223" t="e">
        <f t="array" ref="B708">INDEX(Tabela.frequencia[],SMALL(IF(Tabela.frequencia[Mês]=$L$2,ROW(Tabela.frequencia[id])-1),ROW(A661)),1)</f>
        <v>#NUM!</v>
      </c>
      <c r="C708" s="229" t="e">
        <f t="array" ref="C708">INDEX(Tabela.frequencia[],SMALL(IF(Tabela.frequencia[Mês]=$L$2,ROW(Tabela.frequencia[id])-1),ROW(A661)),4)</f>
        <v>#NUM!</v>
      </c>
      <c r="E708" s="176" t="str">
        <f>IFERROR(VLOOKUP(D708,Tabela.cadastro[[ID]:[Nome]],2,0),"")</f>
        <v/>
      </c>
      <c r="F708" s="177" t="str">
        <f>IFERROR(VLOOKUP(D708,Tabela66[#All],2,0),"")</f>
        <v/>
      </c>
      <c r="G708" s="177" t="str">
        <f>IFERROR(VLOOKUP(D708,Tabela.cadastro[[ID]:[CP ou M]],5,0),"")</f>
        <v/>
      </c>
      <c r="H708" s="177" t="str">
        <f>IFERROR(VLOOKUP(D708,Cadastros!A:F,6,0),"")</f>
        <v/>
      </c>
      <c r="I708" s="177" t="str">
        <f>IFERROR(VLOOKUP(D708,Cadastros!A:I,9,0),"")</f>
        <v/>
      </c>
      <c r="J708" s="177" t="str">
        <f>IFERROR(VLOOKUP(D708,Cadastros!A:J,10,0),"")</f>
        <v/>
      </c>
      <c r="K708" s="177" t="str">
        <f>IF(COUNTIF(Tabela66[id],D708)=0,"",COUNTIF(Tabela66[id],D708))</f>
        <v/>
      </c>
      <c r="L708" s="198"/>
      <c r="M708" s="227" t="str">
        <f t="shared" si="55"/>
        <v/>
      </c>
      <c r="P708" s="176" t="str">
        <f>IFERROR(VLOOKUP(O708,Cadastros!A:B,2),"")</f>
        <v/>
      </c>
      <c r="Q708" s="177" t="str">
        <f t="shared" si="51"/>
        <v/>
      </c>
      <c r="R708" s="177" t="str">
        <f>IFERROR(VLOOKUP(O708,Cadastros!A:E,5,0),"")</f>
        <v/>
      </c>
      <c r="S708" s="177" t="str">
        <f>IFERROR(VLOOKUP(O708,Cadastros!A:F,6,0),"")</f>
        <v/>
      </c>
      <c r="T708" s="177" t="str">
        <f>IFERROR(VLOOKUP(O708,Cadastros!A:I,9,0),"")</f>
        <v/>
      </c>
      <c r="U708" s="177" t="str">
        <f t="shared" si="52"/>
        <v/>
      </c>
      <c r="V708" s="177" t="str">
        <f t="shared" si="53"/>
        <v/>
      </c>
      <c r="W708" s="177" t="str">
        <f t="shared" si="54"/>
        <v/>
      </c>
      <c r="Y708" s="240" t="e">
        <f t="array" ref="Y708">INDEX(Tabela.abordagens[],SMALL(IF(Tabela.abordagens[Mês]=$L$2,ROW(Tabela.abordagens[id])-2),ROW(A661)),1)</f>
        <v>#NUM!</v>
      </c>
      <c r="Z708" s="240" t="e">
        <f t="array" ref="Z708">INDEX(Tabela.abordagens[],SMALL(IF(Tabela.abordagens[Mês]=$L$2,ROW(Tabela.abordagens[Idade])-2),ROW(A661)),6)</f>
        <v>#NUM!</v>
      </c>
      <c r="AA708" s="240" t="e">
        <f t="array" ref="AA708">INDEX(Tabela.abordagens[],SMALL(IF(Tabela.abordagens[Mês]=$L$2,ROW(Tabela.abordagens[Idade])-2),ROW(A661)),4)</f>
        <v>#NUM!</v>
      </c>
      <c r="AB708" s="240" t="e">
        <f t="array" ref="AB708">INDEX(Tabela.abordagens[],SMALL(IF(Tabela.abordagens[Mês]=$L$2,ROW(Tabela.abordagens[Idade])-2),ROW(A661)),5)</f>
        <v>#NUM!</v>
      </c>
    </row>
    <row r="709" spans="2:28" ht="15" x14ac:dyDescent="0.25">
      <c r="B709" s="223" t="e">
        <f t="array" ref="B709">INDEX(Tabela.frequencia[],SMALL(IF(Tabela.frequencia[Mês]=$L$2,ROW(Tabela.frequencia[id])-1),ROW(A662)),1)</f>
        <v>#NUM!</v>
      </c>
      <c r="C709" s="229" t="e">
        <f t="array" ref="C709">INDEX(Tabela.frequencia[],SMALL(IF(Tabela.frequencia[Mês]=$L$2,ROW(Tabela.frequencia[id])-1),ROW(A662)),4)</f>
        <v>#NUM!</v>
      </c>
      <c r="E709" s="176" t="str">
        <f>IFERROR(VLOOKUP(D709,Tabela.cadastro[[ID]:[Nome]],2,0),"")</f>
        <v/>
      </c>
      <c r="F709" s="177" t="str">
        <f>IFERROR(VLOOKUP(D709,Tabela66[#All],2,0),"")</f>
        <v/>
      </c>
      <c r="G709" s="177" t="str">
        <f>IFERROR(VLOOKUP(D709,Tabela.cadastro[[ID]:[CP ou M]],5,0),"")</f>
        <v/>
      </c>
      <c r="H709" s="177" t="str">
        <f>IFERROR(VLOOKUP(D709,Cadastros!A:F,6,0),"")</f>
        <v/>
      </c>
      <c r="I709" s="177" t="str">
        <f>IFERROR(VLOOKUP(D709,Cadastros!A:I,9,0),"")</f>
        <v/>
      </c>
      <c r="J709" s="177" t="str">
        <f>IFERROR(VLOOKUP(D709,Cadastros!A:J,10,0),"")</f>
        <v/>
      </c>
      <c r="K709" s="177" t="str">
        <f>IF(COUNTIF(Tabela66[id],D709)=0,"",COUNTIF(Tabela66[id],D709))</f>
        <v/>
      </c>
      <c r="L709" s="198"/>
      <c r="M709" s="227" t="str">
        <f t="shared" si="55"/>
        <v/>
      </c>
      <c r="P709" s="176" t="str">
        <f>IFERROR(VLOOKUP(O709,Cadastros!A:B,2),"")</f>
        <v/>
      </c>
      <c r="Q709" s="177" t="str">
        <f t="shared" si="51"/>
        <v/>
      </c>
      <c r="R709" s="177" t="str">
        <f>IFERROR(VLOOKUP(O709,Cadastros!A:E,5,0),"")</f>
        <v/>
      </c>
      <c r="S709" s="177" t="str">
        <f>IFERROR(VLOOKUP(O709,Cadastros!A:F,6,0),"")</f>
        <v/>
      </c>
      <c r="T709" s="177" t="str">
        <f>IFERROR(VLOOKUP(O709,Cadastros!A:I,9,0),"")</f>
        <v/>
      </c>
      <c r="U709" s="177" t="str">
        <f t="shared" si="52"/>
        <v/>
      </c>
      <c r="V709" s="177" t="str">
        <f t="shared" si="53"/>
        <v/>
      </c>
      <c r="W709" s="177" t="str">
        <f t="shared" si="54"/>
        <v/>
      </c>
      <c r="Y709" s="240" t="e">
        <f t="array" ref="Y709">INDEX(Tabela.abordagens[],SMALL(IF(Tabela.abordagens[Mês]=$L$2,ROW(Tabela.abordagens[id])-2),ROW(A662)),1)</f>
        <v>#NUM!</v>
      </c>
      <c r="Z709" s="240" t="e">
        <f t="array" ref="Z709">INDEX(Tabela.abordagens[],SMALL(IF(Tabela.abordagens[Mês]=$L$2,ROW(Tabela.abordagens[Idade])-2),ROW(A662)),6)</f>
        <v>#NUM!</v>
      </c>
      <c r="AA709" s="240" t="e">
        <f t="array" ref="AA709">INDEX(Tabela.abordagens[],SMALL(IF(Tabela.abordagens[Mês]=$L$2,ROW(Tabela.abordagens[Idade])-2),ROW(A662)),4)</f>
        <v>#NUM!</v>
      </c>
      <c r="AB709" s="240" t="e">
        <f t="array" ref="AB709">INDEX(Tabela.abordagens[],SMALL(IF(Tabela.abordagens[Mês]=$L$2,ROW(Tabela.abordagens[Idade])-2),ROW(A662)),5)</f>
        <v>#NUM!</v>
      </c>
    </row>
    <row r="710" spans="2:28" ht="15" x14ac:dyDescent="0.25">
      <c r="B710" s="223" t="e">
        <f t="array" ref="B710">INDEX(Tabela.frequencia[],SMALL(IF(Tabela.frequencia[Mês]=$L$2,ROW(Tabela.frequencia[id])-1),ROW(A663)),1)</f>
        <v>#NUM!</v>
      </c>
      <c r="C710" s="229" t="e">
        <f t="array" ref="C710">INDEX(Tabela.frequencia[],SMALL(IF(Tabela.frequencia[Mês]=$L$2,ROW(Tabela.frequencia[id])-1),ROW(A663)),4)</f>
        <v>#NUM!</v>
      </c>
      <c r="E710" s="176" t="str">
        <f>IFERROR(VLOOKUP(D710,Tabela.cadastro[[ID]:[Nome]],2,0),"")</f>
        <v/>
      </c>
      <c r="F710" s="177" t="str">
        <f>IFERROR(VLOOKUP(D710,Tabela66[#All],2,0),"")</f>
        <v/>
      </c>
      <c r="G710" s="177" t="str">
        <f>IFERROR(VLOOKUP(D710,Tabela.cadastro[[ID]:[CP ou M]],5,0),"")</f>
        <v/>
      </c>
      <c r="H710" s="177" t="str">
        <f>IFERROR(VLOOKUP(D710,Cadastros!A:F,6,0),"")</f>
        <v/>
      </c>
      <c r="I710" s="177" t="str">
        <f>IFERROR(VLOOKUP(D710,Cadastros!A:I,9,0),"")</f>
        <v/>
      </c>
      <c r="J710" s="177" t="str">
        <f>IFERROR(VLOOKUP(D710,Cadastros!A:J,10,0),"")</f>
        <v/>
      </c>
      <c r="K710" s="177" t="str">
        <f>IF(COUNTIF(Tabela66[id],D710)=0,"",COUNTIF(Tabela66[id],D710))</f>
        <v/>
      </c>
      <c r="L710" s="198"/>
      <c r="M710" s="227" t="str">
        <f t="shared" si="55"/>
        <v/>
      </c>
      <c r="P710" s="176" t="str">
        <f>IFERROR(VLOOKUP(O710,Cadastros!A:B,2),"")</f>
        <v/>
      </c>
      <c r="Q710" s="177" t="str">
        <f t="shared" si="51"/>
        <v/>
      </c>
      <c r="R710" s="177" t="str">
        <f>IFERROR(VLOOKUP(O710,Cadastros!A:E,5,0),"")</f>
        <v/>
      </c>
      <c r="S710" s="177" t="str">
        <f>IFERROR(VLOOKUP(O710,Cadastros!A:F,6,0),"")</f>
        <v/>
      </c>
      <c r="T710" s="177" t="str">
        <f>IFERROR(VLOOKUP(O710,Cadastros!A:I,9,0),"")</f>
        <v/>
      </c>
      <c r="U710" s="177" t="str">
        <f t="shared" si="52"/>
        <v/>
      </c>
      <c r="V710" s="177" t="str">
        <f t="shared" si="53"/>
        <v/>
      </c>
      <c r="W710" s="177" t="str">
        <f t="shared" si="54"/>
        <v/>
      </c>
      <c r="Y710" s="240" t="e">
        <f t="array" ref="Y710">INDEX(Tabela.abordagens[],SMALL(IF(Tabela.abordagens[Mês]=$L$2,ROW(Tabela.abordagens[id])-2),ROW(A663)),1)</f>
        <v>#NUM!</v>
      </c>
      <c r="Z710" s="240" t="e">
        <f t="array" ref="Z710">INDEX(Tabela.abordagens[],SMALL(IF(Tabela.abordagens[Mês]=$L$2,ROW(Tabela.abordagens[Idade])-2),ROW(A663)),6)</f>
        <v>#NUM!</v>
      </c>
      <c r="AA710" s="240" t="e">
        <f t="array" ref="AA710">INDEX(Tabela.abordagens[],SMALL(IF(Tabela.abordagens[Mês]=$L$2,ROW(Tabela.abordagens[Idade])-2),ROW(A663)),4)</f>
        <v>#NUM!</v>
      </c>
      <c r="AB710" s="240" t="e">
        <f t="array" ref="AB710">INDEX(Tabela.abordagens[],SMALL(IF(Tabela.abordagens[Mês]=$L$2,ROW(Tabela.abordagens[Idade])-2),ROW(A663)),5)</f>
        <v>#NUM!</v>
      </c>
    </row>
    <row r="711" spans="2:28" ht="15" x14ac:dyDescent="0.25">
      <c r="B711" s="223" t="e">
        <f t="array" ref="B711">INDEX(Tabela.frequencia[],SMALL(IF(Tabela.frequencia[Mês]=$L$2,ROW(Tabela.frequencia[id])-1),ROW(A664)),1)</f>
        <v>#NUM!</v>
      </c>
      <c r="C711" s="229" t="e">
        <f t="array" ref="C711">INDEX(Tabela.frequencia[],SMALL(IF(Tabela.frequencia[Mês]=$L$2,ROW(Tabela.frequencia[id])-1),ROW(A664)),4)</f>
        <v>#NUM!</v>
      </c>
      <c r="E711" s="176" t="str">
        <f>IFERROR(VLOOKUP(D711,Tabela.cadastro[[ID]:[Nome]],2,0),"")</f>
        <v/>
      </c>
      <c r="F711" s="177" t="str">
        <f>IFERROR(VLOOKUP(D711,Tabela66[#All],2,0),"")</f>
        <v/>
      </c>
      <c r="G711" s="177" t="str">
        <f>IFERROR(VLOOKUP(D711,Tabela.cadastro[[ID]:[CP ou M]],5,0),"")</f>
        <v/>
      </c>
      <c r="H711" s="177" t="str">
        <f>IFERROR(VLOOKUP(D711,Cadastros!A:F,6,0),"")</f>
        <v/>
      </c>
      <c r="I711" s="177" t="str">
        <f>IFERROR(VLOOKUP(D711,Cadastros!A:I,9,0),"")</f>
        <v/>
      </c>
      <c r="J711" s="177" t="str">
        <f>IFERROR(VLOOKUP(D711,Cadastros!A:J,10,0),"")</f>
        <v/>
      </c>
      <c r="K711" s="177" t="str">
        <f>IF(COUNTIF(Tabela66[id],D711)=0,"",COUNTIF(Tabela66[id],D711))</f>
        <v/>
      </c>
      <c r="L711" s="198"/>
      <c r="M711" s="227" t="str">
        <f t="shared" si="55"/>
        <v/>
      </c>
      <c r="P711" s="176" t="str">
        <f>IFERROR(VLOOKUP(O711,Cadastros!A:B,2),"")</f>
        <v/>
      </c>
      <c r="Q711" s="177" t="str">
        <f t="shared" si="51"/>
        <v/>
      </c>
      <c r="R711" s="177" t="str">
        <f>IFERROR(VLOOKUP(O711,Cadastros!A:E,5,0),"")</f>
        <v/>
      </c>
      <c r="S711" s="177" t="str">
        <f>IFERROR(VLOOKUP(O711,Cadastros!A:F,6,0),"")</f>
        <v/>
      </c>
      <c r="T711" s="177" t="str">
        <f>IFERROR(VLOOKUP(O711,Cadastros!A:I,9,0),"")</f>
        <v/>
      </c>
      <c r="U711" s="177" t="str">
        <f t="shared" si="52"/>
        <v/>
      </c>
      <c r="V711" s="177" t="str">
        <f t="shared" si="53"/>
        <v/>
      </c>
      <c r="W711" s="177" t="str">
        <f t="shared" si="54"/>
        <v/>
      </c>
      <c r="Y711" s="240" t="e">
        <f t="array" ref="Y711">INDEX(Tabela.abordagens[],SMALL(IF(Tabela.abordagens[Mês]=$L$2,ROW(Tabela.abordagens[id])-2),ROW(A664)),1)</f>
        <v>#NUM!</v>
      </c>
      <c r="Z711" s="240" t="e">
        <f t="array" ref="Z711">INDEX(Tabela.abordagens[],SMALL(IF(Tabela.abordagens[Mês]=$L$2,ROW(Tabela.abordagens[Idade])-2),ROW(A664)),6)</f>
        <v>#NUM!</v>
      </c>
      <c r="AA711" s="240" t="e">
        <f t="array" ref="AA711">INDEX(Tabela.abordagens[],SMALL(IF(Tabela.abordagens[Mês]=$L$2,ROW(Tabela.abordagens[Idade])-2),ROW(A664)),4)</f>
        <v>#NUM!</v>
      </c>
      <c r="AB711" s="240" t="e">
        <f t="array" ref="AB711">INDEX(Tabela.abordagens[],SMALL(IF(Tabela.abordagens[Mês]=$L$2,ROW(Tabela.abordagens[Idade])-2),ROW(A664)),5)</f>
        <v>#NUM!</v>
      </c>
    </row>
    <row r="712" spans="2:28" ht="15" x14ac:dyDescent="0.25">
      <c r="B712" s="223" t="e">
        <f t="array" ref="B712">INDEX(Tabela.frequencia[],SMALL(IF(Tabela.frequencia[Mês]=$L$2,ROW(Tabela.frequencia[id])-1),ROW(A665)),1)</f>
        <v>#NUM!</v>
      </c>
      <c r="C712" s="229" t="e">
        <f t="array" ref="C712">INDEX(Tabela.frequencia[],SMALL(IF(Tabela.frequencia[Mês]=$L$2,ROW(Tabela.frequencia[id])-1),ROW(A665)),4)</f>
        <v>#NUM!</v>
      </c>
      <c r="E712" s="176" t="str">
        <f>IFERROR(VLOOKUP(D712,Tabela.cadastro[[ID]:[Nome]],2,0),"")</f>
        <v/>
      </c>
      <c r="F712" s="177" t="str">
        <f>IFERROR(VLOOKUP(D712,Tabela66[#All],2,0),"")</f>
        <v/>
      </c>
      <c r="G712" s="177" t="str">
        <f>IFERROR(VLOOKUP(D712,Tabela.cadastro[[ID]:[CP ou M]],5,0),"")</f>
        <v/>
      </c>
      <c r="H712" s="177" t="str">
        <f>IFERROR(VLOOKUP(D712,Cadastros!A:F,6,0),"")</f>
        <v/>
      </c>
      <c r="I712" s="177" t="str">
        <f>IFERROR(VLOOKUP(D712,Cadastros!A:I,9,0),"")</f>
        <v/>
      </c>
      <c r="J712" s="177" t="str">
        <f>IFERROR(VLOOKUP(D712,Cadastros!A:J,10,0),"")</f>
        <v/>
      </c>
      <c r="K712" s="177" t="str">
        <f>IF(COUNTIF(Tabela66[id],D712)=0,"",COUNTIF(Tabela66[id],D712))</f>
        <v/>
      </c>
      <c r="L712" s="198"/>
      <c r="M712" s="227" t="str">
        <f t="shared" si="55"/>
        <v/>
      </c>
      <c r="P712" s="176" t="str">
        <f>IFERROR(VLOOKUP(O712,Cadastros!A:B,2),"")</f>
        <v/>
      </c>
      <c r="Q712" s="177" t="str">
        <f t="shared" si="51"/>
        <v/>
      </c>
      <c r="R712" s="177" t="str">
        <f>IFERROR(VLOOKUP(O712,Cadastros!A:E,5,0),"")</f>
        <v/>
      </c>
      <c r="S712" s="177" t="str">
        <f>IFERROR(VLOOKUP(O712,Cadastros!A:F,6,0),"")</f>
        <v/>
      </c>
      <c r="T712" s="177" t="str">
        <f>IFERROR(VLOOKUP(O712,Cadastros!A:I,9,0),"")</f>
        <v/>
      </c>
      <c r="U712" s="177" t="str">
        <f t="shared" si="52"/>
        <v/>
      </c>
      <c r="V712" s="177" t="str">
        <f t="shared" si="53"/>
        <v/>
      </c>
      <c r="W712" s="177" t="str">
        <f t="shared" si="54"/>
        <v/>
      </c>
      <c r="Y712" s="240" t="e">
        <f t="array" ref="Y712">INDEX(Tabela.abordagens[],SMALL(IF(Tabela.abordagens[Mês]=$L$2,ROW(Tabela.abordagens[id])-2),ROW(A665)),1)</f>
        <v>#NUM!</v>
      </c>
      <c r="Z712" s="240" t="e">
        <f t="array" ref="Z712">INDEX(Tabela.abordagens[],SMALL(IF(Tabela.abordagens[Mês]=$L$2,ROW(Tabela.abordagens[Idade])-2),ROW(A665)),6)</f>
        <v>#NUM!</v>
      </c>
      <c r="AA712" s="240" t="e">
        <f t="array" ref="AA712">INDEX(Tabela.abordagens[],SMALL(IF(Tabela.abordagens[Mês]=$L$2,ROW(Tabela.abordagens[Idade])-2),ROW(A665)),4)</f>
        <v>#NUM!</v>
      </c>
      <c r="AB712" s="240" t="e">
        <f t="array" ref="AB712">INDEX(Tabela.abordagens[],SMALL(IF(Tabela.abordagens[Mês]=$L$2,ROW(Tabela.abordagens[Idade])-2),ROW(A665)),5)</f>
        <v>#NUM!</v>
      </c>
    </row>
    <row r="713" spans="2:28" ht="15" x14ac:dyDescent="0.25">
      <c r="B713" s="223" t="e">
        <f t="array" ref="B713">INDEX(Tabela.frequencia[],SMALL(IF(Tabela.frequencia[Mês]=$L$2,ROW(Tabela.frequencia[id])-1),ROW(A666)),1)</f>
        <v>#NUM!</v>
      </c>
      <c r="C713" s="229" t="e">
        <f t="array" ref="C713">INDEX(Tabela.frequencia[],SMALL(IF(Tabela.frequencia[Mês]=$L$2,ROW(Tabela.frequencia[id])-1),ROW(A666)),4)</f>
        <v>#NUM!</v>
      </c>
      <c r="E713" s="176" t="str">
        <f>IFERROR(VLOOKUP(D713,Tabela.cadastro[[ID]:[Nome]],2,0),"")</f>
        <v/>
      </c>
      <c r="F713" s="177" t="str">
        <f>IFERROR(VLOOKUP(D713,Tabela66[#All],2,0),"")</f>
        <v/>
      </c>
      <c r="G713" s="177" t="str">
        <f>IFERROR(VLOOKUP(D713,Tabela.cadastro[[ID]:[CP ou M]],5,0),"")</f>
        <v/>
      </c>
      <c r="H713" s="177" t="str">
        <f>IFERROR(VLOOKUP(D713,Cadastros!A:F,6,0),"")</f>
        <v/>
      </c>
      <c r="I713" s="177" t="str">
        <f>IFERROR(VLOOKUP(D713,Cadastros!A:I,9,0),"")</f>
        <v/>
      </c>
      <c r="J713" s="177" t="str">
        <f>IFERROR(VLOOKUP(D713,Cadastros!A:J,10,0),"")</f>
        <v/>
      </c>
      <c r="K713" s="177" t="str">
        <f>IF(COUNTIF(Tabela66[id],D713)=0,"",COUNTIF(Tabela66[id],D713))</f>
        <v/>
      </c>
      <c r="L713" s="198"/>
      <c r="M713" s="227" t="str">
        <f t="shared" si="55"/>
        <v/>
      </c>
      <c r="P713" s="176" t="str">
        <f>IFERROR(VLOOKUP(O713,Cadastros!A:B,2),"")</f>
        <v/>
      </c>
      <c r="Q713" s="177" t="str">
        <f t="shared" si="51"/>
        <v/>
      </c>
      <c r="R713" s="177" t="str">
        <f>IFERROR(VLOOKUP(O713,Cadastros!A:E,5,0),"")</f>
        <v/>
      </c>
      <c r="S713" s="177" t="str">
        <f>IFERROR(VLOOKUP(O713,Cadastros!A:F,6,0),"")</f>
        <v/>
      </c>
      <c r="T713" s="177" t="str">
        <f>IFERROR(VLOOKUP(O713,Cadastros!A:I,9,0),"")</f>
        <v/>
      </c>
      <c r="U713" s="177" t="str">
        <f t="shared" si="52"/>
        <v/>
      </c>
      <c r="V713" s="177" t="str">
        <f t="shared" si="53"/>
        <v/>
      </c>
      <c r="W713" s="177" t="str">
        <f t="shared" si="54"/>
        <v/>
      </c>
      <c r="Y713" s="240" t="e">
        <f t="array" ref="Y713">INDEX(Tabela.abordagens[],SMALL(IF(Tabela.abordagens[Mês]=$L$2,ROW(Tabela.abordagens[id])-2),ROW(A666)),1)</f>
        <v>#NUM!</v>
      </c>
      <c r="Z713" s="240" t="e">
        <f t="array" ref="Z713">INDEX(Tabela.abordagens[],SMALL(IF(Tabela.abordagens[Mês]=$L$2,ROW(Tabela.abordagens[Idade])-2),ROW(A666)),6)</f>
        <v>#NUM!</v>
      </c>
      <c r="AA713" s="240" t="e">
        <f t="array" ref="AA713">INDEX(Tabela.abordagens[],SMALL(IF(Tabela.abordagens[Mês]=$L$2,ROW(Tabela.abordagens[Idade])-2),ROW(A666)),4)</f>
        <v>#NUM!</v>
      </c>
      <c r="AB713" s="240" t="e">
        <f t="array" ref="AB713">INDEX(Tabela.abordagens[],SMALL(IF(Tabela.abordagens[Mês]=$L$2,ROW(Tabela.abordagens[Idade])-2),ROW(A666)),5)</f>
        <v>#NUM!</v>
      </c>
    </row>
    <row r="714" spans="2:28" ht="15" x14ac:dyDescent="0.25">
      <c r="B714" s="223" t="e">
        <f t="array" ref="B714">INDEX(Tabela.frequencia[],SMALL(IF(Tabela.frequencia[Mês]=$L$2,ROW(Tabela.frequencia[id])-1),ROW(A667)),1)</f>
        <v>#NUM!</v>
      </c>
      <c r="C714" s="229" t="e">
        <f t="array" ref="C714">INDEX(Tabela.frequencia[],SMALL(IF(Tabela.frequencia[Mês]=$L$2,ROW(Tabela.frequencia[id])-1),ROW(A667)),4)</f>
        <v>#NUM!</v>
      </c>
      <c r="E714" s="176" t="str">
        <f>IFERROR(VLOOKUP(D714,Tabela.cadastro[[ID]:[Nome]],2,0),"")</f>
        <v/>
      </c>
      <c r="F714" s="177" t="str">
        <f>IFERROR(VLOOKUP(D714,Tabela66[#All],2,0),"")</f>
        <v/>
      </c>
      <c r="G714" s="177" t="str">
        <f>IFERROR(VLOOKUP(D714,Tabela.cadastro[[ID]:[CP ou M]],5,0),"")</f>
        <v/>
      </c>
      <c r="H714" s="177" t="str">
        <f>IFERROR(VLOOKUP(D714,Cadastros!A:F,6,0),"")</f>
        <v/>
      </c>
      <c r="I714" s="177" t="str">
        <f>IFERROR(VLOOKUP(D714,Cadastros!A:I,9,0),"")</f>
        <v/>
      </c>
      <c r="J714" s="177" t="str">
        <f>IFERROR(VLOOKUP(D714,Cadastros!A:J,10,0),"")</f>
        <v/>
      </c>
      <c r="K714" s="177" t="str">
        <f>IF(COUNTIF(Tabela66[id],D714)=0,"",COUNTIF(Tabela66[id],D714))</f>
        <v/>
      </c>
      <c r="L714" s="198"/>
      <c r="M714" s="227" t="str">
        <f t="shared" si="55"/>
        <v/>
      </c>
      <c r="P714" s="176" t="str">
        <f>IFERROR(VLOOKUP(O714,Cadastros!A:B,2),"")</f>
        <v/>
      </c>
      <c r="Q714" s="177" t="str">
        <f t="shared" si="51"/>
        <v/>
      </c>
      <c r="R714" s="177" t="str">
        <f>IFERROR(VLOOKUP(O714,Cadastros!A:E,5,0),"")</f>
        <v/>
      </c>
      <c r="S714" s="177" t="str">
        <f>IFERROR(VLOOKUP(O714,Cadastros!A:F,6,0),"")</f>
        <v/>
      </c>
      <c r="T714" s="177" t="str">
        <f>IFERROR(VLOOKUP(O714,Cadastros!A:I,9,0),"")</f>
        <v/>
      </c>
      <c r="U714" s="177" t="str">
        <f t="shared" si="52"/>
        <v/>
      </c>
      <c r="V714" s="177" t="str">
        <f t="shared" si="53"/>
        <v/>
      </c>
      <c r="W714" s="177" t="str">
        <f t="shared" si="54"/>
        <v/>
      </c>
      <c r="Y714" s="240" t="e">
        <f t="array" ref="Y714">INDEX(Tabela.abordagens[],SMALL(IF(Tabela.abordagens[Mês]=$L$2,ROW(Tabela.abordagens[id])-2),ROW(A667)),1)</f>
        <v>#NUM!</v>
      </c>
      <c r="Z714" s="240" t="e">
        <f t="array" ref="Z714">INDEX(Tabela.abordagens[],SMALL(IF(Tabela.abordagens[Mês]=$L$2,ROW(Tabela.abordagens[Idade])-2),ROW(A667)),6)</f>
        <v>#NUM!</v>
      </c>
      <c r="AA714" s="240" t="e">
        <f t="array" ref="AA714">INDEX(Tabela.abordagens[],SMALL(IF(Tabela.abordagens[Mês]=$L$2,ROW(Tabela.abordagens[Idade])-2),ROW(A667)),4)</f>
        <v>#NUM!</v>
      </c>
      <c r="AB714" s="240" t="e">
        <f t="array" ref="AB714">INDEX(Tabela.abordagens[],SMALL(IF(Tabela.abordagens[Mês]=$L$2,ROW(Tabela.abordagens[Idade])-2),ROW(A667)),5)</f>
        <v>#NUM!</v>
      </c>
    </row>
    <row r="715" spans="2:28" ht="15" x14ac:dyDescent="0.25">
      <c r="B715" s="223" t="e">
        <f t="array" ref="B715">INDEX(Tabela.frequencia[],SMALL(IF(Tabela.frequencia[Mês]=$L$2,ROW(Tabela.frequencia[id])-1),ROW(A668)),1)</f>
        <v>#NUM!</v>
      </c>
      <c r="C715" s="229" t="e">
        <f t="array" ref="C715">INDEX(Tabela.frequencia[],SMALL(IF(Tabela.frequencia[Mês]=$L$2,ROW(Tabela.frequencia[id])-1),ROW(A668)),4)</f>
        <v>#NUM!</v>
      </c>
      <c r="E715" s="176" t="str">
        <f>IFERROR(VLOOKUP(D715,Tabela.cadastro[[ID]:[Nome]],2,0),"")</f>
        <v/>
      </c>
      <c r="F715" s="177" t="str">
        <f>IFERROR(VLOOKUP(D715,Tabela66[#All],2,0),"")</f>
        <v/>
      </c>
      <c r="G715" s="177" t="str">
        <f>IFERROR(VLOOKUP(D715,Tabela.cadastro[[ID]:[CP ou M]],5,0),"")</f>
        <v/>
      </c>
      <c r="H715" s="177" t="str">
        <f>IFERROR(VLOOKUP(D715,Cadastros!A:F,6,0),"")</f>
        <v/>
      </c>
      <c r="I715" s="177" t="str">
        <f>IFERROR(VLOOKUP(D715,Cadastros!A:I,9,0),"")</f>
        <v/>
      </c>
      <c r="J715" s="177" t="str">
        <f>IFERROR(VLOOKUP(D715,Cadastros!A:J,10,0),"")</f>
        <v/>
      </c>
      <c r="K715" s="177" t="str">
        <f>IF(COUNTIF(Tabela66[id],D715)=0,"",COUNTIF(Tabela66[id],D715))</f>
        <v/>
      </c>
      <c r="L715" s="198"/>
      <c r="M715" s="227" t="str">
        <f t="shared" si="55"/>
        <v/>
      </c>
      <c r="P715" s="176" t="str">
        <f>IFERROR(VLOOKUP(O715,Cadastros!A:B,2),"")</f>
        <v/>
      </c>
      <c r="Q715" s="177" t="str">
        <f t="shared" si="51"/>
        <v/>
      </c>
      <c r="R715" s="177" t="str">
        <f>IFERROR(VLOOKUP(O715,Cadastros!A:E,5,0),"")</f>
        <v/>
      </c>
      <c r="S715" s="177" t="str">
        <f>IFERROR(VLOOKUP(O715,Cadastros!A:F,6,0),"")</f>
        <v/>
      </c>
      <c r="T715" s="177" t="str">
        <f>IFERROR(VLOOKUP(O715,Cadastros!A:I,9,0),"")</f>
        <v/>
      </c>
      <c r="U715" s="177" t="str">
        <f t="shared" si="52"/>
        <v/>
      </c>
      <c r="V715" s="177" t="str">
        <f t="shared" si="53"/>
        <v/>
      </c>
      <c r="W715" s="177" t="str">
        <f t="shared" si="54"/>
        <v/>
      </c>
      <c r="Y715" s="240" t="e">
        <f t="array" ref="Y715">INDEX(Tabela.abordagens[],SMALL(IF(Tabela.abordagens[Mês]=$L$2,ROW(Tabela.abordagens[id])-2),ROW(A668)),1)</f>
        <v>#NUM!</v>
      </c>
      <c r="Z715" s="240" t="e">
        <f t="array" ref="Z715">INDEX(Tabela.abordagens[],SMALL(IF(Tabela.abordagens[Mês]=$L$2,ROW(Tabela.abordagens[Idade])-2),ROW(A668)),6)</f>
        <v>#NUM!</v>
      </c>
      <c r="AA715" s="240" t="e">
        <f t="array" ref="AA715">INDEX(Tabela.abordagens[],SMALL(IF(Tabela.abordagens[Mês]=$L$2,ROW(Tabela.abordagens[Idade])-2),ROW(A668)),4)</f>
        <v>#NUM!</v>
      </c>
      <c r="AB715" s="240" t="e">
        <f t="array" ref="AB715">INDEX(Tabela.abordagens[],SMALL(IF(Tabela.abordagens[Mês]=$L$2,ROW(Tabela.abordagens[Idade])-2),ROW(A668)),5)</f>
        <v>#NUM!</v>
      </c>
    </row>
    <row r="716" spans="2:28" ht="15" x14ac:dyDescent="0.25">
      <c r="B716" s="223" t="e">
        <f t="array" ref="B716">INDEX(Tabela.frequencia[],SMALL(IF(Tabela.frequencia[Mês]=$L$2,ROW(Tabela.frequencia[id])-1),ROW(A669)),1)</f>
        <v>#NUM!</v>
      </c>
      <c r="C716" s="229" t="e">
        <f t="array" ref="C716">INDEX(Tabela.frequencia[],SMALL(IF(Tabela.frequencia[Mês]=$L$2,ROW(Tabela.frequencia[id])-1),ROW(A669)),4)</f>
        <v>#NUM!</v>
      </c>
      <c r="E716" s="176" t="str">
        <f>IFERROR(VLOOKUP(D716,Tabela.cadastro[[ID]:[Nome]],2,0),"")</f>
        <v/>
      </c>
      <c r="F716" s="177" t="str">
        <f>IFERROR(VLOOKUP(D716,Tabela66[#All],2,0),"")</f>
        <v/>
      </c>
      <c r="G716" s="177" t="str">
        <f>IFERROR(VLOOKUP(D716,Tabela.cadastro[[ID]:[CP ou M]],5,0),"")</f>
        <v/>
      </c>
      <c r="H716" s="177" t="str">
        <f>IFERROR(VLOOKUP(D716,Cadastros!A:F,6,0),"")</f>
        <v/>
      </c>
      <c r="I716" s="177" t="str">
        <f>IFERROR(VLOOKUP(D716,Cadastros!A:I,9,0),"")</f>
        <v/>
      </c>
      <c r="J716" s="177" t="str">
        <f>IFERROR(VLOOKUP(D716,Cadastros!A:J,10,0),"")</f>
        <v/>
      </c>
      <c r="K716" s="177" t="str">
        <f>IF(COUNTIF(Tabela66[id],D716)=0,"",COUNTIF(Tabela66[id],D716))</f>
        <v/>
      </c>
      <c r="L716" s="198"/>
      <c r="M716" s="227" t="str">
        <f t="shared" si="55"/>
        <v/>
      </c>
      <c r="P716" s="176" t="str">
        <f>IFERROR(VLOOKUP(O716,Cadastros!A:B,2),"")</f>
        <v/>
      </c>
      <c r="Q716" s="177" t="str">
        <f t="shared" si="51"/>
        <v/>
      </c>
      <c r="R716" s="177" t="str">
        <f>IFERROR(VLOOKUP(O716,Cadastros!A:E,5,0),"")</f>
        <v/>
      </c>
      <c r="S716" s="177" t="str">
        <f>IFERROR(VLOOKUP(O716,Cadastros!A:F,6,0),"")</f>
        <v/>
      </c>
      <c r="T716" s="177" t="str">
        <f>IFERROR(VLOOKUP(O716,Cadastros!A:I,9,0),"")</f>
        <v/>
      </c>
      <c r="U716" s="177" t="str">
        <f t="shared" si="52"/>
        <v/>
      </c>
      <c r="V716" s="177" t="str">
        <f t="shared" si="53"/>
        <v/>
      </c>
      <c r="W716" s="177" t="str">
        <f t="shared" si="54"/>
        <v/>
      </c>
      <c r="Y716" s="240" t="e">
        <f t="array" ref="Y716">INDEX(Tabela.abordagens[],SMALL(IF(Tabela.abordagens[Mês]=$L$2,ROW(Tabela.abordagens[id])-2),ROW(A669)),1)</f>
        <v>#NUM!</v>
      </c>
      <c r="Z716" s="240" t="e">
        <f t="array" ref="Z716">INDEX(Tabela.abordagens[],SMALL(IF(Tabela.abordagens[Mês]=$L$2,ROW(Tabela.abordagens[Idade])-2),ROW(A669)),6)</f>
        <v>#NUM!</v>
      </c>
      <c r="AA716" s="240" t="e">
        <f t="array" ref="AA716">INDEX(Tabela.abordagens[],SMALL(IF(Tabela.abordagens[Mês]=$L$2,ROW(Tabela.abordagens[Idade])-2),ROW(A669)),4)</f>
        <v>#NUM!</v>
      </c>
      <c r="AB716" s="240" t="e">
        <f t="array" ref="AB716">INDEX(Tabela.abordagens[],SMALL(IF(Tabela.abordagens[Mês]=$L$2,ROW(Tabela.abordagens[Idade])-2),ROW(A669)),5)</f>
        <v>#NUM!</v>
      </c>
    </row>
    <row r="717" spans="2:28" ht="15" x14ac:dyDescent="0.25">
      <c r="B717" s="223" t="e">
        <f t="array" ref="B717">INDEX(Tabela.frequencia[],SMALL(IF(Tabela.frequencia[Mês]=$L$2,ROW(Tabela.frequencia[id])-1),ROW(A670)),1)</f>
        <v>#NUM!</v>
      </c>
      <c r="C717" s="229" t="e">
        <f t="array" ref="C717">INDEX(Tabela.frequencia[],SMALL(IF(Tabela.frequencia[Mês]=$L$2,ROW(Tabela.frequencia[id])-1),ROW(A670)),4)</f>
        <v>#NUM!</v>
      </c>
      <c r="E717" s="176" t="str">
        <f>IFERROR(VLOOKUP(D717,Tabela.cadastro[[ID]:[Nome]],2,0),"")</f>
        <v/>
      </c>
      <c r="F717" s="177" t="str">
        <f>IFERROR(VLOOKUP(D717,Tabela66[#All],2,0),"")</f>
        <v/>
      </c>
      <c r="G717" s="177" t="str">
        <f>IFERROR(VLOOKUP(D717,Tabela.cadastro[[ID]:[CP ou M]],5,0),"")</f>
        <v/>
      </c>
      <c r="H717" s="177" t="str">
        <f>IFERROR(VLOOKUP(D717,Cadastros!A:F,6,0),"")</f>
        <v/>
      </c>
      <c r="I717" s="177" t="str">
        <f>IFERROR(VLOOKUP(D717,Cadastros!A:I,9,0),"")</f>
        <v/>
      </c>
      <c r="J717" s="177" t="str">
        <f>IFERROR(VLOOKUP(D717,Cadastros!A:J,10,0),"")</f>
        <v/>
      </c>
      <c r="K717" s="177" t="str">
        <f>IF(COUNTIF(Tabela66[id],D717)=0,"",COUNTIF(Tabela66[id],D717))</f>
        <v/>
      </c>
      <c r="L717" s="198"/>
      <c r="M717" s="227" t="str">
        <f t="shared" si="55"/>
        <v/>
      </c>
      <c r="P717" s="176" t="str">
        <f>IFERROR(VLOOKUP(O717,Cadastros!A:B,2),"")</f>
        <v/>
      </c>
      <c r="Q717" s="177" t="str">
        <f t="shared" si="51"/>
        <v/>
      </c>
      <c r="R717" s="177" t="str">
        <f>IFERROR(VLOOKUP(O717,Cadastros!A:E,5,0),"")</f>
        <v/>
      </c>
      <c r="S717" s="177" t="str">
        <f>IFERROR(VLOOKUP(O717,Cadastros!A:F,6,0),"")</f>
        <v/>
      </c>
      <c r="T717" s="177" t="str">
        <f>IFERROR(VLOOKUP(O717,Cadastros!A:I,9,0),"")</f>
        <v/>
      </c>
      <c r="U717" s="177" t="str">
        <f t="shared" si="52"/>
        <v/>
      </c>
      <c r="V717" s="177" t="str">
        <f t="shared" si="53"/>
        <v/>
      </c>
      <c r="W717" s="177" t="str">
        <f t="shared" si="54"/>
        <v/>
      </c>
      <c r="Y717" s="240" t="e">
        <f t="array" ref="Y717">INDEX(Tabela.abordagens[],SMALL(IF(Tabela.abordagens[Mês]=$L$2,ROW(Tabela.abordagens[id])-2),ROW(A670)),1)</f>
        <v>#NUM!</v>
      </c>
      <c r="Z717" s="240" t="e">
        <f t="array" ref="Z717">INDEX(Tabela.abordagens[],SMALL(IF(Tabela.abordagens[Mês]=$L$2,ROW(Tabela.abordagens[Idade])-2),ROW(A670)),6)</f>
        <v>#NUM!</v>
      </c>
      <c r="AA717" s="240" t="e">
        <f t="array" ref="AA717">INDEX(Tabela.abordagens[],SMALL(IF(Tabela.abordagens[Mês]=$L$2,ROW(Tabela.abordagens[Idade])-2),ROW(A670)),4)</f>
        <v>#NUM!</v>
      </c>
      <c r="AB717" s="240" t="e">
        <f t="array" ref="AB717">INDEX(Tabela.abordagens[],SMALL(IF(Tabela.abordagens[Mês]=$L$2,ROW(Tabela.abordagens[Idade])-2),ROW(A670)),5)</f>
        <v>#NUM!</v>
      </c>
    </row>
    <row r="718" spans="2:28" ht="15" x14ac:dyDescent="0.25">
      <c r="B718" s="223" t="e">
        <f t="array" ref="B718">INDEX(Tabela.frequencia[],SMALL(IF(Tabela.frequencia[Mês]=$L$2,ROW(Tabela.frequencia[id])-1),ROW(A671)),1)</f>
        <v>#NUM!</v>
      </c>
      <c r="C718" s="229" t="e">
        <f t="array" ref="C718">INDEX(Tabela.frequencia[],SMALL(IF(Tabela.frequencia[Mês]=$L$2,ROW(Tabela.frequencia[id])-1),ROW(A671)),4)</f>
        <v>#NUM!</v>
      </c>
      <c r="E718" s="176" t="str">
        <f>IFERROR(VLOOKUP(D718,Tabela.cadastro[[ID]:[Nome]],2,0),"")</f>
        <v/>
      </c>
      <c r="F718" s="177" t="str">
        <f>IFERROR(VLOOKUP(D718,Tabela66[#All],2,0),"")</f>
        <v/>
      </c>
      <c r="G718" s="177" t="str">
        <f>IFERROR(VLOOKUP(D718,Tabela.cadastro[[ID]:[CP ou M]],5,0),"")</f>
        <v/>
      </c>
      <c r="H718" s="177" t="str">
        <f>IFERROR(VLOOKUP(D718,Cadastros!A:F,6,0),"")</f>
        <v/>
      </c>
      <c r="I718" s="177" t="str">
        <f>IFERROR(VLOOKUP(D718,Cadastros!A:I,9,0),"")</f>
        <v/>
      </c>
      <c r="J718" s="177" t="str">
        <f>IFERROR(VLOOKUP(D718,Cadastros!A:J,10,0),"")</f>
        <v/>
      </c>
      <c r="K718" s="177" t="str">
        <f>IF(COUNTIF(Tabela66[id],D718)=0,"",COUNTIF(Tabela66[id],D718))</f>
        <v/>
      </c>
      <c r="L718" s="198"/>
      <c r="M718" s="227" t="str">
        <f t="shared" si="55"/>
        <v/>
      </c>
      <c r="P718" s="176" t="str">
        <f>IFERROR(VLOOKUP(O718,Cadastros!A:B,2),"")</f>
        <v/>
      </c>
      <c r="Q718" s="177" t="str">
        <f t="shared" si="51"/>
        <v/>
      </c>
      <c r="R718" s="177" t="str">
        <f>IFERROR(VLOOKUP(O718,Cadastros!A:E,5,0),"")</f>
        <v/>
      </c>
      <c r="S718" s="177" t="str">
        <f>IFERROR(VLOOKUP(O718,Cadastros!A:F,6,0),"")</f>
        <v/>
      </c>
      <c r="T718" s="177" t="str">
        <f>IFERROR(VLOOKUP(O718,Cadastros!A:I,9,0),"")</f>
        <v/>
      </c>
      <c r="U718" s="177" t="str">
        <f t="shared" si="52"/>
        <v/>
      </c>
      <c r="V718" s="177" t="str">
        <f t="shared" si="53"/>
        <v/>
      </c>
      <c r="W718" s="177" t="str">
        <f t="shared" si="54"/>
        <v/>
      </c>
      <c r="Y718" s="240" t="e">
        <f t="array" ref="Y718">INDEX(Tabela.abordagens[],SMALL(IF(Tabela.abordagens[Mês]=$L$2,ROW(Tabela.abordagens[id])-2),ROW(A671)),1)</f>
        <v>#NUM!</v>
      </c>
      <c r="Z718" s="240" t="e">
        <f t="array" ref="Z718">INDEX(Tabela.abordagens[],SMALL(IF(Tabela.abordagens[Mês]=$L$2,ROW(Tabela.abordagens[Idade])-2),ROW(A671)),6)</f>
        <v>#NUM!</v>
      </c>
      <c r="AA718" s="240" t="e">
        <f t="array" ref="AA718">INDEX(Tabela.abordagens[],SMALL(IF(Tabela.abordagens[Mês]=$L$2,ROW(Tabela.abordagens[Idade])-2),ROW(A671)),4)</f>
        <v>#NUM!</v>
      </c>
      <c r="AB718" s="240" t="e">
        <f t="array" ref="AB718">INDEX(Tabela.abordagens[],SMALL(IF(Tabela.abordagens[Mês]=$L$2,ROW(Tabela.abordagens[Idade])-2),ROW(A671)),5)</f>
        <v>#NUM!</v>
      </c>
    </row>
    <row r="719" spans="2:28" ht="15" x14ac:dyDescent="0.25">
      <c r="B719" s="223" t="e">
        <f t="array" ref="B719">INDEX(Tabela.frequencia[],SMALL(IF(Tabela.frequencia[Mês]=$L$2,ROW(Tabela.frequencia[id])-1),ROW(A672)),1)</f>
        <v>#NUM!</v>
      </c>
      <c r="C719" s="229" t="e">
        <f t="array" ref="C719">INDEX(Tabela.frequencia[],SMALL(IF(Tabela.frequencia[Mês]=$L$2,ROW(Tabela.frequencia[id])-1),ROW(A672)),4)</f>
        <v>#NUM!</v>
      </c>
      <c r="E719" s="176" t="str">
        <f>IFERROR(VLOOKUP(D719,Tabela.cadastro[[ID]:[Nome]],2,0),"")</f>
        <v/>
      </c>
      <c r="F719" s="177" t="str">
        <f>IFERROR(VLOOKUP(D719,Tabela66[#All],2,0),"")</f>
        <v/>
      </c>
      <c r="G719" s="177" t="str">
        <f>IFERROR(VLOOKUP(D719,Tabela.cadastro[[ID]:[CP ou M]],5,0),"")</f>
        <v/>
      </c>
      <c r="H719" s="177" t="str">
        <f>IFERROR(VLOOKUP(D719,Cadastros!A:F,6,0),"")</f>
        <v/>
      </c>
      <c r="I719" s="177" t="str">
        <f>IFERROR(VLOOKUP(D719,Cadastros!A:I,9,0),"")</f>
        <v/>
      </c>
      <c r="J719" s="177" t="str">
        <f>IFERROR(VLOOKUP(D719,Cadastros!A:J,10,0),"")</f>
        <v/>
      </c>
      <c r="K719" s="177" t="str">
        <f>IF(COUNTIF(Tabela66[id],D719)=0,"",COUNTIF(Tabela66[id],D719))</f>
        <v/>
      </c>
      <c r="L719" s="198"/>
      <c r="M719" s="227" t="str">
        <f t="shared" si="55"/>
        <v/>
      </c>
      <c r="P719" s="176" t="str">
        <f>IFERROR(VLOOKUP(O719,Cadastros!A:B,2),"")</f>
        <v/>
      </c>
      <c r="Q719" s="177" t="str">
        <f t="shared" si="51"/>
        <v/>
      </c>
      <c r="R719" s="177" t="str">
        <f>IFERROR(VLOOKUP(O719,Cadastros!A:E,5,0),"")</f>
        <v/>
      </c>
      <c r="S719" s="177" t="str">
        <f>IFERROR(VLOOKUP(O719,Cadastros!A:F,6,0),"")</f>
        <v/>
      </c>
      <c r="T719" s="177" t="str">
        <f>IFERROR(VLOOKUP(O719,Cadastros!A:I,9,0),"")</f>
        <v/>
      </c>
      <c r="U719" s="177" t="str">
        <f t="shared" si="52"/>
        <v/>
      </c>
      <c r="V719" s="177" t="str">
        <f t="shared" si="53"/>
        <v/>
      </c>
      <c r="W719" s="177" t="str">
        <f t="shared" si="54"/>
        <v/>
      </c>
      <c r="Y719" s="240" t="e">
        <f t="array" ref="Y719">INDEX(Tabela.abordagens[],SMALL(IF(Tabela.abordagens[Mês]=$L$2,ROW(Tabela.abordagens[id])-2),ROW(A672)),1)</f>
        <v>#NUM!</v>
      </c>
      <c r="Z719" s="240" t="e">
        <f t="array" ref="Z719">INDEX(Tabela.abordagens[],SMALL(IF(Tabela.abordagens[Mês]=$L$2,ROW(Tabela.abordagens[Idade])-2),ROW(A672)),6)</f>
        <v>#NUM!</v>
      </c>
      <c r="AA719" s="240" t="e">
        <f t="array" ref="AA719">INDEX(Tabela.abordagens[],SMALL(IF(Tabela.abordagens[Mês]=$L$2,ROW(Tabela.abordagens[Idade])-2),ROW(A672)),4)</f>
        <v>#NUM!</v>
      </c>
      <c r="AB719" s="240" t="e">
        <f t="array" ref="AB719">INDEX(Tabela.abordagens[],SMALL(IF(Tabela.abordagens[Mês]=$L$2,ROW(Tabela.abordagens[Idade])-2),ROW(A672)),5)</f>
        <v>#NUM!</v>
      </c>
    </row>
    <row r="720" spans="2:28" ht="15" x14ac:dyDescent="0.25">
      <c r="B720" s="223" t="e">
        <f t="array" ref="B720">INDEX(Tabela.frequencia[],SMALL(IF(Tabela.frequencia[Mês]=$L$2,ROW(Tabela.frequencia[id])-1),ROW(A673)),1)</f>
        <v>#NUM!</v>
      </c>
      <c r="C720" s="229" t="e">
        <f t="array" ref="C720">INDEX(Tabela.frequencia[],SMALL(IF(Tabela.frequencia[Mês]=$L$2,ROW(Tabela.frequencia[id])-1),ROW(A673)),4)</f>
        <v>#NUM!</v>
      </c>
      <c r="E720" s="176" t="str">
        <f>IFERROR(VLOOKUP(D720,Tabela.cadastro[[ID]:[Nome]],2,0),"")</f>
        <v/>
      </c>
      <c r="F720" s="177" t="str">
        <f>IFERROR(VLOOKUP(D720,Tabela66[#All],2,0),"")</f>
        <v/>
      </c>
      <c r="G720" s="177" t="str">
        <f>IFERROR(VLOOKUP(D720,Tabela.cadastro[[ID]:[CP ou M]],5,0),"")</f>
        <v/>
      </c>
      <c r="H720" s="177" t="str">
        <f>IFERROR(VLOOKUP(D720,Cadastros!A:F,6,0),"")</f>
        <v/>
      </c>
      <c r="I720" s="177" t="str">
        <f>IFERROR(VLOOKUP(D720,Cadastros!A:I,9,0),"")</f>
        <v/>
      </c>
      <c r="J720" s="177" t="str">
        <f>IFERROR(VLOOKUP(D720,Cadastros!A:J,10,0),"")</f>
        <v/>
      </c>
      <c r="K720" s="177" t="str">
        <f>IF(COUNTIF(Tabela66[id],D720)=0,"",COUNTIF(Tabela66[id],D720))</f>
        <v/>
      </c>
      <c r="L720" s="198"/>
      <c r="M720" s="227" t="str">
        <f t="shared" si="55"/>
        <v/>
      </c>
      <c r="P720" s="176" t="str">
        <f>IFERROR(VLOOKUP(O720,Cadastros!A:B,2),"")</f>
        <v/>
      </c>
      <c r="Q720" s="177" t="str">
        <f t="shared" si="51"/>
        <v/>
      </c>
      <c r="R720" s="177" t="str">
        <f>IFERROR(VLOOKUP(O720,Cadastros!A:E,5,0),"")</f>
        <v/>
      </c>
      <c r="S720" s="177" t="str">
        <f>IFERROR(VLOOKUP(O720,Cadastros!A:F,6,0),"")</f>
        <v/>
      </c>
      <c r="T720" s="177" t="str">
        <f>IFERROR(VLOOKUP(O720,Cadastros!A:I,9,0),"")</f>
        <v/>
      </c>
      <c r="U720" s="177" t="str">
        <f t="shared" si="52"/>
        <v/>
      </c>
      <c r="V720" s="177" t="str">
        <f t="shared" si="53"/>
        <v/>
      </c>
      <c r="W720" s="177" t="str">
        <f t="shared" si="54"/>
        <v/>
      </c>
      <c r="Y720" s="240" t="e">
        <f t="array" ref="Y720">INDEX(Tabela.abordagens[],SMALL(IF(Tabela.abordagens[Mês]=$L$2,ROW(Tabela.abordagens[id])-2),ROW(A673)),1)</f>
        <v>#NUM!</v>
      </c>
      <c r="Z720" s="240" t="e">
        <f t="array" ref="Z720">INDEX(Tabela.abordagens[],SMALL(IF(Tabela.abordagens[Mês]=$L$2,ROW(Tabela.abordagens[Idade])-2),ROW(A673)),6)</f>
        <v>#NUM!</v>
      </c>
      <c r="AA720" s="240" t="e">
        <f t="array" ref="AA720">INDEX(Tabela.abordagens[],SMALL(IF(Tabela.abordagens[Mês]=$L$2,ROW(Tabela.abordagens[Idade])-2),ROW(A673)),4)</f>
        <v>#NUM!</v>
      </c>
      <c r="AB720" s="240" t="e">
        <f t="array" ref="AB720">INDEX(Tabela.abordagens[],SMALL(IF(Tabela.abordagens[Mês]=$L$2,ROW(Tabela.abordagens[Idade])-2),ROW(A673)),5)</f>
        <v>#NUM!</v>
      </c>
    </row>
    <row r="721" spans="2:28" ht="15" x14ac:dyDescent="0.25">
      <c r="B721" s="223" t="e">
        <f t="array" ref="B721">INDEX(Tabela.frequencia[],SMALL(IF(Tabela.frequencia[Mês]=$L$2,ROW(Tabela.frequencia[id])-1),ROW(A674)),1)</f>
        <v>#NUM!</v>
      </c>
      <c r="C721" s="229" t="e">
        <f t="array" ref="C721">INDEX(Tabela.frequencia[],SMALL(IF(Tabela.frequencia[Mês]=$L$2,ROW(Tabela.frequencia[id])-1),ROW(A674)),4)</f>
        <v>#NUM!</v>
      </c>
      <c r="E721" s="176" t="str">
        <f>IFERROR(VLOOKUP(D721,Tabela.cadastro[[ID]:[Nome]],2,0),"")</f>
        <v/>
      </c>
      <c r="F721" s="177" t="str">
        <f>IFERROR(VLOOKUP(D721,Tabela66[#All],2,0),"")</f>
        <v/>
      </c>
      <c r="G721" s="177" t="str">
        <f>IFERROR(VLOOKUP(D721,Tabela.cadastro[[ID]:[CP ou M]],5,0),"")</f>
        <v/>
      </c>
      <c r="H721" s="177" t="str">
        <f>IFERROR(VLOOKUP(D721,Cadastros!A:F,6,0),"")</f>
        <v/>
      </c>
      <c r="I721" s="177" t="str">
        <f>IFERROR(VLOOKUP(D721,Cadastros!A:I,9,0),"")</f>
        <v/>
      </c>
      <c r="J721" s="177" t="str">
        <f>IFERROR(VLOOKUP(D721,Cadastros!A:J,10,0),"")</f>
        <v/>
      </c>
      <c r="K721" s="177" t="str">
        <f>IF(COUNTIF(Tabela66[id],D721)=0,"",COUNTIF(Tabela66[id],D721))</f>
        <v/>
      </c>
      <c r="L721" s="198"/>
      <c r="M721" s="227" t="str">
        <f t="shared" si="55"/>
        <v/>
      </c>
      <c r="P721" s="176" t="str">
        <f>IFERROR(VLOOKUP(O721,Cadastros!A:B,2),"")</f>
        <v/>
      </c>
      <c r="Q721" s="177" t="str">
        <f t="shared" si="51"/>
        <v/>
      </c>
      <c r="R721" s="177" t="str">
        <f>IFERROR(VLOOKUP(O721,Cadastros!A:E,5,0),"")</f>
        <v/>
      </c>
      <c r="S721" s="177" t="str">
        <f>IFERROR(VLOOKUP(O721,Cadastros!A:F,6,0),"")</f>
        <v/>
      </c>
      <c r="T721" s="177" t="str">
        <f>IFERROR(VLOOKUP(O721,Cadastros!A:I,9,0),"")</f>
        <v/>
      </c>
      <c r="U721" s="177" t="str">
        <f t="shared" si="52"/>
        <v/>
      </c>
      <c r="V721" s="177" t="str">
        <f t="shared" si="53"/>
        <v/>
      </c>
      <c r="W721" s="177" t="str">
        <f t="shared" si="54"/>
        <v/>
      </c>
      <c r="Y721" s="240" t="e">
        <f t="array" ref="Y721">INDEX(Tabela.abordagens[],SMALL(IF(Tabela.abordagens[Mês]=$L$2,ROW(Tabela.abordagens[id])-2),ROW(A674)),1)</f>
        <v>#NUM!</v>
      </c>
      <c r="Z721" s="240" t="e">
        <f t="array" ref="Z721">INDEX(Tabela.abordagens[],SMALL(IF(Tabela.abordagens[Mês]=$L$2,ROW(Tabela.abordagens[Idade])-2),ROW(A674)),6)</f>
        <v>#NUM!</v>
      </c>
      <c r="AA721" s="240" t="e">
        <f t="array" ref="AA721">INDEX(Tabela.abordagens[],SMALL(IF(Tabela.abordagens[Mês]=$L$2,ROW(Tabela.abordagens[Idade])-2),ROW(A674)),4)</f>
        <v>#NUM!</v>
      </c>
      <c r="AB721" s="240" t="e">
        <f t="array" ref="AB721">INDEX(Tabela.abordagens[],SMALL(IF(Tabela.abordagens[Mês]=$L$2,ROW(Tabela.abordagens[Idade])-2),ROW(A674)),5)</f>
        <v>#NUM!</v>
      </c>
    </row>
    <row r="722" spans="2:28" ht="15" x14ac:dyDescent="0.25">
      <c r="B722" s="223" t="e">
        <f t="array" ref="B722">INDEX(Tabela.frequencia[],SMALL(IF(Tabela.frequencia[Mês]=$L$2,ROW(Tabela.frequencia[id])-1),ROW(A675)),1)</f>
        <v>#NUM!</v>
      </c>
      <c r="C722" s="229" t="e">
        <f t="array" ref="C722">INDEX(Tabela.frequencia[],SMALL(IF(Tabela.frequencia[Mês]=$L$2,ROW(Tabela.frequencia[id])-1),ROW(A675)),4)</f>
        <v>#NUM!</v>
      </c>
      <c r="E722" s="176" t="str">
        <f>IFERROR(VLOOKUP(D722,Tabela.cadastro[[ID]:[Nome]],2,0),"")</f>
        <v/>
      </c>
      <c r="F722" s="177" t="str">
        <f>IFERROR(VLOOKUP(D722,Tabela66[#All],2,0),"")</f>
        <v/>
      </c>
      <c r="G722" s="177" t="str">
        <f>IFERROR(VLOOKUP(D722,Tabela.cadastro[[ID]:[CP ou M]],5,0),"")</f>
        <v/>
      </c>
      <c r="H722" s="177" t="str">
        <f>IFERROR(VLOOKUP(D722,Cadastros!A:F,6,0),"")</f>
        <v/>
      </c>
      <c r="I722" s="177" t="str">
        <f>IFERROR(VLOOKUP(D722,Cadastros!A:I,9,0),"")</f>
        <v/>
      </c>
      <c r="J722" s="177" t="str">
        <f>IFERROR(VLOOKUP(D722,Cadastros!A:J,10,0),"")</f>
        <v/>
      </c>
      <c r="K722" s="177" t="str">
        <f>IF(COUNTIF(Tabela66[id],D722)=0,"",COUNTIF(Tabela66[id],D722))</f>
        <v/>
      </c>
      <c r="L722" s="198"/>
      <c r="M722" s="227" t="str">
        <f t="shared" si="55"/>
        <v/>
      </c>
      <c r="P722" s="176" t="str">
        <f>IFERROR(VLOOKUP(O722,Cadastros!A:B,2),"")</f>
        <v/>
      </c>
      <c r="Q722" s="177" t="str">
        <f t="shared" si="51"/>
        <v/>
      </c>
      <c r="R722" s="177" t="str">
        <f>IFERROR(VLOOKUP(O722,Cadastros!A:E,5,0),"")</f>
        <v/>
      </c>
      <c r="S722" s="177" t="str">
        <f>IFERROR(VLOOKUP(O722,Cadastros!A:F,6,0),"")</f>
        <v/>
      </c>
      <c r="T722" s="177" t="str">
        <f>IFERROR(VLOOKUP(O722,Cadastros!A:I,9,0),"")</f>
        <v/>
      </c>
      <c r="U722" s="177" t="str">
        <f t="shared" si="52"/>
        <v/>
      </c>
      <c r="V722" s="177" t="str">
        <f t="shared" si="53"/>
        <v/>
      </c>
      <c r="W722" s="177" t="str">
        <f t="shared" si="54"/>
        <v/>
      </c>
      <c r="Y722" s="240" t="e">
        <f t="array" ref="Y722">INDEX(Tabela.abordagens[],SMALL(IF(Tabela.abordagens[Mês]=$L$2,ROW(Tabela.abordagens[id])-2),ROW(A675)),1)</f>
        <v>#NUM!</v>
      </c>
      <c r="Z722" s="240" t="e">
        <f t="array" ref="Z722">INDEX(Tabela.abordagens[],SMALL(IF(Tabela.abordagens[Mês]=$L$2,ROW(Tabela.abordagens[Idade])-2),ROW(A675)),6)</f>
        <v>#NUM!</v>
      </c>
      <c r="AA722" s="240" t="e">
        <f t="array" ref="AA722">INDEX(Tabela.abordagens[],SMALL(IF(Tabela.abordagens[Mês]=$L$2,ROW(Tabela.abordagens[Idade])-2),ROW(A675)),4)</f>
        <v>#NUM!</v>
      </c>
      <c r="AB722" s="240" t="e">
        <f t="array" ref="AB722">INDEX(Tabela.abordagens[],SMALL(IF(Tabela.abordagens[Mês]=$L$2,ROW(Tabela.abordagens[Idade])-2),ROW(A675)),5)</f>
        <v>#NUM!</v>
      </c>
    </row>
    <row r="723" spans="2:28" ht="15" x14ac:dyDescent="0.25">
      <c r="B723" s="223" t="e">
        <f t="array" ref="B723">INDEX(Tabela.frequencia[],SMALL(IF(Tabela.frequencia[Mês]=$L$2,ROW(Tabela.frequencia[id])-1),ROW(A676)),1)</f>
        <v>#NUM!</v>
      </c>
      <c r="C723" s="229" t="e">
        <f t="array" ref="C723">INDEX(Tabela.frequencia[],SMALL(IF(Tabela.frequencia[Mês]=$L$2,ROW(Tabela.frequencia[id])-1),ROW(A676)),4)</f>
        <v>#NUM!</v>
      </c>
      <c r="E723" s="176" t="str">
        <f>IFERROR(VLOOKUP(D723,Tabela.cadastro[[ID]:[Nome]],2,0),"")</f>
        <v/>
      </c>
      <c r="F723" s="177" t="str">
        <f>IFERROR(VLOOKUP(D723,Tabela66[#All],2,0),"")</f>
        <v/>
      </c>
      <c r="G723" s="177" t="str">
        <f>IFERROR(VLOOKUP(D723,Tabela.cadastro[[ID]:[CP ou M]],5,0),"")</f>
        <v/>
      </c>
      <c r="H723" s="177" t="str">
        <f>IFERROR(VLOOKUP(D723,Cadastros!A:F,6,0),"")</f>
        <v/>
      </c>
      <c r="I723" s="177" t="str">
        <f>IFERROR(VLOOKUP(D723,Cadastros!A:I,9,0),"")</f>
        <v/>
      </c>
      <c r="J723" s="177" t="str">
        <f>IFERROR(VLOOKUP(D723,Cadastros!A:J,10,0),"")</f>
        <v/>
      </c>
      <c r="K723" s="177" t="str">
        <f>IF(COUNTIF(Tabela66[id],D723)=0,"",COUNTIF(Tabela66[id],D723))</f>
        <v/>
      </c>
      <c r="L723" s="198"/>
      <c r="M723" s="227" t="str">
        <f t="shared" si="55"/>
        <v/>
      </c>
      <c r="P723" s="176" t="str">
        <f>IFERROR(VLOOKUP(O723,Cadastros!A:B,2),"")</f>
        <v/>
      </c>
      <c r="Q723" s="177" t="str">
        <f t="shared" si="51"/>
        <v/>
      </c>
      <c r="R723" s="177" t="str">
        <f>IFERROR(VLOOKUP(O723,Cadastros!A:E,5,0),"")</f>
        <v/>
      </c>
      <c r="S723" s="177" t="str">
        <f>IFERROR(VLOOKUP(O723,Cadastros!A:F,6,0),"")</f>
        <v/>
      </c>
      <c r="T723" s="177" t="str">
        <f>IFERROR(VLOOKUP(O723,Cadastros!A:I,9,0),"")</f>
        <v/>
      </c>
      <c r="U723" s="177" t="str">
        <f t="shared" si="52"/>
        <v/>
      </c>
      <c r="V723" s="177" t="str">
        <f t="shared" si="53"/>
        <v/>
      </c>
      <c r="W723" s="177" t="str">
        <f t="shared" si="54"/>
        <v/>
      </c>
      <c r="Y723" s="240" t="e">
        <f t="array" ref="Y723">INDEX(Tabela.abordagens[],SMALL(IF(Tabela.abordagens[Mês]=$L$2,ROW(Tabela.abordagens[id])-2),ROW(A676)),1)</f>
        <v>#NUM!</v>
      </c>
      <c r="Z723" s="240" t="e">
        <f t="array" ref="Z723">INDEX(Tabela.abordagens[],SMALL(IF(Tabela.abordagens[Mês]=$L$2,ROW(Tabela.abordagens[Idade])-2),ROW(A676)),6)</f>
        <v>#NUM!</v>
      </c>
      <c r="AA723" s="240" t="e">
        <f t="array" ref="AA723">INDEX(Tabela.abordagens[],SMALL(IF(Tabela.abordagens[Mês]=$L$2,ROW(Tabela.abordagens[Idade])-2),ROW(A676)),4)</f>
        <v>#NUM!</v>
      </c>
      <c r="AB723" s="240" t="e">
        <f t="array" ref="AB723">INDEX(Tabela.abordagens[],SMALL(IF(Tabela.abordagens[Mês]=$L$2,ROW(Tabela.abordagens[Idade])-2),ROW(A676)),5)</f>
        <v>#NUM!</v>
      </c>
    </row>
    <row r="724" spans="2:28" ht="15" x14ac:dyDescent="0.25">
      <c r="B724" s="223" t="e">
        <f t="array" ref="B724">INDEX(Tabela.frequencia[],SMALL(IF(Tabela.frequencia[Mês]=$L$2,ROW(Tabela.frequencia[id])-1),ROW(A677)),1)</f>
        <v>#NUM!</v>
      </c>
      <c r="C724" s="229" t="e">
        <f t="array" ref="C724">INDEX(Tabela.frequencia[],SMALL(IF(Tabela.frequencia[Mês]=$L$2,ROW(Tabela.frequencia[id])-1),ROW(A677)),4)</f>
        <v>#NUM!</v>
      </c>
      <c r="E724" s="176" t="str">
        <f>IFERROR(VLOOKUP(D724,Tabela.cadastro[[ID]:[Nome]],2,0),"")</f>
        <v/>
      </c>
      <c r="F724" s="177" t="str">
        <f>IFERROR(VLOOKUP(D724,Tabela66[#All],2,0),"")</f>
        <v/>
      </c>
      <c r="G724" s="177" t="str">
        <f>IFERROR(VLOOKUP(D724,Tabela.cadastro[[ID]:[CP ou M]],5,0),"")</f>
        <v/>
      </c>
      <c r="H724" s="177" t="str">
        <f>IFERROR(VLOOKUP(D724,Cadastros!A:F,6,0),"")</f>
        <v/>
      </c>
      <c r="I724" s="177" t="str">
        <f>IFERROR(VLOOKUP(D724,Cadastros!A:I,9,0),"")</f>
        <v/>
      </c>
      <c r="J724" s="177" t="str">
        <f>IFERROR(VLOOKUP(D724,Cadastros!A:J,10,0),"")</f>
        <v/>
      </c>
      <c r="K724" s="177" t="str">
        <f>IF(COUNTIF(Tabela66[id],D724)=0,"",COUNTIF(Tabela66[id],D724))</f>
        <v/>
      </c>
      <c r="L724" s="198"/>
      <c r="M724" s="227" t="str">
        <f t="shared" si="55"/>
        <v/>
      </c>
      <c r="P724" s="176" t="str">
        <f>IFERROR(VLOOKUP(O724,Cadastros!A:B,2),"")</f>
        <v/>
      </c>
      <c r="Q724" s="177" t="str">
        <f t="shared" si="51"/>
        <v/>
      </c>
      <c r="R724" s="177" t="str">
        <f>IFERROR(VLOOKUP(O724,Cadastros!A:E,5,0),"")</f>
        <v/>
      </c>
      <c r="S724" s="177" t="str">
        <f>IFERROR(VLOOKUP(O724,Cadastros!A:F,6,0),"")</f>
        <v/>
      </c>
      <c r="T724" s="177" t="str">
        <f>IFERROR(VLOOKUP(O724,Cadastros!A:I,9,0),"")</f>
        <v/>
      </c>
      <c r="U724" s="177" t="str">
        <f t="shared" si="52"/>
        <v/>
      </c>
      <c r="V724" s="177" t="str">
        <f t="shared" si="53"/>
        <v/>
      </c>
      <c r="W724" s="177" t="str">
        <f t="shared" si="54"/>
        <v/>
      </c>
      <c r="Y724" s="240" t="e">
        <f t="array" ref="Y724">INDEX(Tabela.abordagens[],SMALL(IF(Tabela.abordagens[Mês]=$L$2,ROW(Tabela.abordagens[id])-2),ROW(A677)),1)</f>
        <v>#NUM!</v>
      </c>
      <c r="Z724" s="240" t="e">
        <f t="array" ref="Z724">INDEX(Tabela.abordagens[],SMALL(IF(Tabela.abordagens[Mês]=$L$2,ROW(Tabela.abordagens[Idade])-2),ROW(A677)),6)</f>
        <v>#NUM!</v>
      </c>
      <c r="AA724" s="240" t="e">
        <f t="array" ref="AA724">INDEX(Tabela.abordagens[],SMALL(IF(Tabela.abordagens[Mês]=$L$2,ROW(Tabela.abordagens[Idade])-2),ROW(A677)),4)</f>
        <v>#NUM!</v>
      </c>
      <c r="AB724" s="240" t="e">
        <f t="array" ref="AB724">INDEX(Tabela.abordagens[],SMALL(IF(Tabela.abordagens[Mês]=$L$2,ROW(Tabela.abordagens[Idade])-2),ROW(A677)),5)</f>
        <v>#NUM!</v>
      </c>
    </row>
    <row r="725" spans="2:28" ht="15" x14ac:dyDescent="0.25">
      <c r="B725" s="223" t="e">
        <f t="array" ref="B725">INDEX(Tabela.frequencia[],SMALL(IF(Tabela.frequencia[Mês]=$L$2,ROW(Tabela.frequencia[id])-1),ROW(A678)),1)</f>
        <v>#NUM!</v>
      </c>
      <c r="C725" s="229" t="e">
        <f t="array" ref="C725">INDEX(Tabela.frequencia[],SMALL(IF(Tabela.frequencia[Mês]=$L$2,ROW(Tabela.frequencia[id])-1),ROW(A678)),4)</f>
        <v>#NUM!</v>
      </c>
      <c r="E725" s="176" t="str">
        <f>IFERROR(VLOOKUP(D725,Tabela.cadastro[[ID]:[Nome]],2,0),"")</f>
        <v/>
      </c>
      <c r="F725" s="177" t="str">
        <f>IFERROR(VLOOKUP(D725,Tabela66[#All],2,0),"")</f>
        <v/>
      </c>
      <c r="G725" s="177" t="str">
        <f>IFERROR(VLOOKUP(D725,Tabela.cadastro[[ID]:[CP ou M]],5,0),"")</f>
        <v/>
      </c>
      <c r="H725" s="177" t="str">
        <f>IFERROR(VLOOKUP(D725,Cadastros!A:F,6,0),"")</f>
        <v/>
      </c>
      <c r="I725" s="177" t="str">
        <f>IFERROR(VLOOKUP(D725,Cadastros!A:I,9,0),"")</f>
        <v/>
      </c>
      <c r="J725" s="177" t="str">
        <f>IFERROR(VLOOKUP(D725,Cadastros!A:J,10,0),"")</f>
        <v/>
      </c>
      <c r="K725" s="177" t="str">
        <f>IF(COUNTIF(Tabela66[id],D725)=0,"",COUNTIF(Tabela66[id],D725))</f>
        <v/>
      </c>
      <c r="L725" s="198"/>
      <c r="M725" s="227" t="str">
        <f t="shared" si="55"/>
        <v/>
      </c>
      <c r="P725" s="176" t="str">
        <f>IFERROR(VLOOKUP(O725,Cadastros!A:B,2),"")</f>
        <v/>
      </c>
      <c r="Q725" s="177" t="str">
        <f t="shared" si="51"/>
        <v/>
      </c>
      <c r="R725" s="177" t="str">
        <f>IFERROR(VLOOKUP(O725,Cadastros!A:E,5,0),"")</f>
        <v/>
      </c>
      <c r="S725" s="177" t="str">
        <f>IFERROR(VLOOKUP(O725,Cadastros!A:F,6,0),"")</f>
        <v/>
      </c>
      <c r="T725" s="177" t="str">
        <f>IFERROR(VLOOKUP(O725,Cadastros!A:I,9,0),"")</f>
        <v/>
      </c>
      <c r="U725" s="177" t="str">
        <f t="shared" si="52"/>
        <v/>
      </c>
      <c r="V725" s="177" t="str">
        <f t="shared" si="53"/>
        <v/>
      </c>
      <c r="W725" s="177" t="str">
        <f t="shared" si="54"/>
        <v/>
      </c>
      <c r="Y725" s="240" t="e">
        <f t="array" ref="Y725">INDEX(Tabela.abordagens[],SMALL(IF(Tabela.abordagens[Mês]=$L$2,ROW(Tabela.abordagens[id])-2),ROW(A678)),1)</f>
        <v>#NUM!</v>
      </c>
      <c r="Z725" s="240" t="e">
        <f t="array" ref="Z725">INDEX(Tabela.abordagens[],SMALL(IF(Tabela.abordagens[Mês]=$L$2,ROW(Tabela.abordagens[Idade])-2),ROW(A678)),6)</f>
        <v>#NUM!</v>
      </c>
      <c r="AA725" s="240" t="e">
        <f t="array" ref="AA725">INDEX(Tabela.abordagens[],SMALL(IF(Tabela.abordagens[Mês]=$L$2,ROW(Tabela.abordagens[Idade])-2),ROW(A678)),4)</f>
        <v>#NUM!</v>
      </c>
      <c r="AB725" s="240" t="e">
        <f t="array" ref="AB725">INDEX(Tabela.abordagens[],SMALL(IF(Tabela.abordagens[Mês]=$L$2,ROW(Tabela.abordagens[Idade])-2),ROW(A678)),5)</f>
        <v>#NUM!</v>
      </c>
    </row>
    <row r="726" spans="2:28" ht="15" x14ac:dyDescent="0.25">
      <c r="B726" s="223" t="e">
        <f t="array" ref="B726">INDEX(Tabela.frequencia[],SMALL(IF(Tabela.frequencia[Mês]=$L$2,ROW(Tabela.frequencia[id])-1),ROW(A679)),1)</f>
        <v>#NUM!</v>
      </c>
      <c r="C726" s="229" t="e">
        <f t="array" ref="C726">INDEX(Tabela.frequencia[],SMALL(IF(Tabela.frequencia[Mês]=$L$2,ROW(Tabela.frequencia[id])-1),ROW(A679)),4)</f>
        <v>#NUM!</v>
      </c>
      <c r="E726" s="176" t="str">
        <f>IFERROR(VLOOKUP(D726,Tabela.cadastro[[ID]:[Nome]],2,0),"")</f>
        <v/>
      </c>
      <c r="F726" s="177" t="str">
        <f>IFERROR(VLOOKUP(D726,Tabela66[#All],2,0),"")</f>
        <v/>
      </c>
      <c r="G726" s="177" t="str">
        <f>IFERROR(VLOOKUP(D726,Tabela.cadastro[[ID]:[CP ou M]],5,0),"")</f>
        <v/>
      </c>
      <c r="H726" s="177" t="str">
        <f>IFERROR(VLOOKUP(D726,Cadastros!A:F,6,0),"")</f>
        <v/>
      </c>
      <c r="I726" s="177" t="str">
        <f>IFERROR(VLOOKUP(D726,Cadastros!A:I,9,0),"")</f>
        <v/>
      </c>
      <c r="J726" s="177" t="str">
        <f>IFERROR(VLOOKUP(D726,Cadastros!A:J,10,0),"")</f>
        <v/>
      </c>
      <c r="K726" s="177" t="str">
        <f>IF(COUNTIF(Tabela66[id],D726)=0,"",COUNTIF(Tabela66[id],D726))</f>
        <v/>
      </c>
      <c r="L726" s="198"/>
      <c r="M726" s="227" t="str">
        <f t="shared" si="55"/>
        <v/>
      </c>
      <c r="P726" s="176" t="str">
        <f>IFERROR(VLOOKUP(O726,Cadastros!A:B,2),"")</f>
        <v/>
      </c>
      <c r="Q726" s="177" t="str">
        <f t="shared" si="51"/>
        <v/>
      </c>
      <c r="R726" s="177" t="str">
        <f>IFERROR(VLOOKUP(O726,Cadastros!A:E,5,0),"")</f>
        <v/>
      </c>
      <c r="S726" s="177" t="str">
        <f>IFERROR(VLOOKUP(O726,Cadastros!A:F,6,0),"")</f>
        <v/>
      </c>
      <c r="T726" s="177" t="str">
        <f>IFERROR(VLOOKUP(O726,Cadastros!A:I,9,0),"")</f>
        <v/>
      </c>
      <c r="U726" s="177" t="str">
        <f t="shared" si="52"/>
        <v/>
      </c>
      <c r="V726" s="177" t="str">
        <f t="shared" si="53"/>
        <v/>
      </c>
      <c r="W726" s="177" t="str">
        <f t="shared" si="54"/>
        <v/>
      </c>
      <c r="Y726" s="240" t="e">
        <f t="array" ref="Y726">INDEX(Tabela.abordagens[],SMALL(IF(Tabela.abordagens[Mês]=$L$2,ROW(Tabela.abordagens[id])-2),ROW(A679)),1)</f>
        <v>#NUM!</v>
      </c>
      <c r="Z726" s="240" t="e">
        <f t="array" ref="Z726">INDEX(Tabela.abordagens[],SMALL(IF(Tabela.abordagens[Mês]=$L$2,ROW(Tabela.abordagens[Idade])-2),ROW(A679)),6)</f>
        <v>#NUM!</v>
      </c>
      <c r="AA726" s="240" t="e">
        <f t="array" ref="AA726">INDEX(Tabela.abordagens[],SMALL(IF(Tabela.abordagens[Mês]=$L$2,ROW(Tabela.abordagens[Idade])-2),ROW(A679)),4)</f>
        <v>#NUM!</v>
      </c>
      <c r="AB726" s="240" t="e">
        <f t="array" ref="AB726">INDEX(Tabela.abordagens[],SMALL(IF(Tabela.abordagens[Mês]=$L$2,ROW(Tabela.abordagens[Idade])-2),ROW(A679)),5)</f>
        <v>#NUM!</v>
      </c>
    </row>
    <row r="727" spans="2:28" ht="15" x14ac:dyDescent="0.25">
      <c r="B727" s="223" t="e">
        <f t="array" ref="B727">INDEX(Tabela.frequencia[],SMALL(IF(Tabela.frequencia[Mês]=$L$2,ROW(Tabela.frequencia[id])-1),ROW(A680)),1)</f>
        <v>#NUM!</v>
      </c>
      <c r="C727" s="229" t="e">
        <f t="array" ref="C727">INDEX(Tabela.frequencia[],SMALL(IF(Tabela.frequencia[Mês]=$L$2,ROW(Tabela.frequencia[id])-1),ROW(A680)),4)</f>
        <v>#NUM!</v>
      </c>
      <c r="E727" s="176" t="str">
        <f>IFERROR(VLOOKUP(D727,Tabela.cadastro[[ID]:[Nome]],2,0),"")</f>
        <v/>
      </c>
      <c r="F727" s="177" t="str">
        <f>IFERROR(VLOOKUP(D727,Tabela66[#All],2,0),"")</f>
        <v/>
      </c>
      <c r="G727" s="177" t="str">
        <f>IFERROR(VLOOKUP(D727,Tabela.cadastro[[ID]:[CP ou M]],5,0),"")</f>
        <v/>
      </c>
      <c r="H727" s="177" t="str">
        <f>IFERROR(VLOOKUP(D727,Cadastros!A:F,6,0),"")</f>
        <v/>
      </c>
      <c r="I727" s="177" t="str">
        <f>IFERROR(VLOOKUP(D727,Cadastros!A:I,9,0),"")</f>
        <v/>
      </c>
      <c r="J727" s="177" t="str">
        <f>IFERROR(VLOOKUP(D727,Cadastros!A:J,10,0),"")</f>
        <v/>
      </c>
      <c r="K727" s="177" t="str">
        <f>IF(COUNTIF(Tabela66[id],D727)=0,"",COUNTIF(Tabela66[id],D727))</f>
        <v/>
      </c>
      <c r="L727" s="198"/>
      <c r="M727" s="227" t="str">
        <f t="shared" si="55"/>
        <v/>
      </c>
      <c r="P727" s="176" t="str">
        <f>IFERROR(VLOOKUP(O727,Cadastros!A:B,2),"")</f>
        <v/>
      </c>
      <c r="Q727" s="177" t="str">
        <f t="shared" si="51"/>
        <v/>
      </c>
      <c r="R727" s="177" t="str">
        <f>IFERROR(VLOOKUP(O727,Cadastros!A:E,5,0),"")</f>
        <v/>
      </c>
      <c r="S727" s="177" t="str">
        <f>IFERROR(VLOOKUP(O727,Cadastros!A:F,6,0),"")</f>
        <v/>
      </c>
      <c r="T727" s="177" t="str">
        <f>IFERROR(VLOOKUP(O727,Cadastros!A:I,9,0),"")</f>
        <v/>
      </c>
      <c r="U727" s="177" t="str">
        <f t="shared" si="52"/>
        <v/>
      </c>
      <c r="V727" s="177" t="str">
        <f t="shared" si="53"/>
        <v/>
      </c>
      <c r="W727" s="177" t="str">
        <f t="shared" si="54"/>
        <v/>
      </c>
      <c r="Y727" s="240" t="e">
        <f t="array" ref="Y727">INDEX(Tabela.abordagens[],SMALL(IF(Tabela.abordagens[Mês]=$L$2,ROW(Tabela.abordagens[id])-2),ROW(A680)),1)</f>
        <v>#NUM!</v>
      </c>
      <c r="Z727" s="240" t="e">
        <f t="array" ref="Z727">INDEX(Tabela.abordagens[],SMALL(IF(Tabela.abordagens[Mês]=$L$2,ROW(Tabela.abordagens[Idade])-2),ROW(A680)),6)</f>
        <v>#NUM!</v>
      </c>
      <c r="AA727" s="240" t="e">
        <f t="array" ref="AA727">INDEX(Tabela.abordagens[],SMALL(IF(Tabela.abordagens[Mês]=$L$2,ROW(Tabela.abordagens[Idade])-2),ROW(A680)),4)</f>
        <v>#NUM!</v>
      </c>
      <c r="AB727" s="240" t="e">
        <f t="array" ref="AB727">INDEX(Tabela.abordagens[],SMALL(IF(Tabela.abordagens[Mês]=$L$2,ROW(Tabela.abordagens[Idade])-2),ROW(A680)),5)</f>
        <v>#NUM!</v>
      </c>
    </row>
    <row r="728" spans="2:28" ht="15" x14ac:dyDescent="0.25">
      <c r="B728" s="223" t="e">
        <f t="array" ref="B728">INDEX(Tabela.frequencia[],SMALL(IF(Tabela.frequencia[Mês]=$L$2,ROW(Tabela.frequencia[id])-1),ROW(A681)),1)</f>
        <v>#NUM!</v>
      </c>
      <c r="C728" s="229" t="e">
        <f t="array" ref="C728">INDEX(Tabela.frequencia[],SMALL(IF(Tabela.frequencia[Mês]=$L$2,ROW(Tabela.frequencia[id])-1),ROW(A681)),4)</f>
        <v>#NUM!</v>
      </c>
      <c r="E728" s="176" t="str">
        <f>IFERROR(VLOOKUP(D728,Tabela.cadastro[[ID]:[Nome]],2,0),"")</f>
        <v/>
      </c>
      <c r="F728" s="177" t="str">
        <f>IFERROR(VLOOKUP(D728,Tabela66[#All],2,0),"")</f>
        <v/>
      </c>
      <c r="G728" s="177" t="str">
        <f>IFERROR(VLOOKUP(D728,Tabela.cadastro[[ID]:[CP ou M]],5,0),"")</f>
        <v/>
      </c>
      <c r="H728" s="177" t="str">
        <f>IFERROR(VLOOKUP(D728,Cadastros!A:F,6,0),"")</f>
        <v/>
      </c>
      <c r="I728" s="177" t="str">
        <f>IFERROR(VLOOKUP(D728,Cadastros!A:I,9,0),"")</f>
        <v/>
      </c>
      <c r="J728" s="177" t="str">
        <f>IFERROR(VLOOKUP(D728,Cadastros!A:J,10,0),"")</f>
        <v/>
      </c>
      <c r="K728" s="177" t="str">
        <f>IF(COUNTIF(Tabela66[id],D728)=0,"",COUNTIF(Tabela66[id],D728))</f>
        <v/>
      </c>
      <c r="L728" s="198"/>
      <c r="M728" s="227" t="str">
        <f t="shared" si="55"/>
        <v/>
      </c>
      <c r="P728" s="176" t="str">
        <f>IFERROR(VLOOKUP(O728,Cadastros!A:B,2),"")</f>
        <v/>
      </c>
      <c r="Q728" s="177" t="str">
        <f t="shared" si="51"/>
        <v/>
      </c>
      <c r="R728" s="177" t="str">
        <f>IFERROR(VLOOKUP(O728,Cadastros!A:E,5,0),"")</f>
        <v/>
      </c>
      <c r="S728" s="177" t="str">
        <f>IFERROR(VLOOKUP(O728,Cadastros!A:F,6,0),"")</f>
        <v/>
      </c>
      <c r="T728" s="177" t="str">
        <f>IFERROR(VLOOKUP(O728,Cadastros!A:I,9,0),"")</f>
        <v/>
      </c>
      <c r="U728" s="177" t="str">
        <f t="shared" si="52"/>
        <v/>
      </c>
      <c r="V728" s="177" t="str">
        <f t="shared" si="53"/>
        <v/>
      </c>
      <c r="W728" s="177" t="str">
        <f t="shared" si="54"/>
        <v/>
      </c>
      <c r="Y728" s="240" t="e">
        <f t="array" ref="Y728">INDEX(Tabela.abordagens[],SMALL(IF(Tabela.abordagens[Mês]=$L$2,ROW(Tabela.abordagens[id])-2),ROW(A681)),1)</f>
        <v>#NUM!</v>
      </c>
      <c r="Z728" s="240" t="e">
        <f t="array" ref="Z728">INDEX(Tabela.abordagens[],SMALL(IF(Tabela.abordagens[Mês]=$L$2,ROW(Tabela.abordagens[Idade])-2),ROW(A681)),6)</f>
        <v>#NUM!</v>
      </c>
      <c r="AA728" s="240" t="e">
        <f t="array" ref="AA728">INDEX(Tabela.abordagens[],SMALL(IF(Tabela.abordagens[Mês]=$L$2,ROW(Tabela.abordagens[Idade])-2),ROW(A681)),4)</f>
        <v>#NUM!</v>
      </c>
      <c r="AB728" s="240" t="e">
        <f t="array" ref="AB728">INDEX(Tabela.abordagens[],SMALL(IF(Tabela.abordagens[Mês]=$L$2,ROW(Tabela.abordagens[Idade])-2),ROW(A681)),5)</f>
        <v>#NUM!</v>
      </c>
    </row>
    <row r="729" spans="2:28" ht="15" x14ac:dyDescent="0.25">
      <c r="B729" s="223" t="e">
        <f t="array" ref="B729">INDEX(Tabela.frequencia[],SMALL(IF(Tabela.frequencia[Mês]=$L$2,ROW(Tabela.frequencia[id])-1),ROW(A682)),1)</f>
        <v>#NUM!</v>
      </c>
      <c r="C729" s="229" t="e">
        <f t="array" ref="C729">INDEX(Tabela.frequencia[],SMALL(IF(Tabela.frequencia[Mês]=$L$2,ROW(Tabela.frequencia[id])-1),ROW(A682)),4)</f>
        <v>#NUM!</v>
      </c>
      <c r="E729" s="176" t="str">
        <f>IFERROR(VLOOKUP(D729,Tabela.cadastro[[ID]:[Nome]],2,0),"")</f>
        <v/>
      </c>
      <c r="F729" s="177" t="str">
        <f>IFERROR(VLOOKUP(D729,Tabela66[#All],2,0),"")</f>
        <v/>
      </c>
      <c r="G729" s="177" t="str">
        <f>IFERROR(VLOOKUP(D729,Tabela.cadastro[[ID]:[CP ou M]],5,0),"")</f>
        <v/>
      </c>
      <c r="H729" s="177" t="str">
        <f>IFERROR(VLOOKUP(D729,Cadastros!A:F,6,0),"")</f>
        <v/>
      </c>
      <c r="I729" s="177" t="str">
        <f>IFERROR(VLOOKUP(D729,Cadastros!A:I,9,0),"")</f>
        <v/>
      </c>
      <c r="J729" s="177" t="str">
        <f>IFERROR(VLOOKUP(D729,Cadastros!A:J,10,0),"")</f>
        <v/>
      </c>
      <c r="K729" s="177" t="str">
        <f>IF(COUNTIF(Tabela66[id],D729)=0,"",COUNTIF(Tabela66[id],D729))</f>
        <v/>
      </c>
      <c r="L729" s="198"/>
      <c r="M729" s="227" t="str">
        <f t="shared" si="55"/>
        <v/>
      </c>
      <c r="P729" s="176" t="str">
        <f>IFERROR(VLOOKUP(O729,Cadastros!A:B,2),"")</f>
        <v/>
      </c>
      <c r="Q729" s="177" t="str">
        <f t="shared" si="51"/>
        <v/>
      </c>
      <c r="R729" s="177" t="str">
        <f>IFERROR(VLOOKUP(O729,Cadastros!A:E,5,0),"")</f>
        <v/>
      </c>
      <c r="S729" s="177" t="str">
        <f>IFERROR(VLOOKUP(O729,Cadastros!A:F,6,0),"")</f>
        <v/>
      </c>
      <c r="T729" s="177" t="str">
        <f>IFERROR(VLOOKUP(O729,Cadastros!A:I,9,0),"")</f>
        <v/>
      </c>
      <c r="U729" s="177" t="str">
        <f t="shared" si="52"/>
        <v/>
      </c>
      <c r="V729" s="177" t="str">
        <f t="shared" si="53"/>
        <v/>
      </c>
      <c r="W729" s="177" t="str">
        <f t="shared" si="54"/>
        <v/>
      </c>
      <c r="Y729" s="240" t="e">
        <f t="array" ref="Y729">INDEX(Tabela.abordagens[],SMALL(IF(Tabela.abordagens[Mês]=$L$2,ROW(Tabela.abordagens[id])-2),ROW(A682)),1)</f>
        <v>#NUM!</v>
      </c>
      <c r="Z729" s="240" t="e">
        <f t="array" ref="Z729">INDEX(Tabela.abordagens[],SMALL(IF(Tabela.abordagens[Mês]=$L$2,ROW(Tabela.abordagens[Idade])-2),ROW(A682)),6)</f>
        <v>#NUM!</v>
      </c>
      <c r="AA729" s="240" t="e">
        <f t="array" ref="AA729">INDEX(Tabela.abordagens[],SMALL(IF(Tabela.abordagens[Mês]=$L$2,ROW(Tabela.abordagens[Idade])-2),ROW(A682)),4)</f>
        <v>#NUM!</v>
      </c>
      <c r="AB729" s="240" t="e">
        <f t="array" ref="AB729">INDEX(Tabela.abordagens[],SMALL(IF(Tabela.abordagens[Mês]=$L$2,ROW(Tabela.abordagens[Idade])-2),ROW(A682)),5)</f>
        <v>#NUM!</v>
      </c>
    </row>
    <row r="730" spans="2:28" ht="15" x14ac:dyDescent="0.25">
      <c r="B730" s="223" t="e">
        <f t="array" ref="B730">INDEX(Tabela.frequencia[],SMALL(IF(Tabela.frequencia[Mês]=$L$2,ROW(Tabela.frequencia[id])-1),ROW(A683)),1)</f>
        <v>#NUM!</v>
      </c>
      <c r="C730" s="229" t="e">
        <f t="array" ref="C730">INDEX(Tabela.frequencia[],SMALL(IF(Tabela.frequencia[Mês]=$L$2,ROW(Tabela.frequencia[id])-1),ROW(A683)),4)</f>
        <v>#NUM!</v>
      </c>
      <c r="E730" s="176" t="str">
        <f>IFERROR(VLOOKUP(D730,Tabela.cadastro[[ID]:[Nome]],2,0),"")</f>
        <v/>
      </c>
      <c r="F730" s="177" t="str">
        <f>IFERROR(VLOOKUP(D730,Tabela66[#All],2,0),"")</f>
        <v/>
      </c>
      <c r="G730" s="177" t="str">
        <f>IFERROR(VLOOKUP(D730,Tabela.cadastro[[ID]:[CP ou M]],5,0),"")</f>
        <v/>
      </c>
      <c r="H730" s="177" t="str">
        <f>IFERROR(VLOOKUP(D730,Cadastros!A:F,6,0),"")</f>
        <v/>
      </c>
      <c r="I730" s="177" t="str">
        <f>IFERROR(VLOOKUP(D730,Cadastros!A:I,9,0),"")</f>
        <v/>
      </c>
      <c r="J730" s="177" t="str">
        <f>IFERROR(VLOOKUP(D730,Cadastros!A:J,10,0),"")</f>
        <v/>
      </c>
      <c r="K730" s="177" t="str">
        <f>IF(COUNTIF(Tabela66[id],D730)=0,"",COUNTIF(Tabela66[id],D730))</f>
        <v/>
      </c>
      <c r="L730" s="198"/>
      <c r="M730" s="227" t="str">
        <f t="shared" si="55"/>
        <v/>
      </c>
      <c r="P730" s="176" t="str">
        <f>IFERROR(VLOOKUP(O730,Cadastros!A:B,2),"")</f>
        <v/>
      </c>
      <c r="Q730" s="177" t="str">
        <f t="shared" si="51"/>
        <v/>
      </c>
      <c r="R730" s="177" t="str">
        <f>IFERROR(VLOOKUP(O730,Cadastros!A:E,5,0),"")</f>
        <v/>
      </c>
      <c r="S730" s="177" t="str">
        <f>IFERROR(VLOOKUP(O730,Cadastros!A:F,6,0),"")</f>
        <v/>
      </c>
      <c r="T730" s="177" t="str">
        <f>IFERROR(VLOOKUP(O730,Cadastros!A:I,9,0),"")</f>
        <v/>
      </c>
      <c r="U730" s="177" t="str">
        <f t="shared" si="52"/>
        <v/>
      </c>
      <c r="V730" s="177" t="str">
        <f t="shared" si="53"/>
        <v/>
      </c>
      <c r="W730" s="177" t="str">
        <f t="shared" si="54"/>
        <v/>
      </c>
      <c r="Y730" s="240" t="e">
        <f t="array" ref="Y730">INDEX(Tabela.abordagens[],SMALL(IF(Tabela.abordagens[Mês]=$L$2,ROW(Tabela.abordagens[id])-2),ROW(A683)),1)</f>
        <v>#NUM!</v>
      </c>
      <c r="Z730" s="240" t="e">
        <f t="array" ref="Z730">INDEX(Tabela.abordagens[],SMALL(IF(Tabela.abordagens[Mês]=$L$2,ROW(Tabela.abordagens[Idade])-2),ROW(A683)),6)</f>
        <v>#NUM!</v>
      </c>
      <c r="AA730" s="240" t="e">
        <f t="array" ref="AA730">INDEX(Tabela.abordagens[],SMALL(IF(Tabela.abordagens[Mês]=$L$2,ROW(Tabela.abordagens[Idade])-2),ROW(A683)),4)</f>
        <v>#NUM!</v>
      </c>
      <c r="AB730" s="240" t="e">
        <f t="array" ref="AB730">INDEX(Tabela.abordagens[],SMALL(IF(Tabela.abordagens[Mês]=$L$2,ROW(Tabela.abordagens[Idade])-2),ROW(A683)),5)</f>
        <v>#NUM!</v>
      </c>
    </row>
    <row r="731" spans="2:28" ht="15" x14ac:dyDescent="0.25">
      <c r="B731" s="223" t="e">
        <f t="array" ref="B731">INDEX(Tabela.frequencia[],SMALL(IF(Tabela.frequencia[Mês]=$L$2,ROW(Tabela.frequencia[id])-1),ROW(A684)),1)</f>
        <v>#NUM!</v>
      </c>
      <c r="C731" s="229" t="e">
        <f t="array" ref="C731">INDEX(Tabela.frequencia[],SMALL(IF(Tabela.frequencia[Mês]=$L$2,ROW(Tabela.frequencia[id])-1),ROW(A684)),4)</f>
        <v>#NUM!</v>
      </c>
      <c r="E731" s="176" t="str">
        <f>IFERROR(VLOOKUP(D731,Tabela.cadastro[[ID]:[Nome]],2,0),"")</f>
        <v/>
      </c>
      <c r="F731" s="177" t="str">
        <f>IFERROR(VLOOKUP(D731,Tabela66[#All],2,0),"")</f>
        <v/>
      </c>
      <c r="G731" s="177" t="str">
        <f>IFERROR(VLOOKUP(D731,Tabela.cadastro[[ID]:[CP ou M]],5,0),"")</f>
        <v/>
      </c>
      <c r="H731" s="177" t="str">
        <f>IFERROR(VLOOKUP(D731,Cadastros!A:F,6,0),"")</f>
        <v/>
      </c>
      <c r="I731" s="177" t="str">
        <f>IFERROR(VLOOKUP(D731,Cadastros!A:I,9,0),"")</f>
        <v/>
      </c>
      <c r="J731" s="177" t="str">
        <f>IFERROR(VLOOKUP(D731,Cadastros!A:J,10,0),"")</f>
        <v/>
      </c>
      <c r="K731" s="177" t="str">
        <f>IF(COUNTIF(Tabela66[id],D731)=0,"",COUNTIF(Tabela66[id],D731))</f>
        <v/>
      </c>
      <c r="L731" s="198"/>
      <c r="M731" s="227" t="str">
        <f t="shared" si="55"/>
        <v/>
      </c>
      <c r="P731" s="176" t="str">
        <f>IFERROR(VLOOKUP(O731,Cadastros!A:B,2),"")</f>
        <v/>
      </c>
      <c r="Q731" s="177" t="str">
        <f t="shared" si="51"/>
        <v/>
      </c>
      <c r="R731" s="177" t="str">
        <f>IFERROR(VLOOKUP(O731,Cadastros!A:E,5,0),"")</f>
        <v/>
      </c>
      <c r="S731" s="177" t="str">
        <f>IFERROR(VLOOKUP(O731,Cadastros!A:F,6,0),"")</f>
        <v/>
      </c>
      <c r="T731" s="177" t="str">
        <f>IFERROR(VLOOKUP(O731,Cadastros!A:I,9,0),"")</f>
        <v/>
      </c>
      <c r="U731" s="177" t="str">
        <f t="shared" si="52"/>
        <v/>
      </c>
      <c r="V731" s="177" t="str">
        <f t="shared" si="53"/>
        <v/>
      </c>
      <c r="W731" s="177" t="str">
        <f t="shared" si="54"/>
        <v/>
      </c>
      <c r="Y731" s="240" t="e">
        <f t="array" ref="Y731">INDEX(Tabela.abordagens[],SMALL(IF(Tabela.abordagens[Mês]=$L$2,ROW(Tabela.abordagens[id])-2),ROW(A684)),1)</f>
        <v>#NUM!</v>
      </c>
      <c r="Z731" s="240" t="e">
        <f t="array" ref="Z731">INDEX(Tabela.abordagens[],SMALL(IF(Tabela.abordagens[Mês]=$L$2,ROW(Tabela.abordagens[Idade])-2),ROW(A684)),6)</f>
        <v>#NUM!</v>
      </c>
      <c r="AA731" s="240" t="e">
        <f t="array" ref="AA731">INDEX(Tabela.abordagens[],SMALL(IF(Tabela.abordagens[Mês]=$L$2,ROW(Tabela.abordagens[Idade])-2),ROW(A684)),4)</f>
        <v>#NUM!</v>
      </c>
      <c r="AB731" s="240" t="e">
        <f t="array" ref="AB731">INDEX(Tabela.abordagens[],SMALL(IF(Tabela.abordagens[Mês]=$L$2,ROW(Tabela.abordagens[Idade])-2),ROW(A684)),5)</f>
        <v>#NUM!</v>
      </c>
    </row>
    <row r="732" spans="2:28" ht="15" x14ac:dyDescent="0.25">
      <c r="B732" s="223" t="e">
        <f t="array" ref="B732">INDEX(Tabela.frequencia[],SMALL(IF(Tabela.frequencia[Mês]=$L$2,ROW(Tabela.frequencia[id])-1),ROW(A685)),1)</f>
        <v>#NUM!</v>
      </c>
      <c r="C732" s="229" t="e">
        <f t="array" ref="C732">INDEX(Tabela.frequencia[],SMALL(IF(Tabela.frequencia[Mês]=$L$2,ROW(Tabela.frequencia[id])-1),ROW(A685)),4)</f>
        <v>#NUM!</v>
      </c>
      <c r="E732" s="176" t="str">
        <f>IFERROR(VLOOKUP(D732,Tabela.cadastro[[ID]:[Nome]],2,0),"")</f>
        <v/>
      </c>
      <c r="F732" s="177" t="str">
        <f>IFERROR(VLOOKUP(D732,Tabela66[#All],2,0),"")</f>
        <v/>
      </c>
      <c r="G732" s="177" t="str">
        <f>IFERROR(VLOOKUP(D732,Tabela.cadastro[[ID]:[CP ou M]],5,0),"")</f>
        <v/>
      </c>
      <c r="H732" s="177" t="str">
        <f>IFERROR(VLOOKUP(D732,Cadastros!A:F,6,0),"")</f>
        <v/>
      </c>
      <c r="I732" s="177" t="str">
        <f>IFERROR(VLOOKUP(D732,Cadastros!A:I,9,0),"")</f>
        <v/>
      </c>
      <c r="J732" s="177" t="str">
        <f>IFERROR(VLOOKUP(D732,Cadastros!A:J,10,0),"")</f>
        <v/>
      </c>
      <c r="K732" s="177" t="str">
        <f>IF(COUNTIF(Tabela66[id],D732)=0,"",COUNTIF(Tabela66[id],D732))</f>
        <v/>
      </c>
      <c r="L732" s="198"/>
      <c r="M732" s="227" t="str">
        <f t="shared" si="55"/>
        <v/>
      </c>
      <c r="P732" s="176" t="str">
        <f>IFERROR(VLOOKUP(O732,Cadastros!A:B,2),"")</f>
        <v/>
      </c>
      <c r="Q732" s="177" t="str">
        <f t="shared" si="51"/>
        <v/>
      </c>
      <c r="R732" s="177" t="str">
        <f>IFERROR(VLOOKUP(O732,Cadastros!A:E,5,0),"")</f>
        <v/>
      </c>
      <c r="S732" s="177" t="str">
        <f>IFERROR(VLOOKUP(O732,Cadastros!A:F,6,0),"")</f>
        <v/>
      </c>
      <c r="T732" s="177" t="str">
        <f>IFERROR(VLOOKUP(O732,Cadastros!A:I,9,0),"")</f>
        <v/>
      </c>
      <c r="U732" s="177" t="str">
        <f t="shared" si="52"/>
        <v/>
      </c>
      <c r="V732" s="177" t="str">
        <f t="shared" si="53"/>
        <v/>
      </c>
      <c r="W732" s="177" t="str">
        <f t="shared" si="54"/>
        <v/>
      </c>
      <c r="Y732" s="240" t="e">
        <f t="array" ref="Y732">INDEX(Tabela.abordagens[],SMALL(IF(Tabela.abordagens[Mês]=$L$2,ROW(Tabela.abordagens[id])-2),ROW(A685)),1)</f>
        <v>#NUM!</v>
      </c>
      <c r="Z732" s="240" t="e">
        <f t="array" ref="Z732">INDEX(Tabela.abordagens[],SMALL(IF(Tabela.abordagens[Mês]=$L$2,ROW(Tabela.abordagens[Idade])-2),ROW(A685)),6)</f>
        <v>#NUM!</v>
      </c>
      <c r="AA732" s="240" t="e">
        <f t="array" ref="AA732">INDEX(Tabela.abordagens[],SMALL(IF(Tabela.abordagens[Mês]=$L$2,ROW(Tabela.abordagens[Idade])-2),ROW(A685)),4)</f>
        <v>#NUM!</v>
      </c>
      <c r="AB732" s="240" t="e">
        <f t="array" ref="AB732">INDEX(Tabela.abordagens[],SMALL(IF(Tabela.abordagens[Mês]=$L$2,ROW(Tabela.abordagens[Idade])-2),ROW(A685)),5)</f>
        <v>#NUM!</v>
      </c>
    </row>
    <row r="733" spans="2:28" ht="15" x14ac:dyDescent="0.25">
      <c r="B733" s="223" t="e">
        <f t="array" ref="B733">INDEX(Tabela.frequencia[],SMALL(IF(Tabela.frequencia[Mês]=$L$2,ROW(Tabela.frequencia[id])-1),ROW(A686)),1)</f>
        <v>#NUM!</v>
      </c>
      <c r="C733" s="229" t="e">
        <f t="array" ref="C733">INDEX(Tabela.frequencia[],SMALL(IF(Tabela.frequencia[Mês]=$L$2,ROW(Tabela.frequencia[id])-1),ROW(A686)),4)</f>
        <v>#NUM!</v>
      </c>
      <c r="E733" s="176" t="str">
        <f>IFERROR(VLOOKUP(D733,Tabela.cadastro[[ID]:[Nome]],2,0),"")</f>
        <v/>
      </c>
      <c r="F733" s="177" t="str">
        <f>IFERROR(VLOOKUP(D733,Tabela66[#All],2,0),"")</f>
        <v/>
      </c>
      <c r="G733" s="177" t="str">
        <f>IFERROR(VLOOKUP(D733,Tabela.cadastro[[ID]:[CP ou M]],5,0),"")</f>
        <v/>
      </c>
      <c r="H733" s="177" t="str">
        <f>IFERROR(VLOOKUP(D733,Cadastros!A:F,6,0),"")</f>
        <v/>
      </c>
      <c r="I733" s="177" t="str">
        <f>IFERROR(VLOOKUP(D733,Cadastros!A:I,9,0),"")</f>
        <v/>
      </c>
      <c r="J733" s="177" t="str">
        <f>IFERROR(VLOOKUP(D733,Cadastros!A:J,10,0),"")</f>
        <v/>
      </c>
      <c r="K733" s="177" t="str">
        <f>IF(COUNTIF(Tabela66[id],D733)=0,"",COUNTIF(Tabela66[id],D733))</f>
        <v/>
      </c>
      <c r="L733" s="198"/>
      <c r="M733" s="227" t="str">
        <f t="shared" si="55"/>
        <v/>
      </c>
      <c r="P733" s="176" t="str">
        <f>IFERROR(VLOOKUP(O733,Cadastros!A:B,2),"")</f>
        <v/>
      </c>
      <c r="Q733" s="177" t="str">
        <f t="shared" si="51"/>
        <v/>
      </c>
      <c r="R733" s="177" t="str">
        <f>IFERROR(VLOOKUP(O733,Cadastros!A:E,5,0),"")</f>
        <v/>
      </c>
      <c r="S733" s="177" t="str">
        <f>IFERROR(VLOOKUP(O733,Cadastros!A:F,6,0),"")</f>
        <v/>
      </c>
      <c r="T733" s="177" t="str">
        <f>IFERROR(VLOOKUP(O733,Cadastros!A:I,9,0),"")</f>
        <v/>
      </c>
      <c r="U733" s="177" t="str">
        <f t="shared" si="52"/>
        <v/>
      </c>
      <c r="V733" s="177" t="str">
        <f t="shared" si="53"/>
        <v/>
      </c>
      <c r="W733" s="177" t="str">
        <f t="shared" si="54"/>
        <v/>
      </c>
      <c r="Y733" s="240" t="e">
        <f t="array" ref="Y733">INDEX(Tabela.abordagens[],SMALL(IF(Tabela.abordagens[Mês]=$L$2,ROW(Tabela.abordagens[id])-2),ROW(A686)),1)</f>
        <v>#NUM!</v>
      </c>
      <c r="Z733" s="240" t="e">
        <f t="array" ref="Z733">INDEX(Tabela.abordagens[],SMALL(IF(Tabela.abordagens[Mês]=$L$2,ROW(Tabela.abordagens[Idade])-2),ROW(A686)),6)</f>
        <v>#NUM!</v>
      </c>
      <c r="AA733" s="240" t="e">
        <f t="array" ref="AA733">INDEX(Tabela.abordagens[],SMALL(IF(Tabela.abordagens[Mês]=$L$2,ROW(Tabela.abordagens[Idade])-2),ROW(A686)),4)</f>
        <v>#NUM!</v>
      </c>
      <c r="AB733" s="240" t="e">
        <f t="array" ref="AB733">INDEX(Tabela.abordagens[],SMALL(IF(Tabela.abordagens[Mês]=$L$2,ROW(Tabela.abordagens[Idade])-2),ROW(A686)),5)</f>
        <v>#NUM!</v>
      </c>
    </row>
    <row r="734" spans="2:28" ht="15" x14ac:dyDescent="0.25">
      <c r="B734" s="223" t="e">
        <f t="array" ref="B734">INDEX(Tabela.frequencia[],SMALL(IF(Tabela.frequencia[Mês]=$L$2,ROW(Tabela.frequencia[id])-1),ROW(A687)),1)</f>
        <v>#NUM!</v>
      </c>
      <c r="C734" s="229" t="e">
        <f t="array" ref="C734">INDEX(Tabela.frequencia[],SMALL(IF(Tabela.frequencia[Mês]=$L$2,ROW(Tabela.frequencia[id])-1),ROW(A687)),4)</f>
        <v>#NUM!</v>
      </c>
      <c r="E734" s="176" t="str">
        <f>IFERROR(VLOOKUP(D734,Tabela.cadastro[[ID]:[Nome]],2,0),"")</f>
        <v/>
      </c>
      <c r="F734" s="177" t="str">
        <f>IFERROR(VLOOKUP(D734,Tabela66[#All],2,0),"")</f>
        <v/>
      </c>
      <c r="G734" s="177" t="str">
        <f>IFERROR(VLOOKUP(D734,Tabela.cadastro[[ID]:[CP ou M]],5,0),"")</f>
        <v/>
      </c>
      <c r="H734" s="177" t="str">
        <f>IFERROR(VLOOKUP(D734,Cadastros!A:F,6,0),"")</f>
        <v/>
      </c>
      <c r="I734" s="177" t="str">
        <f>IFERROR(VLOOKUP(D734,Cadastros!A:I,9,0),"")</f>
        <v/>
      </c>
      <c r="J734" s="177" t="str">
        <f>IFERROR(VLOOKUP(D734,Cadastros!A:J,10,0),"")</f>
        <v/>
      </c>
      <c r="K734" s="177" t="str">
        <f>IF(COUNTIF(Tabela66[id],D734)=0,"",COUNTIF(Tabela66[id],D734))</f>
        <v/>
      </c>
      <c r="L734" s="198"/>
      <c r="M734" s="227" t="str">
        <f t="shared" si="55"/>
        <v/>
      </c>
      <c r="P734" s="176" t="str">
        <f>IFERROR(VLOOKUP(O734,Cadastros!A:B,2),"")</f>
        <v/>
      </c>
      <c r="Q734" s="177" t="str">
        <f t="shared" si="51"/>
        <v/>
      </c>
      <c r="R734" s="177" t="str">
        <f>IFERROR(VLOOKUP(O734,Cadastros!A:E,5,0),"")</f>
        <v/>
      </c>
      <c r="S734" s="177" t="str">
        <f>IFERROR(VLOOKUP(O734,Cadastros!A:F,6,0),"")</f>
        <v/>
      </c>
      <c r="T734" s="177" t="str">
        <f>IFERROR(VLOOKUP(O734,Cadastros!A:I,9,0),"")</f>
        <v/>
      </c>
      <c r="U734" s="177" t="str">
        <f t="shared" si="52"/>
        <v/>
      </c>
      <c r="V734" s="177" t="str">
        <f t="shared" si="53"/>
        <v/>
      </c>
      <c r="W734" s="177" t="str">
        <f t="shared" si="54"/>
        <v/>
      </c>
      <c r="Y734" s="240" t="e">
        <f t="array" ref="Y734">INDEX(Tabela.abordagens[],SMALL(IF(Tabela.abordagens[Mês]=$L$2,ROW(Tabela.abordagens[id])-2),ROW(A687)),1)</f>
        <v>#NUM!</v>
      </c>
      <c r="Z734" s="240" t="e">
        <f t="array" ref="Z734">INDEX(Tabela.abordagens[],SMALL(IF(Tabela.abordagens[Mês]=$L$2,ROW(Tabela.abordagens[Idade])-2),ROW(A687)),6)</f>
        <v>#NUM!</v>
      </c>
      <c r="AA734" s="240" t="e">
        <f t="array" ref="AA734">INDEX(Tabela.abordagens[],SMALL(IF(Tabela.abordagens[Mês]=$L$2,ROW(Tabela.abordagens[Idade])-2),ROW(A687)),4)</f>
        <v>#NUM!</v>
      </c>
      <c r="AB734" s="240" t="e">
        <f t="array" ref="AB734">INDEX(Tabela.abordagens[],SMALL(IF(Tabela.abordagens[Mês]=$L$2,ROW(Tabela.abordagens[Idade])-2),ROW(A687)),5)</f>
        <v>#NUM!</v>
      </c>
    </row>
    <row r="735" spans="2:28" ht="15" x14ac:dyDescent="0.25">
      <c r="B735" s="223" t="e">
        <f t="array" ref="B735">INDEX(Tabela.frequencia[],SMALL(IF(Tabela.frequencia[Mês]=$L$2,ROW(Tabela.frequencia[id])-1),ROW(A688)),1)</f>
        <v>#NUM!</v>
      </c>
      <c r="C735" s="229" t="e">
        <f t="array" ref="C735">INDEX(Tabela.frequencia[],SMALL(IF(Tabela.frequencia[Mês]=$L$2,ROW(Tabela.frequencia[id])-1),ROW(A688)),4)</f>
        <v>#NUM!</v>
      </c>
      <c r="E735" s="176" t="str">
        <f>IFERROR(VLOOKUP(D735,Tabela.cadastro[[ID]:[Nome]],2,0),"")</f>
        <v/>
      </c>
      <c r="F735" s="177" t="str">
        <f>IFERROR(VLOOKUP(D735,Tabela66[#All],2,0),"")</f>
        <v/>
      </c>
      <c r="G735" s="177" t="str">
        <f>IFERROR(VLOOKUP(D735,Tabela.cadastro[[ID]:[CP ou M]],5,0),"")</f>
        <v/>
      </c>
      <c r="H735" s="177" t="str">
        <f>IFERROR(VLOOKUP(D735,Cadastros!A:F,6,0),"")</f>
        <v/>
      </c>
      <c r="I735" s="177" t="str">
        <f>IFERROR(VLOOKUP(D735,Cadastros!A:I,9,0),"")</f>
        <v/>
      </c>
      <c r="J735" s="177" t="str">
        <f>IFERROR(VLOOKUP(D735,Cadastros!A:J,10,0),"")</f>
        <v/>
      </c>
      <c r="K735" s="177" t="str">
        <f>IF(COUNTIF(Tabela66[id],D735)=0,"",COUNTIF(Tabela66[id],D735))</f>
        <v/>
      </c>
      <c r="L735" s="198"/>
      <c r="M735" s="227" t="str">
        <f t="shared" si="55"/>
        <v/>
      </c>
      <c r="P735" s="176" t="str">
        <f>IFERROR(VLOOKUP(O735,Cadastros!A:B,2),"")</f>
        <v/>
      </c>
      <c r="Q735" s="177" t="str">
        <f t="shared" si="51"/>
        <v/>
      </c>
      <c r="R735" s="177" t="str">
        <f>IFERROR(VLOOKUP(O735,Cadastros!A:E,5,0),"")</f>
        <v/>
      </c>
      <c r="S735" s="177" t="str">
        <f>IFERROR(VLOOKUP(O735,Cadastros!A:F,6,0),"")</f>
        <v/>
      </c>
      <c r="T735" s="177" t="str">
        <f>IFERROR(VLOOKUP(O735,Cadastros!A:I,9,0),"")</f>
        <v/>
      </c>
      <c r="U735" s="177" t="str">
        <f t="shared" si="52"/>
        <v/>
      </c>
      <c r="V735" s="177" t="str">
        <f t="shared" si="53"/>
        <v/>
      </c>
      <c r="W735" s="177" t="str">
        <f t="shared" si="54"/>
        <v/>
      </c>
      <c r="Y735" s="240" t="e">
        <f t="array" ref="Y735">INDEX(Tabela.abordagens[],SMALL(IF(Tabela.abordagens[Mês]=$L$2,ROW(Tabela.abordagens[id])-2),ROW(A688)),1)</f>
        <v>#NUM!</v>
      </c>
      <c r="Z735" s="240" t="e">
        <f t="array" ref="Z735">INDEX(Tabela.abordagens[],SMALL(IF(Tabela.abordagens[Mês]=$L$2,ROW(Tabela.abordagens[Idade])-2),ROW(A688)),6)</f>
        <v>#NUM!</v>
      </c>
      <c r="AA735" s="240" t="e">
        <f t="array" ref="AA735">INDEX(Tabela.abordagens[],SMALL(IF(Tabela.abordagens[Mês]=$L$2,ROW(Tabela.abordagens[Idade])-2),ROW(A688)),4)</f>
        <v>#NUM!</v>
      </c>
      <c r="AB735" s="240" t="e">
        <f t="array" ref="AB735">INDEX(Tabela.abordagens[],SMALL(IF(Tabela.abordagens[Mês]=$L$2,ROW(Tabela.abordagens[Idade])-2),ROW(A688)),5)</f>
        <v>#NUM!</v>
      </c>
    </row>
    <row r="736" spans="2:28" ht="15" x14ac:dyDescent="0.25">
      <c r="B736" s="223" t="e">
        <f t="array" ref="B736">INDEX(Tabela.frequencia[],SMALL(IF(Tabela.frequencia[Mês]=$L$2,ROW(Tabela.frequencia[id])-1),ROW(A689)),1)</f>
        <v>#NUM!</v>
      </c>
      <c r="C736" s="229" t="e">
        <f t="array" ref="C736">INDEX(Tabela.frequencia[],SMALL(IF(Tabela.frequencia[Mês]=$L$2,ROW(Tabela.frequencia[id])-1),ROW(A689)),4)</f>
        <v>#NUM!</v>
      </c>
      <c r="E736" s="176" t="str">
        <f>IFERROR(VLOOKUP(D736,Tabela.cadastro[[ID]:[Nome]],2,0),"")</f>
        <v/>
      </c>
      <c r="F736" s="177" t="str">
        <f>IFERROR(VLOOKUP(D736,Tabela66[#All],2,0),"")</f>
        <v/>
      </c>
      <c r="G736" s="177" t="str">
        <f>IFERROR(VLOOKUP(D736,Tabela.cadastro[[ID]:[CP ou M]],5,0),"")</f>
        <v/>
      </c>
      <c r="H736" s="177" t="str">
        <f>IFERROR(VLOOKUP(D736,Cadastros!A:F,6,0),"")</f>
        <v/>
      </c>
      <c r="I736" s="177" t="str">
        <f>IFERROR(VLOOKUP(D736,Cadastros!A:I,9,0),"")</f>
        <v/>
      </c>
      <c r="J736" s="177" t="str">
        <f>IFERROR(VLOOKUP(D736,Cadastros!A:J,10,0),"")</f>
        <v/>
      </c>
      <c r="K736" s="177" t="str">
        <f>IF(COUNTIF(Tabela66[id],D736)=0,"",COUNTIF(Tabela66[id],D736))</f>
        <v/>
      </c>
      <c r="L736" s="198"/>
      <c r="M736" s="227" t="str">
        <f t="shared" si="55"/>
        <v/>
      </c>
      <c r="P736" s="176" t="str">
        <f>IFERROR(VLOOKUP(O736,Cadastros!A:B,2),"")</f>
        <v/>
      </c>
      <c r="Q736" s="177" t="str">
        <f t="shared" si="51"/>
        <v/>
      </c>
      <c r="R736" s="177" t="str">
        <f>IFERROR(VLOOKUP(O736,Cadastros!A:E,5,0),"")</f>
        <v/>
      </c>
      <c r="S736" s="177" t="str">
        <f>IFERROR(VLOOKUP(O736,Cadastros!A:F,6,0),"")</f>
        <v/>
      </c>
      <c r="T736" s="177" t="str">
        <f>IFERROR(VLOOKUP(O736,Cadastros!A:I,9,0),"")</f>
        <v/>
      </c>
      <c r="U736" s="177" t="str">
        <f t="shared" si="52"/>
        <v/>
      </c>
      <c r="V736" s="177" t="str">
        <f t="shared" si="53"/>
        <v/>
      </c>
      <c r="W736" s="177" t="str">
        <f t="shared" si="54"/>
        <v/>
      </c>
      <c r="Y736" s="240" t="e">
        <f t="array" ref="Y736">INDEX(Tabela.abordagens[],SMALL(IF(Tabela.abordagens[Mês]=$L$2,ROW(Tabela.abordagens[id])-2),ROW(A689)),1)</f>
        <v>#NUM!</v>
      </c>
      <c r="Z736" s="240" t="e">
        <f t="array" ref="Z736">INDEX(Tabela.abordagens[],SMALL(IF(Tabela.abordagens[Mês]=$L$2,ROW(Tabela.abordagens[Idade])-2),ROW(A689)),6)</f>
        <v>#NUM!</v>
      </c>
      <c r="AA736" s="240" t="e">
        <f t="array" ref="AA736">INDEX(Tabela.abordagens[],SMALL(IF(Tabela.abordagens[Mês]=$L$2,ROW(Tabela.abordagens[Idade])-2),ROW(A689)),4)</f>
        <v>#NUM!</v>
      </c>
      <c r="AB736" s="240" t="e">
        <f t="array" ref="AB736">INDEX(Tabela.abordagens[],SMALL(IF(Tabela.abordagens[Mês]=$L$2,ROW(Tabela.abordagens[Idade])-2),ROW(A689)),5)</f>
        <v>#NUM!</v>
      </c>
    </row>
    <row r="737" spans="2:28" ht="15" x14ac:dyDescent="0.25">
      <c r="B737" s="223" t="e">
        <f t="array" ref="B737">INDEX(Tabela.frequencia[],SMALL(IF(Tabela.frequencia[Mês]=$L$2,ROW(Tabela.frequencia[id])-1),ROW(A690)),1)</f>
        <v>#NUM!</v>
      </c>
      <c r="C737" s="229" t="e">
        <f t="array" ref="C737">INDEX(Tabela.frequencia[],SMALL(IF(Tabela.frequencia[Mês]=$L$2,ROW(Tabela.frequencia[id])-1),ROW(A690)),4)</f>
        <v>#NUM!</v>
      </c>
      <c r="E737" s="176" t="str">
        <f>IFERROR(VLOOKUP(D737,Tabela.cadastro[[ID]:[Nome]],2,0),"")</f>
        <v/>
      </c>
      <c r="F737" s="177" t="str">
        <f>IFERROR(VLOOKUP(D737,Tabela66[#All],2,0),"")</f>
        <v/>
      </c>
      <c r="G737" s="177" t="str">
        <f>IFERROR(VLOOKUP(D737,Tabela.cadastro[[ID]:[CP ou M]],5,0),"")</f>
        <v/>
      </c>
      <c r="H737" s="177" t="str">
        <f>IFERROR(VLOOKUP(D737,Cadastros!A:F,6,0),"")</f>
        <v/>
      </c>
      <c r="I737" s="177" t="str">
        <f>IFERROR(VLOOKUP(D737,Cadastros!A:I,9,0),"")</f>
        <v/>
      </c>
      <c r="J737" s="177" t="str">
        <f>IFERROR(VLOOKUP(D737,Cadastros!A:J,10,0),"")</f>
        <v/>
      </c>
      <c r="K737" s="177" t="str">
        <f>IF(COUNTIF(Tabela66[id],D737)=0,"",COUNTIF(Tabela66[id],D737))</f>
        <v/>
      </c>
      <c r="L737" s="198"/>
      <c r="M737" s="227" t="str">
        <f t="shared" si="55"/>
        <v/>
      </c>
      <c r="P737" s="176" t="str">
        <f>IFERROR(VLOOKUP(O737,Cadastros!A:B,2),"")</f>
        <v/>
      </c>
      <c r="Q737" s="177" t="str">
        <f t="shared" si="51"/>
        <v/>
      </c>
      <c r="R737" s="177" t="str">
        <f>IFERROR(VLOOKUP(O737,Cadastros!A:E,5,0),"")</f>
        <v/>
      </c>
      <c r="S737" s="177" t="str">
        <f>IFERROR(VLOOKUP(O737,Cadastros!A:F,6,0),"")</f>
        <v/>
      </c>
      <c r="T737" s="177" t="str">
        <f>IFERROR(VLOOKUP(O737,Cadastros!A:I,9,0),"")</f>
        <v/>
      </c>
      <c r="U737" s="177" t="str">
        <f t="shared" si="52"/>
        <v/>
      </c>
      <c r="V737" s="177" t="str">
        <f t="shared" si="53"/>
        <v/>
      </c>
      <c r="W737" s="177" t="str">
        <f t="shared" si="54"/>
        <v/>
      </c>
      <c r="Y737" s="240" t="e">
        <f t="array" ref="Y737">INDEX(Tabela.abordagens[],SMALL(IF(Tabela.abordagens[Mês]=$L$2,ROW(Tabela.abordagens[id])-2),ROW(A690)),1)</f>
        <v>#NUM!</v>
      </c>
      <c r="Z737" s="240" t="e">
        <f t="array" ref="Z737">INDEX(Tabela.abordagens[],SMALL(IF(Tabela.abordagens[Mês]=$L$2,ROW(Tabela.abordagens[Idade])-2),ROW(A690)),6)</f>
        <v>#NUM!</v>
      </c>
      <c r="AA737" s="240" t="e">
        <f t="array" ref="AA737">INDEX(Tabela.abordagens[],SMALL(IF(Tabela.abordagens[Mês]=$L$2,ROW(Tabela.abordagens[Idade])-2),ROW(A690)),4)</f>
        <v>#NUM!</v>
      </c>
      <c r="AB737" s="240" t="e">
        <f t="array" ref="AB737">INDEX(Tabela.abordagens[],SMALL(IF(Tabela.abordagens[Mês]=$L$2,ROW(Tabela.abordagens[Idade])-2),ROW(A690)),5)</f>
        <v>#NUM!</v>
      </c>
    </row>
    <row r="738" spans="2:28" ht="15" x14ac:dyDescent="0.25">
      <c r="B738" s="223" t="e">
        <f t="array" ref="B738">INDEX(Tabela.frequencia[],SMALL(IF(Tabela.frequencia[Mês]=$L$2,ROW(Tabela.frequencia[id])-1),ROW(A691)),1)</f>
        <v>#NUM!</v>
      </c>
      <c r="C738" s="229" t="e">
        <f t="array" ref="C738">INDEX(Tabela.frequencia[],SMALL(IF(Tabela.frequencia[Mês]=$L$2,ROW(Tabela.frequencia[id])-1),ROW(A691)),4)</f>
        <v>#NUM!</v>
      </c>
      <c r="E738" s="176" t="str">
        <f>IFERROR(VLOOKUP(D738,Tabela.cadastro[[ID]:[Nome]],2,0),"")</f>
        <v/>
      </c>
      <c r="F738" s="177" t="str">
        <f>IFERROR(VLOOKUP(D738,Tabela66[#All],2,0),"")</f>
        <v/>
      </c>
      <c r="G738" s="177" t="str">
        <f>IFERROR(VLOOKUP(D738,Tabela.cadastro[[ID]:[CP ou M]],5,0),"")</f>
        <v/>
      </c>
      <c r="H738" s="177" t="str">
        <f>IFERROR(VLOOKUP(D738,Cadastros!A:F,6,0),"")</f>
        <v/>
      </c>
      <c r="I738" s="177" t="str">
        <f>IFERROR(VLOOKUP(D738,Cadastros!A:I,9,0),"")</f>
        <v/>
      </c>
      <c r="J738" s="177" t="str">
        <f>IFERROR(VLOOKUP(D738,Cadastros!A:J,10,0),"")</f>
        <v/>
      </c>
      <c r="K738" s="177" t="str">
        <f>IF(COUNTIF(Tabela66[id],D738)=0,"",COUNTIF(Tabela66[id],D738))</f>
        <v/>
      </c>
      <c r="L738" s="198"/>
      <c r="M738" s="227" t="str">
        <f t="shared" si="55"/>
        <v/>
      </c>
      <c r="P738" s="176" t="str">
        <f>IFERROR(VLOOKUP(O738,Cadastros!A:B,2),"")</f>
        <v/>
      </c>
      <c r="Q738" s="177" t="str">
        <f t="shared" ref="Q738:Q801" si="56">IFERROR(VLOOKUP(O738,$Y$33:$Z$866,2,0),"")</f>
        <v/>
      </c>
      <c r="R738" s="177" t="str">
        <f>IFERROR(VLOOKUP(O738,Cadastros!A:E,5,0),"")</f>
        <v/>
      </c>
      <c r="S738" s="177" t="str">
        <f>IFERROR(VLOOKUP(O738,Cadastros!A:F,6,0),"")</f>
        <v/>
      </c>
      <c r="T738" s="177" t="str">
        <f>IFERROR(VLOOKUP(O738,Cadastros!A:I,9,0),"")</f>
        <v/>
      </c>
      <c r="U738" s="177" t="str">
        <f t="shared" ref="U738:U801" si="57">IFERROR(VLOOKUP(O738,Y$33:AB$866,3,0),"")</f>
        <v/>
      </c>
      <c r="V738" s="177" t="str">
        <f t="shared" ref="V738:V801" si="58">IFERROR(VLOOKUP(O738,Y$33:AB$866,4,0),"")</f>
        <v/>
      </c>
      <c r="W738" s="177" t="str">
        <f t="shared" ref="W738:W801" si="59">IF(COUNTIF(Y$33:Y$866,O738)=0,"",COUNTIF(Y$33:Y$866,O738))</f>
        <v/>
      </c>
      <c r="Y738" s="240" t="e">
        <f t="array" ref="Y738">INDEX(Tabela.abordagens[],SMALL(IF(Tabela.abordagens[Mês]=$L$2,ROW(Tabela.abordagens[id])-2),ROW(A691)),1)</f>
        <v>#NUM!</v>
      </c>
      <c r="Z738" s="240" t="e">
        <f t="array" ref="Z738">INDEX(Tabela.abordagens[],SMALL(IF(Tabela.abordagens[Mês]=$L$2,ROW(Tabela.abordagens[Idade])-2),ROW(A691)),6)</f>
        <v>#NUM!</v>
      </c>
      <c r="AA738" s="240" t="e">
        <f t="array" ref="AA738">INDEX(Tabela.abordagens[],SMALL(IF(Tabela.abordagens[Mês]=$L$2,ROW(Tabela.abordagens[Idade])-2),ROW(A691)),4)</f>
        <v>#NUM!</v>
      </c>
      <c r="AB738" s="240" t="e">
        <f t="array" ref="AB738">INDEX(Tabela.abordagens[],SMALL(IF(Tabela.abordagens[Mês]=$L$2,ROW(Tabela.abordagens[Idade])-2),ROW(A691)),5)</f>
        <v>#NUM!</v>
      </c>
    </row>
    <row r="739" spans="2:28" ht="15" x14ac:dyDescent="0.25">
      <c r="B739" s="223" t="e">
        <f t="array" ref="B739">INDEX(Tabela.frequencia[],SMALL(IF(Tabela.frequencia[Mês]=$L$2,ROW(Tabela.frequencia[id])-1),ROW(A692)),1)</f>
        <v>#NUM!</v>
      </c>
      <c r="C739" s="229" t="e">
        <f t="array" ref="C739">INDEX(Tabela.frequencia[],SMALL(IF(Tabela.frequencia[Mês]=$L$2,ROW(Tabela.frequencia[id])-1),ROW(A692)),4)</f>
        <v>#NUM!</v>
      </c>
      <c r="E739" s="176" t="str">
        <f>IFERROR(VLOOKUP(D739,Tabela.cadastro[[ID]:[Nome]],2,0),"")</f>
        <v/>
      </c>
      <c r="F739" s="177" t="str">
        <f>IFERROR(VLOOKUP(D739,Tabela66[#All],2,0),"")</f>
        <v/>
      </c>
      <c r="G739" s="177" t="str">
        <f>IFERROR(VLOOKUP(D739,Tabela.cadastro[[ID]:[CP ou M]],5,0),"")</f>
        <v/>
      </c>
      <c r="H739" s="177" t="str">
        <f>IFERROR(VLOOKUP(D739,Cadastros!A:F,6,0),"")</f>
        <v/>
      </c>
      <c r="I739" s="177" t="str">
        <f>IFERROR(VLOOKUP(D739,Cadastros!A:I,9,0),"")</f>
        <v/>
      </c>
      <c r="J739" s="177" t="str">
        <f>IFERROR(VLOOKUP(D739,Cadastros!A:J,10,0),"")</f>
        <v/>
      </c>
      <c r="K739" s="177" t="str">
        <f>IF(COUNTIF(Tabela66[id],D739)=0,"",COUNTIF(Tabela66[id],D739))</f>
        <v/>
      </c>
      <c r="L739" s="198"/>
      <c r="M739" s="227" t="str">
        <f t="shared" si="55"/>
        <v/>
      </c>
      <c r="P739" s="176" t="str">
        <f>IFERROR(VLOOKUP(O739,Cadastros!A:B,2),"")</f>
        <v/>
      </c>
      <c r="Q739" s="177" t="str">
        <f t="shared" si="56"/>
        <v/>
      </c>
      <c r="R739" s="177" t="str">
        <f>IFERROR(VLOOKUP(O739,Cadastros!A:E,5,0),"")</f>
        <v/>
      </c>
      <c r="S739" s="177" t="str">
        <f>IFERROR(VLOOKUP(O739,Cadastros!A:F,6,0),"")</f>
        <v/>
      </c>
      <c r="T739" s="177" t="str">
        <f>IFERROR(VLOOKUP(O739,Cadastros!A:I,9,0),"")</f>
        <v/>
      </c>
      <c r="U739" s="177" t="str">
        <f t="shared" si="57"/>
        <v/>
      </c>
      <c r="V739" s="177" t="str">
        <f t="shared" si="58"/>
        <v/>
      </c>
      <c r="W739" s="177" t="str">
        <f t="shared" si="59"/>
        <v/>
      </c>
      <c r="Y739" s="240" t="e">
        <f t="array" ref="Y739">INDEX(Tabela.abordagens[],SMALL(IF(Tabela.abordagens[Mês]=$L$2,ROW(Tabela.abordagens[id])-2),ROW(A692)),1)</f>
        <v>#NUM!</v>
      </c>
      <c r="Z739" s="240" t="e">
        <f t="array" ref="Z739">INDEX(Tabela.abordagens[],SMALL(IF(Tabela.abordagens[Mês]=$L$2,ROW(Tabela.abordagens[Idade])-2),ROW(A692)),6)</f>
        <v>#NUM!</v>
      </c>
      <c r="AA739" s="240" t="e">
        <f t="array" ref="AA739">INDEX(Tabela.abordagens[],SMALL(IF(Tabela.abordagens[Mês]=$L$2,ROW(Tabela.abordagens[Idade])-2),ROW(A692)),4)</f>
        <v>#NUM!</v>
      </c>
      <c r="AB739" s="240" t="e">
        <f t="array" ref="AB739">INDEX(Tabela.abordagens[],SMALL(IF(Tabela.abordagens[Mês]=$L$2,ROW(Tabela.abordagens[Idade])-2),ROW(A692)),5)</f>
        <v>#NUM!</v>
      </c>
    </row>
    <row r="740" spans="2:28" ht="15" x14ac:dyDescent="0.25">
      <c r="B740" s="223" t="e">
        <f t="array" ref="B740">INDEX(Tabela.frequencia[],SMALL(IF(Tabela.frequencia[Mês]=$L$2,ROW(Tabela.frequencia[id])-1),ROW(A693)),1)</f>
        <v>#NUM!</v>
      </c>
      <c r="C740" s="229" t="e">
        <f t="array" ref="C740">INDEX(Tabela.frequencia[],SMALL(IF(Tabela.frequencia[Mês]=$L$2,ROW(Tabela.frequencia[id])-1),ROW(A693)),4)</f>
        <v>#NUM!</v>
      </c>
      <c r="E740" s="176" t="str">
        <f>IFERROR(VLOOKUP(D740,Tabela.cadastro[[ID]:[Nome]],2,0),"")</f>
        <v/>
      </c>
      <c r="F740" s="177" t="str">
        <f>IFERROR(VLOOKUP(D740,Tabela66[#All],2,0),"")</f>
        <v/>
      </c>
      <c r="G740" s="177" t="str">
        <f>IFERROR(VLOOKUP(D740,Tabela.cadastro[[ID]:[CP ou M]],5,0),"")</f>
        <v/>
      </c>
      <c r="H740" s="177" t="str">
        <f>IFERROR(VLOOKUP(D740,Cadastros!A:F,6,0),"")</f>
        <v/>
      </c>
      <c r="I740" s="177" t="str">
        <f>IFERROR(VLOOKUP(D740,Cadastros!A:I,9,0),"")</f>
        <v/>
      </c>
      <c r="J740" s="177" t="str">
        <f>IFERROR(VLOOKUP(D740,Cadastros!A:J,10,0),"")</f>
        <v/>
      </c>
      <c r="K740" s="177" t="str">
        <f>IF(COUNTIF(Tabela66[id],D740)=0,"",COUNTIF(Tabela66[id],D740))</f>
        <v/>
      </c>
      <c r="L740" s="198"/>
      <c r="M740" s="227" t="str">
        <f t="shared" si="55"/>
        <v/>
      </c>
      <c r="P740" s="176" t="str">
        <f>IFERROR(VLOOKUP(O740,Cadastros!A:B,2),"")</f>
        <v/>
      </c>
      <c r="Q740" s="177" t="str">
        <f t="shared" si="56"/>
        <v/>
      </c>
      <c r="R740" s="177" t="str">
        <f>IFERROR(VLOOKUP(O740,Cadastros!A:E,5,0),"")</f>
        <v/>
      </c>
      <c r="S740" s="177" t="str">
        <f>IFERROR(VLOOKUP(O740,Cadastros!A:F,6,0),"")</f>
        <v/>
      </c>
      <c r="T740" s="177" t="str">
        <f>IFERROR(VLOOKUP(O740,Cadastros!A:I,9,0),"")</f>
        <v/>
      </c>
      <c r="U740" s="177" t="str">
        <f t="shared" si="57"/>
        <v/>
      </c>
      <c r="V740" s="177" t="str">
        <f t="shared" si="58"/>
        <v/>
      </c>
      <c r="W740" s="177" t="str">
        <f t="shared" si="59"/>
        <v/>
      </c>
      <c r="Y740" s="240" t="e">
        <f t="array" ref="Y740">INDEX(Tabela.abordagens[],SMALL(IF(Tabela.abordagens[Mês]=$L$2,ROW(Tabela.abordagens[id])-2),ROW(A693)),1)</f>
        <v>#NUM!</v>
      </c>
      <c r="Z740" s="240" t="e">
        <f t="array" ref="Z740">INDEX(Tabela.abordagens[],SMALL(IF(Tabela.abordagens[Mês]=$L$2,ROW(Tabela.abordagens[Idade])-2),ROW(A693)),6)</f>
        <v>#NUM!</v>
      </c>
      <c r="AA740" s="240" t="e">
        <f t="array" ref="AA740">INDEX(Tabela.abordagens[],SMALL(IF(Tabela.abordagens[Mês]=$L$2,ROW(Tabela.abordagens[Idade])-2),ROW(A693)),4)</f>
        <v>#NUM!</v>
      </c>
      <c r="AB740" s="240" t="e">
        <f t="array" ref="AB740">INDEX(Tabela.abordagens[],SMALL(IF(Tabela.abordagens[Mês]=$L$2,ROW(Tabela.abordagens[Idade])-2),ROW(A693)),5)</f>
        <v>#NUM!</v>
      </c>
    </row>
    <row r="741" spans="2:28" ht="15" x14ac:dyDescent="0.25">
      <c r="B741" s="223" t="e">
        <f t="array" ref="B741">INDEX(Tabela.frequencia[],SMALL(IF(Tabela.frequencia[Mês]=$L$2,ROW(Tabela.frequencia[id])-1),ROW(A694)),1)</f>
        <v>#NUM!</v>
      </c>
      <c r="C741" s="229" t="e">
        <f t="array" ref="C741">INDEX(Tabela.frequencia[],SMALL(IF(Tabela.frequencia[Mês]=$L$2,ROW(Tabela.frequencia[id])-1),ROW(A694)),4)</f>
        <v>#NUM!</v>
      </c>
      <c r="E741" s="176" t="str">
        <f>IFERROR(VLOOKUP(D741,Tabela.cadastro[[ID]:[Nome]],2,0),"")</f>
        <v/>
      </c>
      <c r="F741" s="177" t="str">
        <f>IFERROR(VLOOKUP(D741,Tabela66[#All],2,0),"")</f>
        <v/>
      </c>
      <c r="G741" s="177" t="str">
        <f>IFERROR(VLOOKUP(D741,Tabela.cadastro[[ID]:[CP ou M]],5,0),"")</f>
        <v/>
      </c>
      <c r="H741" s="177" t="str">
        <f>IFERROR(VLOOKUP(D741,Cadastros!A:F,6,0),"")</f>
        <v/>
      </c>
      <c r="I741" s="177" t="str">
        <f>IFERROR(VLOOKUP(D741,Cadastros!A:I,9,0),"")</f>
        <v/>
      </c>
      <c r="J741" s="177" t="str">
        <f>IFERROR(VLOOKUP(D741,Cadastros!A:J,10,0),"")</f>
        <v/>
      </c>
      <c r="K741" s="177" t="str">
        <f>IF(COUNTIF(Tabela66[id],D741)=0,"",COUNTIF(Tabela66[id],D741))</f>
        <v/>
      </c>
      <c r="L741" s="198"/>
      <c r="M741" s="227" t="str">
        <f t="shared" si="55"/>
        <v/>
      </c>
      <c r="P741" s="176" t="str">
        <f>IFERROR(VLOOKUP(O741,Cadastros!A:B,2),"")</f>
        <v/>
      </c>
      <c r="Q741" s="177" t="str">
        <f t="shared" si="56"/>
        <v/>
      </c>
      <c r="R741" s="177" t="str">
        <f>IFERROR(VLOOKUP(O741,Cadastros!A:E,5,0),"")</f>
        <v/>
      </c>
      <c r="S741" s="177" t="str">
        <f>IFERROR(VLOOKUP(O741,Cadastros!A:F,6,0),"")</f>
        <v/>
      </c>
      <c r="T741" s="177" t="str">
        <f>IFERROR(VLOOKUP(O741,Cadastros!A:I,9,0),"")</f>
        <v/>
      </c>
      <c r="U741" s="177" t="str">
        <f t="shared" si="57"/>
        <v/>
      </c>
      <c r="V741" s="177" t="str">
        <f t="shared" si="58"/>
        <v/>
      </c>
      <c r="W741" s="177" t="str">
        <f t="shared" si="59"/>
        <v/>
      </c>
      <c r="Y741" s="240" t="e">
        <f t="array" ref="Y741">INDEX(Tabela.abordagens[],SMALL(IF(Tabela.abordagens[Mês]=$L$2,ROW(Tabela.abordagens[id])-2),ROW(A694)),1)</f>
        <v>#NUM!</v>
      </c>
      <c r="Z741" s="240" t="e">
        <f t="array" ref="Z741">INDEX(Tabela.abordagens[],SMALL(IF(Tabela.abordagens[Mês]=$L$2,ROW(Tabela.abordagens[Idade])-2),ROW(A694)),6)</f>
        <v>#NUM!</v>
      </c>
      <c r="AA741" s="240" t="e">
        <f t="array" ref="AA741">INDEX(Tabela.abordagens[],SMALL(IF(Tabela.abordagens[Mês]=$L$2,ROW(Tabela.abordagens[Idade])-2),ROW(A694)),4)</f>
        <v>#NUM!</v>
      </c>
      <c r="AB741" s="240" t="e">
        <f t="array" ref="AB741">INDEX(Tabela.abordagens[],SMALL(IF(Tabela.abordagens[Mês]=$L$2,ROW(Tabela.abordagens[Idade])-2),ROW(A694)),5)</f>
        <v>#NUM!</v>
      </c>
    </row>
    <row r="742" spans="2:28" ht="15" x14ac:dyDescent="0.25">
      <c r="B742" s="223" t="e">
        <f t="array" ref="B742">INDEX(Tabela.frequencia[],SMALL(IF(Tabela.frequencia[Mês]=$L$2,ROW(Tabela.frequencia[id])-1),ROW(A695)),1)</f>
        <v>#NUM!</v>
      </c>
      <c r="C742" s="229" t="e">
        <f t="array" ref="C742">INDEX(Tabela.frequencia[],SMALL(IF(Tabela.frequencia[Mês]=$L$2,ROW(Tabela.frequencia[id])-1),ROW(A695)),4)</f>
        <v>#NUM!</v>
      </c>
      <c r="E742" s="176" t="str">
        <f>IFERROR(VLOOKUP(D742,Tabela.cadastro[[ID]:[Nome]],2,0),"")</f>
        <v/>
      </c>
      <c r="F742" s="177" t="str">
        <f>IFERROR(VLOOKUP(D742,Tabela66[#All],2,0),"")</f>
        <v/>
      </c>
      <c r="G742" s="177" t="str">
        <f>IFERROR(VLOOKUP(D742,Tabela.cadastro[[ID]:[CP ou M]],5,0),"")</f>
        <v/>
      </c>
      <c r="H742" s="177" t="str">
        <f>IFERROR(VLOOKUP(D742,Cadastros!A:F,6,0),"")</f>
        <v/>
      </c>
      <c r="I742" s="177" t="str">
        <f>IFERROR(VLOOKUP(D742,Cadastros!A:I,9,0),"")</f>
        <v/>
      </c>
      <c r="J742" s="177" t="str">
        <f>IFERROR(VLOOKUP(D742,Cadastros!A:J,10,0),"")</f>
        <v/>
      </c>
      <c r="K742" s="177" t="str">
        <f>IF(COUNTIF(Tabela66[id],D742)=0,"",COUNTIF(Tabela66[id],D742))</f>
        <v/>
      </c>
      <c r="L742" s="198"/>
      <c r="M742" s="227" t="str">
        <f t="shared" si="55"/>
        <v/>
      </c>
      <c r="P742" s="176" t="str">
        <f>IFERROR(VLOOKUP(O742,Cadastros!A:B,2),"")</f>
        <v/>
      </c>
      <c r="Q742" s="177" t="str">
        <f t="shared" si="56"/>
        <v/>
      </c>
      <c r="R742" s="177" t="str">
        <f>IFERROR(VLOOKUP(O742,Cadastros!A:E,5,0),"")</f>
        <v/>
      </c>
      <c r="S742" s="177" t="str">
        <f>IFERROR(VLOOKUP(O742,Cadastros!A:F,6,0),"")</f>
        <v/>
      </c>
      <c r="T742" s="177" t="str">
        <f>IFERROR(VLOOKUP(O742,Cadastros!A:I,9,0),"")</f>
        <v/>
      </c>
      <c r="U742" s="177" t="str">
        <f t="shared" si="57"/>
        <v/>
      </c>
      <c r="V742" s="177" t="str">
        <f t="shared" si="58"/>
        <v/>
      </c>
      <c r="W742" s="177" t="str">
        <f t="shared" si="59"/>
        <v/>
      </c>
      <c r="Y742" s="240" t="e">
        <f t="array" ref="Y742">INDEX(Tabela.abordagens[],SMALL(IF(Tabela.abordagens[Mês]=$L$2,ROW(Tabela.abordagens[id])-2),ROW(A695)),1)</f>
        <v>#NUM!</v>
      </c>
      <c r="Z742" s="240" t="e">
        <f t="array" ref="Z742">INDEX(Tabela.abordagens[],SMALL(IF(Tabela.abordagens[Mês]=$L$2,ROW(Tabela.abordagens[Idade])-2),ROW(A695)),6)</f>
        <v>#NUM!</v>
      </c>
      <c r="AA742" s="240" t="e">
        <f t="array" ref="AA742">INDEX(Tabela.abordagens[],SMALL(IF(Tabela.abordagens[Mês]=$L$2,ROW(Tabela.abordagens[Idade])-2),ROW(A695)),4)</f>
        <v>#NUM!</v>
      </c>
      <c r="AB742" s="240" t="e">
        <f t="array" ref="AB742">INDEX(Tabela.abordagens[],SMALL(IF(Tabela.abordagens[Mês]=$L$2,ROW(Tabela.abordagens[Idade])-2),ROW(A695)),5)</f>
        <v>#NUM!</v>
      </c>
    </row>
    <row r="743" spans="2:28" ht="15" x14ac:dyDescent="0.25">
      <c r="B743" s="223" t="e">
        <f t="array" ref="B743">INDEX(Tabela.frequencia[],SMALL(IF(Tabela.frequencia[Mês]=$L$2,ROW(Tabela.frequencia[id])-1),ROW(A696)),1)</f>
        <v>#NUM!</v>
      </c>
      <c r="C743" s="229" t="e">
        <f t="array" ref="C743">INDEX(Tabela.frequencia[],SMALL(IF(Tabela.frequencia[Mês]=$L$2,ROW(Tabela.frequencia[id])-1),ROW(A696)),4)</f>
        <v>#NUM!</v>
      </c>
      <c r="E743" s="176" t="str">
        <f>IFERROR(VLOOKUP(D743,Tabela.cadastro[[ID]:[Nome]],2,0),"")</f>
        <v/>
      </c>
      <c r="F743" s="177" t="str">
        <f>IFERROR(VLOOKUP(D743,Tabela66[#All],2,0),"")</f>
        <v/>
      </c>
      <c r="G743" s="177" t="str">
        <f>IFERROR(VLOOKUP(D743,Tabela.cadastro[[ID]:[CP ou M]],5,0),"")</f>
        <v/>
      </c>
      <c r="H743" s="177" t="str">
        <f>IFERROR(VLOOKUP(D743,Cadastros!A:F,6,0),"")</f>
        <v/>
      </c>
      <c r="I743" s="177" t="str">
        <f>IFERROR(VLOOKUP(D743,Cadastros!A:I,9,0),"")</f>
        <v/>
      </c>
      <c r="J743" s="177" t="str">
        <f>IFERROR(VLOOKUP(D743,Cadastros!A:J,10,0),"")</f>
        <v/>
      </c>
      <c r="K743" s="177" t="str">
        <f>IF(COUNTIF(Tabela66[id],D743)=0,"",COUNTIF(Tabela66[id],D743))</f>
        <v/>
      </c>
      <c r="L743" s="198"/>
      <c r="M743" s="227" t="str">
        <f t="shared" si="55"/>
        <v/>
      </c>
      <c r="P743" s="176" t="str">
        <f>IFERROR(VLOOKUP(O743,Cadastros!A:B,2),"")</f>
        <v/>
      </c>
      <c r="Q743" s="177" t="str">
        <f t="shared" si="56"/>
        <v/>
      </c>
      <c r="R743" s="177" t="str">
        <f>IFERROR(VLOOKUP(O743,Cadastros!A:E,5,0),"")</f>
        <v/>
      </c>
      <c r="S743" s="177" t="str">
        <f>IFERROR(VLOOKUP(O743,Cadastros!A:F,6,0),"")</f>
        <v/>
      </c>
      <c r="T743" s="177" t="str">
        <f>IFERROR(VLOOKUP(O743,Cadastros!A:I,9,0),"")</f>
        <v/>
      </c>
      <c r="U743" s="177" t="str">
        <f t="shared" si="57"/>
        <v/>
      </c>
      <c r="V743" s="177" t="str">
        <f t="shared" si="58"/>
        <v/>
      </c>
      <c r="W743" s="177" t="str">
        <f t="shared" si="59"/>
        <v/>
      </c>
      <c r="Y743" s="240" t="e">
        <f t="array" ref="Y743">INDEX(Tabela.abordagens[],SMALL(IF(Tabela.abordagens[Mês]=$L$2,ROW(Tabela.abordagens[id])-2),ROW(A696)),1)</f>
        <v>#NUM!</v>
      </c>
      <c r="Z743" s="240" t="e">
        <f t="array" ref="Z743">INDEX(Tabela.abordagens[],SMALL(IF(Tabela.abordagens[Mês]=$L$2,ROW(Tabela.abordagens[Idade])-2),ROW(A696)),6)</f>
        <v>#NUM!</v>
      </c>
      <c r="AA743" s="240" t="e">
        <f t="array" ref="AA743">INDEX(Tabela.abordagens[],SMALL(IF(Tabela.abordagens[Mês]=$L$2,ROW(Tabela.abordagens[Idade])-2),ROW(A696)),4)</f>
        <v>#NUM!</v>
      </c>
      <c r="AB743" s="240" t="e">
        <f t="array" ref="AB743">INDEX(Tabela.abordagens[],SMALL(IF(Tabela.abordagens[Mês]=$L$2,ROW(Tabela.abordagens[Idade])-2),ROW(A696)),5)</f>
        <v>#NUM!</v>
      </c>
    </row>
    <row r="744" spans="2:28" ht="15" x14ac:dyDescent="0.25">
      <c r="B744" s="223" t="e">
        <f t="array" ref="B744">INDEX(Tabela.frequencia[],SMALL(IF(Tabela.frequencia[Mês]=$L$2,ROW(Tabela.frequencia[id])-1),ROW(A697)),1)</f>
        <v>#NUM!</v>
      </c>
      <c r="C744" s="229" t="e">
        <f t="array" ref="C744">INDEX(Tabela.frequencia[],SMALL(IF(Tabela.frequencia[Mês]=$L$2,ROW(Tabela.frequencia[id])-1),ROW(A697)),4)</f>
        <v>#NUM!</v>
      </c>
      <c r="E744" s="176" t="str">
        <f>IFERROR(VLOOKUP(D744,Tabela.cadastro[[ID]:[Nome]],2,0),"")</f>
        <v/>
      </c>
      <c r="F744" s="177" t="str">
        <f>IFERROR(VLOOKUP(D744,Tabela66[#All],2,0),"")</f>
        <v/>
      </c>
      <c r="G744" s="177" t="str">
        <f>IFERROR(VLOOKUP(D744,Tabela.cadastro[[ID]:[CP ou M]],5,0),"")</f>
        <v/>
      </c>
      <c r="H744" s="177" t="str">
        <f>IFERROR(VLOOKUP(D744,Cadastros!A:F,6,0),"")</f>
        <v/>
      </c>
      <c r="I744" s="177" t="str">
        <f>IFERROR(VLOOKUP(D744,Cadastros!A:I,9,0),"")</f>
        <v/>
      </c>
      <c r="J744" s="177" t="str">
        <f>IFERROR(VLOOKUP(D744,Cadastros!A:J,10,0),"")</f>
        <v/>
      </c>
      <c r="K744" s="177" t="str">
        <f>IF(COUNTIF(Tabela66[id],D744)=0,"",COUNTIF(Tabela66[id],D744))</f>
        <v/>
      </c>
      <c r="L744" s="198"/>
      <c r="M744" s="227" t="str">
        <f t="shared" si="55"/>
        <v/>
      </c>
      <c r="P744" s="176" t="str">
        <f>IFERROR(VLOOKUP(O744,Cadastros!A:B,2),"")</f>
        <v/>
      </c>
      <c r="Q744" s="177" t="str">
        <f t="shared" si="56"/>
        <v/>
      </c>
      <c r="R744" s="177" t="str">
        <f>IFERROR(VLOOKUP(O744,Cadastros!A:E,5,0),"")</f>
        <v/>
      </c>
      <c r="S744" s="177" t="str">
        <f>IFERROR(VLOOKUP(O744,Cadastros!A:F,6,0),"")</f>
        <v/>
      </c>
      <c r="T744" s="177" t="str">
        <f>IFERROR(VLOOKUP(O744,Cadastros!A:I,9,0),"")</f>
        <v/>
      </c>
      <c r="U744" s="177" t="str">
        <f t="shared" si="57"/>
        <v/>
      </c>
      <c r="V744" s="177" t="str">
        <f t="shared" si="58"/>
        <v/>
      </c>
      <c r="W744" s="177" t="str">
        <f t="shared" si="59"/>
        <v/>
      </c>
      <c r="Y744" s="240" t="e">
        <f t="array" ref="Y744">INDEX(Tabela.abordagens[],SMALL(IF(Tabela.abordagens[Mês]=$L$2,ROW(Tabela.abordagens[id])-2),ROW(A697)),1)</f>
        <v>#NUM!</v>
      </c>
      <c r="Z744" s="240" t="e">
        <f t="array" ref="Z744">INDEX(Tabela.abordagens[],SMALL(IF(Tabela.abordagens[Mês]=$L$2,ROW(Tabela.abordagens[Idade])-2),ROW(A697)),6)</f>
        <v>#NUM!</v>
      </c>
      <c r="AA744" s="240" t="e">
        <f t="array" ref="AA744">INDEX(Tabela.abordagens[],SMALL(IF(Tabela.abordagens[Mês]=$L$2,ROW(Tabela.abordagens[Idade])-2),ROW(A697)),4)</f>
        <v>#NUM!</v>
      </c>
      <c r="AB744" s="240" t="e">
        <f t="array" ref="AB744">INDEX(Tabela.abordagens[],SMALL(IF(Tabela.abordagens[Mês]=$L$2,ROW(Tabela.abordagens[Idade])-2),ROW(A697)),5)</f>
        <v>#NUM!</v>
      </c>
    </row>
    <row r="745" spans="2:28" ht="15" x14ac:dyDescent="0.25">
      <c r="B745" s="223" t="e">
        <f t="array" ref="B745">INDEX(Tabela.frequencia[],SMALL(IF(Tabela.frequencia[Mês]=$L$2,ROW(Tabela.frequencia[id])-1),ROW(A698)),1)</f>
        <v>#NUM!</v>
      </c>
      <c r="C745" s="229" t="e">
        <f t="array" ref="C745">INDEX(Tabela.frequencia[],SMALL(IF(Tabela.frequencia[Mês]=$L$2,ROW(Tabela.frequencia[id])-1),ROW(A698)),4)</f>
        <v>#NUM!</v>
      </c>
      <c r="E745" s="176" t="str">
        <f>IFERROR(VLOOKUP(D745,Tabela.cadastro[[ID]:[Nome]],2,0),"")</f>
        <v/>
      </c>
      <c r="F745" s="177" t="str">
        <f>IFERROR(VLOOKUP(D745,Tabela66[#All],2,0),"")</f>
        <v/>
      </c>
      <c r="G745" s="177" t="str">
        <f>IFERROR(VLOOKUP(D745,Tabela.cadastro[[ID]:[CP ou M]],5,0),"")</f>
        <v/>
      </c>
      <c r="H745" s="177" t="str">
        <f>IFERROR(VLOOKUP(D745,Cadastros!A:F,6,0),"")</f>
        <v/>
      </c>
      <c r="I745" s="177" t="str">
        <f>IFERROR(VLOOKUP(D745,Cadastros!A:I,9,0),"")</f>
        <v/>
      </c>
      <c r="J745" s="177" t="str">
        <f>IFERROR(VLOOKUP(D745,Cadastros!A:J,10,0),"")</f>
        <v/>
      </c>
      <c r="K745" s="177" t="str">
        <f>IF(COUNTIF(Tabela66[id],D745)=0,"",COUNTIF(Tabela66[id],D745))</f>
        <v/>
      </c>
      <c r="L745" s="198"/>
      <c r="M745" s="227" t="str">
        <f t="shared" si="55"/>
        <v/>
      </c>
      <c r="P745" s="176" t="str">
        <f>IFERROR(VLOOKUP(O745,Cadastros!A:B,2),"")</f>
        <v/>
      </c>
      <c r="Q745" s="177" t="str">
        <f t="shared" si="56"/>
        <v/>
      </c>
      <c r="R745" s="177" t="str">
        <f>IFERROR(VLOOKUP(O745,Cadastros!A:E,5,0),"")</f>
        <v/>
      </c>
      <c r="S745" s="177" t="str">
        <f>IFERROR(VLOOKUP(O745,Cadastros!A:F,6,0),"")</f>
        <v/>
      </c>
      <c r="T745" s="177" t="str">
        <f>IFERROR(VLOOKUP(O745,Cadastros!A:I,9,0),"")</f>
        <v/>
      </c>
      <c r="U745" s="177" t="str">
        <f t="shared" si="57"/>
        <v/>
      </c>
      <c r="V745" s="177" t="str">
        <f t="shared" si="58"/>
        <v/>
      </c>
      <c r="W745" s="177" t="str">
        <f t="shared" si="59"/>
        <v/>
      </c>
      <c r="Y745" s="240" t="e">
        <f t="array" ref="Y745">INDEX(Tabela.abordagens[],SMALL(IF(Tabela.abordagens[Mês]=$L$2,ROW(Tabela.abordagens[id])-2),ROW(A698)),1)</f>
        <v>#NUM!</v>
      </c>
      <c r="Z745" s="240" t="e">
        <f t="array" ref="Z745">INDEX(Tabela.abordagens[],SMALL(IF(Tabela.abordagens[Mês]=$L$2,ROW(Tabela.abordagens[Idade])-2),ROW(A698)),6)</f>
        <v>#NUM!</v>
      </c>
      <c r="AA745" s="240" t="e">
        <f t="array" ref="AA745">INDEX(Tabela.abordagens[],SMALL(IF(Tabela.abordagens[Mês]=$L$2,ROW(Tabela.abordagens[Idade])-2),ROW(A698)),4)</f>
        <v>#NUM!</v>
      </c>
      <c r="AB745" s="240" t="e">
        <f t="array" ref="AB745">INDEX(Tabela.abordagens[],SMALL(IF(Tabela.abordagens[Mês]=$L$2,ROW(Tabela.abordagens[Idade])-2),ROW(A698)),5)</f>
        <v>#NUM!</v>
      </c>
    </row>
    <row r="746" spans="2:28" ht="15" x14ac:dyDescent="0.25">
      <c r="B746" s="223" t="e">
        <f t="array" ref="B746">INDEX(Tabela.frequencia[],SMALL(IF(Tabela.frequencia[Mês]=$L$2,ROW(Tabela.frequencia[id])-1),ROW(A699)),1)</f>
        <v>#NUM!</v>
      </c>
      <c r="C746" s="229" t="e">
        <f t="array" ref="C746">INDEX(Tabela.frequencia[],SMALL(IF(Tabela.frequencia[Mês]=$L$2,ROW(Tabela.frequencia[id])-1),ROW(A699)),4)</f>
        <v>#NUM!</v>
      </c>
      <c r="E746" s="176" t="str">
        <f>IFERROR(VLOOKUP(D746,Tabela.cadastro[[ID]:[Nome]],2,0),"")</f>
        <v/>
      </c>
      <c r="F746" s="177" t="str">
        <f>IFERROR(VLOOKUP(D746,Tabela66[#All],2,0),"")</f>
        <v/>
      </c>
      <c r="G746" s="177" t="str">
        <f>IFERROR(VLOOKUP(D746,Tabela.cadastro[[ID]:[CP ou M]],5,0),"")</f>
        <v/>
      </c>
      <c r="H746" s="177" t="str">
        <f>IFERROR(VLOOKUP(D746,Cadastros!A:F,6,0),"")</f>
        <v/>
      </c>
      <c r="I746" s="177" t="str">
        <f>IFERROR(VLOOKUP(D746,Cadastros!A:I,9,0),"")</f>
        <v/>
      </c>
      <c r="J746" s="177" t="str">
        <f>IFERROR(VLOOKUP(D746,Cadastros!A:J,10,0),"")</f>
        <v/>
      </c>
      <c r="K746" s="177" t="str">
        <f>IF(COUNTIF(Tabela66[id],D746)=0,"",COUNTIF(Tabela66[id],D746))</f>
        <v/>
      </c>
      <c r="L746" s="198"/>
      <c r="M746" s="227" t="str">
        <f t="shared" ref="M746:M809" si="60">IF(AND(K746:K1577&gt;=5,L746:L1577="Não"),"*","")</f>
        <v/>
      </c>
      <c r="P746" s="176" t="str">
        <f>IFERROR(VLOOKUP(O746,Cadastros!A:B,2),"")</f>
        <v/>
      </c>
      <c r="Q746" s="177" t="str">
        <f t="shared" si="56"/>
        <v/>
      </c>
      <c r="R746" s="177" t="str">
        <f>IFERROR(VLOOKUP(O746,Cadastros!A:E,5,0),"")</f>
        <v/>
      </c>
      <c r="S746" s="177" t="str">
        <f>IFERROR(VLOOKUP(O746,Cadastros!A:F,6,0),"")</f>
        <v/>
      </c>
      <c r="T746" s="177" t="str">
        <f>IFERROR(VLOOKUP(O746,Cadastros!A:I,9,0),"")</f>
        <v/>
      </c>
      <c r="U746" s="177" t="str">
        <f t="shared" si="57"/>
        <v/>
      </c>
      <c r="V746" s="177" t="str">
        <f t="shared" si="58"/>
        <v/>
      </c>
      <c r="W746" s="177" t="str">
        <f t="shared" si="59"/>
        <v/>
      </c>
      <c r="Y746" s="240" t="e">
        <f t="array" ref="Y746">INDEX(Tabela.abordagens[],SMALL(IF(Tabela.abordagens[Mês]=$L$2,ROW(Tabela.abordagens[id])-2),ROW(A699)),1)</f>
        <v>#NUM!</v>
      </c>
      <c r="Z746" s="240" t="e">
        <f t="array" ref="Z746">INDEX(Tabela.abordagens[],SMALL(IF(Tabela.abordagens[Mês]=$L$2,ROW(Tabela.abordagens[Idade])-2),ROW(A699)),6)</f>
        <v>#NUM!</v>
      </c>
      <c r="AA746" s="240" t="e">
        <f t="array" ref="AA746">INDEX(Tabela.abordagens[],SMALL(IF(Tabela.abordagens[Mês]=$L$2,ROW(Tabela.abordagens[Idade])-2),ROW(A699)),4)</f>
        <v>#NUM!</v>
      </c>
      <c r="AB746" s="240" t="e">
        <f t="array" ref="AB746">INDEX(Tabela.abordagens[],SMALL(IF(Tabela.abordagens[Mês]=$L$2,ROW(Tabela.abordagens[Idade])-2),ROW(A699)),5)</f>
        <v>#NUM!</v>
      </c>
    </row>
    <row r="747" spans="2:28" ht="15" x14ac:dyDescent="0.25">
      <c r="B747" s="223" t="e">
        <f t="array" ref="B747">INDEX(Tabela.frequencia[],SMALL(IF(Tabela.frequencia[Mês]=$L$2,ROW(Tabela.frequencia[id])-1),ROW(A700)),1)</f>
        <v>#NUM!</v>
      </c>
      <c r="C747" s="229" t="e">
        <f t="array" ref="C747">INDEX(Tabela.frequencia[],SMALL(IF(Tabela.frequencia[Mês]=$L$2,ROW(Tabela.frequencia[id])-1),ROW(A700)),4)</f>
        <v>#NUM!</v>
      </c>
      <c r="E747" s="176" t="str">
        <f>IFERROR(VLOOKUP(D747,Tabela.cadastro[[ID]:[Nome]],2,0),"")</f>
        <v/>
      </c>
      <c r="F747" s="177" t="str">
        <f>IFERROR(VLOOKUP(D747,Tabela66[#All],2,0),"")</f>
        <v/>
      </c>
      <c r="G747" s="177" t="str">
        <f>IFERROR(VLOOKUP(D747,Tabela.cadastro[[ID]:[CP ou M]],5,0),"")</f>
        <v/>
      </c>
      <c r="H747" s="177" t="str">
        <f>IFERROR(VLOOKUP(D747,Cadastros!A:F,6,0),"")</f>
        <v/>
      </c>
      <c r="I747" s="177" t="str">
        <f>IFERROR(VLOOKUP(D747,Cadastros!A:I,9,0),"")</f>
        <v/>
      </c>
      <c r="J747" s="177" t="str">
        <f>IFERROR(VLOOKUP(D747,Cadastros!A:J,10,0),"")</f>
        <v/>
      </c>
      <c r="K747" s="177" t="str">
        <f>IF(COUNTIF(Tabela66[id],D747)=0,"",COUNTIF(Tabela66[id],D747))</f>
        <v/>
      </c>
      <c r="L747" s="198"/>
      <c r="M747" s="227" t="str">
        <f t="shared" si="60"/>
        <v/>
      </c>
      <c r="P747" s="176" t="str">
        <f>IFERROR(VLOOKUP(O747,Cadastros!A:B,2),"")</f>
        <v/>
      </c>
      <c r="Q747" s="177" t="str">
        <f t="shared" si="56"/>
        <v/>
      </c>
      <c r="R747" s="177" t="str">
        <f>IFERROR(VLOOKUP(O747,Cadastros!A:E,5,0),"")</f>
        <v/>
      </c>
      <c r="S747" s="177" t="str">
        <f>IFERROR(VLOOKUP(O747,Cadastros!A:F,6,0),"")</f>
        <v/>
      </c>
      <c r="T747" s="177" t="str">
        <f>IFERROR(VLOOKUP(O747,Cadastros!A:I,9,0),"")</f>
        <v/>
      </c>
      <c r="U747" s="177" t="str">
        <f t="shared" si="57"/>
        <v/>
      </c>
      <c r="V747" s="177" t="str">
        <f t="shared" si="58"/>
        <v/>
      </c>
      <c r="W747" s="177" t="str">
        <f t="shared" si="59"/>
        <v/>
      </c>
      <c r="Y747" s="240" t="e">
        <f t="array" ref="Y747">INDEX(Tabela.abordagens[],SMALL(IF(Tabela.abordagens[Mês]=$L$2,ROW(Tabela.abordagens[id])-2),ROW(A700)),1)</f>
        <v>#NUM!</v>
      </c>
      <c r="Z747" s="240" t="e">
        <f t="array" ref="Z747">INDEX(Tabela.abordagens[],SMALL(IF(Tabela.abordagens[Mês]=$L$2,ROW(Tabela.abordagens[Idade])-2),ROW(A700)),6)</f>
        <v>#NUM!</v>
      </c>
      <c r="AA747" s="240" t="e">
        <f t="array" ref="AA747">INDEX(Tabela.abordagens[],SMALL(IF(Tabela.abordagens[Mês]=$L$2,ROW(Tabela.abordagens[Idade])-2),ROW(A700)),4)</f>
        <v>#NUM!</v>
      </c>
      <c r="AB747" s="240" t="e">
        <f t="array" ref="AB747">INDEX(Tabela.abordagens[],SMALL(IF(Tabela.abordagens[Mês]=$L$2,ROW(Tabela.abordagens[Idade])-2),ROW(A700)),5)</f>
        <v>#NUM!</v>
      </c>
    </row>
    <row r="748" spans="2:28" ht="15" x14ac:dyDescent="0.25">
      <c r="B748" s="223" t="e">
        <f t="array" ref="B748">INDEX(Tabela.frequencia[],SMALL(IF(Tabela.frequencia[Mês]=$L$2,ROW(Tabela.frequencia[id])-1),ROW(A701)),1)</f>
        <v>#NUM!</v>
      </c>
      <c r="C748" s="229" t="e">
        <f t="array" ref="C748">INDEX(Tabela.frequencia[],SMALL(IF(Tabela.frequencia[Mês]=$L$2,ROW(Tabela.frequencia[id])-1),ROW(A701)),4)</f>
        <v>#NUM!</v>
      </c>
      <c r="E748" s="176" t="str">
        <f>IFERROR(VLOOKUP(D748,Tabela.cadastro[[ID]:[Nome]],2,0),"")</f>
        <v/>
      </c>
      <c r="F748" s="177" t="str">
        <f>IFERROR(VLOOKUP(D748,Tabela66[#All],2,0),"")</f>
        <v/>
      </c>
      <c r="G748" s="177" t="str">
        <f>IFERROR(VLOOKUP(D748,Tabela.cadastro[[ID]:[CP ou M]],5,0),"")</f>
        <v/>
      </c>
      <c r="H748" s="177" t="str">
        <f>IFERROR(VLOOKUP(D748,Cadastros!A:F,6,0),"")</f>
        <v/>
      </c>
      <c r="I748" s="177" t="str">
        <f>IFERROR(VLOOKUP(D748,Cadastros!A:I,9,0),"")</f>
        <v/>
      </c>
      <c r="J748" s="177" t="str">
        <f>IFERROR(VLOOKUP(D748,Cadastros!A:J,10,0),"")</f>
        <v/>
      </c>
      <c r="K748" s="177" t="str">
        <f>IF(COUNTIF(Tabela66[id],D748)=0,"",COUNTIF(Tabela66[id],D748))</f>
        <v/>
      </c>
      <c r="L748" s="198"/>
      <c r="M748" s="227" t="str">
        <f t="shared" si="60"/>
        <v/>
      </c>
      <c r="P748" s="176" t="str">
        <f>IFERROR(VLOOKUP(O748,Cadastros!A:B,2),"")</f>
        <v/>
      </c>
      <c r="Q748" s="177" t="str">
        <f t="shared" si="56"/>
        <v/>
      </c>
      <c r="R748" s="177" t="str">
        <f>IFERROR(VLOOKUP(O748,Cadastros!A:E,5,0),"")</f>
        <v/>
      </c>
      <c r="S748" s="177" t="str">
        <f>IFERROR(VLOOKUP(O748,Cadastros!A:F,6,0),"")</f>
        <v/>
      </c>
      <c r="T748" s="177" t="str">
        <f>IFERROR(VLOOKUP(O748,Cadastros!A:I,9,0),"")</f>
        <v/>
      </c>
      <c r="U748" s="177" t="str">
        <f t="shared" si="57"/>
        <v/>
      </c>
      <c r="V748" s="177" t="str">
        <f t="shared" si="58"/>
        <v/>
      </c>
      <c r="W748" s="177" t="str">
        <f t="shared" si="59"/>
        <v/>
      </c>
      <c r="Y748" s="240" t="e">
        <f t="array" ref="Y748">INDEX(Tabela.abordagens[],SMALL(IF(Tabela.abordagens[Mês]=$L$2,ROW(Tabela.abordagens[id])-2),ROW(A701)),1)</f>
        <v>#NUM!</v>
      </c>
      <c r="Z748" s="240" t="e">
        <f t="array" ref="Z748">INDEX(Tabela.abordagens[],SMALL(IF(Tabela.abordagens[Mês]=$L$2,ROW(Tabela.abordagens[Idade])-2),ROW(A701)),6)</f>
        <v>#NUM!</v>
      </c>
      <c r="AA748" s="240" t="e">
        <f t="array" ref="AA748">INDEX(Tabela.abordagens[],SMALL(IF(Tabela.abordagens[Mês]=$L$2,ROW(Tabela.abordagens[Idade])-2),ROW(A701)),4)</f>
        <v>#NUM!</v>
      </c>
      <c r="AB748" s="240" t="e">
        <f t="array" ref="AB748">INDEX(Tabela.abordagens[],SMALL(IF(Tabela.abordagens[Mês]=$L$2,ROW(Tabela.abordagens[Idade])-2),ROW(A701)),5)</f>
        <v>#NUM!</v>
      </c>
    </row>
    <row r="749" spans="2:28" ht="15" x14ac:dyDescent="0.25">
      <c r="B749" s="223" t="e">
        <f t="array" ref="B749">INDEX(Tabela.frequencia[],SMALL(IF(Tabela.frequencia[Mês]=$L$2,ROW(Tabela.frequencia[id])-1),ROW(A702)),1)</f>
        <v>#NUM!</v>
      </c>
      <c r="C749" s="229" t="e">
        <f t="array" ref="C749">INDEX(Tabela.frequencia[],SMALL(IF(Tabela.frequencia[Mês]=$L$2,ROW(Tabela.frequencia[id])-1),ROW(A702)),4)</f>
        <v>#NUM!</v>
      </c>
      <c r="E749" s="176" t="str">
        <f>IFERROR(VLOOKUP(D749,Tabela.cadastro[[ID]:[Nome]],2,0),"")</f>
        <v/>
      </c>
      <c r="F749" s="177" t="str">
        <f>IFERROR(VLOOKUP(D749,Tabela66[#All],2,0),"")</f>
        <v/>
      </c>
      <c r="G749" s="177" t="str">
        <f>IFERROR(VLOOKUP(D749,Tabela.cadastro[[ID]:[CP ou M]],5,0),"")</f>
        <v/>
      </c>
      <c r="H749" s="177" t="str">
        <f>IFERROR(VLOOKUP(D749,Cadastros!A:F,6,0),"")</f>
        <v/>
      </c>
      <c r="I749" s="177" t="str">
        <f>IFERROR(VLOOKUP(D749,Cadastros!A:I,9,0),"")</f>
        <v/>
      </c>
      <c r="J749" s="177" t="str">
        <f>IFERROR(VLOOKUP(D749,Cadastros!A:J,10,0),"")</f>
        <v/>
      </c>
      <c r="K749" s="177" t="str">
        <f>IF(COUNTIF(Tabela66[id],D749)=0,"",COUNTIF(Tabela66[id],D749))</f>
        <v/>
      </c>
      <c r="L749" s="198"/>
      <c r="M749" s="227" t="str">
        <f t="shared" si="60"/>
        <v/>
      </c>
      <c r="P749" s="176" t="str">
        <f>IFERROR(VLOOKUP(O749,Cadastros!A:B,2),"")</f>
        <v/>
      </c>
      <c r="Q749" s="177" t="str">
        <f t="shared" si="56"/>
        <v/>
      </c>
      <c r="R749" s="177" t="str">
        <f>IFERROR(VLOOKUP(O749,Cadastros!A:E,5,0),"")</f>
        <v/>
      </c>
      <c r="S749" s="177" t="str">
        <f>IFERROR(VLOOKUP(O749,Cadastros!A:F,6,0),"")</f>
        <v/>
      </c>
      <c r="T749" s="177" t="str">
        <f>IFERROR(VLOOKUP(O749,Cadastros!A:I,9,0),"")</f>
        <v/>
      </c>
      <c r="U749" s="177" t="str">
        <f t="shared" si="57"/>
        <v/>
      </c>
      <c r="V749" s="177" t="str">
        <f t="shared" si="58"/>
        <v/>
      </c>
      <c r="W749" s="177" t="str">
        <f t="shared" si="59"/>
        <v/>
      </c>
      <c r="Y749" s="240" t="e">
        <f t="array" ref="Y749">INDEX(Tabela.abordagens[],SMALL(IF(Tabela.abordagens[Mês]=$L$2,ROW(Tabela.abordagens[id])-2),ROW(A702)),1)</f>
        <v>#NUM!</v>
      </c>
      <c r="Z749" s="240" t="e">
        <f t="array" ref="Z749">INDEX(Tabela.abordagens[],SMALL(IF(Tabela.abordagens[Mês]=$L$2,ROW(Tabela.abordagens[Idade])-2),ROW(A702)),6)</f>
        <v>#NUM!</v>
      </c>
      <c r="AA749" s="240" t="e">
        <f t="array" ref="AA749">INDEX(Tabela.abordagens[],SMALL(IF(Tabela.abordagens[Mês]=$L$2,ROW(Tabela.abordagens[Idade])-2),ROW(A702)),4)</f>
        <v>#NUM!</v>
      </c>
      <c r="AB749" s="240" t="e">
        <f t="array" ref="AB749">INDEX(Tabela.abordagens[],SMALL(IF(Tabela.abordagens[Mês]=$L$2,ROW(Tabela.abordagens[Idade])-2),ROW(A702)),5)</f>
        <v>#NUM!</v>
      </c>
    </row>
    <row r="750" spans="2:28" ht="15" x14ac:dyDescent="0.25">
      <c r="B750" s="223" t="e">
        <f t="array" ref="B750">INDEX(Tabela.frequencia[],SMALL(IF(Tabela.frequencia[Mês]=$L$2,ROW(Tabela.frequencia[id])-1),ROW(A703)),1)</f>
        <v>#NUM!</v>
      </c>
      <c r="C750" s="229" t="e">
        <f t="array" ref="C750">INDEX(Tabela.frequencia[],SMALL(IF(Tabela.frequencia[Mês]=$L$2,ROW(Tabela.frequencia[id])-1),ROW(A703)),4)</f>
        <v>#NUM!</v>
      </c>
      <c r="E750" s="176" t="str">
        <f>IFERROR(VLOOKUP(D750,Tabela.cadastro[[ID]:[Nome]],2,0),"")</f>
        <v/>
      </c>
      <c r="F750" s="177" t="str">
        <f>IFERROR(VLOOKUP(D750,Tabela66[#All],2,0),"")</f>
        <v/>
      </c>
      <c r="G750" s="177" t="str">
        <f>IFERROR(VLOOKUP(D750,Tabela.cadastro[[ID]:[CP ou M]],5,0),"")</f>
        <v/>
      </c>
      <c r="H750" s="177" t="str">
        <f>IFERROR(VLOOKUP(D750,Cadastros!A:F,6,0),"")</f>
        <v/>
      </c>
      <c r="I750" s="177" t="str">
        <f>IFERROR(VLOOKUP(D750,Cadastros!A:I,9,0),"")</f>
        <v/>
      </c>
      <c r="J750" s="177" t="str">
        <f>IFERROR(VLOOKUP(D750,Cadastros!A:J,10,0),"")</f>
        <v/>
      </c>
      <c r="K750" s="177" t="str">
        <f>IF(COUNTIF(Tabela66[id],D750)=0,"",COUNTIF(Tabela66[id],D750))</f>
        <v/>
      </c>
      <c r="L750" s="198"/>
      <c r="M750" s="227" t="str">
        <f t="shared" si="60"/>
        <v/>
      </c>
      <c r="P750" s="176" t="str">
        <f>IFERROR(VLOOKUP(O750,Cadastros!A:B,2),"")</f>
        <v/>
      </c>
      <c r="Q750" s="177" t="str">
        <f t="shared" si="56"/>
        <v/>
      </c>
      <c r="R750" s="177" t="str">
        <f>IFERROR(VLOOKUP(O750,Cadastros!A:E,5,0),"")</f>
        <v/>
      </c>
      <c r="S750" s="177" t="str">
        <f>IFERROR(VLOOKUP(O750,Cadastros!A:F,6,0),"")</f>
        <v/>
      </c>
      <c r="T750" s="177" t="str">
        <f>IFERROR(VLOOKUP(O750,Cadastros!A:I,9,0),"")</f>
        <v/>
      </c>
      <c r="U750" s="177" t="str">
        <f t="shared" si="57"/>
        <v/>
      </c>
      <c r="V750" s="177" t="str">
        <f t="shared" si="58"/>
        <v/>
      </c>
      <c r="W750" s="177" t="str">
        <f t="shared" si="59"/>
        <v/>
      </c>
      <c r="Y750" s="240" t="e">
        <f t="array" ref="Y750">INDEX(Tabela.abordagens[],SMALL(IF(Tabela.abordagens[Mês]=$L$2,ROW(Tabela.abordagens[id])-2),ROW(A703)),1)</f>
        <v>#NUM!</v>
      </c>
      <c r="Z750" s="240" t="e">
        <f t="array" ref="Z750">INDEX(Tabela.abordagens[],SMALL(IF(Tabela.abordagens[Mês]=$L$2,ROW(Tabela.abordagens[Idade])-2),ROW(A703)),6)</f>
        <v>#NUM!</v>
      </c>
      <c r="AA750" s="240" t="e">
        <f t="array" ref="AA750">INDEX(Tabela.abordagens[],SMALL(IF(Tabela.abordagens[Mês]=$L$2,ROW(Tabela.abordagens[Idade])-2),ROW(A703)),4)</f>
        <v>#NUM!</v>
      </c>
      <c r="AB750" s="240" t="e">
        <f t="array" ref="AB750">INDEX(Tabela.abordagens[],SMALL(IF(Tabela.abordagens[Mês]=$L$2,ROW(Tabela.abordagens[Idade])-2),ROW(A703)),5)</f>
        <v>#NUM!</v>
      </c>
    </row>
    <row r="751" spans="2:28" ht="15" x14ac:dyDescent="0.25">
      <c r="B751" s="223" t="e">
        <f t="array" ref="B751">INDEX(Tabela.frequencia[],SMALL(IF(Tabela.frequencia[Mês]=$L$2,ROW(Tabela.frequencia[id])-1),ROW(A704)),1)</f>
        <v>#NUM!</v>
      </c>
      <c r="C751" s="229" t="e">
        <f t="array" ref="C751">INDEX(Tabela.frequencia[],SMALL(IF(Tabela.frequencia[Mês]=$L$2,ROW(Tabela.frequencia[id])-1),ROW(A704)),4)</f>
        <v>#NUM!</v>
      </c>
      <c r="E751" s="176" t="str">
        <f>IFERROR(VLOOKUP(D751,Tabela.cadastro[[ID]:[Nome]],2,0),"")</f>
        <v/>
      </c>
      <c r="F751" s="177" t="str">
        <f>IFERROR(VLOOKUP(D751,Tabela66[#All],2,0),"")</f>
        <v/>
      </c>
      <c r="G751" s="177" t="str">
        <f>IFERROR(VLOOKUP(D751,Tabela.cadastro[[ID]:[CP ou M]],5,0),"")</f>
        <v/>
      </c>
      <c r="H751" s="177" t="str">
        <f>IFERROR(VLOOKUP(D751,Cadastros!A:F,6,0),"")</f>
        <v/>
      </c>
      <c r="I751" s="177" t="str">
        <f>IFERROR(VLOOKUP(D751,Cadastros!A:I,9,0),"")</f>
        <v/>
      </c>
      <c r="J751" s="177" t="str">
        <f>IFERROR(VLOOKUP(D751,Cadastros!A:J,10,0),"")</f>
        <v/>
      </c>
      <c r="K751" s="177" t="str">
        <f>IF(COUNTIF(Tabela66[id],D751)=0,"",COUNTIF(Tabela66[id],D751))</f>
        <v/>
      </c>
      <c r="L751" s="198"/>
      <c r="M751" s="227" t="str">
        <f t="shared" si="60"/>
        <v/>
      </c>
      <c r="P751" s="176" t="str">
        <f>IFERROR(VLOOKUP(O751,Cadastros!A:B,2),"")</f>
        <v/>
      </c>
      <c r="Q751" s="177" t="str">
        <f t="shared" si="56"/>
        <v/>
      </c>
      <c r="R751" s="177" t="str">
        <f>IFERROR(VLOOKUP(O751,Cadastros!A:E,5,0),"")</f>
        <v/>
      </c>
      <c r="S751" s="177" t="str">
        <f>IFERROR(VLOOKUP(O751,Cadastros!A:F,6,0),"")</f>
        <v/>
      </c>
      <c r="T751" s="177" t="str">
        <f>IFERROR(VLOOKUP(O751,Cadastros!A:I,9,0),"")</f>
        <v/>
      </c>
      <c r="U751" s="177" t="str">
        <f t="shared" si="57"/>
        <v/>
      </c>
      <c r="V751" s="177" t="str">
        <f t="shared" si="58"/>
        <v/>
      </c>
      <c r="W751" s="177" t="str">
        <f t="shared" si="59"/>
        <v/>
      </c>
      <c r="Y751" s="240" t="e">
        <f t="array" ref="Y751">INDEX(Tabela.abordagens[],SMALL(IF(Tabela.abordagens[Mês]=$L$2,ROW(Tabela.abordagens[id])-2),ROW(A704)),1)</f>
        <v>#NUM!</v>
      </c>
      <c r="Z751" s="240" t="e">
        <f t="array" ref="Z751">INDEX(Tabela.abordagens[],SMALL(IF(Tabela.abordagens[Mês]=$L$2,ROW(Tabela.abordagens[Idade])-2),ROW(A704)),6)</f>
        <v>#NUM!</v>
      </c>
      <c r="AA751" s="240" t="e">
        <f t="array" ref="AA751">INDEX(Tabela.abordagens[],SMALL(IF(Tabela.abordagens[Mês]=$L$2,ROW(Tabela.abordagens[Idade])-2),ROW(A704)),4)</f>
        <v>#NUM!</v>
      </c>
      <c r="AB751" s="240" t="e">
        <f t="array" ref="AB751">INDEX(Tabela.abordagens[],SMALL(IF(Tabela.abordagens[Mês]=$L$2,ROW(Tabela.abordagens[Idade])-2),ROW(A704)),5)</f>
        <v>#NUM!</v>
      </c>
    </row>
    <row r="752" spans="2:28" ht="15" x14ac:dyDescent="0.25">
      <c r="B752" s="223" t="e">
        <f t="array" ref="B752">INDEX(Tabela.frequencia[],SMALL(IF(Tabela.frequencia[Mês]=$L$2,ROW(Tabela.frequencia[id])-1),ROW(A705)),1)</f>
        <v>#NUM!</v>
      </c>
      <c r="C752" s="229" t="e">
        <f t="array" ref="C752">INDEX(Tabela.frequencia[],SMALL(IF(Tabela.frequencia[Mês]=$L$2,ROW(Tabela.frequencia[id])-1),ROW(A705)),4)</f>
        <v>#NUM!</v>
      </c>
      <c r="E752" s="176" t="str">
        <f>IFERROR(VLOOKUP(D752,Tabela.cadastro[[ID]:[Nome]],2,0),"")</f>
        <v/>
      </c>
      <c r="F752" s="177" t="str">
        <f>IFERROR(VLOOKUP(D752,Tabela66[#All],2,0),"")</f>
        <v/>
      </c>
      <c r="G752" s="177" t="str">
        <f>IFERROR(VLOOKUP(D752,Tabela.cadastro[[ID]:[CP ou M]],5,0),"")</f>
        <v/>
      </c>
      <c r="H752" s="177" t="str">
        <f>IFERROR(VLOOKUP(D752,Cadastros!A:F,6,0),"")</f>
        <v/>
      </c>
      <c r="I752" s="177" t="str">
        <f>IFERROR(VLOOKUP(D752,Cadastros!A:I,9,0),"")</f>
        <v/>
      </c>
      <c r="J752" s="177" t="str">
        <f>IFERROR(VLOOKUP(D752,Cadastros!A:J,10,0),"")</f>
        <v/>
      </c>
      <c r="K752" s="177" t="str">
        <f>IF(COUNTIF(Tabela66[id],D752)=0,"",COUNTIF(Tabela66[id],D752))</f>
        <v/>
      </c>
      <c r="L752" s="198"/>
      <c r="M752" s="227" t="str">
        <f t="shared" si="60"/>
        <v/>
      </c>
      <c r="P752" s="176" t="str">
        <f>IFERROR(VLOOKUP(O752,Cadastros!A:B,2),"")</f>
        <v/>
      </c>
      <c r="Q752" s="177" t="str">
        <f t="shared" si="56"/>
        <v/>
      </c>
      <c r="R752" s="177" t="str">
        <f>IFERROR(VLOOKUP(O752,Cadastros!A:E,5,0),"")</f>
        <v/>
      </c>
      <c r="S752" s="177" t="str">
        <f>IFERROR(VLOOKUP(O752,Cadastros!A:F,6,0),"")</f>
        <v/>
      </c>
      <c r="T752" s="177" t="str">
        <f>IFERROR(VLOOKUP(O752,Cadastros!A:I,9,0),"")</f>
        <v/>
      </c>
      <c r="U752" s="177" t="str">
        <f t="shared" si="57"/>
        <v/>
      </c>
      <c r="V752" s="177" t="str">
        <f t="shared" si="58"/>
        <v/>
      </c>
      <c r="W752" s="177" t="str">
        <f t="shared" si="59"/>
        <v/>
      </c>
      <c r="Y752" s="240" t="e">
        <f t="array" ref="Y752">INDEX(Tabela.abordagens[],SMALL(IF(Tabela.abordagens[Mês]=$L$2,ROW(Tabela.abordagens[id])-2),ROW(A705)),1)</f>
        <v>#NUM!</v>
      </c>
      <c r="Z752" s="240" t="e">
        <f t="array" ref="Z752">INDEX(Tabela.abordagens[],SMALL(IF(Tabela.abordagens[Mês]=$L$2,ROW(Tabela.abordagens[Idade])-2),ROW(A705)),6)</f>
        <v>#NUM!</v>
      </c>
      <c r="AA752" s="240" t="e">
        <f t="array" ref="AA752">INDEX(Tabela.abordagens[],SMALL(IF(Tabela.abordagens[Mês]=$L$2,ROW(Tabela.abordagens[Idade])-2),ROW(A705)),4)</f>
        <v>#NUM!</v>
      </c>
      <c r="AB752" s="240" t="e">
        <f t="array" ref="AB752">INDEX(Tabela.abordagens[],SMALL(IF(Tabela.abordagens[Mês]=$L$2,ROW(Tabela.abordagens[Idade])-2),ROW(A705)),5)</f>
        <v>#NUM!</v>
      </c>
    </row>
    <row r="753" spans="2:28" ht="15" x14ac:dyDescent="0.25">
      <c r="B753" s="223" t="e">
        <f t="array" ref="B753">INDEX(Tabela.frequencia[],SMALL(IF(Tabela.frequencia[Mês]=$L$2,ROW(Tabela.frequencia[id])-1),ROW(A706)),1)</f>
        <v>#NUM!</v>
      </c>
      <c r="C753" s="229" t="e">
        <f t="array" ref="C753">INDEX(Tabela.frequencia[],SMALL(IF(Tabela.frequencia[Mês]=$L$2,ROW(Tabela.frequencia[id])-1),ROW(A706)),4)</f>
        <v>#NUM!</v>
      </c>
      <c r="E753" s="176" t="str">
        <f>IFERROR(VLOOKUP(D753,Tabela.cadastro[[ID]:[Nome]],2,0),"")</f>
        <v/>
      </c>
      <c r="F753" s="177" t="str">
        <f>IFERROR(VLOOKUP(D753,Tabela66[#All],2,0),"")</f>
        <v/>
      </c>
      <c r="G753" s="177" t="str">
        <f>IFERROR(VLOOKUP(D753,Tabela.cadastro[[ID]:[CP ou M]],5,0),"")</f>
        <v/>
      </c>
      <c r="H753" s="177" t="str">
        <f>IFERROR(VLOOKUP(D753,Cadastros!A:F,6,0),"")</f>
        <v/>
      </c>
      <c r="I753" s="177" t="str">
        <f>IFERROR(VLOOKUP(D753,Cadastros!A:I,9,0),"")</f>
        <v/>
      </c>
      <c r="J753" s="177" t="str">
        <f>IFERROR(VLOOKUP(D753,Cadastros!A:J,10,0),"")</f>
        <v/>
      </c>
      <c r="K753" s="177" t="str">
        <f>IF(COUNTIF(Tabela66[id],D753)=0,"",COUNTIF(Tabela66[id],D753))</f>
        <v/>
      </c>
      <c r="L753" s="198"/>
      <c r="M753" s="227" t="str">
        <f t="shared" si="60"/>
        <v/>
      </c>
      <c r="P753" s="176" t="str">
        <f>IFERROR(VLOOKUP(O753,Cadastros!A:B,2),"")</f>
        <v/>
      </c>
      <c r="Q753" s="177" t="str">
        <f t="shared" si="56"/>
        <v/>
      </c>
      <c r="R753" s="177" t="str">
        <f>IFERROR(VLOOKUP(O753,Cadastros!A:E,5,0),"")</f>
        <v/>
      </c>
      <c r="S753" s="177" t="str">
        <f>IFERROR(VLOOKUP(O753,Cadastros!A:F,6,0),"")</f>
        <v/>
      </c>
      <c r="T753" s="177" t="str">
        <f>IFERROR(VLOOKUP(O753,Cadastros!A:I,9,0),"")</f>
        <v/>
      </c>
      <c r="U753" s="177" t="str">
        <f t="shared" si="57"/>
        <v/>
      </c>
      <c r="V753" s="177" t="str">
        <f t="shared" si="58"/>
        <v/>
      </c>
      <c r="W753" s="177" t="str">
        <f t="shared" si="59"/>
        <v/>
      </c>
      <c r="Y753" s="240" t="e">
        <f t="array" ref="Y753">INDEX(Tabela.abordagens[],SMALL(IF(Tabela.abordagens[Mês]=$L$2,ROW(Tabela.abordagens[id])-2),ROW(A706)),1)</f>
        <v>#NUM!</v>
      </c>
      <c r="Z753" s="240" t="e">
        <f t="array" ref="Z753">INDEX(Tabela.abordagens[],SMALL(IF(Tabela.abordagens[Mês]=$L$2,ROW(Tabela.abordagens[Idade])-2),ROW(A706)),6)</f>
        <v>#NUM!</v>
      </c>
      <c r="AA753" s="240" t="e">
        <f t="array" ref="AA753">INDEX(Tabela.abordagens[],SMALL(IF(Tabela.abordagens[Mês]=$L$2,ROW(Tabela.abordagens[Idade])-2),ROW(A706)),4)</f>
        <v>#NUM!</v>
      </c>
      <c r="AB753" s="240" t="e">
        <f t="array" ref="AB753">INDEX(Tabela.abordagens[],SMALL(IF(Tabela.abordagens[Mês]=$L$2,ROW(Tabela.abordagens[Idade])-2),ROW(A706)),5)</f>
        <v>#NUM!</v>
      </c>
    </row>
    <row r="754" spans="2:28" ht="15" x14ac:dyDescent="0.25">
      <c r="B754" s="223" t="e">
        <f t="array" ref="B754">INDEX(Tabela.frequencia[],SMALL(IF(Tabela.frequencia[Mês]=$L$2,ROW(Tabela.frequencia[id])-1),ROW(A707)),1)</f>
        <v>#NUM!</v>
      </c>
      <c r="C754" s="229" t="e">
        <f t="array" ref="C754">INDEX(Tabela.frequencia[],SMALL(IF(Tabela.frequencia[Mês]=$L$2,ROW(Tabela.frequencia[id])-1),ROW(A707)),4)</f>
        <v>#NUM!</v>
      </c>
      <c r="E754" s="176" t="str">
        <f>IFERROR(VLOOKUP(D754,Tabela.cadastro[[ID]:[Nome]],2,0),"")</f>
        <v/>
      </c>
      <c r="F754" s="177" t="str">
        <f>IFERROR(VLOOKUP(D754,Tabela66[#All],2,0),"")</f>
        <v/>
      </c>
      <c r="G754" s="177" t="str">
        <f>IFERROR(VLOOKUP(D754,Tabela.cadastro[[ID]:[CP ou M]],5,0),"")</f>
        <v/>
      </c>
      <c r="H754" s="177" t="str">
        <f>IFERROR(VLOOKUP(D754,Cadastros!A:F,6,0),"")</f>
        <v/>
      </c>
      <c r="I754" s="177" t="str">
        <f>IFERROR(VLOOKUP(D754,Cadastros!A:I,9,0),"")</f>
        <v/>
      </c>
      <c r="J754" s="177" t="str">
        <f>IFERROR(VLOOKUP(D754,Cadastros!A:J,10,0),"")</f>
        <v/>
      </c>
      <c r="K754" s="177" t="str">
        <f>IF(COUNTIF(Tabela66[id],D754)=0,"",COUNTIF(Tabela66[id],D754))</f>
        <v/>
      </c>
      <c r="L754" s="198"/>
      <c r="M754" s="227" t="str">
        <f t="shared" si="60"/>
        <v/>
      </c>
      <c r="P754" s="176" t="str">
        <f>IFERROR(VLOOKUP(O754,Cadastros!A:B,2),"")</f>
        <v/>
      </c>
      <c r="Q754" s="177" t="str">
        <f t="shared" si="56"/>
        <v/>
      </c>
      <c r="R754" s="177" t="str">
        <f>IFERROR(VLOOKUP(O754,Cadastros!A:E,5,0),"")</f>
        <v/>
      </c>
      <c r="S754" s="177" t="str">
        <f>IFERROR(VLOOKUP(O754,Cadastros!A:F,6,0),"")</f>
        <v/>
      </c>
      <c r="T754" s="177" t="str">
        <f>IFERROR(VLOOKUP(O754,Cadastros!A:I,9,0),"")</f>
        <v/>
      </c>
      <c r="U754" s="177" t="str">
        <f t="shared" si="57"/>
        <v/>
      </c>
      <c r="V754" s="177" t="str">
        <f t="shared" si="58"/>
        <v/>
      </c>
      <c r="W754" s="177" t="str">
        <f t="shared" si="59"/>
        <v/>
      </c>
      <c r="Y754" s="240" t="e">
        <f t="array" ref="Y754">INDEX(Tabela.abordagens[],SMALL(IF(Tabela.abordagens[Mês]=$L$2,ROW(Tabela.abordagens[id])-2),ROW(A707)),1)</f>
        <v>#NUM!</v>
      </c>
      <c r="Z754" s="240" t="e">
        <f t="array" ref="Z754">INDEX(Tabela.abordagens[],SMALL(IF(Tabela.abordagens[Mês]=$L$2,ROW(Tabela.abordagens[Idade])-2),ROW(A707)),6)</f>
        <v>#NUM!</v>
      </c>
      <c r="AA754" s="240" t="e">
        <f t="array" ref="AA754">INDEX(Tabela.abordagens[],SMALL(IF(Tabela.abordagens[Mês]=$L$2,ROW(Tabela.abordagens[Idade])-2),ROW(A707)),4)</f>
        <v>#NUM!</v>
      </c>
      <c r="AB754" s="240" t="e">
        <f t="array" ref="AB754">INDEX(Tabela.abordagens[],SMALL(IF(Tabela.abordagens[Mês]=$L$2,ROW(Tabela.abordagens[Idade])-2),ROW(A707)),5)</f>
        <v>#NUM!</v>
      </c>
    </row>
    <row r="755" spans="2:28" ht="15" x14ac:dyDescent="0.25">
      <c r="B755" s="223" t="e">
        <f t="array" ref="B755">INDEX(Tabela.frequencia[],SMALL(IF(Tabela.frequencia[Mês]=$L$2,ROW(Tabela.frequencia[id])-1),ROW(A708)),1)</f>
        <v>#NUM!</v>
      </c>
      <c r="C755" s="229" t="e">
        <f t="array" ref="C755">INDEX(Tabela.frequencia[],SMALL(IF(Tabela.frequencia[Mês]=$L$2,ROW(Tabela.frequencia[id])-1),ROW(A708)),4)</f>
        <v>#NUM!</v>
      </c>
      <c r="E755" s="176" t="str">
        <f>IFERROR(VLOOKUP(D755,Tabela.cadastro[[ID]:[Nome]],2,0),"")</f>
        <v/>
      </c>
      <c r="F755" s="177" t="str">
        <f>IFERROR(VLOOKUP(D755,Tabela66[#All],2,0),"")</f>
        <v/>
      </c>
      <c r="G755" s="177" t="str">
        <f>IFERROR(VLOOKUP(D755,Tabela.cadastro[[ID]:[CP ou M]],5,0),"")</f>
        <v/>
      </c>
      <c r="H755" s="177" t="str">
        <f>IFERROR(VLOOKUP(D755,Cadastros!A:F,6,0),"")</f>
        <v/>
      </c>
      <c r="I755" s="177" t="str">
        <f>IFERROR(VLOOKUP(D755,Cadastros!A:I,9,0),"")</f>
        <v/>
      </c>
      <c r="J755" s="177" t="str">
        <f>IFERROR(VLOOKUP(D755,Cadastros!A:J,10,0),"")</f>
        <v/>
      </c>
      <c r="K755" s="177" t="str">
        <f>IF(COUNTIF(Tabela66[id],D755)=0,"",COUNTIF(Tabela66[id],D755))</f>
        <v/>
      </c>
      <c r="L755" s="198"/>
      <c r="M755" s="227" t="str">
        <f t="shared" si="60"/>
        <v/>
      </c>
      <c r="P755" s="176" t="str">
        <f>IFERROR(VLOOKUP(O755,Cadastros!A:B,2),"")</f>
        <v/>
      </c>
      <c r="Q755" s="177" t="str">
        <f t="shared" si="56"/>
        <v/>
      </c>
      <c r="R755" s="177" t="str">
        <f>IFERROR(VLOOKUP(O755,Cadastros!A:E,5,0),"")</f>
        <v/>
      </c>
      <c r="S755" s="177" t="str">
        <f>IFERROR(VLOOKUP(O755,Cadastros!A:F,6,0),"")</f>
        <v/>
      </c>
      <c r="T755" s="177" t="str">
        <f>IFERROR(VLOOKUP(O755,Cadastros!A:I,9,0),"")</f>
        <v/>
      </c>
      <c r="U755" s="177" t="str">
        <f t="shared" si="57"/>
        <v/>
      </c>
      <c r="V755" s="177" t="str">
        <f t="shared" si="58"/>
        <v/>
      </c>
      <c r="W755" s="177" t="str">
        <f t="shared" si="59"/>
        <v/>
      </c>
      <c r="Y755" s="240" t="e">
        <f t="array" ref="Y755">INDEX(Tabela.abordagens[],SMALL(IF(Tabela.abordagens[Mês]=$L$2,ROW(Tabela.abordagens[id])-2),ROW(A708)),1)</f>
        <v>#NUM!</v>
      </c>
      <c r="Z755" s="240" t="e">
        <f t="array" ref="Z755">INDEX(Tabela.abordagens[],SMALL(IF(Tabela.abordagens[Mês]=$L$2,ROW(Tabela.abordagens[Idade])-2),ROW(A708)),6)</f>
        <v>#NUM!</v>
      </c>
      <c r="AA755" s="240" t="e">
        <f t="array" ref="AA755">INDEX(Tabela.abordagens[],SMALL(IF(Tabela.abordagens[Mês]=$L$2,ROW(Tabela.abordagens[Idade])-2),ROW(A708)),4)</f>
        <v>#NUM!</v>
      </c>
      <c r="AB755" s="240" t="e">
        <f t="array" ref="AB755">INDEX(Tabela.abordagens[],SMALL(IF(Tabela.abordagens[Mês]=$L$2,ROW(Tabela.abordagens[Idade])-2),ROW(A708)),5)</f>
        <v>#NUM!</v>
      </c>
    </row>
    <row r="756" spans="2:28" ht="15" x14ac:dyDescent="0.25">
      <c r="B756" s="223" t="e">
        <f t="array" ref="B756">INDEX(Tabela.frequencia[],SMALL(IF(Tabela.frequencia[Mês]=$L$2,ROW(Tabela.frequencia[id])-1),ROW(A709)),1)</f>
        <v>#NUM!</v>
      </c>
      <c r="C756" s="229" t="e">
        <f t="array" ref="C756">INDEX(Tabela.frequencia[],SMALL(IF(Tabela.frequencia[Mês]=$L$2,ROW(Tabela.frequencia[id])-1),ROW(A709)),4)</f>
        <v>#NUM!</v>
      </c>
      <c r="E756" s="176" t="str">
        <f>IFERROR(VLOOKUP(D756,Tabela.cadastro[[ID]:[Nome]],2,0),"")</f>
        <v/>
      </c>
      <c r="F756" s="177" t="str">
        <f>IFERROR(VLOOKUP(D756,Tabela66[#All],2,0),"")</f>
        <v/>
      </c>
      <c r="G756" s="177" t="str">
        <f>IFERROR(VLOOKUP(D756,Tabela.cadastro[[ID]:[CP ou M]],5,0),"")</f>
        <v/>
      </c>
      <c r="H756" s="177" t="str">
        <f>IFERROR(VLOOKUP(D756,Cadastros!A:F,6,0),"")</f>
        <v/>
      </c>
      <c r="I756" s="177" t="str">
        <f>IFERROR(VLOOKUP(D756,Cadastros!A:I,9,0),"")</f>
        <v/>
      </c>
      <c r="J756" s="177" t="str">
        <f>IFERROR(VLOOKUP(D756,Cadastros!A:J,10,0),"")</f>
        <v/>
      </c>
      <c r="K756" s="177" t="str">
        <f>IF(COUNTIF(Tabela66[id],D756)=0,"",COUNTIF(Tabela66[id],D756))</f>
        <v/>
      </c>
      <c r="L756" s="198"/>
      <c r="M756" s="227" t="str">
        <f t="shared" si="60"/>
        <v/>
      </c>
      <c r="P756" s="176" t="str">
        <f>IFERROR(VLOOKUP(O756,Cadastros!A:B,2),"")</f>
        <v/>
      </c>
      <c r="Q756" s="177" t="str">
        <f t="shared" si="56"/>
        <v/>
      </c>
      <c r="R756" s="177" t="str">
        <f>IFERROR(VLOOKUP(O756,Cadastros!A:E,5,0),"")</f>
        <v/>
      </c>
      <c r="S756" s="177" t="str">
        <f>IFERROR(VLOOKUP(O756,Cadastros!A:F,6,0),"")</f>
        <v/>
      </c>
      <c r="T756" s="177" t="str">
        <f>IFERROR(VLOOKUP(O756,Cadastros!A:I,9,0),"")</f>
        <v/>
      </c>
      <c r="U756" s="177" t="str">
        <f t="shared" si="57"/>
        <v/>
      </c>
      <c r="V756" s="177" t="str">
        <f t="shared" si="58"/>
        <v/>
      </c>
      <c r="W756" s="177" t="str">
        <f t="shared" si="59"/>
        <v/>
      </c>
      <c r="Y756" s="240" t="e">
        <f t="array" ref="Y756">INDEX(Tabela.abordagens[],SMALL(IF(Tabela.abordagens[Mês]=$L$2,ROW(Tabela.abordagens[id])-2),ROW(A709)),1)</f>
        <v>#NUM!</v>
      </c>
      <c r="Z756" s="240" t="e">
        <f t="array" ref="Z756">INDEX(Tabela.abordagens[],SMALL(IF(Tabela.abordagens[Mês]=$L$2,ROW(Tabela.abordagens[Idade])-2),ROW(A709)),6)</f>
        <v>#NUM!</v>
      </c>
      <c r="AA756" s="240" t="e">
        <f t="array" ref="AA756">INDEX(Tabela.abordagens[],SMALL(IF(Tabela.abordagens[Mês]=$L$2,ROW(Tabela.abordagens[Idade])-2),ROW(A709)),4)</f>
        <v>#NUM!</v>
      </c>
      <c r="AB756" s="240" t="e">
        <f t="array" ref="AB756">INDEX(Tabela.abordagens[],SMALL(IF(Tabela.abordagens[Mês]=$L$2,ROW(Tabela.abordagens[Idade])-2),ROW(A709)),5)</f>
        <v>#NUM!</v>
      </c>
    </row>
    <row r="757" spans="2:28" ht="15" x14ac:dyDescent="0.25">
      <c r="B757" s="223" t="e">
        <f t="array" ref="B757">INDEX(Tabela.frequencia[],SMALL(IF(Tabela.frequencia[Mês]=$L$2,ROW(Tabela.frequencia[id])-1),ROW(A710)),1)</f>
        <v>#NUM!</v>
      </c>
      <c r="C757" s="229" t="e">
        <f t="array" ref="C757">INDEX(Tabela.frequencia[],SMALL(IF(Tabela.frequencia[Mês]=$L$2,ROW(Tabela.frequencia[id])-1),ROW(A710)),4)</f>
        <v>#NUM!</v>
      </c>
      <c r="E757" s="176" t="str">
        <f>IFERROR(VLOOKUP(D757,Tabela.cadastro[[ID]:[Nome]],2,0),"")</f>
        <v/>
      </c>
      <c r="F757" s="177" t="str">
        <f>IFERROR(VLOOKUP(D757,Tabela66[#All],2,0),"")</f>
        <v/>
      </c>
      <c r="G757" s="177" t="str">
        <f>IFERROR(VLOOKUP(D757,Tabela.cadastro[[ID]:[CP ou M]],5,0),"")</f>
        <v/>
      </c>
      <c r="H757" s="177" t="str">
        <f>IFERROR(VLOOKUP(D757,Cadastros!A:F,6,0),"")</f>
        <v/>
      </c>
      <c r="I757" s="177" t="str">
        <f>IFERROR(VLOOKUP(D757,Cadastros!A:I,9,0),"")</f>
        <v/>
      </c>
      <c r="J757" s="177" t="str">
        <f>IFERROR(VLOOKUP(D757,Cadastros!A:J,10,0),"")</f>
        <v/>
      </c>
      <c r="K757" s="177" t="str">
        <f>IF(COUNTIF(Tabela66[id],D757)=0,"",COUNTIF(Tabela66[id],D757))</f>
        <v/>
      </c>
      <c r="L757" s="198"/>
      <c r="M757" s="227" t="str">
        <f t="shared" si="60"/>
        <v/>
      </c>
      <c r="P757" s="176" t="str">
        <f>IFERROR(VLOOKUP(O757,Cadastros!A:B,2),"")</f>
        <v/>
      </c>
      <c r="Q757" s="177" t="str">
        <f t="shared" si="56"/>
        <v/>
      </c>
      <c r="R757" s="177" t="str">
        <f>IFERROR(VLOOKUP(O757,Cadastros!A:E,5,0),"")</f>
        <v/>
      </c>
      <c r="S757" s="177" t="str">
        <f>IFERROR(VLOOKUP(O757,Cadastros!A:F,6,0),"")</f>
        <v/>
      </c>
      <c r="T757" s="177" t="str">
        <f>IFERROR(VLOOKUP(O757,Cadastros!A:I,9,0),"")</f>
        <v/>
      </c>
      <c r="U757" s="177" t="str">
        <f t="shared" si="57"/>
        <v/>
      </c>
      <c r="V757" s="177" t="str">
        <f t="shared" si="58"/>
        <v/>
      </c>
      <c r="W757" s="177" t="str">
        <f t="shared" si="59"/>
        <v/>
      </c>
      <c r="Y757" s="240" t="e">
        <f t="array" ref="Y757">INDEX(Tabela.abordagens[],SMALL(IF(Tabela.abordagens[Mês]=$L$2,ROW(Tabela.abordagens[id])-2),ROW(A710)),1)</f>
        <v>#NUM!</v>
      </c>
      <c r="Z757" s="240" t="e">
        <f t="array" ref="Z757">INDEX(Tabela.abordagens[],SMALL(IF(Tabela.abordagens[Mês]=$L$2,ROW(Tabela.abordagens[Idade])-2),ROW(A710)),6)</f>
        <v>#NUM!</v>
      </c>
      <c r="AA757" s="240" t="e">
        <f t="array" ref="AA757">INDEX(Tabela.abordagens[],SMALL(IF(Tabela.abordagens[Mês]=$L$2,ROW(Tabela.abordagens[Idade])-2),ROW(A710)),4)</f>
        <v>#NUM!</v>
      </c>
      <c r="AB757" s="240" t="e">
        <f t="array" ref="AB757">INDEX(Tabela.abordagens[],SMALL(IF(Tabela.abordagens[Mês]=$L$2,ROW(Tabela.abordagens[Idade])-2),ROW(A710)),5)</f>
        <v>#NUM!</v>
      </c>
    </row>
    <row r="758" spans="2:28" ht="15" x14ac:dyDescent="0.25">
      <c r="B758" s="223" t="e">
        <f t="array" ref="B758">INDEX(Tabela.frequencia[],SMALL(IF(Tabela.frequencia[Mês]=$L$2,ROW(Tabela.frequencia[id])-1),ROW(A711)),1)</f>
        <v>#NUM!</v>
      </c>
      <c r="C758" s="229" t="e">
        <f t="array" ref="C758">INDEX(Tabela.frequencia[],SMALL(IF(Tabela.frequencia[Mês]=$L$2,ROW(Tabela.frequencia[id])-1),ROW(A711)),4)</f>
        <v>#NUM!</v>
      </c>
      <c r="E758" s="176" t="str">
        <f>IFERROR(VLOOKUP(D758,Tabela.cadastro[[ID]:[Nome]],2,0),"")</f>
        <v/>
      </c>
      <c r="F758" s="177" t="str">
        <f>IFERROR(VLOOKUP(D758,Tabela66[#All],2,0),"")</f>
        <v/>
      </c>
      <c r="G758" s="177" t="str">
        <f>IFERROR(VLOOKUP(D758,Tabela.cadastro[[ID]:[CP ou M]],5,0),"")</f>
        <v/>
      </c>
      <c r="H758" s="177" t="str">
        <f>IFERROR(VLOOKUP(D758,Cadastros!A:F,6,0),"")</f>
        <v/>
      </c>
      <c r="I758" s="177" t="str">
        <f>IFERROR(VLOOKUP(D758,Cadastros!A:I,9,0),"")</f>
        <v/>
      </c>
      <c r="J758" s="177" t="str">
        <f>IFERROR(VLOOKUP(D758,Cadastros!A:J,10,0),"")</f>
        <v/>
      </c>
      <c r="K758" s="177" t="str">
        <f>IF(COUNTIF(Tabela66[id],D758)=0,"",COUNTIF(Tabela66[id],D758))</f>
        <v/>
      </c>
      <c r="L758" s="198"/>
      <c r="M758" s="227" t="str">
        <f t="shared" si="60"/>
        <v/>
      </c>
      <c r="P758" s="176" t="str">
        <f>IFERROR(VLOOKUP(O758,Cadastros!A:B,2),"")</f>
        <v/>
      </c>
      <c r="Q758" s="177" t="str">
        <f t="shared" si="56"/>
        <v/>
      </c>
      <c r="R758" s="177" t="str">
        <f>IFERROR(VLOOKUP(O758,Cadastros!A:E,5,0),"")</f>
        <v/>
      </c>
      <c r="S758" s="177" t="str">
        <f>IFERROR(VLOOKUP(O758,Cadastros!A:F,6,0),"")</f>
        <v/>
      </c>
      <c r="T758" s="177" t="str">
        <f>IFERROR(VLOOKUP(O758,Cadastros!A:I,9,0),"")</f>
        <v/>
      </c>
      <c r="U758" s="177" t="str">
        <f t="shared" si="57"/>
        <v/>
      </c>
      <c r="V758" s="177" t="str">
        <f t="shared" si="58"/>
        <v/>
      </c>
      <c r="W758" s="177" t="str">
        <f t="shared" si="59"/>
        <v/>
      </c>
      <c r="Y758" s="240" t="e">
        <f t="array" ref="Y758">INDEX(Tabela.abordagens[],SMALL(IF(Tabela.abordagens[Mês]=$L$2,ROW(Tabela.abordagens[id])-2),ROW(A711)),1)</f>
        <v>#NUM!</v>
      </c>
      <c r="Z758" s="240" t="e">
        <f t="array" ref="Z758">INDEX(Tabela.abordagens[],SMALL(IF(Tabela.abordagens[Mês]=$L$2,ROW(Tabela.abordagens[Idade])-2),ROW(A711)),6)</f>
        <v>#NUM!</v>
      </c>
      <c r="AA758" s="240" t="e">
        <f t="array" ref="AA758">INDEX(Tabela.abordagens[],SMALL(IF(Tabela.abordagens[Mês]=$L$2,ROW(Tabela.abordagens[Idade])-2),ROW(A711)),4)</f>
        <v>#NUM!</v>
      </c>
      <c r="AB758" s="240" t="e">
        <f t="array" ref="AB758">INDEX(Tabela.abordagens[],SMALL(IF(Tabela.abordagens[Mês]=$L$2,ROW(Tabela.abordagens[Idade])-2),ROW(A711)),5)</f>
        <v>#NUM!</v>
      </c>
    </row>
    <row r="759" spans="2:28" ht="15" x14ac:dyDescent="0.25">
      <c r="B759" s="223" t="e">
        <f t="array" ref="B759">INDEX(Tabela.frequencia[],SMALL(IF(Tabela.frequencia[Mês]=$L$2,ROW(Tabela.frequencia[id])-1),ROW(A712)),1)</f>
        <v>#NUM!</v>
      </c>
      <c r="C759" s="229" t="e">
        <f t="array" ref="C759">INDEX(Tabela.frequencia[],SMALL(IF(Tabela.frequencia[Mês]=$L$2,ROW(Tabela.frequencia[id])-1),ROW(A712)),4)</f>
        <v>#NUM!</v>
      </c>
      <c r="E759" s="176" t="str">
        <f>IFERROR(VLOOKUP(D759,Tabela.cadastro[[ID]:[Nome]],2,0),"")</f>
        <v/>
      </c>
      <c r="F759" s="177" t="str">
        <f>IFERROR(VLOOKUP(D759,Tabela66[#All],2,0),"")</f>
        <v/>
      </c>
      <c r="G759" s="177" t="str">
        <f>IFERROR(VLOOKUP(D759,Tabela.cadastro[[ID]:[CP ou M]],5,0),"")</f>
        <v/>
      </c>
      <c r="H759" s="177" t="str">
        <f>IFERROR(VLOOKUP(D759,Cadastros!A:F,6,0),"")</f>
        <v/>
      </c>
      <c r="I759" s="177" t="str">
        <f>IFERROR(VLOOKUP(D759,Cadastros!A:I,9,0),"")</f>
        <v/>
      </c>
      <c r="J759" s="177" t="str">
        <f>IFERROR(VLOOKUP(D759,Cadastros!A:J,10,0),"")</f>
        <v/>
      </c>
      <c r="K759" s="177" t="str">
        <f>IF(COUNTIF(Tabela66[id],D759)=0,"",COUNTIF(Tabela66[id],D759))</f>
        <v/>
      </c>
      <c r="L759" s="198"/>
      <c r="M759" s="227" t="str">
        <f t="shared" si="60"/>
        <v/>
      </c>
      <c r="P759" s="176" t="str">
        <f>IFERROR(VLOOKUP(O759,Cadastros!A:B,2),"")</f>
        <v/>
      </c>
      <c r="Q759" s="177" t="str">
        <f t="shared" si="56"/>
        <v/>
      </c>
      <c r="R759" s="177" t="str">
        <f>IFERROR(VLOOKUP(O759,Cadastros!A:E,5,0),"")</f>
        <v/>
      </c>
      <c r="S759" s="177" t="str">
        <f>IFERROR(VLOOKUP(O759,Cadastros!A:F,6,0),"")</f>
        <v/>
      </c>
      <c r="T759" s="177" t="str">
        <f>IFERROR(VLOOKUP(O759,Cadastros!A:I,9,0),"")</f>
        <v/>
      </c>
      <c r="U759" s="177" t="str">
        <f t="shared" si="57"/>
        <v/>
      </c>
      <c r="V759" s="177" t="str">
        <f t="shared" si="58"/>
        <v/>
      </c>
      <c r="W759" s="177" t="str">
        <f t="shared" si="59"/>
        <v/>
      </c>
      <c r="Y759" s="240" t="e">
        <f t="array" ref="Y759">INDEX(Tabela.abordagens[],SMALL(IF(Tabela.abordagens[Mês]=$L$2,ROW(Tabela.abordagens[id])-2),ROW(A712)),1)</f>
        <v>#NUM!</v>
      </c>
      <c r="Z759" s="240" t="e">
        <f t="array" ref="Z759">INDEX(Tabela.abordagens[],SMALL(IF(Tabela.abordagens[Mês]=$L$2,ROW(Tabela.abordagens[Idade])-2),ROW(A712)),6)</f>
        <v>#NUM!</v>
      </c>
      <c r="AA759" s="240" t="e">
        <f t="array" ref="AA759">INDEX(Tabela.abordagens[],SMALL(IF(Tabela.abordagens[Mês]=$L$2,ROW(Tabela.abordagens[Idade])-2),ROW(A712)),4)</f>
        <v>#NUM!</v>
      </c>
      <c r="AB759" s="240" t="e">
        <f t="array" ref="AB759">INDEX(Tabela.abordagens[],SMALL(IF(Tabela.abordagens[Mês]=$L$2,ROW(Tabela.abordagens[Idade])-2),ROW(A712)),5)</f>
        <v>#NUM!</v>
      </c>
    </row>
    <row r="760" spans="2:28" ht="15" x14ac:dyDescent="0.25">
      <c r="B760" s="223" t="e">
        <f t="array" ref="B760">INDEX(Tabela.frequencia[],SMALL(IF(Tabela.frequencia[Mês]=$L$2,ROW(Tabela.frequencia[id])-1),ROW(A713)),1)</f>
        <v>#NUM!</v>
      </c>
      <c r="C760" s="229" t="e">
        <f t="array" ref="C760">INDEX(Tabela.frequencia[],SMALL(IF(Tabela.frequencia[Mês]=$L$2,ROW(Tabela.frequencia[id])-1),ROW(A713)),4)</f>
        <v>#NUM!</v>
      </c>
      <c r="E760" s="176" t="str">
        <f>IFERROR(VLOOKUP(D760,Tabela.cadastro[[ID]:[Nome]],2,0),"")</f>
        <v/>
      </c>
      <c r="F760" s="177" t="str">
        <f>IFERROR(VLOOKUP(D760,Tabela66[#All],2,0),"")</f>
        <v/>
      </c>
      <c r="G760" s="177" t="str">
        <f>IFERROR(VLOOKUP(D760,Tabela.cadastro[[ID]:[CP ou M]],5,0),"")</f>
        <v/>
      </c>
      <c r="H760" s="177" t="str">
        <f>IFERROR(VLOOKUP(D760,Cadastros!A:F,6,0),"")</f>
        <v/>
      </c>
      <c r="I760" s="177" t="str">
        <f>IFERROR(VLOOKUP(D760,Cadastros!A:I,9,0),"")</f>
        <v/>
      </c>
      <c r="J760" s="177" t="str">
        <f>IFERROR(VLOOKUP(D760,Cadastros!A:J,10,0),"")</f>
        <v/>
      </c>
      <c r="K760" s="177" t="str">
        <f>IF(COUNTIF(Tabela66[id],D760)=0,"",COUNTIF(Tabela66[id],D760))</f>
        <v/>
      </c>
      <c r="L760" s="198"/>
      <c r="M760" s="227" t="str">
        <f t="shared" si="60"/>
        <v/>
      </c>
      <c r="P760" s="176" t="str">
        <f>IFERROR(VLOOKUP(O760,Cadastros!A:B,2),"")</f>
        <v/>
      </c>
      <c r="Q760" s="177" t="str">
        <f t="shared" si="56"/>
        <v/>
      </c>
      <c r="R760" s="177" t="str">
        <f>IFERROR(VLOOKUP(O760,Cadastros!A:E,5,0),"")</f>
        <v/>
      </c>
      <c r="S760" s="177" t="str">
        <f>IFERROR(VLOOKUP(O760,Cadastros!A:F,6,0),"")</f>
        <v/>
      </c>
      <c r="T760" s="177" t="str">
        <f>IFERROR(VLOOKUP(O760,Cadastros!A:I,9,0),"")</f>
        <v/>
      </c>
      <c r="U760" s="177" t="str">
        <f t="shared" si="57"/>
        <v/>
      </c>
      <c r="V760" s="177" t="str">
        <f t="shared" si="58"/>
        <v/>
      </c>
      <c r="W760" s="177" t="str">
        <f t="shared" si="59"/>
        <v/>
      </c>
      <c r="Y760" s="240" t="e">
        <f t="array" ref="Y760">INDEX(Tabela.abordagens[],SMALL(IF(Tabela.abordagens[Mês]=$L$2,ROW(Tabela.abordagens[id])-2),ROW(A713)),1)</f>
        <v>#NUM!</v>
      </c>
      <c r="Z760" s="240" t="e">
        <f t="array" ref="Z760">INDEX(Tabela.abordagens[],SMALL(IF(Tabela.abordagens[Mês]=$L$2,ROW(Tabela.abordagens[Idade])-2),ROW(A713)),6)</f>
        <v>#NUM!</v>
      </c>
      <c r="AA760" s="240" t="e">
        <f t="array" ref="AA760">INDEX(Tabela.abordagens[],SMALL(IF(Tabela.abordagens[Mês]=$L$2,ROW(Tabela.abordagens[Idade])-2),ROW(A713)),4)</f>
        <v>#NUM!</v>
      </c>
      <c r="AB760" s="240" t="e">
        <f t="array" ref="AB760">INDEX(Tabela.abordagens[],SMALL(IF(Tabela.abordagens[Mês]=$L$2,ROW(Tabela.abordagens[Idade])-2),ROW(A713)),5)</f>
        <v>#NUM!</v>
      </c>
    </row>
    <row r="761" spans="2:28" ht="15" x14ac:dyDescent="0.25">
      <c r="B761" s="223" t="e">
        <f t="array" ref="B761">INDEX(Tabela.frequencia[],SMALL(IF(Tabela.frequencia[Mês]=$L$2,ROW(Tabela.frequencia[id])-1),ROW(A714)),1)</f>
        <v>#NUM!</v>
      </c>
      <c r="C761" s="229" t="e">
        <f t="array" ref="C761">INDEX(Tabela.frequencia[],SMALL(IF(Tabela.frequencia[Mês]=$L$2,ROW(Tabela.frequencia[id])-1),ROW(A714)),4)</f>
        <v>#NUM!</v>
      </c>
      <c r="E761" s="176" t="str">
        <f>IFERROR(VLOOKUP(D761,Tabela.cadastro[[ID]:[Nome]],2,0),"")</f>
        <v/>
      </c>
      <c r="F761" s="177" t="str">
        <f>IFERROR(VLOOKUP(D761,Tabela66[#All],2,0),"")</f>
        <v/>
      </c>
      <c r="G761" s="177" t="str">
        <f>IFERROR(VLOOKUP(D761,Tabela.cadastro[[ID]:[CP ou M]],5,0),"")</f>
        <v/>
      </c>
      <c r="H761" s="177" t="str">
        <f>IFERROR(VLOOKUP(D761,Cadastros!A:F,6,0),"")</f>
        <v/>
      </c>
      <c r="I761" s="177" t="str">
        <f>IFERROR(VLOOKUP(D761,Cadastros!A:I,9,0),"")</f>
        <v/>
      </c>
      <c r="J761" s="177" t="str">
        <f>IFERROR(VLOOKUP(D761,Cadastros!A:J,10,0),"")</f>
        <v/>
      </c>
      <c r="K761" s="177" t="str">
        <f>IF(COUNTIF(Tabela66[id],D761)=0,"",COUNTIF(Tabela66[id],D761))</f>
        <v/>
      </c>
      <c r="L761" s="198"/>
      <c r="M761" s="227" t="str">
        <f t="shared" si="60"/>
        <v/>
      </c>
      <c r="P761" s="176" t="str">
        <f>IFERROR(VLOOKUP(O761,Cadastros!A:B,2),"")</f>
        <v/>
      </c>
      <c r="Q761" s="177" t="str">
        <f t="shared" si="56"/>
        <v/>
      </c>
      <c r="R761" s="177" t="str">
        <f>IFERROR(VLOOKUP(O761,Cadastros!A:E,5,0),"")</f>
        <v/>
      </c>
      <c r="S761" s="177" t="str">
        <f>IFERROR(VLOOKUP(O761,Cadastros!A:F,6,0),"")</f>
        <v/>
      </c>
      <c r="T761" s="177" t="str">
        <f>IFERROR(VLOOKUP(O761,Cadastros!A:I,9,0),"")</f>
        <v/>
      </c>
      <c r="U761" s="177" t="str">
        <f t="shared" si="57"/>
        <v/>
      </c>
      <c r="V761" s="177" t="str">
        <f t="shared" si="58"/>
        <v/>
      </c>
      <c r="W761" s="177" t="str">
        <f t="shared" si="59"/>
        <v/>
      </c>
      <c r="Y761" s="240" t="e">
        <f t="array" ref="Y761">INDEX(Tabela.abordagens[],SMALL(IF(Tabela.abordagens[Mês]=$L$2,ROW(Tabela.abordagens[id])-2),ROW(A714)),1)</f>
        <v>#NUM!</v>
      </c>
      <c r="Z761" s="240" t="e">
        <f t="array" ref="Z761">INDEX(Tabela.abordagens[],SMALL(IF(Tabela.abordagens[Mês]=$L$2,ROW(Tabela.abordagens[Idade])-2),ROW(A714)),6)</f>
        <v>#NUM!</v>
      </c>
      <c r="AA761" s="240" t="e">
        <f t="array" ref="AA761">INDEX(Tabela.abordagens[],SMALL(IF(Tabela.abordagens[Mês]=$L$2,ROW(Tabela.abordagens[Idade])-2),ROW(A714)),4)</f>
        <v>#NUM!</v>
      </c>
      <c r="AB761" s="240" t="e">
        <f t="array" ref="AB761">INDEX(Tabela.abordagens[],SMALL(IF(Tabela.abordagens[Mês]=$L$2,ROW(Tabela.abordagens[Idade])-2),ROW(A714)),5)</f>
        <v>#NUM!</v>
      </c>
    </row>
    <row r="762" spans="2:28" ht="15" x14ac:dyDescent="0.25">
      <c r="B762" s="223" t="e">
        <f t="array" ref="B762">INDEX(Tabela.frequencia[],SMALL(IF(Tabela.frequencia[Mês]=$L$2,ROW(Tabela.frequencia[id])-1),ROW(A715)),1)</f>
        <v>#NUM!</v>
      </c>
      <c r="C762" s="229" t="e">
        <f t="array" ref="C762">INDEX(Tabela.frequencia[],SMALL(IF(Tabela.frequencia[Mês]=$L$2,ROW(Tabela.frequencia[id])-1),ROW(A715)),4)</f>
        <v>#NUM!</v>
      </c>
      <c r="E762" s="176" t="str">
        <f>IFERROR(VLOOKUP(D762,Tabela.cadastro[[ID]:[Nome]],2,0),"")</f>
        <v/>
      </c>
      <c r="F762" s="177" t="str">
        <f>IFERROR(VLOOKUP(D762,Tabela66[#All],2,0),"")</f>
        <v/>
      </c>
      <c r="G762" s="177" t="str">
        <f>IFERROR(VLOOKUP(D762,Tabela.cadastro[[ID]:[CP ou M]],5,0),"")</f>
        <v/>
      </c>
      <c r="H762" s="177" t="str">
        <f>IFERROR(VLOOKUP(D762,Cadastros!A:F,6,0),"")</f>
        <v/>
      </c>
      <c r="I762" s="177" t="str">
        <f>IFERROR(VLOOKUP(D762,Cadastros!A:I,9,0),"")</f>
        <v/>
      </c>
      <c r="J762" s="177" t="str">
        <f>IFERROR(VLOOKUP(D762,Cadastros!A:J,10,0),"")</f>
        <v/>
      </c>
      <c r="K762" s="177" t="str">
        <f>IF(COUNTIF(Tabela66[id],D762)=0,"",COUNTIF(Tabela66[id],D762))</f>
        <v/>
      </c>
      <c r="L762" s="198"/>
      <c r="M762" s="227" t="str">
        <f t="shared" si="60"/>
        <v/>
      </c>
      <c r="P762" s="176" t="str">
        <f>IFERROR(VLOOKUP(O762,Cadastros!A:B,2),"")</f>
        <v/>
      </c>
      <c r="Q762" s="177" t="str">
        <f t="shared" si="56"/>
        <v/>
      </c>
      <c r="R762" s="177" t="str">
        <f>IFERROR(VLOOKUP(O762,Cadastros!A:E,5,0),"")</f>
        <v/>
      </c>
      <c r="S762" s="177" t="str">
        <f>IFERROR(VLOOKUP(O762,Cadastros!A:F,6,0),"")</f>
        <v/>
      </c>
      <c r="T762" s="177" t="str">
        <f>IFERROR(VLOOKUP(O762,Cadastros!A:I,9,0),"")</f>
        <v/>
      </c>
      <c r="U762" s="177" t="str">
        <f t="shared" si="57"/>
        <v/>
      </c>
      <c r="V762" s="177" t="str">
        <f t="shared" si="58"/>
        <v/>
      </c>
      <c r="W762" s="177" t="str">
        <f t="shared" si="59"/>
        <v/>
      </c>
      <c r="Y762" s="240" t="e">
        <f t="array" ref="Y762">INDEX(Tabela.abordagens[],SMALL(IF(Tabela.abordagens[Mês]=$L$2,ROW(Tabela.abordagens[id])-2),ROW(A715)),1)</f>
        <v>#NUM!</v>
      </c>
      <c r="Z762" s="240" t="e">
        <f t="array" ref="Z762">INDEX(Tabela.abordagens[],SMALL(IF(Tabela.abordagens[Mês]=$L$2,ROW(Tabela.abordagens[Idade])-2),ROW(A715)),6)</f>
        <v>#NUM!</v>
      </c>
      <c r="AA762" s="240" t="e">
        <f t="array" ref="AA762">INDEX(Tabela.abordagens[],SMALL(IF(Tabela.abordagens[Mês]=$L$2,ROW(Tabela.abordagens[Idade])-2),ROW(A715)),4)</f>
        <v>#NUM!</v>
      </c>
      <c r="AB762" s="240" t="e">
        <f t="array" ref="AB762">INDEX(Tabela.abordagens[],SMALL(IF(Tabela.abordagens[Mês]=$L$2,ROW(Tabela.abordagens[Idade])-2),ROW(A715)),5)</f>
        <v>#NUM!</v>
      </c>
    </row>
    <row r="763" spans="2:28" ht="15" x14ac:dyDescent="0.25">
      <c r="B763" s="223" t="e">
        <f t="array" ref="B763">INDEX(Tabela.frequencia[],SMALL(IF(Tabela.frequencia[Mês]=$L$2,ROW(Tabela.frequencia[id])-1),ROW(A716)),1)</f>
        <v>#NUM!</v>
      </c>
      <c r="C763" s="229" t="e">
        <f t="array" ref="C763">INDEX(Tabela.frequencia[],SMALL(IF(Tabela.frequencia[Mês]=$L$2,ROW(Tabela.frequencia[id])-1),ROW(A716)),4)</f>
        <v>#NUM!</v>
      </c>
      <c r="E763" s="176" t="str">
        <f>IFERROR(VLOOKUP(D763,Tabela.cadastro[[ID]:[Nome]],2,0),"")</f>
        <v/>
      </c>
      <c r="F763" s="177" t="str">
        <f>IFERROR(VLOOKUP(D763,Tabela66[#All],2,0),"")</f>
        <v/>
      </c>
      <c r="G763" s="177" t="str">
        <f>IFERROR(VLOOKUP(D763,Tabela.cadastro[[ID]:[CP ou M]],5,0),"")</f>
        <v/>
      </c>
      <c r="H763" s="177" t="str">
        <f>IFERROR(VLOOKUP(D763,Cadastros!A:F,6,0),"")</f>
        <v/>
      </c>
      <c r="I763" s="177" t="str">
        <f>IFERROR(VLOOKUP(D763,Cadastros!A:I,9,0),"")</f>
        <v/>
      </c>
      <c r="J763" s="177" t="str">
        <f>IFERROR(VLOOKUP(D763,Cadastros!A:J,10,0),"")</f>
        <v/>
      </c>
      <c r="K763" s="177" t="str">
        <f>IF(COUNTIF(Tabela66[id],D763)=0,"",COUNTIF(Tabela66[id],D763))</f>
        <v/>
      </c>
      <c r="L763" s="198"/>
      <c r="M763" s="227" t="str">
        <f t="shared" si="60"/>
        <v/>
      </c>
      <c r="P763" s="176" t="str">
        <f>IFERROR(VLOOKUP(O763,Cadastros!A:B,2),"")</f>
        <v/>
      </c>
      <c r="Q763" s="177" t="str">
        <f t="shared" si="56"/>
        <v/>
      </c>
      <c r="R763" s="177" t="str">
        <f>IFERROR(VLOOKUP(O763,Cadastros!A:E,5,0),"")</f>
        <v/>
      </c>
      <c r="S763" s="177" t="str">
        <f>IFERROR(VLOOKUP(O763,Cadastros!A:F,6,0),"")</f>
        <v/>
      </c>
      <c r="T763" s="177" t="str">
        <f>IFERROR(VLOOKUP(O763,Cadastros!A:I,9,0),"")</f>
        <v/>
      </c>
      <c r="U763" s="177" t="str">
        <f t="shared" si="57"/>
        <v/>
      </c>
      <c r="V763" s="177" t="str">
        <f t="shared" si="58"/>
        <v/>
      </c>
      <c r="W763" s="177" t="str">
        <f t="shared" si="59"/>
        <v/>
      </c>
      <c r="Y763" s="240" t="e">
        <f t="array" ref="Y763">INDEX(Tabela.abordagens[],SMALL(IF(Tabela.abordagens[Mês]=$L$2,ROW(Tabela.abordagens[id])-2),ROW(A716)),1)</f>
        <v>#NUM!</v>
      </c>
      <c r="Z763" s="240" t="e">
        <f t="array" ref="Z763">INDEX(Tabela.abordagens[],SMALL(IF(Tabela.abordagens[Mês]=$L$2,ROW(Tabela.abordagens[Idade])-2),ROW(A716)),6)</f>
        <v>#NUM!</v>
      </c>
      <c r="AA763" s="240" t="e">
        <f t="array" ref="AA763">INDEX(Tabela.abordagens[],SMALL(IF(Tabela.abordagens[Mês]=$L$2,ROW(Tabela.abordagens[Idade])-2),ROW(A716)),4)</f>
        <v>#NUM!</v>
      </c>
      <c r="AB763" s="240" t="e">
        <f t="array" ref="AB763">INDEX(Tabela.abordagens[],SMALL(IF(Tabela.abordagens[Mês]=$L$2,ROW(Tabela.abordagens[Idade])-2),ROW(A716)),5)</f>
        <v>#NUM!</v>
      </c>
    </row>
    <row r="764" spans="2:28" ht="15" x14ac:dyDescent="0.25">
      <c r="B764" s="223" t="e">
        <f t="array" ref="B764">INDEX(Tabela.frequencia[],SMALL(IF(Tabela.frequencia[Mês]=$L$2,ROW(Tabela.frequencia[id])-1),ROW(A717)),1)</f>
        <v>#NUM!</v>
      </c>
      <c r="C764" s="229" t="e">
        <f t="array" ref="C764">INDEX(Tabela.frequencia[],SMALL(IF(Tabela.frequencia[Mês]=$L$2,ROW(Tabela.frequencia[id])-1),ROW(A717)),4)</f>
        <v>#NUM!</v>
      </c>
      <c r="E764" s="176" t="str">
        <f>IFERROR(VLOOKUP(D764,Tabela.cadastro[[ID]:[Nome]],2,0),"")</f>
        <v/>
      </c>
      <c r="F764" s="177" t="str">
        <f>IFERROR(VLOOKUP(D764,Tabela66[#All],2,0),"")</f>
        <v/>
      </c>
      <c r="G764" s="177" t="str">
        <f>IFERROR(VLOOKUP(D764,Tabela.cadastro[[ID]:[CP ou M]],5,0),"")</f>
        <v/>
      </c>
      <c r="H764" s="177" t="str">
        <f>IFERROR(VLOOKUP(D764,Cadastros!A:F,6,0),"")</f>
        <v/>
      </c>
      <c r="I764" s="177" t="str">
        <f>IFERROR(VLOOKUP(D764,Cadastros!A:I,9,0),"")</f>
        <v/>
      </c>
      <c r="J764" s="177" t="str">
        <f>IFERROR(VLOOKUP(D764,Cadastros!A:J,10,0),"")</f>
        <v/>
      </c>
      <c r="K764" s="177" t="str">
        <f>IF(COUNTIF(Tabela66[id],D764)=0,"",COUNTIF(Tabela66[id],D764))</f>
        <v/>
      </c>
      <c r="L764" s="198"/>
      <c r="M764" s="227" t="str">
        <f t="shared" si="60"/>
        <v/>
      </c>
      <c r="P764" s="176" t="str">
        <f>IFERROR(VLOOKUP(O764,Cadastros!A:B,2),"")</f>
        <v/>
      </c>
      <c r="Q764" s="177" t="str">
        <f t="shared" si="56"/>
        <v/>
      </c>
      <c r="R764" s="177" t="str">
        <f>IFERROR(VLOOKUP(O764,Cadastros!A:E,5,0),"")</f>
        <v/>
      </c>
      <c r="S764" s="177" t="str">
        <f>IFERROR(VLOOKUP(O764,Cadastros!A:F,6,0),"")</f>
        <v/>
      </c>
      <c r="T764" s="177" t="str">
        <f>IFERROR(VLOOKUP(O764,Cadastros!A:I,9,0),"")</f>
        <v/>
      </c>
      <c r="U764" s="177" t="str">
        <f t="shared" si="57"/>
        <v/>
      </c>
      <c r="V764" s="177" t="str">
        <f t="shared" si="58"/>
        <v/>
      </c>
      <c r="W764" s="177" t="str">
        <f t="shared" si="59"/>
        <v/>
      </c>
      <c r="Y764" s="240" t="e">
        <f t="array" ref="Y764">INDEX(Tabela.abordagens[],SMALL(IF(Tabela.abordagens[Mês]=$L$2,ROW(Tabela.abordagens[id])-2),ROW(A717)),1)</f>
        <v>#NUM!</v>
      </c>
      <c r="Z764" s="240" t="e">
        <f t="array" ref="Z764">INDEX(Tabela.abordagens[],SMALL(IF(Tabela.abordagens[Mês]=$L$2,ROW(Tabela.abordagens[Idade])-2),ROW(A717)),6)</f>
        <v>#NUM!</v>
      </c>
      <c r="AA764" s="240" t="e">
        <f t="array" ref="AA764">INDEX(Tabela.abordagens[],SMALL(IF(Tabela.abordagens[Mês]=$L$2,ROW(Tabela.abordagens[Idade])-2),ROW(A717)),4)</f>
        <v>#NUM!</v>
      </c>
      <c r="AB764" s="240" t="e">
        <f t="array" ref="AB764">INDEX(Tabela.abordagens[],SMALL(IF(Tabela.abordagens[Mês]=$L$2,ROW(Tabela.abordagens[Idade])-2),ROW(A717)),5)</f>
        <v>#NUM!</v>
      </c>
    </row>
    <row r="765" spans="2:28" ht="15" x14ac:dyDescent="0.25">
      <c r="B765" s="223" t="e">
        <f t="array" ref="B765">INDEX(Tabela.frequencia[],SMALL(IF(Tabela.frequencia[Mês]=$L$2,ROW(Tabela.frequencia[id])-1),ROW(A718)),1)</f>
        <v>#NUM!</v>
      </c>
      <c r="C765" s="229" t="e">
        <f t="array" ref="C765">INDEX(Tabela.frequencia[],SMALL(IF(Tabela.frequencia[Mês]=$L$2,ROW(Tabela.frequencia[id])-1),ROW(A718)),4)</f>
        <v>#NUM!</v>
      </c>
      <c r="E765" s="176" t="str">
        <f>IFERROR(VLOOKUP(D765,Tabela.cadastro[[ID]:[Nome]],2,0),"")</f>
        <v/>
      </c>
      <c r="F765" s="177" t="str">
        <f>IFERROR(VLOOKUP(D765,Tabela66[#All],2,0),"")</f>
        <v/>
      </c>
      <c r="G765" s="177" t="str">
        <f>IFERROR(VLOOKUP(D765,Tabela.cadastro[[ID]:[CP ou M]],5,0),"")</f>
        <v/>
      </c>
      <c r="H765" s="177" t="str">
        <f>IFERROR(VLOOKUP(D765,Cadastros!A:F,6,0),"")</f>
        <v/>
      </c>
      <c r="I765" s="177" t="str">
        <f>IFERROR(VLOOKUP(D765,Cadastros!A:I,9,0),"")</f>
        <v/>
      </c>
      <c r="J765" s="177" t="str">
        <f>IFERROR(VLOOKUP(D765,Cadastros!A:J,10,0),"")</f>
        <v/>
      </c>
      <c r="K765" s="177" t="str">
        <f>IF(COUNTIF(Tabela66[id],D765)=0,"",COUNTIF(Tabela66[id],D765))</f>
        <v/>
      </c>
      <c r="L765" s="198"/>
      <c r="M765" s="227" t="str">
        <f t="shared" si="60"/>
        <v/>
      </c>
      <c r="P765" s="176" t="str">
        <f>IFERROR(VLOOKUP(O765,Cadastros!A:B,2),"")</f>
        <v/>
      </c>
      <c r="Q765" s="177" t="str">
        <f t="shared" si="56"/>
        <v/>
      </c>
      <c r="R765" s="177" t="str">
        <f>IFERROR(VLOOKUP(O765,Cadastros!A:E,5,0),"")</f>
        <v/>
      </c>
      <c r="S765" s="177" t="str">
        <f>IFERROR(VLOOKUP(O765,Cadastros!A:F,6,0),"")</f>
        <v/>
      </c>
      <c r="T765" s="177" t="str">
        <f>IFERROR(VLOOKUP(O765,Cadastros!A:I,9,0),"")</f>
        <v/>
      </c>
      <c r="U765" s="177" t="str">
        <f t="shared" si="57"/>
        <v/>
      </c>
      <c r="V765" s="177" t="str">
        <f t="shared" si="58"/>
        <v/>
      </c>
      <c r="W765" s="177" t="str">
        <f t="shared" si="59"/>
        <v/>
      </c>
      <c r="Y765" s="240" t="e">
        <f t="array" ref="Y765">INDEX(Tabela.abordagens[],SMALL(IF(Tabela.abordagens[Mês]=$L$2,ROW(Tabela.abordagens[id])-2),ROW(A718)),1)</f>
        <v>#NUM!</v>
      </c>
      <c r="Z765" s="240" t="e">
        <f t="array" ref="Z765">INDEX(Tabela.abordagens[],SMALL(IF(Tabela.abordagens[Mês]=$L$2,ROW(Tabela.abordagens[Idade])-2),ROW(A718)),6)</f>
        <v>#NUM!</v>
      </c>
      <c r="AA765" s="240" t="e">
        <f t="array" ref="AA765">INDEX(Tabela.abordagens[],SMALL(IF(Tabela.abordagens[Mês]=$L$2,ROW(Tabela.abordagens[Idade])-2),ROW(A718)),4)</f>
        <v>#NUM!</v>
      </c>
      <c r="AB765" s="240" t="e">
        <f t="array" ref="AB765">INDEX(Tabela.abordagens[],SMALL(IF(Tabela.abordagens[Mês]=$L$2,ROW(Tabela.abordagens[Idade])-2),ROW(A718)),5)</f>
        <v>#NUM!</v>
      </c>
    </row>
    <row r="766" spans="2:28" ht="15" x14ac:dyDescent="0.25">
      <c r="B766" s="223" t="e">
        <f t="array" ref="B766">INDEX(Tabela.frequencia[],SMALL(IF(Tabela.frequencia[Mês]=$L$2,ROW(Tabela.frequencia[id])-1),ROW(A719)),1)</f>
        <v>#NUM!</v>
      </c>
      <c r="C766" s="229" t="e">
        <f t="array" ref="C766">INDEX(Tabela.frequencia[],SMALL(IF(Tabela.frequencia[Mês]=$L$2,ROW(Tabela.frequencia[id])-1),ROW(A719)),4)</f>
        <v>#NUM!</v>
      </c>
      <c r="E766" s="176" t="str">
        <f>IFERROR(VLOOKUP(D766,Tabela.cadastro[[ID]:[Nome]],2,0),"")</f>
        <v/>
      </c>
      <c r="F766" s="177" t="str">
        <f>IFERROR(VLOOKUP(D766,Tabela66[#All],2,0),"")</f>
        <v/>
      </c>
      <c r="G766" s="177" t="str">
        <f>IFERROR(VLOOKUP(D766,Tabela.cadastro[[ID]:[CP ou M]],5,0),"")</f>
        <v/>
      </c>
      <c r="H766" s="177" t="str">
        <f>IFERROR(VLOOKUP(D766,Cadastros!A:F,6,0),"")</f>
        <v/>
      </c>
      <c r="I766" s="177" t="str">
        <f>IFERROR(VLOOKUP(D766,Cadastros!A:I,9,0),"")</f>
        <v/>
      </c>
      <c r="J766" s="177" t="str">
        <f>IFERROR(VLOOKUP(D766,Cadastros!A:J,10,0),"")</f>
        <v/>
      </c>
      <c r="K766" s="177" t="str">
        <f>IF(COUNTIF(Tabela66[id],D766)=0,"",COUNTIF(Tabela66[id],D766))</f>
        <v/>
      </c>
      <c r="L766" s="198"/>
      <c r="M766" s="227" t="str">
        <f t="shared" si="60"/>
        <v/>
      </c>
      <c r="P766" s="176" t="str">
        <f>IFERROR(VLOOKUP(O766,Cadastros!A:B,2),"")</f>
        <v/>
      </c>
      <c r="Q766" s="177" t="str">
        <f t="shared" si="56"/>
        <v/>
      </c>
      <c r="R766" s="177" t="str">
        <f>IFERROR(VLOOKUP(O766,Cadastros!A:E,5,0),"")</f>
        <v/>
      </c>
      <c r="S766" s="177" t="str">
        <f>IFERROR(VLOOKUP(O766,Cadastros!A:F,6,0),"")</f>
        <v/>
      </c>
      <c r="T766" s="177" t="str">
        <f>IFERROR(VLOOKUP(O766,Cadastros!A:I,9,0),"")</f>
        <v/>
      </c>
      <c r="U766" s="177" t="str">
        <f t="shared" si="57"/>
        <v/>
      </c>
      <c r="V766" s="177" t="str">
        <f t="shared" si="58"/>
        <v/>
      </c>
      <c r="W766" s="177" t="str">
        <f t="shared" si="59"/>
        <v/>
      </c>
      <c r="Y766" s="240" t="e">
        <f t="array" ref="Y766">INDEX(Tabela.abordagens[],SMALL(IF(Tabela.abordagens[Mês]=$L$2,ROW(Tabela.abordagens[id])-2),ROW(A719)),1)</f>
        <v>#NUM!</v>
      </c>
      <c r="Z766" s="240" t="e">
        <f t="array" ref="Z766">INDEX(Tabela.abordagens[],SMALL(IF(Tabela.abordagens[Mês]=$L$2,ROW(Tabela.abordagens[Idade])-2),ROW(A719)),6)</f>
        <v>#NUM!</v>
      </c>
      <c r="AA766" s="240" t="e">
        <f t="array" ref="AA766">INDEX(Tabela.abordagens[],SMALL(IF(Tabela.abordagens[Mês]=$L$2,ROW(Tabela.abordagens[Idade])-2),ROW(A719)),4)</f>
        <v>#NUM!</v>
      </c>
      <c r="AB766" s="240" t="e">
        <f t="array" ref="AB766">INDEX(Tabela.abordagens[],SMALL(IF(Tabela.abordagens[Mês]=$L$2,ROW(Tabela.abordagens[Idade])-2),ROW(A719)),5)</f>
        <v>#NUM!</v>
      </c>
    </row>
    <row r="767" spans="2:28" ht="15" x14ac:dyDescent="0.25">
      <c r="B767" s="223" t="e">
        <f t="array" ref="B767">INDEX(Tabela.frequencia[],SMALL(IF(Tabela.frequencia[Mês]=$L$2,ROW(Tabela.frequencia[id])-1),ROW(A720)),1)</f>
        <v>#NUM!</v>
      </c>
      <c r="C767" s="229" t="e">
        <f t="array" ref="C767">INDEX(Tabela.frequencia[],SMALL(IF(Tabela.frequencia[Mês]=$L$2,ROW(Tabela.frequencia[id])-1),ROW(A720)),4)</f>
        <v>#NUM!</v>
      </c>
      <c r="E767" s="176" t="str">
        <f>IFERROR(VLOOKUP(D767,Tabela.cadastro[[ID]:[Nome]],2,0),"")</f>
        <v/>
      </c>
      <c r="F767" s="177" t="str">
        <f>IFERROR(VLOOKUP(D767,Tabela66[#All],2,0),"")</f>
        <v/>
      </c>
      <c r="G767" s="177" t="str">
        <f>IFERROR(VLOOKUP(D767,Tabela.cadastro[[ID]:[CP ou M]],5,0),"")</f>
        <v/>
      </c>
      <c r="H767" s="177" t="str">
        <f>IFERROR(VLOOKUP(D767,Cadastros!A:F,6,0),"")</f>
        <v/>
      </c>
      <c r="I767" s="177" t="str">
        <f>IFERROR(VLOOKUP(D767,Cadastros!A:I,9,0),"")</f>
        <v/>
      </c>
      <c r="J767" s="177" t="str">
        <f>IFERROR(VLOOKUP(D767,Cadastros!A:J,10,0),"")</f>
        <v/>
      </c>
      <c r="K767" s="177" t="str">
        <f>IF(COUNTIF(Tabela66[id],D767)=0,"",COUNTIF(Tabela66[id],D767))</f>
        <v/>
      </c>
      <c r="L767" s="198"/>
      <c r="M767" s="227" t="str">
        <f t="shared" si="60"/>
        <v/>
      </c>
      <c r="P767" s="176" t="str">
        <f>IFERROR(VLOOKUP(O767,Cadastros!A:B,2),"")</f>
        <v/>
      </c>
      <c r="Q767" s="177" t="str">
        <f t="shared" si="56"/>
        <v/>
      </c>
      <c r="R767" s="177" t="str">
        <f>IFERROR(VLOOKUP(O767,Cadastros!A:E,5,0),"")</f>
        <v/>
      </c>
      <c r="S767" s="177" t="str">
        <f>IFERROR(VLOOKUP(O767,Cadastros!A:F,6,0),"")</f>
        <v/>
      </c>
      <c r="T767" s="177" t="str">
        <f>IFERROR(VLOOKUP(O767,Cadastros!A:I,9,0),"")</f>
        <v/>
      </c>
      <c r="U767" s="177" t="str">
        <f t="shared" si="57"/>
        <v/>
      </c>
      <c r="V767" s="177" t="str">
        <f t="shared" si="58"/>
        <v/>
      </c>
      <c r="W767" s="177" t="str">
        <f t="shared" si="59"/>
        <v/>
      </c>
      <c r="Y767" s="240" t="e">
        <f t="array" ref="Y767">INDEX(Tabela.abordagens[],SMALL(IF(Tabela.abordagens[Mês]=$L$2,ROW(Tabela.abordagens[id])-2),ROW(A720)),1)</f>
        <v>#NUM!</v>
      </c>
      <c r="Z767" s="240" t="e">
        <f t="array" ref="Z767">INDEX(Tabela.abordagens[],SMALL(IF(Tabela.abordagens[Mês]=$L$2,ROW(Tabela.abordagens[Idade])-2),ROW(A720)),6)</f>
        <v>#NUM!</v>
      </c>
      <c r="AA767" s="240" t="e">
        <f t="array" ref="AA767">INDEX(Tabela.abordagens[],SMALL(IF(Tabela.abordagens[Mês]=$L$2,ROW(Tabela.abordagens[Idade])-2),ROW(A720)),4)</f>
        <v>#NUM!</v>
      </c>
      <c r="AB767" s="240" t="e">
        <f t="array" ref="AB767">INDEX(Tabela.abordagens[],SMALL(IF(Tabela.abordagens[Mês]=$L$2,ROW(Tabela.abordagens[Idade])-2),ROW(A720)),5)</f>
        <v>#NUM!</v>
      </c>
    </row>
    <row r="768" spans="2:28" ht="15" x14ac:dyDescent="0.25">
      <c r="B768" s="223" t="e">
        <f t="array" ref="B768">INDEX(Tabela.frequencia[],SMALL(IF(Tabela.frequencia[Mês]=$L$2,ROW(Tabela.frequencia[id])-1),ROW(A721)),1)</f>
        <v>#NUM!</v>
      </c>
      <c r="C768" s="229" t="e">
        <f t="array" ref="C768">INDEX(Tabela.frequencia[],SMALL(IF(Tabela.frequencia[Mês]=$L$2,ROW(Tabela.frequencia[id])-1),ROW(A721)),4)</f>
        <v>#NUM!</v>
      </c>
      <c r="E768" s="176" t="str">
        <f>IFERROR(VLOOKUP(D768,Tabela.cadastro[[ID]:[Nome]],2,0),"")</f>
        <v/>
      </c>
      <c r="F768" s="177" t="str">
        <f>IFERROR(VLOOKUP(D768,Tabela66[#All],2,0),"")</f>
        <v/>
      </c>
      <c r="G768" s="177" t="str">
        <f>IFERROR(VLOOKUP(D768,Tabela.cadastro[[ID]:[CP ou M]],5,0),"")</f>
        <v/>
      </c>
      <c r="H768" s="177" t="str">
        <f>IFERROR(VLOOKUP(D768,Cadastros!A:F,6,0),"")</f>
        <v/>
      </c>
      <c r="I768" s="177" t="str">
        <f>IFERROR(VLOOKUP(D768,Cadastros!A:I,9,0),"")</f>
        <v/>
      </c>
      <c r="J768" s="177" t="str">
        <f>IFERROR(VLOOKUP(D768,Cadastros!A:J,10,0),"")</f>
        <v/>
      </c>
      <c r="K768" s="177" t="str">
        <f>IF(COUNTIF(Tabela66[id],D768)=0,"",COUNTIF(Tabela66[id],D768))</f>
        <v/>
      </c>
      <c r="L768" s="198"/>
      <c r="M768" s="227" t="str">
        <f t="shared" si="60"/>
        <v/>
      </c>
      <c r="P768" s="176" t="str">
        <f>IFERROR(VLOOKUP(O768,Cadastros!A:B,2),"")</f>
        <v/>
      </c>
      <c r="Q768" s="177" t="str">
        <f t="shared" si="56"/>
        <v/>
      </c>
      <c r="R768" s="177" t="str">
        <f>IFERROR(VLOOKUP(O768,Cadastros!A:E,5,0),"")</f>
        <v/>
      </c>
      <c r="S768" s="177" t="str">
        <f>IFERROR(VLOOKUP(O768,Cadastros!A:F,6,0),"")</f>
        <v/>
      </c>
      <c r="T768" s="177" t="str">
        <f>IFERROR(VLOOKUP(O768,Cadastros!A:I,9,0),"")</f>
        <v/>
      </c>
      <c r="U768" s="177" t="str">
        <f t="shared" si="57"/>
        <v/>
      </c>
      <c r="V768" s="177" t="str">
        <f t="shared" si="58"/>
        <v/>
      </c>
      <c r="W768" s="177" t="str">
        <f t="shared" si="59"/>
        <v/>
      </c>
      <c r="Y768" s="240" t="e">
        <f t="array" ref="Y768">INDEX(Tabela.abordagens[],SMALL(IF(Tabela.abordagens[Mês]=$L$2,ROW(Tabela.abordagens[id])-2),ROW(A721)),1)</f>
        <v>#NUM!</v>
      </c>
      <c r="Z768" s="240" t="e">
        <f t="array" ref="Z768">INDEX(Tabela.abordagens[],SMALL(IF(Tabela.abordagens[Mês]=$L$2,ROW(Tabela.abordagens[Idade])-2),ROW(A721)),6)</f>
        <v>#NUM!</v>
      </c>
      <c r="AA768" s="240" t="e">
        <f t="array" ref="AA768">INDEX(Tabela.abordagens[],SMALL(IF(Tabela.abordagens[Mês]=$L$2,ROW(Tabela.abordagens[Idade])-2),ROW(A721)),4)</f>
        <v>#NUM!</v>
      </c>
      <c r="AB768" s="240" t="e">
        <f t="array" ref="AB768">INDEX(Tabela.abordagens[],SMALL(IF(Tabela.abordagens[Mês]=$L$2,ROW(Tabela.abordagens[Idade])-2),ROW(A721)),5)</f>
        <v>#NUM!</v>
      </c>
    </row>
    <row r="769" spans="2:28" ht="15" x14ac:dyDescent="0.25">
      <c r="B769" s="223" t="e">
        <f t="array" ref="B769">INDEX(Tabela.frequencia[],SMALL(IF(Tabela.frequencia[Mês]=$L$2,ROW(Tabela.frequencia[id])-1),ROW(A722)),1)</f>
        <v>#NUM!</v>
      </c>
      <c r="C769" s="229" t="e">
        <f t="array" ref="C769">INDEX(Tabela.frequencia[],SMALL(IF(Tabela.frequencia[Mês]=$L$2,ROW(Tabela.frequencia[id])-1),ROW(A722)),4)</f>
        <v>#NUM!</v>
      </c>
      <c r="E769" s="176" t="str">
        <f>IFERROR(VLOOKUP(D769,Tabela.cadastro[[ID]:[Nome]],2,0),"")</f>
        <v/>
      </c>
      <c r="F769" s="177" t="str">
        <f>IFERROR(VLOOKUP(D769,Tabela66[#All],2,0),"")</f>
        <v/>
      </c>
      <c r="G769" s="177" t="str">
        <f>IFERROR(VLOOKUP(D769,Tabela.cadastro[[ID]:[CP ou M]],5,0),"")</f>
        <v/>
      </c>
      <c r="H769" s="177" t="str">
        <f>IFERROR(VLOOKUP(D769,Cadastros!A:F,6,0),"")</f>
        <v/>
      </c>
      <c r="I769" s="177" t="str">
        <f>IFERROR(VLOOKUP(D769,Cadastros!A:I,9,0),"")</f>
        <v/>
      </c>
      <c r="J769" s="177" t="str">
        <f>IFERROR(VLOOKUP(D769,Cadastros!A:J,10,0),"")</f>
        <v/>
      </c>
      <c r="K769" s="177" t="str">
        <f>IF(COUNTIF(Tabela66[id],D769)=0,"",COUNTIF(Tabela66[id],D769))</f>
        <v/>
      </c>
      <c r="L769" s="198"/>
      <c r="M769" s="227" t="str">
        <f t="shared" si="60"/>
        <v/>
      </c>
      <c r="P769" s="176" t="str">
        <f>IFERROR(VLOOKUP(O769,Cadastros!A:B,2),"")</f>
        <v/>
      </c>
      <c r="Q769" s="177" t="str">
        <f t="shared" si="56"/>
        <v/>
      </c>
      <c r="R769" s="177" t="str">
        <f>IFERROR(VLOOKUP(O769,Cadastros!A:E,5,0),"")</f>
        <v/>
      </c>
      <c r="S769" s="177" t="str">
        <f>IFERROR(VLOOKUP(O769,Cadastros!A:F,6,0),"")</f>
        <v/>
      </c>
      <c r="T769" s="177" t="str">
        <f>IFERROR(VLOOKUP(O769,Cadastros!A:I,9,0),"")</f>
        <v/>
      </c>
      <c r="U769" s="177" t="str">
        <f t="shared" si="57"/>
        <v/>
      </c>
      <c r="V769" s="177" t="str">
        <f t="shared" si="58"/>
        <v/>
      </c>
      <c r="W769" s="177" t="str">
        <f t="shared" si="59"/>
        <v/>
      </c>
      <c r="Y769" s="240" t="e">
        <f t="array" ref="Y769">INDEX(Tabela.abordagens[],SMALL(IF(Tabela.abordagens[Mês]=$L$2,ROW(Tabela.abordagens[id])-2),ROW(A722)),1)</f>
        <v>#NUM!</v>
      </c>
      <c r="Z769" s="240" t="e">
        <f t="array" ref="Z769">INDEX(Tabela.abordagens[],SMALL(IF(Tabela.abordagens[Mês]=$L$2,ROW(Tabela.abordagens[Idade])-2),ROW(A722)),6)</f>
        <v>#NUM!</v>
      </c>
      <c r="AA769" s="240" t="e">
        <f t="array" ref="AA769">INDEX(Tabela.abordagens[],SMALL(IF(Tabela.abordagens[Mês]=$L$2,ROW(Tabela.abordagens[Idade])-2),ROW(A722)),4)</f>
        <v>#NUM!</v>
      </c>
      <c r="AB769" s="240" t="e">
        <f t="array" ref="AB769">INDEX(Tabela.abordagens[],SMALL(IF(Tabela.abordagens[Mês]=$L$2,ROW(Tabela.abordagens[Idade])-2),ROW(A722)),5)</f>
        <v>#NUM!</v>
      </c>
    </row>
    <row r="770" spans="2:28" ht="15" x14ac:dyDescent="0.25">
      <c r="B770" s="223" t="e">
        <f t="array" ref="B770">INDEX(Tabela.frequencia[],SMALL(IF(Tabela.frequencia[Mês]=$L$2,ROW(Tabela.frequencia[id])-1),ROW(A723)),1)</f>
        <v>#NUM!</v>
      </c>
      <c r="C770" s="229" t="e">
        <f t="array" ref="C770">INDEX(Tabela.frequencia[],SMALL(IF(Tabela.frequencia[Mês]=$L$2,ROW(Tabela.frequencia[id])-1),ROW(A723)),4)</f>
        <v>#NUM!</v>
      </c>
      <c r="E770" s="176" t="str">
        <f>IFERROR(VLOOKUP(D770,Tabela.cadastro[[ID]:[Nome]],2,0),"")</f>
        <v/>
      </c>
      <c r="F770" s="177" t="str">
        <f>IFERROR(VLOOKUP(D770,Tabela66[#All],2,0),"")</f>
        <v/>
      </c>
      <c r="G770" s="177" t="str">
        <f>IFERROR(VLOOKUP(D770,Tabela.cadastro[[ID]:[CP ou M]],5,0),"")</f>
        <v/>
      </c>
      <c r="H770" s="177" t="str">
        <f>IFERROR(VLOOKUP(D770,Cadastros!A:F,6,0),"")</f>
        <v/>
      </c>
      <c r="I770" s="177" t="str">
        <f>IFERROR(VLOOKUP(D770,Cadastros!A:I,9,0),"")</f>
        <v/>
      </c>
      <c r="J770" s="177" t="str">
        <f>IFERROR(VLOOKUP(D770,Cadastros!A:J,10,0),"")</f>
        <v/>
      </c>
      <c r="K770" s="177" t="str">
        <f>IF(COUNTIF(Tabela66[id],D770)=0,"",COUNTIF(Tabela66[id],D770))</f>
        <v/>
      </c>
      <c r="L770" s="198"/>
      <c r="M770" s="227" t="str">
        <f t="shared" si="60"/>
        <v/>
      </c>
      <c r="P770" s="176" t="str">
        <f>IFERROR(VLOOKUP(O770,Cadastros!A:B,2),"")</f>
        <v/>
      </c>
      <c r="Q770" s="177" t="str">
        <f t="shared" si="56"/>
        <v/>
      </c>
      <c r="R770" s="177" t="str">
        <f>IFERROR(VLOOKUP(O770,Cadastros!A:E,5,0),"")</f>
        <v/>
      </c>
      <c r="S770" s="177" t="str">
        <f>IFERROR(VLOOKUP(O770,Cadastros!A:F,6,0),"")</f>
        <v/>
      </c>
      <c r="T770" s="177" t="str">
        <f>IFERROR(VLOOKUP(O770,Cadastros!A:I,9,0),"")</f>
        <v/>
      </c>
      <c r="U770" s="177" t="str">
        <f t="shared" si="57"/>
        <v/>
      </c>
      <c r="V770" s="177" t="str">
        <f t="shared" si="58"/>
        <v/>
      </c>
      <c r="W770" s="177" t="str">
        <f t="shared" si="59"/>
        <v/>
      </c>
      <c r="Y770" s="240" t="e">
        <f t="array" ref="Y770">INDEX(Tabela.abordagens[],SMALL(IF(Tabela.abordagens[Mês]=$L$2,ROW(Tabela.abordagens[id])-2),ROW(A723)),1)</f>
        <v>#NUM!</v>
      </c>
      <c r="Z770" s="240" t="e">
        <f t="array" ref="Z770">INDEX(Tabela.abordagens[],SMALL(IF(Tabela.abordagens[Mês]=$L$2,ROW(Tabela.abordagens[Idade])-2),ROW(A723)),6)</f>
        <v>#NUM!</v>
      </c>
      <c r="AA770" s="240" t="e">
        <f t="array" ref="AA770">INDEX(Tabela.abordagens[],SMALL(IF(Tabela.abordagens[Mês]=$L$2,ROW(Tabela.abordagens[Idade])-2),ROW(A723)),4)</f>
        <v>#NUM!</v>
      </c>
      <c r="AB770" s="240" t="e">
        <f t="array" ref="AB770">INDEX(Tabela.abordagens[],SMALL(IF(Tabela.abordagens[Mês]=$L$2,ROW(Tabela.abordagens[Idade])-2),ROW(A723)),5)</f>
        <v>#NUM!</v>
      </c>
    </row>
    <row r="771" spans="2:28" ht="15" x14ac:dyDescent="0.25">
      <c r="B771" s="223" t="e">
        <f t="array" ref="B771">INDEX(Tabela.frequencia[],SMALL(IF(Tabela.frequencia[Mês]=$L$2,ROW(Tabela.frequencia[id])-1),ROW(A724)),1)</f>
        <v>#NUM!</v>
      </c>
      <c r="C771" s="229" t="e">
        <f t="array" ref="C771">INDEX(Tabela.frequencia[],SMALL(IF(Tabela.frequencia[Mês]=$L$2,ROW(Tabela.frequencia[id])-1),ROW(A724)),4)</f>
        <v>#NUM!</v>
      </c>
      <c r="E771" s="176" t="str">
        <f>IFERROR(VLOOKUP(D771,Tabela.cadastro[[ID]:[Nome]],2,0),"")</f>
        <v/>
      </c>
      <c r="F771" s="177" t="str">
        <f>IFERROR(VLOOKUP(D771,Tabela66[#All],2,0),"")</f>
        <v/>
      </c>
      <c r="G771" s="177" t="str">
        <f>IFERROR(VLOOKUP(D771,Tabela.cadastro[[ID]:[CP ou M]],5,0),"")</f>
        <v/>
      </c>
      <c r="H771" s="177" t="str">
        <f>IFERROR(VLOOKUP(D771,Cadastros!A:F,6,0),"")</f>
        <v/>
      </c>
      <c r="I771" s="177" t="str">
        <f>IFERROR(VLOOKUP(D771,Cadastros!A:I,9,0),"")</f>
        <v/>
      </c>
      <c r="J771" s="177" t="str">
        <f>IFERROR(VLOOKUP(D771,Cadastros!A:J,10,0),"")</f>
        <v/>
      </c>
      <c r="K771" s="177" t="str">
        <f>IF(COUNTIF(Tabela66[id],D771)=0,"",COUNTIF(Tabela66[id],D771))</f>
        <v/>
      </c>
      <c r="L771" s="198"/>
      <c r="M771" s="227" t="str">
        <f t="shared" si="60"/>
        <v/>
      </c>
      <c r="P771" s="176" t="str">
        <f>IFERROR(VLOOKUP(O771,Cadastros!A:B,2),"")</f>
        <v/>
      </c>
      <c r="Q771" s="177" t="str">
        <f t="shared" si="56"/>
        <v/>
      </c>
      <c r="R771" s="177" t="str">
        <f>IFERROR(VLOOKUP(O771,Cadastros!A:E,5,0),"")</f>
        <v/>
      </c>
      <c r="S771" s="177" t="str">
        <f>IFERROR(VLOOKUP(O771,Cadastros!A:F,6,0),"")</f>
        <v/>
      </c>
      <c r="T771" s="177" t="str">
        <f>IFERROR(VLOOKUP(O771,Cadastros!A:I,9,0),"")</f>
        <v/>
      </c>
      <c r="U771" s="177" t="str">
        <f t="shared" si="57"/>
        <v/>
      </c>
      <c r="V771" s="177" t="str">
        <f t="shared" si="58"/>
        <v/>
      </c>
      <c r="W771" s="177" t="str">
        <f t="shared" si="59"/>
        <v/>
      </c>
      <c r="Y771" s="240" t="e">
        <f t="array" ref="Y771">INDEX(Tabela.abordagens[],SMALL(IF(Tabela.abordagens[Mês]=$L$2,ROW(Tabela.abordagens[id])-2),ROW(A724)),1)</f>
        <v>#NUM!</v>
      </c>
      <c r="Z771" s="240" t="e">
        <f t="array" ref="Z771">INDEX(Tabela.abordagens[],SMALL(IF(Tabela.abordagens[Mês]=$L$2,ROW(Tabela.abordagens[Idade])-2),ROW(A724)),6)</f>
        <v>#NUM!</v>
      </c>
      <c r="AA771" s="240" t="e">
        <f t="array" ref="AA771">INDEX(Tabela.abordagens[],SMALL(IF(Tabela.abordagens[Mês]=$L$2,ROW(Tabela.abordagens[Idade])-2),ROW(A724)),4)</f>
        <v>#NUM!</v>
      </c>
      <c r="AB771" s="240" t="e">
        <f t="array" ref="AB771">INDEX(Tabela.abordagens[],SMALL(IF(Tabela.abordagens[Mês]=$L$2,ROW(Tabela.abordagens[Idade])-2),ROW(A724)),5)</f>
        <v>#NUM!</v>
      </c>
    </row>
    <row r="772" spans="2:28" ht="15" x14ac:dyDescent="0.25">
      <c r="B772" s="223" t="e">
        <f t="array" ref="B772">INDEX(Tabela.frequencia[],SMALL(IF(Tabela.frequencia[Mês]=$L$2,ROW(Tabela.frequencia[id])-1),ROW(A725)),1)</f>
        <v>#NUM!</v>
      </c>
      <c r="C772" s="229" t="e">
        <f t="array" ref="C772">INDEX(Tabela.frequencia[],SMALL(IF(Tabela.frequencia[Mês]=$L$2,ROW(Tabela.frequencia[id])-1),ROW(A725)),4)</f>
        <v>#NUM!</v>
      </c>
      <c r="E772" s="176" t="str">
        <f>IFERROR(VLOOKUP(D772,Tabela.cadastro[[ID]:[Nome]],2,0),"")</f>
        <v/>
      </c>
      <c r="F772" s="177" t="str">
        <f>IFERROR(VLOOKUP(D772,Tabela66[#All],2,0),"")</f>
        <v/>
      </c>
      <c r="G772" s="177" t="str">
        <f>IFERROR(VLOOKUP(D772,Tabela.cadastro[[ID]:[CP ou M]],5,0),"")</f>
        <v/>
      </c>
      <c r="H772" s="177" t="str">
        <f>IFERROR(VLOOKUP(D772,Cadastros!A:F,6,0),"")</f>
        <v/>
      </c>
      <c r="I772" s="177" t="str">
        <f>IFERROR(VLOOKUP(D772,Cadastros!A:I,9,0),"")</f>
        <v/>
      </c>
      <c r="J772" s="177" t="str">
        <f>IFERROR(VLOOKUP(D772,Cadastros!A:J,10,0),"")</f>
        <v/>
      </c>
      <c r="K772" s="177" t="str">
        <f>IF(COUNTIF(Tabela66[id],D772)=0,"",COUNTIF(Tabela66[id],D772))</f>
        <v/>
      </c>
      <c r="L772" s="198"/>
      <c r="M772" s="227" t="str">
        <f t="shared" si="60"/>
        <v/>
      </c>
      <c r="P772" s="176" t="str">
        <f>IFERROR(VLOOKUP(O772,Cadastros!A:B,2),"")</f>
        <v/>
      </c>
      <c r="Q772" s="177" t="str">
        <f t="shared" si="56"/>
        <v/>
      </c>
      <c r="R772" s="177" t="str">
        <f>IFERROR(VLOOKUP(O772,Cadastros!A:E,5,0),"")</f>
        <v/>
      </c>
      <c r="S772" s="177" t="str">
        <f>IFERROR(VLOOKUP(O772,Cadastros!A:F,6,0),"")</f>
        <v/>
      </c>
      <c r="T772" s="177" t="str">
        <f>IFERROR(VLOOKUP(O772,Cadastros!A:I,9,0),"")</f>
        <v/>
      </c>
      <c r="U772" s="177" t="str">
        <f t="shared" si="57"/>
        <v/>
      </c>
      <c r="V772" s="177" t="str">
        <f t="shared" si="58"/>
        <v/>
      </c>
      <c r="W772" s="177" t="str">
        <f t="shared" si="59"/>
        <v/>
      </c>
      <c r="Y772" s="240" t="e">
        <f t="array" ref="Y772">INDEX(Tabela.abordagens[],SMALL(IF(Tabela.abordagens[Mês]=$L$2,ROW(Tabela.abordagens[id])-2),ROW(A725)),1)</f>
        <v>#NUM!</v>
      </c>
      <c r="Z772" s="240" t="e">
        <f t="array" ref="Z772">INDEX(Tabela.abordagens[],SMALL(IF(Tabela.abordagens[Mês]=$L$2,ROW(Tabela.abordagens[Idade])-2),ROW(A725)),6)</f>
        <v>#NUM!</v>
      </c>
      <c r="AA772" s="240" t="e">
        <f t="array" ref="AA772">INDEX(Tabela.abordagens[],SMALL(IF(Tabela.abordagens[Mês]=$L$2,ROW(Tabela.abordagens[Idade])-2),ROW(A725)),4)</f>
        <v>#NUM!</v>
      </c>
      <c r="AB772" s="240" t="e">
        <f t="array" ref="AB772">INDEX(Tabela.abordagens[],SMALL(IF(Tabela.abordagens[Mês]=$L$2,ROW(Tabela.abordagens[Idade])-2),ROW(A725)),5)</f>
        <v>#NUM!</v>
      </c>
    </row>
    <row r="773" spans="2:28" ht="15" x14ac:dyDescent="0.25">
      <c r="B773" s="223" t="e">
        <f t="array" ref="B773">INDEX(Tabela.frequencia[],SMALL(IF(Tabela.frequencia[Mês]=$L$2,ROW(Tabela.frequencia[id])-1),ROW(A726)),1)</f>
        <v>#NUM!</v>
      </c>
      <c r="C773" s="229" t="e">
        <f t="array" ref="C773">INDEX(Tabela.frequencia[],SMALL(IF(Tabela.frequencia[Mês]=$L$2,ROW(Tabela.frequencia[id])-1),ROW(A726)),4)</f>
        <v>#NUM!</v>
      </c>
      <c r="E773" s="176" t="str">
        <f>IFERROR(VLOOKUP(D773,Tabela.cadastro[[ID]:[Nome]],2,0),"")</f>
        <v/>
      </c>
      <c r="F773" s="177" t="str">
        <f>IFERROR(VLOOKUP(D773,Tabela66[#All],2,0),"")</f>
        <v/>
      </c>
      <c r="G773" s="177" t="str">
        <f>IFERROR(VLOOKUP(D773,Tabela.cadastro[[ID]:[CP ou M]],5,0),"")</f>
        <v/>
      </c>
      <c r="H773" s="177" t="str">
        <f>IFERROR(VLOOKUP(D773,Cadastros!A:F,6,0),"")</f>
        <v/>
      </c>
      <c r="I773" s="177" t="str">
        <f>IFERROR(VLOOKUP(D773,Cadastros!A:I,9,0),"")</f>
        <v/>
      </c>
      <c r="J773" s="177" t="str">
        <f>IFERROR(VLOOKUP(D773,Cadastros!A:J,10,0),"")</f>
        <v/>
      </c>
      <c r="K773" s="177" t="str">
        <f>IF(COUNTIF(Tabela66[id],D773)=0,"",COUNTIF(Tabela66[id],D773))</f>
        <v/>
      </c>
      <c r="L773" s="198"/>
      <c r="M773" s="227" t="str">
        <f t="shared" si="60"/>
        <v/>
      </c>
      <c r="P773" s="176" t="str">
        <f>IFERROR(VLOOKUP(O773,Cadastros!A:B,2),"")</f>
        <v/>
      </c>
      <c r="Q773" s="177" t="str">
        <f t="shared" si="56"/>
        <v/>
      </c>
      <c r="R773" s="177" t="str">
        <f>IFERROR(VLOOKUP(O773,Cadastros!A:E,5,0),"")</f>
        <v/>
      </c>
      <c r="S773" s="177" t="str">
        <f>IFERROR(VLOOKUP(O773,Cadastros!A:F,6,0),"")</f>
        <v/>
      </c>
      <c r="T773" s="177" t="str">
        <f>IFERROR(VLOOKUP(O773,Cadastros!A:I,9,0),"")</f>
        <v/>
      </c>
      <c r="U773" s="177" t="str">
        <f t="shared" si="57"/>
        <v/>
      </c>
      <c r="V773" s="177" t="str">
        <f t="shared" si="58"/>
        <v/>
      </c>
      <c r="W773" s="177" t="str">
        <f t="shared" si="59"/>
        <v/>
      </c>
      <c r="Y773" s="240" t="e">
        <f t="array" ref="Y773">INDEX(Tabela.abordagens[],SMALL(IF(Tabela.abordagens[Mês]=$L$2,ROW(Tabela.abordagens[id])-2),ROW(A726)),1)</f>
        <v>#NUM!</v>
      </c>
      <c r="Z773" s="240" t="e">
        <f t="array" ref="Z773">INDEX(Tabela.abordagens[],SMALL(IF(Tabela.abordagens[Mês]=$L$2,ROW(Tabela.abordagens[Idade])-2),ROW(A726)),6)</f>
        <v>#NUM!</v>
      </c>
      <c r="AA773" s="240" t="e">
        <f t="array" ref="AA773">INDEX(Tabela.abordagens[],SMALL(IF(Tabela.abordagens[Mês]=$L$2,ROW(Tabela.abordagens[Idade])-2),ROW(A726)),4)</f>
        <v>#NUM!</v>
      </c>
      <c r="AB773" s="240" t="e">
        <f t="array" ref="AB773">INDEX(Tabela.abordagens[],SMALL(IF(Tabela.abordagens[Mês]=$L$2,ROW(Tabela.abordagens[Idade])-2),ROW(A726)),5)</f>
        <v>#NUM!</v>
      </c>
    </row>
    <row r="774" spans="2:28" ht="15" x14ac:dyDescent="0.25">
      <c r="B774" s="223" t="e">
        <f t="array" ref="B774">INDEX(Tabela.frequencia[],SMALL(IF(Tabela.frequencia[Mês]=$L$2,ROW(Tabela.frequencia[id])-1),ROW(A727)),1)</f>
        <v>#NUM!</v>
      </c>
      <c r="C774" s="229" t="e">
        <f t="array" ref="C774">INDEX(Tabela.frequencia[],SMALL(IF(Tabela.frequencia[Mês]=$L$2,ROW(Tabela.frequencia[id])-1),ROW(A727)),4)</f>
        <v>#NUM!</v>
      </c>
      <c r="E774" s="176" t="str">
        <f>IFERROR(VLOOKUP(D774,Tabela.cadastro[[ID]:[Nome]],2,0),"")</f>
        <v/>
      </c>
      <c r="F774" s="177" t="str">
        <f>IFERROR(VLOOKUP(D774,Tabela66[#All],2,0),"")</f>
        <v/>
      </c>
      <c r="G774" s="177" t="str">
        <f>IFERROR(VLOOKUP(D774,Tabela.cadastro[[ID]:[CP ou M]],5,0),"")</f>
        <v/>
      </c>
      <c r="H774" s="177" t="str">
        <f>IFERROR(VLOOKUP(D774,Cadastros!A:F,6,0),"")</f>
        <v/>
      </c>
      <c r="I774" s="177" t="str">
        <f>IFERROR(VLOOKUP(D774,Cadastros!A:I,9,0),"")</f>
        <v/>
      </c>
      <c r="J774" s="177" t="str">
        <f>IFERROR(VLOOKUP(D774,Cadastros!A:J,10,0),"")</f>
        <v/>
      </c>
      <c r="K774" s="177" t="str">
        <f>IF(COUNTIF(Tabela66[id],D774)=0,"",COUNTIF(Tabela66[id],D774))</f>
        <v/>
      </c>
      <c r="L774" s="198"/>
      <c r="M774" s="227" t="str">
        <f t="shared" si="60"/>
        <v/>
      </c>
      <c r="P774" s="176" t="str">
        <f>IFERROR(VLOOKUP(O774,Cadastros!A:B,2),"")</f>
        <v/>
      </c>
      <c r="Q774" s="177" t="str">
        <f t="shared" si="56"/>
        <v/>
      </c>
      <c r="R774" s="177" t="str">
        <f>IFERROR(VLOOKUP(O774,Cadastros!A:E,5,0),"")</f>
        <v/>
      </c>
      <c r="S774" s="177" t="str">
        <f>IFERROR(VLOOKUP(O774,Cadastros!A:F,6,0),"")</f>
        <v/>
      </c>
      <c r="T774" s="177" t="str">
        <f>IFERROR(VLOOKUP(O774,Cadastros!A:I,9,0),"")</f>
        <v/>
      </c>
      <c r="U774" s="177" t="str">
        <f t="shared" si="57"/>
        <v/>
      </c>
      <c r="V774" s="177" t="str">
        <f t="shared" si="58"/>
        <v/>
      </c>
      <c r="W774" s="177" t="str">
        <f t="shared" si="59"/>
        <v/>
      </c>
      <c r="Y774" s="240" t="e">
        <f t="array" ref="Y774">INDEX(Tabela.abordagens[],SMALL(IF(Tabela.abordagens[Mês]=$L$2,ROW(Tabela.abordagens[id])-2),ROW(A727)),1)</f>
        <v>#NUM!</v>
      </c>
      <c r="Z774" s="240" t="e">
        <f t="array" ref="Z774">INDEX(Tabela.abordagens[],SMALL(IF(Tabela.abordagens[Mês]=$L$2,ROW(Tabela.abordagens[Idade])-2),ROW(A727)),6)</f>
        <v>#NUM!</v>
      </c>
      <c r="AA774" s="240" t="e">
        <f t="array" ref="AA774">INDEX(Tabela.abordagens[],SMALL(IF(Tabela.abordagens[Mês]=$L$2,ROW(Tabela.abordagens[Idade])-2),ROW(A727)),4)</f>
        <v>#NUM!</v>
      </c>
      <c r="AB774" s="240" t="e">
        <f t="array" ref="AB774">INDEX(Tabela.abordagens[],SMALL(IF(Tabela.abordagens[Mês]=$L$2,ROW(Tabela.abordagens[Idade])-2),ROW(A727)),5)</f>
        <v>#NUM!</v>
      </c>
    </row>
    <row r="775" spans="2:28" ht="15" x14ac:dyDescent="0.25">
      <c r="B775" s="223" t="e">
        <f t="array" ref="B775">INDEX(Tabela.frequencia[],SMALL(IF(Tabela.frequencia[Mês]=$L$2,ROW(Tabela.frequencia[id])-1),ROW(A728)),1)</f>
        <v>#NUM!</v>
      </c>
      <c r="C775" s="229" t="e">
        <f t="array" ref="C775">INDEX(Tabela.frequencia[],SMALL(IF(Tabela.frequencia[Mês]=$L$2,ROW(Tabela.frequencia[id])-1),ROW(A728)),4)</f>
        <v>#NUM!</v>
      </c>
      <c r="E775" s="176" t="str">
        <f>IFERROR(VLOOKUP(D775,Tabela.cadastro[[ID]:[Nome]],2,0),"")</f>
        <v/>
      </c>
      <c r="F775" s="177" t="str">
        <f>IFERROR(VLOOKUP(D775,Tabela66[#All],2,0),"")</f>
        <v/>
      </c>
      <c r="G775" s="177" t="str">
        <f>IFERROR(VLOOKUP(D775,Tabela.cadastro[[ID]:[CP ou M]],5,0),"")</f>
        <v/>
      </c>
      <c r="H775" s="177" t="str">
        <f>IFERROR(VLOOKUP(D775,Cadastros!A:F,6,0),"")</f>
        <v/>
      </c>
      <c r="I775" s="177" t="str">
        <f>IFERROR(VLOOKUP(D775,Cadastros!A:I,9,0),"")</f>
        <v/>
      </c>
      <c r="J775" s="177" t="str">
        <f>IFERROR(VLOOKUP(D775,Cadastros!A:J,10,0),"")</f>
        <v/>
      </c>
      <c r="K775" s="177" t="str">
        <f>IF(COUNTIF(Tabela66[id],D775)=0,"",COUNTIF(Tabela66[id],D775))</f>
        <v/>
      </c>
      <c r="L775" s="198"/>
      <c r="M775" s="227" t="str">
        <f t="shared" si="60"/>
        <v/>
      </c>
      <c r="P775" s="176" t="str">
        <f>IFERROR(VLOOKUP(O775,Cadastros!A:B,2),"")</f>
        <v/>
      </c>
      <c r="Q775" s="177" t="str">
        <f t="shared" si="56"/>
        <v/>
      </c>
      <c r="R775" s="177" t="str">
        <f>IFERROR(VLOOKUP(O775,Cadastros!A:E,5,0),"")</f>
        <v/>
      </c>
      <c r="S775" s="177" t="str">
        <f>IFERROR(VLOOKUP(O775,Cadastros!A:F,6,0),"")</f>
        <v/>
      </c>
      <c r="T775" s="177" t="str">
        <f>IFERROR(VLOOKUP(O775,Cadastros!A:I,9,0),"")</f>
        <v/>
      </c>
      <c r="U775" s="177" t="str">
        <f t="shared" si="57"/>
        <v/>
      </c>
      <c r="V775" s="177" t="str">
        <f t="shared" si="58"/>
        <v/>
      </c>
      <c r="W775" s="177" t="str">
        <f t="shared" si="59"/>
        <v/>
      </c>
      <c r="Y775" s="240" t="e">
        <f t="array" ref="Y775">INDEX(Tabela.abordagens[],SMALL(IF(Tabela.abordagens[Mês]=$L$2,ROW(Tabela.abordagens[id])-2),ROW(A728)),1)</f>
        <v>#NUM!</v>
      </c>
      <c r="Z775" s="240" t="e">
        <f t="array" ref="Z775">INDEX(Tabela.abordagens[],SMALL(IF(Tabela.abordagens[Mês]=$L$2,ROW(Tabela.abordagens[Idade])-2),ROW(A728)),6)</f>
        <v>#NUM!</v>
      </c>
      <c r="AA775" s="240" t="e">
        <f t="array" ref="AA775">INDEX(Tabela.abordagens[],SMALL(IF(Tabela.abordagens[Mês]=$L$2,ROW(Tabela.abordagens[Idade])-2),ROW(A728)),4)</f>
        <v>#NUM!</v>
      </c>
      <c r="AB775" s="240" t="e">
        <f t="array" ref="AB775">INDEX(Tabela.abordagens[],SMALL(IF(Tabela.abordagens[Mês]=$L$2,ROW(Tabela.abordagens[Idade])-2),ROW(A728)),5)</f>
        <v>#NUM!</v>
      </c>
    </row>
    <row r="776" spans="2:28" ht="15" x14ac:dyDescent="0.25">
      <c r="B776" s="223" t="e">
        <f t="array" ref="B776">INDEX(Tabela.frequencia[],SMALL(IF(Tabela.frequencia[Mês]=$L$2,ROW(Tabela.frequencia[id])-1),ROW(A729)),1)</f>
        <v>#NUM!</v>
      </c>
      <c r="C776" s="229" t="e">
        <f t="array" ref="C776">INDEX(Tabela.frequencia[],SMALL(IF(Tabela.frequencia[Mês]=$L$2,ROW(Tabela.frequencia[id])-1),ROW(A729)),4)</f>
        <v>#NUM!</v>
      </c>
      <c r="E776" s="176" t="str">
        <f>IFERROR(VLOOKUP(D776,Tabela.cadastro[[ID]:[Nome]],2,0),"")</f>
        <v/>
      </c>
      <c r="F776" s="177" t="str">
        <f>IFERROR(VLOOKUP(D776,Tabela66[#All],2,0),"")</f>
        <v/>
      </c>
      <c r="G776" s="177" t="str">
        <f>IFERROR(VLOOKUP(D776,Tabela.cadastro[[ID]:[CP ou M]],5,0),"")</f>
        <v/>
      </c>
      <c r="H776" s="177" t="str">
        <f>IFERROR(VLOOKUP(D776,Cadastros!A:F,6,0),"")</f>
        <v/>
      </c>
      <c r="I776" s="177" t="str">
        <f>IFERROR(VLOOKUP(D776,Cadastros!A:I,9,0),"")</f>
        <v/>
      </c>
      <c r="J776" s="177" t="str">
        <f>IFERROR(VLOOKUP(D776,Cadastros!A:J,10,0),"")</f>
        <v/>
      </c>
      <c r="K776" s="177" t="str">
        <f>IF(COUNTIF(Tabela66[id],D776)=0,"",COUNTIF(Tabela66[id],D776))</f>
        <v/>
      </c>
      <c r="L776" s="198"/>
      <c r="M776" s="227" t="str">
        <f t="shared" si="60"/>
        <v/>
      </c>
      <c r="P776" s="176" t="str">
        <f>IFERROR(VLOOKUP(O776,Cadastros!A:B,2),"")</f>
        <v/>
      </c>
      <c r="Q776" s="177" t="str">
        <f t="shared" si="56"/>
        <v/>
      </c>
      <c r="R776" s="177" t="str">
        <f>IFERROR(VLOOKUP(O776,Cadastros!A:E,5,0),"")</f>
        <v/>
      </c>
      <c r="S776" s="177" t="str">
        <f>IFERROR(VLOOKUP(O776,Cadastros!A:F,6,0),"")</f>
        <v/>
      </c>
      <c r="T776" s="177" t="str">
        <f>IFERROR(VLOOKUP(O776,Cadastros!A:I,9,0),"")</f>
        <v/>
      </c>
      <c r="U776" s="177" t="str">
        <f t="shared" si="57"/>
        <v/>
      </c>
      <c r="V776" s="177" t="str">
        <f t="shared" si="58"/>
        <v/>
      </c>
      <c r="W776" s="177" t="str">
        <f t="shared" si="59"/>
        <v/>
      </c>
      <c r="Y776" s="240" t="e">
        <f t="array" ref="Y776">INDEX(Tabela.abordagens[],SMALL(IF(Tabela.abordagens[Mês]=$L$2,ROW(Tabela.abordagens[id])-2),ROW(A729)),1)</f>
        <v>#NUM!</v>
      </c>
      <c r="Z776" s="240" t="e">
        <f t="array" ref="Z776">INDEX(Tabela.abordagens[],SMALL(IF(Tabela.abordagens[Mês]=$L$2,ROW(Tabela.abordagens[Idade])-2),ROW(A729)),6)</f>
        <v>#NUM!</v>
      </c>
      <c r="AA776" s="240" t="e">
        <f t="array" ref="AA776">INDEX(Tabela.abordagens[],SMALL(IF(Tabela.abordagens[Mês]=$L$2,ROW(Tabela.abordagens[Idade])-2),ROW(A729)),4)</f>
        <v>#NUM!</v>
      </c>
      <c r="AB776" s="240" t="e">
        <f t="array" ref="AB776">INDEX(Tabela.abordagens[],SMALL(IF(Tabela.abordagens[Mês]=$L$2,ROW(Tabela.abordagens[Idade])-2),ROW(A729)),5)</f>
        <v>#NUM!</v>
      </c>
    </row>
    <row r="777" spans="2:28" ht="15" x14ac:dyDescent="0.25">
      <c r="B777" s="223" t="e">
        <f t="array" ref="B777">INDEX(Tabela.frequencia[],SMALL(IF(Tabela.frequencia[Mês]=$L$2,ROW(Tabela.frequencia[id])-1),ROW(A730)),1)</f>
        <v>#NUM!</v>
      </c>
      <c r="C777" s="229" t="e">
        <f t="array" ref="C777">INDEX(Tabela.frequencia[],SMALL(IF(Tabela.frequencia[Mês]=$L$2,ROW(Tabela.frequencia[id])-1),ROW(A730)),4)</f>
        <v>#NUM!</v>
      </c>
      <c r="E777" s="176" t="str">
        <f>IFERROR(VLOOKUP(D777,Tabela.cadastro[[ID]:[Nome]],2,0),"")</f>
        <v/>
      </c>
      <c r="F777" s="177" t="str">
        <f>IFERROR(VLOOKUP(D777,Tabela66[#All],2,0),"")</f>
        <v/>
      </c>
      <c r="G777" s="177" t="str">
        <f>IFERROR(VLOOKUP(D777,Tabela.cadastro[[ID]:[CP ou M]],5,0),"")</f>
        <v/>
      </c>
      <c r="H777" s="177" t="str">
        <f>IFERROR(VLOOKUP(D777,Cadastros!A:F,6,0),"")</f>
        <v/>
      </c>
      <c r="I777" s="177" t="str">
        <f>IFERROR(VLOOKUP(D777,Cadastros!A:I,9,0),"")</f>
        <v/>
      </c>
      <c r="J777" s="177" t="str">
        <f>IFERROR(VLOOKUP(D777,Cadastros!A:J,10,0),"")</f>
        <v/>
      </c>
      <c r="K777" s="177" t="str">
        <f>IF(COUNTIF(Tabela66[id],D777)=0,"",COUNTIF(Tabela66[id],D777))</f>
        <v/>
      </c>
      <c r="L777" s="198"/>
      <c r="M777" s="227" t="str">
        <f t="shared" si="60"/>
        <v/>
      </c>
      <c r="P777" s="176" t="str">
        <f>IFERROR(VLOOKUP(O777,Cadastros!A:B,2),"")</f>
        <v/>
      </c>
      <c r="Q777" s="177" t="str">
        <f t="shared" si="56"/>
        <v/>
      </c>
      <c r="R777" s="177" t="str">
        <f>IFERROR(VLOOKUP(O777,Cadastros!A:E,5,0),"")</f>
        <v/>
      </c>
      <c r="S777" s="177" t="str">
        <f>IFERROR(VLOOKUP(O777,Cadastros!A:F,6,0),"")</f>
        <v/>
      </c>
      <c r="T777" s="177" t="str">
        <f>IFERROR(VLOOKUP(O777,Cadastros!A:I,9,0),"")</f>
        <v/>
      </c>
      <c r="U777" s="177" t="str">
        <f t="shared" si="57"/>
        <v/>
      </c>
      <c r="V777" s="177" t="str">
        <f t="shared" si="58"/>
        <v/>
      </c>
      <c r="W777" s="177" t="str">
        <f t="shared" si="59"/>
        <v/>
      </c>
      <c r="Y777" s="240" t="e">
        <f t="array" ref="Y777">INDEX(Tabela.abordagens[],SMALL(IF(Tabela.abordagens[Mês]=$L$2,ROW(Tabela.abordagens[id])-2),ROW(A730)),1)</f>
        <v>#NUM!</v>
      </c>
      <c r="Z777" s="240" t="e">
        <f t="array" ref="Z777">INDEX(Tabela.abordagens[],SMALL(IF(Tabela.abordagens[Mês]=$L$2,ROW(Tabela.abordagens[Idade])-2),ROW(A730)),6)</f>
        <v>#NUM!</v>
      </c>
      <c r="AA777" s="240" t="e">
        <f t="array" ref="AA777">INDEX(Tabela.abordagens[],SMALL(IF(Tabela.abordagens[Mês]=$L$2,ROW(Tabela.abordagens[Idade])-2),ROW(A730)),4)</f>
        <v>#NUM!</v>
      </c>
      <c r="AB777" s="240" t="e">
        <f t="array" ref="AB777">INDEX(Tabela.abordagens[],SMALL(IF(Tabela.abordagens[Mês]=$L$2,ROW(Tabela.abordagens[Idade])-2),ROW(A730)),5)</f>
        <v>#NUM!</v>
      </c>
    </row>
    <row r="778" spans="2:28" ht="15" x14ac:dyDescent="0.25">
      <c r="B778" s="223" t="e">
        <f t="array" ref="B778">INDEX(Tabela.frequencia[],SMALL(IF(Tabela.frequencia[Mês]=$L$2,ROW(Tabela.frequencia[id])-1),ROW(A731)),1)</f>
        <v>#NUM!</v>
      </c>
      <c r="C778" s="229" t="e">
        <f t="array" ref="C778">INDEX(Tabela.frequencia[],SMALL(IF(Tabela.frequencia[Mês]=$L$2,ROW(Tabela.frequencia[id])-1),ROW(A731)),4)</f>
        <v>#NUM!</v>
      </c>
      <c r="E778" s="176" t="str">
        <f>IFERROR(VLOOKUP(D778,Tabela.cadastro[[ID]:[Nome]],2,0),"")</f>
        <v/>
      </c>
      <c r="F778" s="177" t="str">
        <f>IFERROR(VLOOKUP(D778,Tabela66[#All],2,0),"")</f>
        <v/>
      </c>
      <c r="G778" s="177" t="str">
        <f>IFERROR(VLOOKUP(D778,Tabela.cadastro[[ID]:[CP ou M]],5,0),"")</f>
        <v/>
      </c>
      <c r="H778" s="177" t="str">
        <f>IFERROR(VLOOKUP(D778,Cadastros!A:F,6,0),"")</f>
        <v/>
      </c>
      <c r="I778" s="177" t="str">
        <f>IFERROR(VLOOKUP(D778,Cadastros!A:I,9,0),"")</f>
        <v/>
      </c>
      <c r="J778" s="177" t="str">
        <f>IFERROR(VLOOKUP(D778,Cadastros!A:J,10,0),"")</f>
        <v/>
      </c>
      <c r="K778" s="177" t="str">
        <f>IF(COUNTIF(Tabela66[id],D778)=0,"",COUNTIF(Tabela66[id],D778))</f>
        <v/>
      </c>
      <c r="L778" s="198"/>
      <c r="M778" s="227" t="str">
        <f t="shared" si="60"/>
        <v/>
      </c>
      <c r="P778" s="176" t="str">
        <f>IFERROR(VLOOKUP(O778,Cadastros!A:B,2),"")</f>
        <v/>
      </c>
      <c r="Q778" s="177" t="str">
        <f t="shared" si="56"/>
        <v/>
      </c>
      <c r="R778" s="177" t="str">
        <f>IFERROR(VLOOKUP(O778,Cadastros!A:E,5,0),"")</f>
        <v/>
      </c>
      <c r="S778" s="177" t="str">
        <f>IFERROR(VLOOKUP(O778,Cadastros!A:F,6,0),"")</f>
        <v/>
      </c>
      <c r="T778" s="177" t="str">
        <f>IFERROR(VLOOKUP(O778,Cadastros!A:I,9,0),"")</f>
        <v/>
      </c>
      <c r="U778" s="177" t="str">
        <f t="shared" si="57"/>
        <v/>
      </c>
      <c r="V778" s="177" t="str">
        <f t="shared" si="58"/>
        <v/>
      </c>
      <c r="W778" s="177" t="str">
        <f t="shared" si="59"/>
        <v/>
      </c>
      <c r="Y778" s="240" t="e">
        <f t="array" ref="Y778">INDEX(Tabela.abordagens[],SMALL(IF(Tabela.abordagens[Mês]=$L$2,ROW(Tabela.abordagens[id])-2),ROW(A731)),1)</f>
        <v>#NUM!</v>
      </c>
      <c r="Z778" s="240" t="e">
        <f t="array" ref="Z778">INDEX(Tabela.abordagens[],SMALL(IF(Tabela.abordagens[Mês]=$L$2,ROW(Tabela.abordagens[Idade])-2),ROW(A731)),6)</f>
        <v>#NUM!</v>
      </c>
      <c r="AA778" s="240" t="e">
        <f t="array" ref="AA778">INDEX(Tabela.abordagens[],SMALL(IF(Tabela.abordagens[Mês]=$L$2,ROW(Tabela.abordagens[Idade])-2),ROW(A731)),4)</f>
        <v>#NUM!</v>
      </c>
      <c r="AB778" s="240" t="e">
        <f t="array" ref="AB778">INDEX(Tabela.abordagens[],SMALL(IF(Tabela.abordagens[Mês]=$L$2,ROW(Tabela.abordagens[Idade])-2),ROW(A731)),5)</f>
        <v>#NUM!</v>
      </c>
    </row>
    <row r="779" spans="2:28" ht="15" x14ac:dyDescent="0.25">
      <c r="B779" s="223" t="e">
        <f t="array" ref="B779">INDEX(Tabela.frequencia[],SMALL(IF(Tabela.frequencia[Mês]=$L$2,ROW(Tabela.frequencia[id])-1),ROW(A732)),1)</f>
        <v>#NUM!</v>
      </c>
      <c r="C779" s="229" t="e">
        <f t="array" ref="C779">INDEX(Tabela.frequencia[],SMALL(IF(Tabela.frequencia[Mês]=$L$2,ROW(Tabela.frequencia[id])-1),ROW(A732)),4)</f>
        <v>#NUM!</v>
      </c>
      <c r="E779" s="176" t="str">
        <f>IFERROR(VLOOKUP(D779,Tabela.cadastro[[ID]:[Nome]],2,0),"")</f>
        <v/>
      </c>
      <c r="F779" s="177" t="str">
        <f>IFERROR(VLOOKUP(D779,Tabela66[#All],2,0),"")</f>
        <v/>
      </c>
      <c r="G779" s="177" t="str">
        <f>IFERROR(VLOOKUP(D779,Tabela.cadastro[[ID]:[CP ou M]],5,0),"")</f>
        <v/>
      </c>
      <c r="H779" s="177" t="str">
        <f>IFERROR(VLOOKUP(D779,Cadastros!A:F,6,0),"")</f>
        <v/>
      </c>
      <c r="I779" s="177" t="str">
        <f>IFERROR(VLOOKUP(D779,Cadastros!A:I,9,0),"")</f>
        <v/>
      </c>
      <c r="J779" s="177" t="str">
        <f>IFERROR(VLOOKUP(D779,Cadastros!A:J,10,0),"")</f>
        <v/>
      </c>
      <c r="K779" s="177" t="str">
        <f>IF(COUNTIF(Tabela66[id],D779)=0,"",COUNTIF(Tabela66[id],D779))</f>
        <v/>
      </c>
      <c r="L779" s="198"/>
      <c r="M779" s="227" t="str">
        <f t="shared" si="60"/>
        <v/>
      </c>
      <c r="P779" s="176" t="str">
        <f>IFERROR(VLOOKUP(O779,Cadastros!A:B,2),"")</f>
        <v/>
      </c>
      <c r="Q779" s="177" t="str">
        <f t="shared" si="56"/>
        <v/>
      </c>
      <c r="R779" s="177" t="str">
        <f>IFERROR(VLOOKUP(O779,Cadastros!A:E,5,0),"")</f>
        <v/>
      </c>
      <c r="S779" s="177" t="str">
        <f>IFERROR(VLOOKUP(O779,Cadastros!A:F,6,0),"")</f>
        <v/>
      </c>
      <c r="T779" s="177" t="str">
        <f>IFERROR(VLOOKUP(O779,Cadastros!A:I,9,0),"")</f>
        <v/>
      </c>
      <c r="U779" s="177" t="str">
        <f t="shared" si="57"/>
        <v/>
      </c>
      <c r="V779" s="177" t="str">
        <f t="shared" si="58"/>
        <v/>
      </c>
      <c r="W779" s="177" t="str">
        <f t="shared" si="59"/>
        <v/>
      </c>
      <c r="Y779" s="240" t="e">
        <f t="array" ref="Y779">INDEX(Tabela.abordagens[],SMALL(IF(Tabela.abordagens[Mês]=$L$2,ROW(Tabela.abordagens[id])-2),ROW(A732)),1)</f>
        <v>#NUM!</v>
      </c>
      <c r="Z779" s="240" t="e">
        <f t="array" ref="Z779">INDEX(Tabela.abordagens[],SMALL(IF(Tabela.abordagens[Mês]=$L$2,ROW(Tabela.abordagens[Idade])-2),ROW(A732)),6)</f>
        <v>#NUM!</v>
      </c>
      <c r="AA779" s="240" t="e">
        <f t="array" ref="AA779">INDEX(Tabela.abordagens[],SMALL(IF(Tabela.abordagens[Mês]=$L$2,ROW(Tabela.abordagens[Idade])-2),ROW(A732)),4)</f>
        <v>#NUM!</v>
      </c>
      <c r="AB779" s="240" t="e">
        <f t="array" ref="AB779">INDEX(Tabela.abordagens[],SMALL(IF(Tabela.abordagens[Mês]=$L$2,ROW(Tabela.abordagens[Idade])-2),ROW(A732)),5)</f>
        <v>#NUM!</v>
      </c>
    </row>
    <row r="780" spans="2:28" ht="15" x14ac:dyDescent="0.25">
      <c r="B780" s="223" t="e">
        <f t="array" ref="B780">INDEX(Tabela.frequencia[],SMALL(IF(Tabela.frequencia[Mês]=$L$2,ROW(Tabela.frequencia[id])-1),ROW(A733)),1)</f>
        <v>#NUM!</v>
      </c>
      <c r="C780" s="229" t="e">
        <f t="array" ref="C780">INDEX(Tabela.frequencia[],SMALL(IF(Tabela.frequencia[Mês]=$L$2,ROW(Tabela.frequencia[id])-1),ROW(A733)),4)</f>
        <v>#NUM!</v>
      </c>
      <c r="E780" s="176" t="str">
        <f>IFERROR(VLOOKUP(D780,Tabela.cadastro[[ID]:[Nome]],2,0),"")</f>
        <v/>
      </c>
      <c r="F780" s="177" t="str">
        <f>IFERROR(VLOOKUP(D780,Tabela66[#All],2,0),"")</f>
        <v/>
      </c>
      <c r="G780" s="177" t="str">
        <f>IFERROR(VLOOKUP(D780,Tabela.cadastro[[ID]:[CP ou M]],5,0),"")</f>
        <v/>
      </c>
      <c r="H780" s="177" t="str">
        <f>IFERROR(VLOOKUP(D780,Cadastros!A:F,6,0),"")</f>
        <v/>
      </c>
      <c r="I780" s="177" t="str">
        <f>IFERROR(VLOOKUP(D780,Cadastros!A:I,9,0),"")</f>
        <v/>
      </c>
      <c r="J780" s="177" t="str">
        <f>IFERROR(VLOOKUP(D780,Cadastros!A:J,10,0),"")</f>
        <v/>
      </c>
      <c r="K780" s="177" t="str">
        <f>IF(COUNTIF(Tabela66[id],D780)=0,"",COUNTIF(Tabela66[id],D780))</f>
        <v/>
      </c>
      <c r="L780" s="198"/>
      <c r="M780" s="227" t="str">
        <f t="shared" si="60"/>
        <v/>
      </c>
      <c r="P780" s="176" t="str">
        <f>IFERROR(VLOOKUP(O780,Cadastros!A:B,2),"")</f>
        <v/>
      </c>
      <c r="Q780" s="177" t="str">
        <f t="shared" si="56"/>
        <v/>
      </c>
      <c r="R780" s="177" t="str">
        <f>IFERROR(VLOOKUP(O780,Cadastros!A:E,5,0),"")</f>
        <v/>
      </c>
      <c r="S780" s="177" t="str">
        <f>IFERROR(VLOOKUP(O780,Cadastros!A:F,6,0),"")</f>
        <v/>
      </c>
      <c r="T780" s="177" t="str">
        <f>IFERROR(VLOOKUP(O780,Cadastros!A:I,9,0),"")</f>
        <v/>
      </c>
      <c r="U780" s="177" t="str">
        <f t="shared" si="57"/>
        <v/>
      </c>
      <c r="V780" s="177" t="str">
        <f t="shared" si="58"/>
        <v/>
      </c>
      <c r="W780" s="177" t="str">
        <f t="shared" si="59"/>
        <v/>
      </c>
      <c r="Y780" s="240" t="e">
        <f t="array" ref="Y780">INDEX(Tabela.abordagens[],SMALL(IF(Tabela.abordagens[Mês]=$L$2,ROW(Tabela.abordagens[id])-2),ROW(A733)),1)</f>
        <v>#NUM!</v>
      </c>
      <c r="Z780" s="240" t="e">
        <f t="array" ref="Z780">INDEX(Tabela.abordagens[],SMALL(IF(Tabela.abordagens[Mês]=$L$2,ROW(Tabela.abordagens[Idade])-2),ROW(A733)),6)</f>
        <v>#NUM!</v>
      </c>
      <c r="AA780" s="240" t="e">
        <f t="array" ref="AA780">INDEX(Tabela.abordagens[],SMALL(IF(Tabela.abordagens[Mês]=$L$2,ROW(Tabela.abordagens[Idade])-2),ROW(A733)),4)</f>
        <v>#NUM!</v>
      </c>
      <c r="AB780" s="240" t="e">
        <f t="array" ref="AB780">INDEX(Tabela.abordagens[],SMALL(IF(Tabela.abordagens[Mês]=$L$2,ROW(Tabela.abordagens[Idade])-2),ROW(A733)),5)</f>
        <v>#NUM!</v>
      </c>
    </row>
    <row r="781" spans="2:28" ht="15" x14ac:dyDescent="0.25">
      <c r="B781" s="223" t="e">
        <f t="array" ref="B781">INDEX(Tabela.frequencia[],SMALL(IF(Tabela.frequencia[Mês]=$L$2,ROW(Tabela.frequencia[id])-1),ROW(A734)),1)</f>
        <v>#NUM!</v>
      </c>
      <c r="C781" s="229" t="e">
        <f t="array" ref="C781">INDEX(Tabela.frequencia[],SMALL(IF(Tabela.frequencia[Mês]=$L$2,ROW(Tabela.frequencia[id])-1),ROW(A734)),4)</f>
        <v>#NUM!</v>
      </c>
      <c r="E781" s="176" t="str">
        <f>IFERROR(VLOOKUP(D781,Tabela.cadastro[[ID]:[Nome]],2,0),"")</f>
        <v/>
      </c>
      <c r="F781" s="177" t="str">
        <f>IFERROR(VLOOKUP(D781,Tabela66[#All],2,0),"")</f>
        <v/>
      </c>
      <c r="G781" s="177" t="str">
        <f>IFERROR(VLOOKUP(D781,Tabela.cadastro[[ID]:[CP ou M]],5,0),"")</f>
        <v/>
      </c>
      <c r="H781" s="177" t="str">
        <f>IFERROR(VLOOKUP(D781,Cadastros!A:F,6,0),"")</f>
        <v/>
      </c>
      <c r="I781" s="177" t="str">
        <f>IFERROR(VLOOKUP(D781,Cadastros!A:I,9,0),"")</f>
        <v/>
      </c>
      <c r="J781" s="177" t="str">
        <f>IFERROR(VLOOKUP(D781,Cadastros!A:J,10,0),"")</f>
        <v/>
      </c>
      <c r="K781" s="177" t="str">
        <f>IF(COUNTIF(Tabela66[id],D781)=0,"",COUNTIF(Tabela66[id],D781))</f>
        <v/>
      </c>
      <c r="L781" s="198"/>
      <c r="M781" s="227" t="str">
        <f t="shared" si="60"/>
        <v/>
      </c>
      <c r="P781" s="176" t="str">
        <f>IFERROR(VLOOKUP(O781,Cadastros!A:B,2),"")</f>
        <v/>
      </c>
      <c r="Q781" s="177" t="str">
        <f t="shared" si="56"/>
        <v/>
      </c>
      <c r="R781" s="177" t="str">
        <f>IFERROR(VLOOKUP(O781,Cadastros!A:E,5,0),"")</f>
        <v/>
      </c>
      <c r="S781" s="177" t="str">
        <f>IFERROR(VLOOKUP(O781,Cadastros!A:F,6,0),"")</f>
        <v/>
      </c>
      <c r="T781" s="177" t="str">
        <f>IFERROR(VLOOKUP(O781,Cadastros!A:I,9,0),"")</f>
        <v/>
      </c>
      <c r="U781" s="177" t="str">
        <f t="shared" si="57"/>
        <v/>
      </c>
      <c r="V781" s="177" t="str">
        <f t="shared" si="58"/>
        <v/>
      </c>
      <c r="W781" s="177" t="str">
        <f t="shared" si="59"/>
        <v/>
      </c>
      <c r="Y781" s="240" t="e">
        <f t="array" ref="Y781">INDEX(Tabela.abordagens[],SMALL(IF(Tabela.abordagens[Mês]=$L$2,ROW(Tabela.abordagens[id])-2),ROW(A734)),1)</f>
        <v>#NUM!</v>
      </c>
      <c r="Z781" s="240" t="e">
        <f t="array" ref="Z781">INDEX(Tabela.abordagens[],SMALL(IF(Tabela.abordagens[Mês]=$L$2,ROW(Tabela.abordagens[Idade])-2),ROW(A734)),6)</f>
        <v>#NUM!</v>
      </c>
      <c r="AA781" s="240" t="e">
        <f t="array" ref="AA781">INDEX(Tabela.abordagens[],SMALL(IF(Tabela.abordagens[Mês]=$L$2,ROW(Tabela.abordagens[Idade])-2),ROW(A734)),4)</f>
        <v>#NUM!</v>
      </c>
      <c r="AB781" s="240" t="e">
        <f t="array" ref="AB781">INDEX(Tabela.abordagens[],SMALL(IF(Tabela.abordagens[Mês]=$L$2,ROW(Tabela.abordagens[Idade])-2),ROW(A734)),5)</f>
        <v>#NUM!</v>
      </c>
    </row>
    <row r="782" spans="2:28" ht="15" x14ac:dyDescent="0.25">
      <c r="B782" s="223" t="e">
        <f t="array" ref="B782">INDEX(Tabela.frequencia[],SMALL(IF(Tabela.frequencia[Mês]=$L$2,ROW(Tabela.frequencia[id])-1),ROW(A735)),1)</f>
        <v>#NUM!</v>
      </c>
      <c r="C782" s="229" t="e">
        <f t="array" ref="C782">INDEX(Tabela.frequencia[],SMALL(IF(Tabela.frequencia[Mês]=$L$2,ROW(Tabela.frequencia[id])-1),ROW(A735)),4)</f>
        <v>#NUM!</v>
      </c>
      <c r="E782" s="176" t="str">
        <f>IFERROR(VLOOKUP(D782,Tabela.cadastro[[ID]:[Nome]],2,0),"")</f>
        <v/>
      </c>
      <c r="F782" s="177" t="str">
        <f>IFERROR(VLOOKUP(D782,Tabela66[#All],2,0),"")</f>
        <v/>
      </c>
      <c r="G782" s="177" t="str">
        <f>IFERROR(VLOOKUP(D782,Tabela.cadastro[[ID]:[CP ou M]],5,0),"")</f>
        <v/>
      </c>
      <c r="H782" s="177" t="str">
        <f>IFERROR(VLOOKUP(D782,Cadastros!A:F,6,0),"")</f>
        <v/>
      </c>
      <c r="I782" s="177" t="str">
        <f>IFERROR(VLOOKUP(D782,Cadastros!A:I,9,0),"")</f>
        <v/>
      </c>
      <c r="J782" s="177" t="str">
        <f>IFERROR(VLOOKUP(D782,Cadastros!A:J,10,0),"")</f>
        <v/>
      </c>
      <c r="K782" s="177" t="str">
        <f>IF(COUNTIF(Tabela66[id],D782)=0,"",COUNTIF(Tabela66[id],D782))</f>
        <v/>
      </c>
      <c r="L782" s="198"/>
      <c r="M782" s="227" t="str">
        <f t="shared" si="60"/>
        <v/>
      </c>
      <c r="P782" s="176" t="str">
        <f>IFERROR(VLOOKUP(O782,Cadastros!A:B,2),"")</f>
        <v/>
      </c>
      <c r="Q782" s="177" t="str">
        <f t="shared" si="56"/>
        <v/>
      </c>
      <c r="R782" s="177" t="str">
        <f>IFERROR(VLOOKUP(O782,Cadastros!A:E,5,0),"")</f>
        <v/>
      </c>
      <c r="S782" s="177" t="str">
        <f>IFERROR(VLOOKUP(O782,Cadastros!A:F,6,0),"")</f>
        <v/>
      </c>
      <c r="T782" s="177" t="str">
        <f>IFERROR(VLOOKUP(O782,Cadastros!A:I,9,0),"")</f>
        <v/>
      </c>
      <c r="U782" s="177" t="str">
        <f t="shared" si="57"/>
        <v/>
      </c>
      <c r="V782" s="177" t="str">
        <f t="shared" si="58"/>
        <v/>
      </c>
      <c r="W782" s="177" t="str">
        <f t="shared" si="59"/>
        <v/>
      </c>
      <c r="Y782" s="240" t="e">
        <f t="array" ref="Y782">INDEX(Tabela.abordagens[],SMALL(IF(Tabela.abordagens[Mês]=$L$2,ROW(Tabela.abordagens[id])-2),ROW(A735)),1)</f>
        <v>#NUM!</v>
      </c>
      <c r="Z782" s="240" t="e">
        <f t="array" ref="Z782">INDEX(Tabela.abordagens[],SMALL(IF(Tabela.abordagens[Mês]=$L$2,ROW(Tabela.abordagens[Idade])-2),ROW(A735)),6)</f>
        <v>#NUM!</v>
      </c>
      <c r="AA782" s="240" t="e">
        <f t="array" ref="AA782">INDEX(Tabela.abordagens[],SMALL(IF(Tabela.abordagens[Mês]=$L$2,ROW(Tabela.abordagens[Idade])-2),ROW(A735)),4)</f>
        <v>#NUM!</v>
      </c>
      <c r="AB782" s="240" t="e">
        <f t="array" ref="AB782">INDEX(Tabela.abordagens[],SMALL(IF(Tabela.abordagens[Mês]=$L$2,ROW(Tabela.abordagens[Idade])-2),ROW(A735)),5)</f>
        <v>#NUM!</v>
      </c>
    </row>
    <row r="783" spans="2:28" ht="15" x14ac:dyDescent="0.25">
      <c r="B783" s="223" t="e">
        <f t="array" ref="B783">INDEX(Tabela.frequencia[],SMALL(IF(Tabela.frequencia[Mês]=$L$2,ROW(Tabela.frequencia[id])-1),ROW(A736)),1)</f>
        <v>#NUM!</v>
      </c>
      <c r="C783" s="229" t="e">
        <f t="array" ref="C783">INDEX(Tabela.frequencia[],SMALL(IF(Tabela.frequencia[Mês]=$L$2,ROW(Tabela.frequencia[id])-1),ROW(A736)),4)</f>
        <v>#NUM!</v>
      </c>
      <c r="E783" s="176" t="str">
        <f>IFERROR(VLOOKUP(D783,Tabela.cadastro[[ID]:[Nome]],2,0),"")</f>
        <v/>
      </c>
      <c r="F783" s="177" t="str">
        <f>IFERROR(VLOOKUP(D783,Tabela66[#All],2,0),"")</f>
        <v/>
      </c>
      <c r="G783" s="177" t="str">
        <f>IFERROR(VLOOKUP(D783,Tabela.cadastro[[ID]:[CP ou M]],5,0),"")</f>
        <v/>
      </c>
      <c r="H783" s="177" t="str">
        <f>IFERROR(VLOOKUP(D783,Cadastros!A:F,6,0),"")</f>
        <v/>
      </c>
      <c r="I783" s="177" t="str">
        <f>IFERROR(VLOOKUP(D783,Cadastros!A:I,9,0),"")</f>
        <v/>
      </c>
      <c r="J783" s="177" t="str">
        <f>IFERROR(VLOOKUP(D783,Cadastros!A:J,10,0),"")</f>
        <v/>
      </c>
      <c r="K783" s="177" t="str">
        <f>IF(COUNTIF(Tabela66[id],D783)=0,"",COUNTIF(Tabela66[id],D783))</f>
        <v/>
      </c>
      <c r="L783" s="198"/>
      <c r="M783" s="227" t="str">
        <f t="shared" si="60"/>
        <v/>
      </c>
      <c r="P783" s="176" t="str">
        <f>IFERROR(VLOOKUP(O783,Cadastros!A:B,2),"")</f>
        <v/>
      </c>
      <c r="Q783" s="177" t="str">
        <f t="shared" si="56"/>
        <v/>
      </c>
      <c r="R783" s="177" t="str">
        <f>IFERROR(VLOOKUP(O783,Cadastros!A:E,5,0),"")</f>
        <v/>
      </c>
      <c r="S783" s="177" t="str">
        <f>IFERROR(VLOOKUP(O783,Cadastros!A:F,6,0),"")</f>
        <v/>
      </c>
      <c r="T783" s="177" t="str">
        <f>IFERROR(VLOOKUP(O783,Cadastros!A:I,9,0),"")</f>
        <v/>
      </c>
      <c r="U783" s="177" t="str">
        <f t="shared" si="57"/>
        <v/>
      </c>
      <c r="V783" s="177" t="str">
        <f t="shared" si="58"/>
        <v/>
      </c>
      <c r="W783" s="177" t="str">
        <f t="shared" si="59"/>
        <v/>
      </c>
      <c r="Y783" s="240" t="e">
        <f t="array" ref="Y783">INDEX(Tabela.abordagens[],SMALL(IF(Tabela.abordagens[Mês]=$L$2,ROW(Tabela.abordagens[id])-2),ROW(A736)),1)</f>
        <v>#NUM!</v>
      </c>
      <c r="Z783" s="240" t="e">
        <f t="array" ref="Z783">INDEX(Tabela.abordagens[],SMALL(IF(Tabela.abordagens[Mês]=$L$2,ROW(Tabela.abordagens[Idade])-2),ROW(A736)),6)</f>
        <v>#NUM!</v>
      </c>
      <c r="AA783" s="240" t="e">
        <f t="array" ref="AA783">INDEX(Tabela.abordagens[],SMALL(IF(Tabela.abordagens[Mês]=$L$2,ROW(Tabela.abordagens[Idade])-2),ROW(A736)),4)</f>
        <v>#NUM!</v>
      </c>
      <c r="AB783" s="240" t="e">
        <f t="array" ref="AB783">INDEX(Tabela.abordagens[],SMALL(IF(Tabela.abordagens[Mês]=$L$2,ROW(Tabela.abordagens[Idade])-2),ROW(A736)),5)</f>
        <v>#NUM!</v>
      </c>
    </row>
    <row r="784" spans="2:28" ht="15" x14ac:dyDescent="0.25">
      <c r="B784" s="223" t="e">
        <f t="array" ref="B784">INDEX(Tabela.frequencia[],SMALL(IF(Tabela.frequencia[Mês]=$L$2,ROW(Tabela.frequencia[id])-1),ROW(A737)),1)</f>
        <v>#NUM!</v>
      </c>
      <c r="C784" s="229" t="e">
        <f t="array" ref="C784">INDEX(Tabela.frequencia[],SMALL(IF(Tabela.frequencia[Mês]=$L$2,ROW(Tabela.frequencia[id])-1),ROW(A737)),4)</f>
        <v>#NUM!</v>
      </c>
      <c r="E784" s="176" t="str">
        <f>IFERROR(VLOOKUP(D784,Tabela.cadastro[[ID]:[Nome]],2,0),"")</f>
        <v/>
      </c>
      <c r="F784" s="177" t="str">
        <f>IFERROR(VLOOKUP(D784,Tabela66[#All],2,0),"")</f>
        <v/>
      </c>
      <c r="G784" s="177" t="str">
        <f>IFERROR(VLOOKUP(D784,Tabela.cadastro[[ID]:[CP ou M]],5,0),"")</f>
        <v/>
      </c>
      <c r="H784" s="177" t="str">
        <f>IFERROR(VLOOKUP(D784,Cadastros!A:F,6,0),"")</f>
        <v/>
      </c>
      <c r="I784" s="177" t="str">
        <f>IFERROR(VLOOKUP(D784,Cadastros!A:I,9,0),"")</f>
        <v/>
      </c>
      <c r="J784" s="177" t="str">
        <f>IFERROR(VLOOKUP(D784,Cadastros!A:J,10,0),"")</f>
        <v/>
      </c>
      <c r="K784" s="177" t="str">
        <f>IF(COUNTIF(Tabela66[id],D784)=0,"",COUNTIF(Tabela66[id],D784))</f>
        <v/>
      </c>
      <c r="L784" s="198"/>
      <c r="M784" s="227" t="str">
        <f t="shared" si="60"/>
        <v/>
      </c>
      <c r="P784" s="176" t="str">
        <f>IFERROR(VLOOKUP(O784,Cadastros!A:B,2),"")</f>
        <v/>
      </c>
      <c r="Q784" s="177" t="str">
        <f t="shared" si="56"/>
        <v/>
      </c>
      <c r="R784" s="177" t="str">
        <f>IFERROR(VLOOKUP(O784,Cadastros!A:E,5,0),"")</f>
        <v/>
      </c>
      <c r="S784" s="177" t="str">
        <f>IFERROR(VLOOKUP(O784,Cadastros!A:F,6,0),"")</f>
        <v/>
      </c>
      <c r="T784" s="177" t="str">
        <f>IFERROR(VLOOKUP(O784,Cadastros!A:I,9,0),"")</f>
        <v/>
      </c>
      <c r="U784" s="177" t="str">
        <f t="shared" si="57"/>
        <v/>
      </c>
      <c r="V784" s="177" t="str">
        <f t="shared" si="58"/>
        <v/>
      </c>
      <c r="W784" s="177" t="str">
        <f t="shared" si="59"/>
        <v/>
      </c>
      <c r="Y784" s="240" t="e">
        <f t="array" ref="Y784">INDEX(Tabela.abordagens[],SMALL(IF(Tabela.abordagens[Mês]=$L$2,ROW(Tabela.abordagens[id])-2),ROW(A737)),1)</f>
        <v>#NUM!</v>
      </c>
      <c r="Z784" s="240" t="e">
        <f t="array" ref="Z784">INDEX(Tabela.abordagens[],SMALL(IF(Tabela.abordagens[Mês]=$L$2,ROW(Tabela.abordagens[Idade])-2),ROW(A737)),6)</f>
        <v>#NUM!</v>
      </c>
      <c r="AA784" s="240" t="e">
        <f t="array" ref="AA784">INDEX(Tabela.abordagens[],SMALL(IF(Tabela.abordagens[Mês]=$L$2,ROW(Tabela.abordagens[Idade])-2),ROW(A737)),4)</f>
        <v>#NUM!</v>
      </c>
      <c r="AB784" s="240" t="e">
        <f t="array" ref="AB784">INDEX(Tabela.abordagens[],SMALL(IF(Tabela.abordagens[Mês]=$L$2,ROW(Tabela.abordagens[Idade])-2),ROW(A737)),5)</f>
        <v>#NUM!</v>
      </c>
    </row>
    <row r="785" spans="2:28" ht="15" x14ac:dyDescent="0.25">
      <c r="B785" s="223" t="e">
        <f t="array" ref="B785">INDEX(Tabela.frequencia[],SMALL(IF(Tabela.frequencia[Mês]=$L$2,ROW(Tabela.frequencia[id])-1),ROW(A738)),1)</f>
        <v>#NUM!</v>
      </c>
      <c r="C785" s="229" t="e">
        <f t="array" ref="C785">INDEX(Tabela.frequencia[],SMALL(IF(Tabela.frequencia[Mês]=$L$2,ROW(Tabela.frequencia[id])-1),ROW(A738)),4)</f>
        <v>#NUM!</v>
      </c>
      <c r="E785" s="176" t="str">
        <f>IFERROR(VLOOKUP(D785,Tabela.cadastro[[ID]:[Nome]],2,0),"")</f>
        <v/>
      </c>
      <c r="F785" s="177" t="str">
        <f>IFERROR(VLOOKUP(D785,Tabela66[#All],2,0),"")</f>
        <v/>
      </c>
      <c r="G785" s="177" t="str">
        <f>IFERROR(VLOOKUP(D785,Tabela.cadastro[[ID]:[CP ou M]],5,0),"")</f>
        <v/>
      </c>
      <c r="H785" s="177" t="str">
        <f>IFERROR(VLOOKUP(D785,Cadastros!A:F,6,0),"")</f>
        <v/>
      </c>
      <c r="I785" s="177" t="str">
        <f>IFERROR(VLOOKUP(D785,Cadastros!A:I,9,0),"")</f>
        <v/>
      </c>
      <c r="J785" s="177" t="str">
        <f>IFERROR(VLOOKUP(D785,Cadastros!A:J,10,0),"")</f>
        <v/>
      </c>
      <c r="K785" s="177" t="str">
        <f>IF(COUNTIF(Tabela66[id],D785)=0,"",COUNTIF(Tabela66[id],D785))</f>
        <v/>
      </c>
      <c r="L785" s="198"/>
      <c r="M785" s="227" t="str">
        <f t="shared" si="60"/>
        <v/>
      </c>
      <c r="P785" s="176" t="str">
        <f>IFERROR(VLOOKUP(O785,Cadastros!A:B,2),"")</f>
        <v/>
      </c>
      <c r="Q785" s="177" t="str">
        <f t="shared" si="56"/>
        <v/>
      </c>
      <c r="R785" s="177" t="str">
        <f>IFERROR(VLOOKUP(O785,Cadastros!A:E,5,0),"")</f>
        <v/>
      </c>
      <c r="S785" s="177" t="str">
        <f>IFERROR(VLOOKUP(O785,Cadastros!A:F,6,0),"")</f>
        <v/>
      </c>
      <c r="T785" s="177" t="str">
        <f>IFERROR(VLOOKUP(O785,Cadastros!A:I,9,0),"")</f>
        <v/>
      </c>
      <c r="U785" s="177" t="str">
        <f t="shared" si="57"/>
        <v/>
      </c>
      <c r="V785" s="177" t="str">
        <f t="shared" si="58"/>
        <v/>
      </c>
      <c r="W785" s="177" t="str">
        <f t="shared" si="59"/>
        <v/>
      </c>
      <c r="Y785" s="240" t="e">
        <f t="array" ref="Y785">INDEX(Tabela.abordagens[],SMALL(IF(Tabela.abordagens[Mês]=$L$2,ROW(Tabela.abordagens[id])-2),ROW(A738)),1)</f>
        <v>#NUM!</v>
      </c>
      <c r="Z785" s="240" t="e">
        <f t="array" ref="Z785">INDEX(Tabela.abordagens[],SMALL(IF(Tabela.abordagens[Mês]=$L$2,ROW(Tabela.abordagens[Idade])-2),ROW(A738)),6)</f>
        <v>#NUM!</v>
      </c>
      <c r="AA785" s="240" t="e">
        <f t="array" ref="AA785">INDEX(Tabela.abordagens[],SMALL(IF(Tabela.abordagens[Mês]=$L$2,ROW(Tabela.abordagens[Idade])-2),ROW(A738)),4)</f>
        <v>#NUM!</v>
      </c>
      <c r="AB785" s="240" t="e">
        <f t="array" ref="AB785">INDEX(Tabela.abordagens[],SMALL(IF(Tabela.abordagens[Mês]=$L$2,ROW(Tabela.abordagens[Idade])-2),ROW(A738)),5)</f>
        <v>#NUM!</v>
      </c>
    </row>
    <row r="786" spans="2:28" ht="15" x14ac:dyDescent="0.25">
      <c r="B786" s="223" t="e">
        <f t="array" ref="B786">INDEX(Tabela.frequencia[],SMALL(IF(Tabela.frequencia[Mês]=$L$2,ROW(Tabela.frequencia[id])-1),ROW(A739)),1)</f>
        <v>#NUM!</v>
      </c>
      <c r="C786" s="229" t="e">
        <f t="array" ref="C786">INDEX(Tabela.frequencia[],SMALL(IF(Tabela.frequencia[Mês]=$L$2,ROW(Tabela.frequencia[id])-1),ROW(A739)),4)</f>
        <v>#NUM!</v>
      </c>
      <c r="E786" s="176" t="str">
        <f>IFERROR(VLOOKUP(D786,Tabela.cadastro[[ID]:[Nome]],2,0),"")</f>
        <v/>
      </c>
      <c r="F786" s="177" t="str">
        <f>IFERROR(VLOOKUP(D786,Tabela66[#All],2,0),"")</f>
        <v/>
      </c>
      <c r="G786" s="177" t="str">
        <f>IFERROR(VLOOKUP(D786,Tabela.cadastro[[ID]:[CP ou M]],5,0),"")</f>
        <v/>
      </c>
      <c r="H786" s="177" t="str">
        <f>IFERROR(VLOOKUP(D786,Cadastros!A:F,6,0),"")</f>
        <v/>
      </c>
      <c r="I786" s="177" t="str">
        <f>IFERROR(VLOOKUP(D786,Cadastros!A:I,9,0),"")</f>
        <v/>
      </c>
      <c r="J786" s="177" t="str">
        <f>IFERROR(VLOOKUP(D786,Cadastros!A:J,10,0),"")</f>
        <v/>
      </c>
      <c r="K786" s="177" t="str">
        <f>IF(COUNTIF(Tabela66[id],D786)=0,"",COUNTIF(Tabela66[id],D786))</f>
        <v/>
      </c>
      <c r="L786" s="198"/>
      <c r="M786" s="227" t="str">
        <f t="shared" si="60"/>
        <v/>
      </c>
      <c r="P786" s="176" t="str">
        <f>IFERROR(VLOOKUP(O786,Cadastros!A:B,2),"")</f>
        <v/>
      </c>
      <c r="Q786" s="177" t="str">
        <f t="shared" si="56"/>
        <v/>
      </c>
      <c r="R786" s="177" t="str">
        <f>IFERROR(VLOOKUP(O786,Cadastros!A:E,5,0),"")</f>
        <v/>
      </c>
      <c r="S786" s="177" t="str">
        <f>IFERROR(VLOOKUP(O786,Cadastros!A:F,6,0),"")</f>
        <v/>
      </c>
      <c r="T786" s="177" t="str">
        <f>IFERROR(VLOOKUP(O786,Cadastros!A:I,9,0),"")</f>
        <v/>
      </c>
      <c r="U786" s="177" t="str">
        <f t="shared" si="57"/>
        <v/>
      </c>
      <c r="V786" s="177" t="str">
        <f t="shared" si="58"/>
        <v/>
      </c>
      <c r="W786" s="177" t="str">
        <f t="shared" si="59"/>
        <v/>
      </c>
      <c r="Y786" s="240" t="e">
        <f t="array" ref="Y786">INDEX(Tabela.abordagens[],SMALL(IF(Tabela.abordagens[Mês]=$L$2,ROW(Tabela.abordagens[id])-2),ROW(A739)),1)</f>
        <v>#NUM!</v>
      </c>
      <c r="Z786" s="240" t="e">
        <f t="array" ref="Z786">INDEX(Tabela.abordagens[],SMALL(IF(Tabela.abordagens[Mês]=$L$2,ROW(Tabela.abordagens[Idade])-2),ROW(A739)),6)</f>
        <v>#NUM!</v>
      </c>
      <c r="AA786" s="240" t="e">
        <f t="array" ref="AA786">INDEX(Tabela.abordagens[],SMALL(IF(Tabela.abordagens[Mês]=$L$2,ROW(Tabela.abordagens[Idade])-2),ROW(A739)),4)</f>
        <v>#NUM!</v>
      </c>
      <c r="AB786" s="240" t="e">
        <f t="array" ref="AB786">INDEX(Tabela.abordagens[],SMALL(IF(Tabela.abordagens[Mês]=$L$2,ROW(Tabela.abordagens[Idade])-2),ROW(A739)),5)</f>
        <v>#NUM!</v>
      </c>
    </row>
    <row r="787" spans="2:28" ht="15" x14ac:dyDescent="0.25">
      <c r="B787" s="223" t="e">
        <f t="array" ref="B787">INDEX(Tabela.frequencia[],SMALL(IF(Tabela.frequencia[Mês]=$L$2,ROW(Tabela.frequencia[id])-1),ROW(A740)),1)</f>
        <v>#NUM!</v>
      </c>
      <c r="C787" s="229" t="e">
        <f t="array" ref="C787">INDEX(Tabela.frequencia[],SMALL(IF(Tabela.frequencia[Mês]=$L$2,ROW(Tabela.frequencia[id])-1),ROW(A740)),4)</f>
        <v>#NUM!</v>
      </c>
      <c r="E787" s="176" t="str">
        <f>IFERROR(VLOOKUP(D787,Tabela.cadastro[[ID]:[Nome]],2,0),"")</f>
        <v/>
      </c>
      <c r="F787" s="177" t="str">
        <f>IFERROR(VLOOKUP(D787,Tabela66[#All],2,0),"")</f>
        <v/>
      </c>
      <c r="G787" s="177" t="str">
        <f>IFERROR(VLOOKUP(D787,Tabela.cadastro[[ID]:[CP ou M]],5,0),"")</f>
        <v/>
      </c>
      <c r="H787" s="177" t="str">
        <f>IFERROR(VLOOKUP(D787,Cadastros!A:F,6,0),"")</f>
        <v/>
      </c>
      <c r="I787" s="177" t="str">
        <f>IFERROR(VLOOKUP(D787,Cadastros!A:I,9,0),"")</f>
        <v/>
      </c>
      <c r="J787" s="177" t="str">
        <f>IFERROR(VLOOKUP(D787,Cadastros!A:J,10,0),"")</f>
        <v/>
      </c>
      <c r="K787" s="177" t="str">
        <f>IF(COUNTIF(Tabela66[id],D787)=0,"",COUNTIF(Tabela66[id],D787))</f>
        <v/>
      </c>
      <c r="L787" s="198"/>
      <c r="M787" s="227" t="str">
        <f t="shared" si="60"/>
        <v/>
      </c>
      <c r="P787" s="176" t="str">
        <f>IFERROR(VLOOKUP(O787,Cadastros!A:B,2),"")</f>
        <v/>
      </c>
      <c r="Q787" s="177" t="str">
        <f t="shared" si="56"/>
        <v/>
      </c>
      <c r="R787" s="177" t="str">
        <f>IFERROR(VLOOKUP(O787,Cadastros!A:E,5,0),"")</f>
        <v/>
      </c>
      <c r="S787" s="177" t="str">
        <f>IFERROR(VLOOKUP(O787,Cadastros!A:F,6,0),"")</f>
        <v/>
      </c>
      <c r="T787" s="177" t="str">
        <f>IFERROR(VLOOKUP(O787,Cadastros!A:I,9,0),"")</f>
        <v/>
      </c>
      <c r="U787" s="177" t="str">
        <f t="shared" si="57"/>
        <v/>
      </c>
      <c r="V787" s="177" t="str">
        <f t="shared" si="58"/>
        <v/>
      </c>
      <c r="W787" s="177" t="str">
        <f t="shared" si="59"/>
        <v/>
      </c>
      <c r="Y787" s="240" t="e">
        <f t="array" ref="Y787">INDEX(Tabela.abordagens[],SMALL(IF(Tabela.abordagens[Mês]=$L$2,ROW(Tabela.abordagens[id])-2),ROW(A740)),1)</f>
        <v>#NUM!</v>
      </c>
      <c r="Z787" s="240" t="e">
        <f t="array" ref="Z787">INDEX(Tabela.abordagens[],SMALL(IF(Tabela.abordagens[Mês]=$L$2,ROW(Tabela.abordagens[Idade])-2),ROW(A740)),6)</f>
        <v>#NUM!</v>
      </c>
      <c r="AA787" s="240" t="e">
        <f t="array" ref="AA787">INDEX(Tabela.abordagens[],SMALL(IF(Tabela.abordagens[Mês]=$L$2,ROW(Tabela.abordagens[Idade])-2),ROW(A740)),4)</f>
        <v>#NUM!</v>
      </c>
      <c r="AB787" s="240" t="e">
        <f t="array" ref="AB787">INDEX(Tabela.abordagens[],SMALL(IF(Tabela.abordagens[Mês]=$L$2,ROW(Tabela.abordagens[Idade])-2),ROW(A740)),5)</f>
        <v>#NUM!</v>
      </c>
    </row>
    <row r="788" spans="2:28" ht="15" x14ac:dyDescent="0.25">
      <c r="B788" s="223" t="e">
        <f t="array" ref="B788">INDEX(Tabela.frequencia[],SMALL(IF(Tabela.frequencia[Mês]=$L$2,ROW(Tabela.frequencia[id])-1),ROW(A741)),1)</f>
        <v>#NUM!</v>
      </c>
      <c r="C788" s="229" t="e">
        <f t="array" ref="C788">INDEX(Tabela.frequencia[],SMALL(IF(Tabela.frequencia[Mês]=$L$2,ROW(Tabela.frequencia[id])-1),ROW(A741)),4)</f>
        <v>#NUM!</v>
      </c>
      <c r="E788" s="176" t="str">
        <f>IFERROR(VLOOKUP(D788,Tabela.cadastro[[ID]:[Nome]],2,0),"")</f>
        <v/>
      </c>
      <c r="F788" s="177" t="str">
        <f>IFERROR(VLOOKUP(D788,Tabela66[#All],2,0),"")</f>
        <v/>
      </c>
      <c r="G788" s="177" t="str">
        <f>IFERROR(VLOOKUP(D788,Tabela.cadastro[[ID]:[CP ou M]],5,0),"")</f>
        <v/>
      </c>
      <c r="H788" s="177" t="str">
        <f>IFERROR(VLOOKUP(D788,Cadastros!A:F,6,0),"")</f>
        <v/>
      </c>
      <c r="I788" s="177" t="str">
        <f>IFERROR(VLOOKUP(D788,Cadastros!A:I,9,0),"")</f>
        <v/>
      </c>
      <c r="J788" s="177" t="str">
        <f>IFERROR(VLOOKUP(D788,Cadastros!A:J,10,0),"")</f>
        <v/>
      </c>
      <c r="K788" s="177" t="str">
        <f>IF(COUNTIF(Tabela66[id],D788)=0,"",COUNTIF(Tabela66[id],D788))</f>
        <v/>
      </c>
      <c r="L788" s="198"/>
      <c r="M788" s="227" t="str">
        <f t="shared" si="60"/>
        <v/>
      </c>
      <c r="P788" s="176" t="str">
        <f>IFERROR(VLOOKUP(O788,Cadastros!A:B,2),"")</f>
        <v/>
      </c>
      <c r="Q788" s="177" t="str">
        <f t="shared" si="56"/>
        <v/>
      </c>
      <c r="R788" s="177" t="str">
        <f>IFERROR(VLOOKUP(O788,Cadastros!A:E,5,0),"")</f>
        <v/>
      </c>
      <c r="S788" s="177" t="str">
        <f>IFERROR(VLOOKUP(O788,Cadastros!A:F,6,0),"")</f>
        <v/>
      </c>
      <c r="T788" s="177" t="str">
        <f>IFERROR(VLOOKUP(O788,Cadastros!A:I,9,0),"")</f>
        <v/>
      </c>
      <c r="U788" s="177" t="str">
        <f t="shared" si="57"/>
        <v/>
      </c>
      <c r="V788" s="177" t="str">
        <f t="shared" si="58"/>
        <v/>
      </c>
      <c r="W788" s="177" t="str">
        <f t="shared" si="59"/>
        <v/>
      </c>
      <c r="Y788" s="240" t="e">
        <f t="array" ref="Y788">INDEX(Tabela.abordagens[],SMALL(IF(Tabela.abordagens[Mês]=$L$2,ROW(Tabela.abordagens[id])-2),ROW(A741)),1)</f>
        <v>#NUM!</v>
      </c>
      <c r="Z788" s="240" t="e">
        <f t="array" ref="Z788">INDEX(Tabela.abordagens[],SMALL(IF(Tabela.abordagens[Mês]=$L$2,ROW(Tabela.abordagens[Idade])-2),ROW(A741)),6)</f>
        <v>#NUM!</v>
      </c>
      <c r="AA788" s="240" t="e">
        <f t="array" ref="AA788">INDEX(Tabela.abordagens[],SMALL(IF(Tabela.abordagens[Mês]=$L$2,ROW(Tabela.abordagens[Idade])-2),ROW(A741)),4)</f>
        <v>#NUM!</v>
      </c>
      <c r="AB788" s="240" t="e">
        <f t="array" ref="AB788">INDEX(Tabela.abordagens[],SMALL(IF(Tabela.abordagens[Mês]=$L$2,ROW(Tabela.abordagens[Idade])-2),ROW(A741)),5)</f>
        <v>#NUM!</v>
      </c>
    </row>
    <row r="789" spans="2:28" ht="15" x14ac:dyDescent="0.25">
      <c r="B789" s="223" t="e">
        <f t="array" ref="B789">INDEX(Tabela.frequencia[],SMALL(IF(Tabela.frequencia[Mês]=$L$2,ROW(Tabela.frequencia[id])-1),ROW(A742)),1)</f>
        <v>#NUM!</v>
      </c>
      <c r="C789" s="229" t="e">
        <f t="array" ref="C789">INDEX(Tabela.frequencia[],SMALL(IF(Tabela.frequencia[Mês]=$L$2,ROW(Tabela.frequencia[id])-1),ROW(A742)),4)</f>
        <v>#NUM!</v>
      </c>
      <c r="E789" s="176" t="str">
        <f>IFERROR(VLOOKUP(D789,Tabela.cadastro[[ID]:[Nome]],2,0),"")</f>
        <v/>
      </c>
      <c r="F789" s="177" t="str">
        <f>IFERROR(VLOOKUP(D789,Tabela66[#All],2,0),"")</f>
        <v/>
      </c>
      <c r="G789" s="177" t="str">
        <f>IFERROR(VLOOKUP(D789,Tabela.cadastro[[ID]:[CP ou M]],5,0),"")</f>
        <v/>
      </c>
      <c r="H789" s="177" t="str">
        <f>IFERROR(VLOOKUP(D789,Cadastros!A:F,6,0),"")</f>
        <v/>
      </c>
      <c r="I789" s="177" t="str">
        <f>IFERROR(VLOOKUP(D789,Cadastros!A:I,9,0),"")</f>
        <v/>
      </c>
      <c r="J789" s="177" t="str">
        <f>IFERROR(VLOOKUP(D789,Cadastros!A:J,10,0),"")</f>
        <v/>
      </c>
      <c r="K789" s="177" t="str">
        <f>IF(COUNTIF(Tabela66[id],D789)=0,"",COUNTIF(Tabela66[id],D789))</f>
        <v/>
      </c>
      <c r="L789" s="198"/>
      <c r="M789" s="227" t="str">
        <f t="shared" si="60"/>
        <v/>
      </c>
      <c r="P789" s="176" t="str">
        <f>IFERROR(VLOOKUP(O789,Cadastros!A:B,2),"")</f>
        <v/>
      </c>
      <c r="Q789" s="177" t="str">
        <f t="shared" si="56"/>
        <v/>
      </c>
      <c r="R789" s="177" t="str">
        <f>IFERROR(VLOOKUP(O789,Cadastros!A:E,5,0),"")</f>
        <v/>
      </c>
      <c r="S789" s="177" t="str">
        <f>IFERROR(VLOOKUP(O789,Cadastros!A:F,6,0),"")</f>
        <v/>
      </c>
      <c r="T789" s="177" t="str">
        <f>IFERROR(VLOOKUP(O789,Cadastros!A:I,9,0),"")</f>
        <v/>
      </c>
      <c r="U789" s="177" t="str">
        <f t="shared" si="57"/>
        <v/>
      </c>
      <c r="V789" s="177" t="str">
        <f t="shared" si="58"/>
        <v/>
      </c>
      <c r="W789" s="177" t="str">
        <f t="shared" si="59"/>
        <v/>
      </c>
      <c r="Y789" s="240" t="e">
        <f t="array" ref="Y789">INDEX(Tabela.abordagens[],SMALL(IF(Tabela.abordagens[Mês]=$L$2,ROW(Tabela.abordagens[id])-2),ROW(A742)),1)</f>
        <v>#NUM!</v>
      </c>
      <c r="Z789" s="240" t="e">
        <f t="array" ref="Z789">INDEX(Tabela.abordagens[],SMALL(IF(Tabela.abordagens[Mês]=$L$2,ROW(Tabela.abordagens[Idade])-2),ROW(A742)),6)</f>
        <v>#NUM!</v>
      </c>
      <c r="AA789" s="240" t="e">
        <f t="array" ref="AA789">INDEX(Tabela.abordagens[],SMALL(IF(Tabela.abordagens[Mês]=$L$2,ROW(Tabela.abordagens[Idade])-2),ROW(A742)),4)</f>
        <v>#NUM!</v>
      </c>
      <c r="AB789" s="240" t="e">
        <f t="array" ref="AB789">INDEX(Tabela.abordagens[],SMALL(IF(Tabela.abordagens[Mês]=$L$2,ROW(Tabela.abordagens[Idade])-2),ROW(A742)),5)</f>
        <v>#NUM!</v>
      </c>
    </row>
    <row r="790" spans="2:28" ht="15" x14ac:dyDescent="0.25">
      <c r="B790" s="223" t="e">
        <f t="array" ref="B790">INDEX(Tabela.frequencia[],SMALL(IF(Tabela.frequencia[Mês]=$L$2,ROW(Tabela.frequencia[id])-1),ROW(A743)),1)</f>
        <v>#NUM!</v>
      </c>
      <c r="C790" s="229" t="e">
        <f t="array" ref="C790">INDEX(Tabela.frequencia[],SMALL(IF(Tabela.frequencia[Mês]=$L$2,ROW(Tabela.frequencia[id])-1),ROW(A743)),4)</f>
        <v>#NUM!</v>
      </c>
      <c r="E790" s="176" t="str">
        <f>IFERROR(VLOOKUP(D790,Tabela.cadastro[[ID]:[Nome]],2,0),"")</f>
        <v/>
      </c>
      <c r="F790" s="177" t="str">
        <f>IFERROR(VLOOKUP(D790,Tabela66[#All],2,0),"")</f>
        <v/>
      </c>
      <c r="G790" s="177" t="str">
        <f>IFERROR(VLOOKUP(D790,Tabela.cadastro[[ID]:[CP ou M]],5,0),"")</f>
        <v/>
      </c>
      <c r="H790" s="177" t="str">
        <f>IFERROR(VLOOKUP(D790,Cadastros!A:F,6,0),"")</f>
        <v/>
      </c>
      <c r="I790" s="177" t="str">
        <f>IFERROR(VLOOKUP(D790,Cadastros!A:I,9,0),"")</f>
        <v/>
      </c>
      <c r="J790" s="177" t="str">
        <f>IFERROR(VLOOKUP(D790,Cadastros!A:J,10,0),"")</f>
        <v/>
      </c>
      <c r="K790" s="177" t="str">
        <f>IF(COUNTIF(Tabela66[id],D790)=0,"",COUNTIF(Tabela66[id],D790))</f>
        <v/>
      </c>
      <c r="L790" s="198"/>
      <c r="M790" s="227" t="str">
        <f t="shared" si="60"/>
        <v/>
      </c>
      <c r="P790" s="176" t="str">
        <f>IFERROR(VLOOKUP(O790,Cadastros!A:B,2),"")</f>
        <v/>
      </c>
      <c r="Q790" s="177" t="str">
        <f t="shared" si="56"/>
        <v/>
      </c>
      <c r="R790" s="177" t="str">
        <f>IFERROR(VLOOKUP(O790,Cadastros!A:E,5,0),"")</f>
        <v/>
      </c>
      <c r="S790" s="177" t="str">
        <f>IFERROR(VLOOKUP(O790,Cadastros!A:F,6,0),"")</f>
        <v/>
      </c>
      <c r="T790" s="177" t="str">
        <f>IFERROR(VLOOKUP(O790,Cadastros!A:I,9,0),"")</f>
        <v/>
      </c>
      <c r="U790" s="177" t="str">
        <f t="shared" si="57"/>
        <v/>
      </c>
      <c r="V790" s="177" t="str">
        <f t="shared" si="58"/>
        <v/>
      </c>
      <c r="W790" s="177" t="str">
        <f t="shared" si="59"/>
        <v/>
      </c>
      <c r="Y790" s="240" t="e">
        <f t="array" ref="Y790">INDEX(Tabela.abordagens[],SMALL(IF(Tabela.abordagens[Mês]=$L$2,ROW(Tabela.abordagens[id])-2),ROW(A743)),1)</f>
        <v>#NUM!</v>
      </c>
      <c r="Z790" s="240" t="e">
        <f t="array" ref="Z790">INDEX(Tabela.abordagens[],SMALL(IF(Tabela.abordagens[Mês]=$L$2,ROW(Tabela.abordagens[Idade])-2),ROW(A743)),6)</f>
        <v>#NUM!</v>
      </c>
      <c r="AA790" s="240" t="e">
        <f t="array" ref="AA790">INDEX(Tabela.abordagens[],SMALL(IF(Tabela.abordagens[Mês]=$L$2,ROW(Tabela.abordagens[Idade])-2),ROW(A743)),4)</f>
        <v>#NUM!</v>
      </c>
      <c r="AB790" s="240" t="e">
        <f t="array" ref="AB790">INDEX(Tabela.abordagens[],SMALL(IF(Tabela.abordagens[Mês]=$L$2,ROW(Tabela.abordagens[Idade])-2),ROW(A743)),5)</f>
        <v>#NUM!</v>
      </c>
    </row>
    <row r="791" spans="2:28" ht="15" x14ac:dyDescent="0.25">
      <c r="B791" s="223" t="e">
        <f t="array" ref="B791">INDEX(Tabela.frequencia[],SMALL(IF(Tabela.frequencia[Mês]=$L$2,ROW(Tabela.frequencia[id])-1),ROW(A744)),1)</f>
        <v>#NUM!</v>
      </c>
      <c r="C791" s="229" t="e">
        <f t="array" ref="C791">INDEX(Tabela.frequencia[],SMALL(IF(Tabela.frequencia[Mês]=$L$2,ROW(Tabela.frequencia[id])-1),ROW(A744)),4)</f>
        <v>#NUM!</v>
      </c>
      <c r="E791" s="176" t="str">
        <f>IFERROR(VLOOKUP(D791,Tabela.cadastro[[ID]:[Nome]],2,0),"")</f>
        <v/>
      </c>
      <c r="F791" s="177" t="str">
        <f>IFERROR(VLOOKUP(D791,Tabela66[#All],2,0),"")</f>
        <v/>
      </c>
      <c r="G791" s="177" t="str">
        <f>IFERROR(VLOOKUP(D791,Tabela.cadastro[[ID]:[CP ou M]],5,0),"")</f>
        <v/>
      </c>
      <c r="H791" s="177" t="str">
        <f>IFERROR(VLOOKUP(D791,Cadastros!A:F,6,0),"")</f>
        <v/>
      </c>
      <c r="I791" s="177" t="str">
        <f>IFERROR(VLOOKUP(D791,Cadastros!A:I,9,0),"")</f>
        <v/>
      </c>
      <c r="J791" s="177" t="str">
        <f>IFERROR(VLOOKUP(D791,Cadastros!A:J,10,0),"")</f>
        <v/>
      </c>
      <c r="K791" s="177" t="str">
        <f>IF(COUNTIF(Tabela66[id],D791)=0,"",COUNTIF(Tabela66[id],D791))</f>
        <v/>
      </c>
      <c r="L791" s="198"/>
      <c r="M791" s="227" t="str">
        <f t="shared" si="60"/>
        <v/>
      </c>
      <c r="P791" s="176" t="str">
        <f>IFERROR(VLOOKUP(O791,Cadastros!A:B,2),"")</f>
        <v/>
      </c>
      <c r="Q791" s="177" t="str">
        <f t="shared" si="56"/>
        <v/>
      </c>
      <c r="R791" s="177" t="str">
        <f>IFERROR(VLOOKUP(O791,Cadastros!A:E,5,0),"")</f>
        <v/>
      </c>
      <c r="S791" s="177" t="str">
        <f>IFERROR(VLOOKUP(O791,Cadastros!A:F,6,0),"")</f>
        <v/>
      </c>
      <c r="T791" s="177" t="str">
        <f>IFERROR(VLOOKUP(O791,Cadastros!A:I,9,0),"")</f>
        <v/>
      </c>
      <c r="U791" s="177" t="str">
        <f t="shared" si="57"/>
        <v/>
      </c>
      <c r="V791" s="177" t="str">
        <f t="shared" si="58"/>
        <v/>
      </c>
      <c r="W791" s="177" t="str">
        <f t="shared" si="59"/>
        <v/>
      </c>
      <c r="Y791" s="240" t="e">
        <f t="array" ref="Y791">INDEX(Tabela.abordagens[],SMALL(IF(Tabela.abordagens[Mês]=$L$2,ROW(Tabela.abordagens[id])-2),ROW(A744)),1)</f>
        <v>#NUM!</v>
      </c>
      <c r="Z791" s="240" t="e">
        <f t="array" ref="Z791">INDEX(Tabela.abordagens[],SMALL(IF(Tabela.abordagens[Mês]=$L$2,ROW(Tabela.abordagens[Idade])-2),ROW(A744)),6)</f>
        <v>#NUM!</v>
      </c>
      <c r="AA791" s="240" t="e">
        <f t="array" ref="AA791">INDEX(Tabela.abordagens[],SMALL(IF(Tabela.abordagens[Mês]=$L$2,ROW(Tabela.abordagens[Idade])-2),ROW(A744)),4)</f>
        <v>#NUM!</v>
      </c>
      <c r="AB791" s="240" t="e">
        <f t="array" ref="AB791">INDEX(Tabela.abordagens[],SMALL(IF(Tabela.abordagens[Mês]=$L$2,ROW(Tabela.abordagens[Idade])-2),ROW(A744)),5)</f>
        <v>#NUM!</v>
      </c>
    </row>
    <row r="792" spans="2:28" ht="15" x14ac:dyDescent="0.25">
      <c r="B792" s="223" t="e">
        <f t="array" ref="B792">INDEX(Tabela.frequencia[],SMALL(IF(Tabela.frequencia[Mês]=$L$2,ROW(Tabela.frequencia[id])-1),ROW(A745)),1)</f>
        <v>#NUM!</v>
      </c>
      <c r="C792" s="229" t="e">
        <f t="array" ref="C792">INDEX(Tabela.frequencia[],SMALL(IF(Tabela.frequencia[Mês]=$L$2,ROW(Tabela.frequencia[id])-1),ROW(A745)),4)</f>
        <v>#NUM!</v>
      </c>
      <c r="E792" s="176" t="str">
        <f>IFERROR(VLOOKUP(D792,Tabela.cadastro[[ID]:[Nome]],2,0),"")</f>
        <v/>
      </c>
      <c r="F792" s="177" t="str">
        <f>IFERROR(VLOOKUP(D792,Tabela66[#All],2,0),"")</f>
        <v/>
      </c>
      <c r="G792" s="177" t="str">
        <f>IFERROR(VLOOKUP(D792,Tabela.cadastro[[ID]:[CP ou M]],5,0),"")</f>
        <v/>
      </c>
      <c r="H792" s="177" t="str">
        <f>IFERROR(VLOOKUP(D792,Cadastros!A:F,6,0),"")</f>
        <v/>
      </c>
      <c r="I792" s="177" t="str">
        <f>IFERROR(VLOOKUP(D792,Cadastros!A:I,9,0),"")</f>
        <v/>
      </c>
      <c r="J792" s="177" t="str">
        <f>IFERROR(VLOOKUP(D792,Cadastros!A:J,10,0),"")</f>
        <v/>
      </c>
      <c r="K792" s="177" t="str">
        <f>IF(COUNTIF(Tabela66[id],D792)=0,"",COUNTIF(Tabela66[id],D792))</f>
        <v/>
      </c>
      <c r="L792" s="198"/>
      <c r="M792" s="227" t="str">
        <f t="shared" si="60"/>
        <v/>
      </c>
      <c r="P792" s="176" t="str">
        <f>IFERROR(VLOOKUP(O792,Cadastros!A:B,2),"")</f>
        <v/>
      </c>
      <c r="Q792" s="177" t="str">
        <f t="shared" si="56"/>
        <v/>
      </c>
      <c r="R792" s="177" t="str">
        <f>IFERROR(VLOOKUP(O792,Cadastros!A:E,5,0),"")</f>
        <v/>
      </c>
      <c r="S792" s="177" t="str">
        <f>IFERROR(VLOOKUP(O792,Cadastros!A:F,6,0),"")</f>
        <v/>
      </c>
      <c r="T792" s="177" t="str">
        <f>IFERROR(VLOOKUP(O792,Cadastros!A:I,9,0),"")</f>
        <v/>
      </c>
      <c r="U792" s="177" t="str">
        <f t="shared" si="57"/>
        <v/>
      </c>
      <c r="V792" s="177" t="str">
        <f t="shared" si="58"/>
        <v/>
      </c>
      <c r="W792" s="177" t="str">
        <f t="shared" si="59"/>
        <v/>
      </c>
      <c r="Y792" s="240" t="e">
        <f t="array" ref="Y792">INDEX(Tabela.abordagens[],SMALL(IF(Tabela.abordagens[Mês]=$L$2,ROW(Tabela.abordagens[id])-2),ROW(A745)),1)</f>
        <v>#NUM!</v>
      </c>
      <c r="Z792" s="240" t="e">
        <f t="array" ref="Z792">INDEX(Tabela.abordagens[],SMALL(IF(Tabela.abordagens[Mês]=$L$2,ROW(Tabela.abordagens[Idade])-2),ROW(A745)),6)</f>
        <v>#NUM!</v>
      </c>
      <c r="AA792" s="240" t="e">
        <f t="array" ref="AA792">INDEX(Tabela.abordagens[],SMALL(IF(Tabela.abordagens[Mês]=$L$2,ROW(Tabela.abordagens[Idade])-2),ROW(A745)),4)</f>
        <v>#NUM!</v>
      </c>
      <c r="AB792" s="240" t="e">
        <f t="array" ref="AB792">INDEX(Tabela.abordagens[],SMALL(IF(Tabela.abordagens[Mês]=$L$2,ROW(Tabela.abordagens[Idade])-2),ROW(A745)),5)</f>
        <v>#NUM!</v>
      </c>
    </row>
    <row r="793" spans="2:28" ht="15" x14ac:dyDescent="0.25">
      <c r="B793" s="223" t="e">
        <f t="array" ref="B793">INDEX(Tabela.frequencia[],SMALL(IF(Tabela.frequencia[Mês]=$L$2,ROW(Tabela.frequencia[id])-1),ROW(A746)),1)</f>
        <v>#NUM!</v>
      </c>
      <c r="C793" s="229" t="e">
        <f t="array" ref="C793">INDEX(Tabela.frequencia[],SMALL(IF(Tabela.frequencia[Mês]=$L$2,ROW(Tabela.frequencia[id])-1),ROW(A746)),4)</f>
        <v>#NUM!</v>
      </c>
      <c r="E793" s="176" t="str">
        <f>IFERROR(VLOOKUP(D793,Tabela.cadastro[[ID]:[Nome]],2,0),"")</f>
        <v/>
      </c>
      <c r="F793" s="177" t="str">
        <f>IFERROR(VLOOKUP(D793,Tabela66[#All],2,0),"")</f>
        <v/>
      </c>
      <c r="G793" s="177" t="str">
        <f>IFERROR(VLOOKUP(D793,Tabela.cadastro[[ID]:[CP ou M]],5,0),"")</f>
        <v/>
      </c>
      <c r="H793" s="177" t="str">
        <f>IFERROR(VLOOKUP(D793,Cadastros!A:F,6,0),"")</f>
        <v/>
      </c>
      <c r="I793" s="177" t="str">
        <f>IFERROR(VLOOKUP(D793,Cadastros!A:I,9,0),"")</f>
        <v/>
      </c>
      <c r="J793" s="177" t="str">
        <f>IFERROR(VLOOKUP(D793,Cadastros!A:J,10,0),"")</f>
        <v/>
      </c>
      <c r="K793" s="177" t="str">
        <f>IF(COUNTIF(Tabela66[id],D793)=0,"",COUNTIF(Tabela66[id],D793))</f>
        <v/>
      </c>
      <c r="L793" s="198"/>
      <c r="M793" s="227" t="str">
        <f t="shared" si="60"/>
        <v/>
      </c>
      <c r="P793" s="176" t="str">
        <f>IFERROR(VLOOKUP(O793,Cadastros!A:B,2),"")</f>
        <v/>
      </c>
      <c r="Q793" s="177" t="str">
        <f t="shared" si="56"/>
        <v/>
      </c>
      <c r="R793" s="177" t="str">
        <f>IFERROR(VLOOKUP(O793,Cadastros!A:E,5,0),"")</f>
        <v/>
      </c>
      <c r="S793" s="177" t="str">
        <f>IFERROR(VLOOKUP(O793,Cadastros!A:F,6,0),"")</f>
        <v/>
      </c>
      <c r="T793" s="177" t="str">
        <f>IFERROR(VLOOKUP(O793,Cadastros!A:I,9,0),"")</f>
        <v/>
      </c>
      <c r="U793" s="177" t="str">
        <f t="shared" si="57"/>
        <v/>
      </c>
      <c r="V793" s="177" t="str">
        <f t="shared" si="58"/>
        <v/>
      </c>
      <c r="W793" s="177" t="str">
        <f t="shared" si="59"/>
        <v/>
      </c>
      <c r="Y793" s="240" t="e">
        <f t="array" ref="Y793">INDEX(Tabela.abordagens[],SMALL(IF(Tabela.abordagens[Mês]=$L$2,ROW(Tabela.abordagens[id])-2),ROW(A746)),1)</f>
        <v>#NUM!</v>
      </c>
      <c r="Z793" s="240" t="e">
        <f t="array" ref="Z793">INDEX(Tabela.abordagens[],SMALL(IF(Tabela.abordagens[Mês]=$L$2,ROW(Tabela.abordagens[Idade])-2),ROW(A746)),6)</f>
        <v>#NUM!</v>
      </c>
      <c r="AA793" s="240" t="e">
        <f t="array" ref="AA793">INDEX(Tabela.abordagens[],SMALL(IF(Tabela.abordagens[Mês]=$L$2,ROW(Tabela.abordagens[Idade])-2),ROW(A746)),4)</f>
        <v>#NUM!</v>
      </c>
      <c r="AB793" s="240" t="e">
        <f t="array" ref="AB793">INDEX(Tabela.abordagens[],SMALL(IF(Tabela.abordagens[Mês]=$L$2,ROW(Tabela.abordagens[Idade])-2),ROW(A746)),5)</f>
        <v>#NUM!</v>
      </c>
    </row>
    <row r="794" spans="2:28" ht="15" x14ac:dyDescent="0.25">
      <c r="B794" s="223" t="e">
        <f t="array" ref="B794">INDEX(Tabela.frequencia[],SMALL(IF(Tabela.frequencia[Mês]=$L$2,ROW(Tabela.frequencia[id])-1),ROW(A747)),1)</f>
        <v>#NUM!</v>
      </c>
      <c r="C794" s="229" t="e">
        <f t="array" ref="C794">INDEX(Tabela.frequencia[],SMALL(IF(Tabela.frequencia[Mês]=$L$2,ROW(Tabela.frequencia[id])-1),ROW(A747)),4)</f>
        <v>#NUM!</v>
      </c>
      <c r="E794" s="176" t="str">
        <f>IFERROR(VLOOKUP(D794,Tabela.cadastro[[ID]:[Nome]],2,0),"")</f>
        <v/>
      </c>
      <c r="F794" s="177" t="str">
        <f>IFERROR(VLOOKUP(D794,Tabela66[#All],2,0),"")</f>
        <v/>
      </c>
      <c r="G794" s="177" t="str">
        <f>IFERROR(VLOOKUP(D794,Tabela.cadastro[[ID]:[CP ou M]],5,0),"")</f>
        <v/>
      </c>
      <c r="H794" s="177" t="str">
        <f>IFERROR(VLOOKUP(D794,Cadastros!A:F,6,0),"")</f>
        <v/>
      </c>
      <c r="I794" s="177" t="str">
        <f>IFERROR(VLOOKUP(D794,Cadastros!A:I,9,0),"")</f>
        <v/>
      </c>
      <c r="J794" s="177" t="str">
        <f>IFERROR(VLOOKUP(D794,Cadastros!A:J,10,0),"")</f>
        <v/>
      </c>
      <c r="K794" s="177" t="str">
        <f>IF(COUNTIF(Tabela66[id],D794)=0,"",COUNTIF(Tabela66[id],D794))</f>
        <v/>
      </c>
      <c r="L794" s="198"/>
      <c r="M794" s="227" t="str">
        <f t="shared" si="60"/>
        <v/>
      </c>
      <c r="P794" s="176" t="str">
        <f>IFERROR(VLOOKUP(O794,Cadastros!A:B,2),"")</f>
        <v/>
      </c>
      <c r="Q794" s="177" t="str">
        <f t="shared" si="56"/>
        <v/>
      </c>
      <c r="R794" s="177" t="str">
        <f>IFERROR(VLOOKUP(O794,Cadastros!A:E,5,0),"")</f>
        <v/>
      </c>
      <c r="S794" s="177" t="str">
        <f>IFERROR(VLOOKUP(O794,Cadastros!A:F,6,0),"")</f>
        <v/>
      </c>
      <c r="T794" s="177" t="str">
        <f>IFERROR(VLOOKUP(O794,Cadastros!A:I,9,0),"")</f>
        <v/>
      </c>
      <c r="U794" s="177" t="str">
        <f t="shared" si="57"/>
        <v/>
      </c>
      <c r="V794" s="177" t="str">
        <f t="shared" si="58"/>
        <v/>
      </c>
      <c r="W794" s="177" t="str">
        <f t="shared" si="59"/>
        <v/>
      </c>
      <c r="Y794" s="240" t="e">
        <f t="array" ref="Y794">INDEX(Tabela.abordagens[],SMALL(IF(Tabela.abordagens[Mês]=$L$2,ROW(Tabela.abordagens[id])-2),ROW(A747)),1)</f>
        <v>#NUM!</v>
      </c>
      <c r="Z794" s="240" t="e">
        <f t="array" ref="Z794">INDEX(Tabela.abordagens[],SMALL(IF(Tabela.abordagens[Mês]=$L$2,ROW(Tabela.abordagens[Idade])-2),ROW(A747)),6)</f>
        <v>#NUM!</v>
      </c>
      <c r="AA794" s="240" t="e">
        <f t="array" ref="AA794">INDEX(Tabela.abordagens[],SMALL(IF(Tabela.abordagens[Mês]=$L$2,ROW(Tabela.abordagens[Idade])-2),ROW(A747)),4)</f>
        <v>#NUM!</v>
      </c>
      <c r="AB794" s="240" t="e">
        <f t="array" ref="AB794">INDEX(Tabela.abordagens[],SMALL(IF(Tabela.abordagens[Mês]=$L$2,ROW(Tabela.abordagens[Idade])-2),ROW(A747)),5)</f>
        <v>#NUM!</v>
      </c>
    </row>
    <row r="795" spans="2:28" ht="15" x14ac:dyDescent="0.25">
      <c r="B795" s="223" t="e">
        <f t="array" ref="B795">INDEX(Tabela.frequencia[],SMALL(IF(Tabela.frequencia[Mês]=$L$2,ROW(Tabela.frequencia[id])-1),ROW(A748)),1)</f>
        <v>#NUM!</v>
      </c>
      <c r="C795" s="229" t="e">
        <f t="array" ref="C795">INDEX(Tabela.frequencia[],SMALL(IF(Tabela.frequencia[Mês]=$L$2,ROW(Tabela.frequencia[id])-1),ROW(A748)),4)</f>
        <v>#NUM!</v>
      </c>
      <c r="E795" s="176" t="str">
        <f>IFERROR(VLOOKUP(D795,Tabela.cadastro[[ID]:[Nome]],2,0),"")</f>
        <v/>
      </c>
      <c r="F795" s="177" t="str">
        <f>IFERROR(VLOOKUP(D795,Tabela66[#All],2,0),"")</f>
        <v/>
      </c>
      <c r="G795" s="177" t="str">
        <f>IFERROR(VLOOKUP(D795,Tabela.cadastro[[ID]:[CP ou M]],5,0),"")</f>
        <v/>
      </c>
      <c r="H795" s="177" t="str">
        <f>IFERROR(VLOOKUP(D795,Cadastros!A:F,6,0),"")</f>
        <v/>
      </c>
      <c r="I795" s="177" t="str">
        <f>IFERROR(VLOOKUP(D795,Cadastros!A:I,9,0),"")</f>
        <v/>
      </c>
      <c r="J795" s="177" t="str">
        <f>IFERROR(VLOOKUP(D795,Cadastros!A:J,10,0),"")</f>
        <v/>
      </c>
      <c r="K795" s="177" t="str">
        <f>IF(COUNTIF(Tabela66[id],D795)=0,"",COUNTIF(Tabela66[id],D795))</f>
        <v/>
      </c>
      <c r="L795" s="198"/>
      <c r="M795" s="227" t="str">
        <f t="shared" si="60"/>
        <v/>
      </c>
      <c r="P795" s="176" t="str">
        <f>IFERROR(VLOOKUP(O795,Cadastros!A:B,2),"")</f>
        <v/>
      </c>
      <c r="Q795" s="177" t="str">
        <f t="shared" si="56"/>
        <v/>
      </c>
      <c r="R795" s="177" t="str">
        <f>IFERROR(VLOOKUP(O795,Cadastros!A:E,5,0),"")</f>
        <v/>
      </c>
      <c r="S795" s="177" t="str">
        <f>IFERROR(VLOOKUP(O795,Cadastros!A:F,6,0),"")</f>
        <v/>
      </c>
      <c r="T795" s="177" t="str">
        <f>IFERROR(VLOOKUP(O795,Cadastros!A:I,9,0),"")</f>
        <v/>
      </c>
      <c r="U795" s="177" t="str">
        <f t="shared" si="57"/>
        <v/>
      </c>
      <c r="V795" s="177" t="str">
        <f t="shared" si="58"/>
        <v/>
      </c>
      <c r="W795" s="177" t="str">
        <f t="shared" si="59"/>
        <v/>
      </c>
      <c r="Y795" s="240" t="e">
        <f t="array" ref="Y795">INDEX(Tabela.abordagens[],SMALL(IF(Tabela.abordagens[Mês]=$L$2,ROW(Tabela.abordagens[id])-2),ROW(A748)),1)</f>
        <v>#NUM!</v>
      </c>
      <c r="Z795" s="240" t="e">
        <f t="array" ref="Z795">INDEX(Tabela.abordagens[],SMALL(IF(Tabela.abordagens[Mês]=$L$2,ROW(Tabela.abordagens[Idade])-2),ROW(A748)),6)</f>
        <v>#NUM!</v>
      </c>
      <c r="AA795" s="240" t="e">
        <f t="array" ref="AA795">INDEX(Tabela.abordagens[],SMALL(IF(Tabela.abordagens[Mês]=$L$2,ROW(Tabela.abordagens[Idade])-2),ROW(A748)),4)</f>
        <v>#NUM!</v>
      </c>
      <c r="AB795" s="240" t="e">
        <f t="array" ref="AB795">INDEX(Tabela.abordagens[],SMALL(IF(Tabela.abordagens[Mês]=$L$2,ROW(Tabela.abordagens[Idade])-2),ROW(A748)),5)</f>
        <v>#NUM!</v>
      </c>
    </row>
    <row r="796" spans="2:28" ht="15" x14ac:dyDescent="0.25">
      <c r="B796" s="223" t="e">
        <f t="array" ref="B796">INDEX(Tabela.frequencia[],SMALL(IF(Tabela.frequencia[Mês]=$L$2,ROW(Tabela.frequencia[id])-1),ROW(A749)),1)</f>
        <v>#NUM!</v>
      </c>
      <c r="C796" s="229" t="e">
        <f t="array" ref="C796">INDEX(Tabela.frequencia[],SMALL(IF(Tabela.frequencia[Mês]=$L$2,ROW(Tabela.frequencia[id])-1),ROW(A749)),4)</f>
        <v>#NUM!</v>
      </c>
      <c r="E796" s="176" t="str">
        <f>IFERROR(VLOOKUP(D796,Tabela.cadastro[[ID]:[Nome]],2,0),"")</f>
        <v/>
      </c>
      <c r="F796" s="177" t="str">
        <f>IFERROR(VLOOKUP(D796,Tabela66[#All],2,0),"")</f>
        <v/>
      </c>
      <c r="G796" s="177" t="str">
        <f>IFERROR(VLOOKUP(D796,Tabela.cadastro[[ID]:[CP ou M]],5,0),"")</f>
        <v/>
      </c>
      <c r="H796" s="177" t="str">
        <f>IFERROR(VLOOKUP(D796,Cadastros!A:F,6,0),"")</f>
        <v/>
      </c>
      <c r="I796" s="177" t="str">
        <f>IFERROR(VLOOKUP(D796,Cadastros!A:I,9,0),"")</f>
        <v/>
      </c>
      <c r="J796" s="177" t="str">
        <f>IFERROR(VLOOKUP(D796,Cadastros!A:J,10,0),"")</f>
        <v/>
      </c>
      <c r="K796" s="177" t="str">
        <f>IF(COUNTIF(Tabela66[id],D796)=0,"",COUNTIF(Tabela66[id],D796))</f>
        <v/>
      </c>
      <c r="L796" s="198"/>
      <c r="M796" s="227" t="str">
        <f t="shared" si="60"/>
        <v/>
      </c>
      <c r="P796" s="176" t="str">
        <f>IFERROR(VLOOKUP(O796,Cadastros!A:B,2),"")</f>
        <v/>
      </c>
      <c r="Q796" s="177" t="str">
        <f t="shared" si="56"/>
        <v/>
      </c>
      <c r="R796" s="177" t="str">
        <f>IFERROR(VLOOKUP(O796,Cadastros!A:E,5,0),"")</f>
        <v/>
      </c>
      <c r="S796" s="177" t="str">
        <f>IFERROR(VLOOKUP(O796,Cadastros!A:F,6,0),"")</f>
        <v/>
      </c>
      <c r="T796" s="177" t="str">
        <f>IFERROR(VLOOKUP(O796,Cadastros!A:I,9,0),"")</f>
        <v/>
      </c>
      <c r="U796" s="177" t="str">
        <f t="shared" si="57"/>
        <v/>
      </c>
      <c r="V796" s="177" t="str">
        <f t="shared" si="58"/>
        <v/>
      </c>
      <c r="W796" s="177" t="str">
        <f t="shared" si="59"/>
        <v/>
      </c>
      <c r="Y796" s="240" t="e">
        <f t="array" ref="Y796">INDEX(Tabela.abordagens[],SMALL(IF(Tabela.abordagens[Mês]=$L$2,ROW(Tabela.abordagens[id])-2),ROW(A749)),1)</f>
        <v>#NUM!</v>
      </c>
      <c r="Z796" s="240" t="e">
        <f t="array" ref="Z796">INDEX(Tabela.abordagens[],SMALL(IF(Tabela.abordagens[Mês]=$L$2,ROW(Tabela.abordagens[Idade])-2),ROW(A749)),6)</f>
        <v>#NUM!</v>
      </c>
      <c r="AA796" s="240" t="e">
        <f t="array" ref="AA796">INDEX(Tabela.abordagens[],SMALL(IF(Tabela.abordagens[Mês]=$L$2,ROW(Tabela.abordagens[Idade])-2),ROW(A749)),4)</f>
        <v>#NUM!</v>
      </c>
      <c r="AB796" s="240" t="e">
        <f t="array" ref="AB796">INDEX(Tabela.abordagens[],SMALL(IF(Tabela.abordagens[Mês]=$L$2,ROW(Tabela.abordagens[Idade])-2),ROW(A749)),5)</f>
        <v>#NUM!</v>
      </c>
    </row>
    <row r="797" spans="2:28" ht="15" x14ac:dyDescent="0.25">
      <c r="B797" s="223" t="e">
        <f t="array" ref="B797">INDEX(Tabela.frequencia[],SMALL(IF(Tabela.frequencia[Mês]=$L$2,ROW(Tabela.frequencia[id])-1),ROW(A750)),1)</f>
        <v>#NUM!</v>
      </c>
      <c r="C797" s="229" t="e">
        <f t="array" ref="C797">INDEX(Tabela.frequencia[],SMALL(IF(Tabela.frequencia[Mês]=$L$2,ROW(Tabela.frequencia[id])-1),ROW(A750)),4)</f>
        <v>#NUM!</v>
      </c>
      <c r="E797" s="176" t="str">
        <f>IFERROR(VLOOKUP(D797,Tabela.cadastro[[ID]:[Nome]],2,0),"")</f>
        <v/>
      </c>
      <c r="F797" s="177" t="str">
        <f>IFERROR(VLOOKUP(D797,Tabela66[#All],2,0),"")</f>
        <v/>
      </c>
      <c r="G797" s="177" t="str">
        <f>IFERROR(VLOOKUP(D797,Tabela.cadastro[[ID]:[CP ou M]],5,0),"")</f>
        <v/>
      </c>
      <c r="H797" s="177" t="str">
        <f>IFERROR(VLOOKUP(D797,Cadastros!A:F,6,0),"")</f>
        <v/>
      </c>
      <c r="I797" s="177" t="str">
        <f>IFERROR(VLOOKUP(D797,Cadastros!A:I,9,0),"")</f>
        <v/>
      </c>
      <c r="J797" s="177" t="str">
        <f>IFERROR(VLOOKUP(D797,Cadastros!A:J,10,0),"")</f>
        <v/>
      </c>
      <c r="K797" s="177" t="str">
        <f>IF(COUNTIF(Tabela66[id],D797)=0,"",COUNTIF(Tabela66[id],D797))</f>
        <v/>
      </c>
      <c r="L797" s="198"/>
      <c r="M797" s="227" t="str">
        <f t="shared" si="60"/>
        <v/>
      </c>
      <c r="P797" s="176" t="str">
        <f>IFERROR(VLOOKUP(O797,Cadastros!A:B,2),"")</f>
        <v/>
      </c>
      <c r="Q797" s="177" t="str">
        <f t="shared" si="56"/>
        <v/>
      </c>
      <c r="R797" s="177" t="str">
        <f>IFERROR(VLOOKUP(O797,Cadastros!A:E,5,0),"")</f>
        <v/>
      </c>
      <c r="S797" s="177" t="str">
        <f>IFERROR(VLOOKUP(O797,Cadastros!A:F,6,0),"")</f>
        <v/>
      </c>
      <c r="T797" s="177" t="str">
        <f>IFERROR(VLOOKUP(O797,Cadastros!A:I,9,0),"")</f>
        <v/>
      </c>
      <c r="U797" s="177" t="str">
        <f t="shared" si="57"/>
        <v/>
      </c>
      <c r="V797" s="177" t="str">
        <f t="shared" si="58"/>
        <v/>
      </c>
      <c r="W797" s="177" t="str">
        <f t="shared" si="59"/>
        <v/>
      </c>
      <c r="Y797" s="240" t="e">
        <f t="array" ref="Y797">INDEX(Tabela.abordagens[],SMALL(IF(Tabela.abordagens[Mês]=$L$2,ROW(Tabela.abordagens[id])-2),ROW(A750)),1)</f>
        <v>#NUM!</v>
      </c>
      <c r="Z797" s="240" t="e">
        <f t="array" ref="Z797">INDEX(Tabela.abordagens[],SMALL(IF(Tabela.abordagens[Mês]=$L$2,ROW(Tabela.abordagens[Idade])-2),ROW(A750)),6)</f>
        <v>#NUM!</v>
      </c>
      <c r="AA797" s="240" t="e">
        <f t="array" ref="AA797">INDEX(Tabela.abordagens[],SMALL(IF(Tabela.abordagens[Mês]=$L$2,ROW(Tabela.abordagens[Idade])-2),ROW(A750)),4)</f>
        <v>#NUM!</v>
      </c>
      <c r="AB797" s="240" t="e">
        <f t="array" ref="AB797">INDEX(Tabela.abordagens[],SMALL(IF(Tabela.abordagens[Mês]=$L$2,ROW(Tabela.abordagens[Idade])-2),ROW(A750)),5)</f>
        <v>#NUM!</v>
      </c>
    </row>
    <row r="798" spans="2:28" ht="15" x14ac:dyDescent="0.25">
      <c r="B798" s="223" t="e">
        <f t="array" ref="B798">INDEX(Tabela.frequencia[],SMALL(IF(Tabela.frequencia[Mês]=$L$2,ROW(Tabela.frequencia[id])-1),ROW(A751)),1)</f>
        <v>#NUM!</v>
      </c>
      <c r="C798" s="229" t="e">
        <f t="array" ref="C798">INDEX(Tabela.frequencia[],SMALL(IF(Tabela.frequencia[Mês]=$L$2,ROW(Tabela.frequencia[id])-1),ROW(A751)),4)</f>
        <v>#NUM!</v>
      </c>
      <c r="E798" s="176" t="str">
        <f>IFERROR(VLOOKUP(D798,Tabela.cadastro[[ID]:[Nome]],2,0),"")</f>
        <v/>
      </c>
      <c r="F798" s="177" t="str">
        <f>IFERROR(VLOOKUP(D798,Tabela66[#All],2,0),"")</f>
        <v/>
      </c>
      <c r="G798" s="177" t="str">
        <f>IFERROR(VLOOKUP(D798,Tabela.cadastro[[ID]:[CP ou M]],5,0),"")</f>
        <v/>
      </c>
      <c r="H798" s="177" t="str">
        <f>IFERROR(VLOOKUP(D798,Cadastros!A:F,6,0),"")</f>
        <v/>
      </c>
      <c r="I798" s="177" t="str">
        <f>IFERROR(VLOOKUP(D798,Cadastros!A:I,9,0),"")</f>
        <v/>
      </c>
      <c r="J798" s="177" t="str">
        <f>IFERROR(VLOOKUP(D798,Cadastros!A:J,10,0),"")</f>
        <v/>
      </c>
      <c r="K798" s="177" t="str">
        <f>IF(COUNTIF(Tabela66[id],D798)=0,"",COUNTIF(Tabela66[id],D798))</f>
        <v/>
      </c>
      <c r="L798" s="198"/>
      <c r="M798" s="227" t="str">
        <f t="shared" si="60"/>
        <v/>
      </c>
      <c r="P798" s="176" t="str">
        <f>IFERROR(VLOOKUP(O798,Cadastros!A:B,2),"")</f>
        <v/>
      </c>
      <c r="Q798" s="177" t="str">
        <f t="shared" si="56"/>
        <v/>
      </c>
      <c r="R798" s="177" t="str">
        <f>IFERROR(VLOOKUP(O798,Cadastros!A:E,5,0),"")</f>
        <v/>
      </c>
      <c r="S798" s="177" t="str">
        <f>IFERROR(VLOOKUP(O798,Cadastros!A:F,6,0),"")</f>
        <v/>
      </c>
      <c r="T798" s="177" t="str">
        <f>IFERROR(VLOOKUP(O798,Cadastros!A:I,9,0),"")</f>
        <v/>
      </c>
      <c r="U798" s="177" t="str">
        <f t="shared" si="57"/>
        <v/>
      </c>
      <c r="V798" s="177" t="str">
        <f t="shared" si="58"/>
        <v/>
      </c>
      <c r="W798" s="177" t="str">
        <f t="shared" si="59"/>
        <v/>
      </c>
      <c r="Y798" s="240" t="e">
        <f t="array" ref="Y798">INDEX(Tabela.abordagens[],SMALL(IF(Tabela.abordagens[Mês]=$L$2,ROW(Tabela.abordagens[id])-2),ROW(A751)),1)</f>
        <v>#NUM!</v>
      </c>
      <c r="Z798" s="240" t="e">
        <f t="array" ref="Z798">INDEX(Tabela.abordagens[],SMALL(IF(Tabela.abordagens[Mês]=$L$2,ROW(Tabela.abordagens[Idade])-2),ROW(A751)),6)</f>
        <v>#NUM!</v>
      </c>
      <c r="AA798" s="240" t="e">
        <f t="array" ref="AA798">INDEX(Tabela.abordagens[],SMALL(IF(Tabela.abordagens[Mês]=$L$2,ROW(Tabela.abordagens[Idade])-2),ROW(A751)),4)</f>
        <v>#NUM!</v>
      </c>
      <c r="AB798" s="240" t="e">
        <f t="array" ref="AB798">INDEX(Tabela.abordagens[],SMALL(IF(Tabela.abordagens[Mês]=$L$2,ROW(Tabela.abordagens[Idade])-2),ROW(A751)),5)</f>
        <v>#NUM!</v>
      </c>
    </row>
    <row r="799" spans="2:28" ht="15" x14ac:dyDescent="0.25">
      <c r="B799" s="223" t="e">
        <f t="array" ref="B799">INDEX(Tabela.frequencia[],SMALL(IF(Tabela.frequencia[Mês]=$L$2,ROW(Tabela.frequencia[id])-1),ROW(A752)),1)</f>
        <v>#NUM!</v>
      </c>
      <c r="C799" s="229" t="e">
        <f t="array" ref="C799">INDEX(Tabela.frequencia[],SMALL(IF(Tabela.frequencia[Mês]=$L$2,ROW(Tabela.frequencia[id])-1),ROW(A752)),4)</f>
        <v>#NUM!</v>
      </c>
      <c r="E799" s="176" t="str">
        <f>IFERROR(VLOOKUP(D799,Tabela.cadastro[[ID]:[Nome]],2,0),"")</f>
        <v/>
      </c>
      <c r="F799" s="177" t="str">
        <f>IFERROR(VLOOKUP(D799,Tabela66[#All],2,0),"")</f>
        <v/>
      </c>
      <c r="G799" s="177" t="str">
        <f>IFERROR(VLOOKUP(D799,Tabela.cadastro[[ID]:[CP ou M]],5,0),"")</f>
        <v/>
      </c>
      <c r="H799" s="177" t="str">
        <f>IFERROR(VLOOKUP(D799,Cadastros!A:F,6,0),"")</f>
        <v/>
      </c>
      <c r="I799" s="177" t="str">
        <f>IFERROR(VLOOKUP(D799,Cadastros!A:I,9,0),"")</f>
        <v/>
      </c>
      <c r="J799" s="177" t="str">
        <f>IFERROR(VLOOKUP(D799,Cadastros!A:J,10,0),"")</f>
        <v/>
      </c>
      <c r="K799" s="177" t="str">
        <f>IF(COUNTIF(Tabela66[id],D799)=0,"",COUNTIF(Tabela66[id],D799))</f>
        <v/>
      </c>
      <c r="L799" s="198"/>
      <c r="M799" s="227" t="str">
        <f t="shared" si="60"/>
        <v/>
      </c>
      <c r="P799" s="176" t="str">
        <f>IFERROR(VLOOKUP(O799,Cadastros!A:B,2),"")</f>
        <v/>
      </c>
      <c r="Q799" s="177" t="str">
        <f t="shared" si="56"/>
        <v/>
      </c>
      <c r="R799" s="177" t="str">
        <f>IFERROR(VLOOKUP(O799,Cadastros!A:E,5,0),"")</f>
        <v/>
      </c>
      <c r="S799" s="177" t="str">
        <f>IFERROR(VLOOKUP(O799,Cadastros!A:F,6,0),"")</f>
        <v/>
      </c>
      <c r="T799" s="177" t="str">
        <f>IFERROR(VLOOKUP(O799,Cadastros!A:I,9,0),"")</f>
        <v/>
      </c>
      <c r="U799" s="177" t="str">
        <f t="shared" si="57"/>
        <v/>
      </c>
      <c r="V799" s="177" t="str">
        <f t="shared" si="58"/>
        <v/>
      </c>
      <c r="W799" s="177" t="str">
        <f t="shared" si="59"/>
        <v/>
      </c>
      <c r="Y799" s="240" t="e">
        <f t="array" ref="Y799">INDEX(Tabela.abordagens[],SMALL(IF(Tabela.abordagens[Mês]=$L$2,ROW(Tabela.abordagens[id])-2),ROW(A752)),1)</f>
        <v>#NUM!</v>
      </c>
      <c r="Z799" s="240" t="e">
        <f t="array" ref="Z799">INDEX(Tabela.abordagens[],SMALL(IF(Tabela.abordagens[Mês]=$L$2,ROW(Tabela.abordagens[Idade])-2),ROW(A752)),6)</f>
        <v>#NUM!</v>
      </c>
      <c r="AA799" s="240" t="e">
        <f t="array" ref="AA799">INDEX(Tabela.abordagens[],SMALL(IF(Tabela.abordagens[Mês]=$L$2,ROW(Tabela.abordagens[Idade])-2),ROW(A752)),4)</f>
        <v>#NUM!</v>
      </c>
      <c r="AB799" s="240" t="e">
        <f t="array" ref="AB799">INDEX(Tabela.abordagens[],SMALL(IF(Tabela.abordagens[Mês]=$L$2,ROW(Tabela.abordagens[Idade])-2),ROW(A752)),5)</f>
        <v>#NUM!</v>
      </c>
    </row>
    <row r="800" spans="2:28" ht="15" x14ac:dyDescent="0.25">
      <c r="B800" s="223" t="e">
        <f t="array" ref="B800">INDEX(Tabela.frequencia[],SMALL(IF(Tabela.frequencia[Mês]=$L$2,ROW(Tabela.frequencia[id])-1),ROW(A753)),1)</f>
        <v>#NUM!</v>
      </c>
      <c r="C800" s="229" t="e">
        <f t="array" ref="C800">INDEX(Tabela.frequencia[],SMALL(IF(Tabela.frequencia[Mês]=$L$2,ROW(Tabela.frequencia[id])-1),ROW(A753)),4)</f>
        <v>#NUM!</v>
      </c>
      <c r="E800" s="176" t="str">
        <f>IFERROR(VLOOKUP(D800,Tabela.cadastro[[ID]:[Nome]],2,0),"")</f>
        <v/>
      </c>
      <c r="F800" s="177" t="str">
        <f>IFERROR(VLOOKUP(D800,Tabela66[#All],2,0),"")</f>
        <v/>
      </c>
      <c r="G800" s="177" t="str">
        <f>IFERROR(VLOOKUP(D800,Tabela.cadastro[[ID]:[CP ou M]],5,0),"")</f>
        <v/>
      </c>
      <c r="H800" s="177" t="str">
        <f>IFERROR(VLOOKUP(D800,Cadastros!A:F,6,0),"")</f>
        <v/>
      </c>
      <c r="I800" s="177" t="str">
        <f>IFERROR(VLOOKUP(D800,Cadastros!A:I,9,0),"")</f>
        <v/>
      </c>
      <c r="J800" s="177" t="str">
        <f>IFERROR(VLOOKUP(D800,Cadastros!A:J,10,0),"")</f>
        <v/>
      </c>
      <c r="K800" s="177" t="str">
        <f>IF(COUNTIF(Tabela66[id],D800)=0,"",COUNTIF(Tabela66[id],D800))</f>
        <v/>
      </c>
      <c r="L800" s="198"/>
      <c r="M800" s="227" t="str">
        <f t="shared" si="60"/>
        <v/>
      </c>
      <c r="P800" s="176" t="str">
        <f>IFERROR(VLOOKUP(O800,Cadastros!A:B,2),"")</f>
        <v/>
      </c>
      <c r="Q800" s="177" t="str">
        <f t="shared" si="56"/>
        <v/>
      </c>
      <c r="R800" s="177" t="str">
        <f>IFERROR(VLOOKUP(O800,Cadastros!A:E,5,0),"")</f>
        <v/>
      </c>
      <c r="S800" s="177" t="str">
        <f>IFERROR(VLOOKUP(O800,Cadastros!A:F,6,0),"")</f>
        <v/>
      </c>
      <c r="T800" s="177" t="str">
        <f>IFERROR(VLOOKUP(O800,Cadastros!A:I,9,0),"")</f>
        <v/>
      </c>
      <c r="U800" s="177" t="str">
        <f t="shared" si="57"/>
        <v/>
      </c>
      <c r="V800" s="177" t="str">
        <f t="shared" si="58"/>
        <v/>
      </c>
      <c r="W800" s="177" t="str">
        <f t="shared" si="59"/>
        <v/>
      </c>
      <c r="Y800" s="240" t="e">
        <f t="array" ref="Y800">INDEX(Tabela.abordagens[],SMALL(IF(Tabela.abordagens[Mês]=$L$2,ROW(Tabela.abordagens[id])-2),ROW(A753)),1)</f>
        <v>#NUM!</v>
      </c>
      <c r="Z800" s="240" t="e">
        <f t="array" ref="Z800">INDEX(Tabela.abordagens[],SMALL(IF(Tabela.abordagens[Mês]=$L$2,ROW(Tabela.abordagens[Idade])-2),ROW(A753)),6)</f>
        <v>#NUM!</v>
      </c>
      <c r="AA800" s="240" t="e">
        <f t="array" ref="AA800">INDEX(Tabela.abordagens[],SMALL(IF(Tabela.abordagens[Mês]=$L$2,ROW(Tabela.abordagens[Idade])-2),ROW(A753)),4)</f>
        <v>#NUM!</v>
      </c>
      <c r="AB800" s="240" t="e">
        <f t="array" ref="AB800">INDEX(Tabela.abordagens[],SMALL(IF(Tabela.abordagens[Mês]=$L$2,ROW(Tabela.abordagens[Idade])-2),ROW(A753)),5)</f>
        <v>#NUM!</v>
      </c>
    </row>
    <row r="801" spans="2:28" ht="15" x14ac:dyDescent="0.25">
      <c r="B801" s="223" t="e">
        <f t="array" ref="B801">INDEX(Tabela.frequencia[],SMALL(IF(Tabela.frequencia[Mês]=$L$2,ROW(Tabela.frequencia[id])-1),ROW(A754)),1)</f>
        <v>#NUM!</v>
      </c>
      <c r="C801" s="229" t="e">
        <f t="array" ref="C801">INDEX(Tabela.frequencia[],SMALL(IF(Tabela.frequencia[Mês]=$L$2,ROW(Tabela.frequencia[id])-1),ROW(A754)),4)</f>
        <v>#NUM!</v>
      </c>
      <c r="E801" s="176" t="str">
        <f>IFERROR(VLOOKUP(D801,Tabela.cadastro[[ID]:[Nome]],2,0),"")</f>
        <v/>
      </c>
      <c r="F801" s="177" t="str">
        <f>IFERROR(VLOOKUP(D801,Tabela66[#All],2,0),"")</f>
        <v/>
      </c>
      <c r="G801" s="177" t="str">
        <f>IFERROR(VLOOKUP(D801,Tabela.cadastro[[ID]:[CP ou M]],5,0),"")</f>
        <v/>
      </c>
      <c r="H801" s="177" t="str">
        <f>IFERROR(VLOOKUP(D801,Cadastros!A:F,6,0),"")</f>
        <v/>
      </c>
      <c r="I801" s="177" t="str">
        <f>IFERROR(VLOOKUP(D801,Cadastros!A:I,9,0),"")</f>
        <v/>
      </c>
      <c r="J801" s="177" t="str">
        <f>IFERROR(VLOOKUP(D801,Cadastros!A:J,10,0),"")</f>
        <v/>
      </c>
      <c r="K801" s="177" t="str">
        <f>IF(COUNTIF(Tabela66[id],D801)=0,"",COUNTIF(Tabela66[id],D801))</f>
        <v/>
      </c>
      <c r="L801" s="198"/>
      <c r="M801" s="227" t="str">
        <f t="shared" si="60"/>
        <v/>
      </c>
      <c r="P801" s="176" t="str">
        <f>IFERROR(VLOOKUP(O801,Cadastros!A:B,2),"")</f>
        <v/>
      </c>
      <c r="Q801" s="177" t="str">
        <f t="shared" si="56"/>
        <v/>
      </c>
      <c r="R801" s="177" t="str">
        <f>IFERROR(VLOOKUP(O801,Cadastros!A:E,5,0),"")</f>
        <v/>
      </c>
      <c r="S801" s="177" t="str">
        <f>IFERROR(VLOOKUP(O801,Cadastros!A:F,6,0),"")</f>
        <v/>
      </c>
      <c r="T801" s="177" t="str">
        <f>IFERROR(VLOOKUP(O801,Cadastros!A:I,9,0),"")</f>
        <v/>
      </c>
      <c r="U801" s="177" t="str">
        <f t="shared" si="57"/>
        <v/>
      </c>
      <c r="V801" s="177" t="str">
        <f t="shared" si="58"/>
        <v/>
      </c>
      <c r="W801" s="177" t="str">
        <f t="shared" si="59"/>
        <v/>
      </c>
      <c r="Y801" s="240" t="e">
        <f t="array" ref="Y801">INDEX(Tabela.abordagens[],SMALL(IF(Tabela.abordagens[Mês]=$L$2,ROW(Tabela.abordagens[id])-2),ROW(A754)),1)</f>
        <v>#NUM!</v>
      </c>
      <c r="Z801" s="240" t="e">
        <f t="array" ref="Z801">INDEX(Tabela.abordagens[],SMALL(IF(Tabela.abordagens[Mês]=$L$2,ROW(Tabela.abordagens[Idade])-2),ROW(A754)),6)</f>
        <v>#NUM!</v>
      </c>
      <c r="AA801" s="240" t="e">
        <f t="array" ref="AA801">INDEX(Tabela.abordagens[],SMALL(IF(Tabela.abordagens[Mês]=$L$2,ROW(Tabela.abordagens[Idade])-2),ROW(A754)),4)</f>
        <v>#NUM!</v>
      </c>
      <c r="AB801" s="240" t="e">
        <f t="array" ref="AB801">INDEX(Tabela.abordagens[],SMALL(IF(Tabela.abordagens[Mês]=$L$2,ROW(Tabela.abordagens[Idade])-2),ROW(A754)),5)</f>
        <v>#NUM!</v>
      </c>
    </row>
    <row r="802" spans="2:28" ht="15" x14ac:dyDescent="0.25">
      <c r="B802" s="223" t="e">
        <f t="array" ref="B802">INDEX(Tabela.frequencia[],SMALL(IF(Tabela.frequencia[Mês]=$L$2,ROW(Tabela.frequencia[id])-1),ROW(A755)),1)</f>
        <v>#NUM!</v>
      </c>
      <c r="C802" s="229" t="e">
        <f t="array" ref="C802">INDEX(Tabela.frequencia[],SMALL(IF(Tabela.frequencia[Mês]=$L$2,ROW(Tabela.frequencia[id])-1),ROW(A755)),4)</f>
        <v>#NUM!</v>
      </c>
      <c r="E802" s="176" t="str">
        <f>IFERROR(VLOOKUP(D802,Tabela.cadastro[[ID]:[Nome]],2,0),"")</f>
        <v/>
      </c>
      <c r="F802" s="177" t="str">
        <f>IFERROR(VLOOKUP(D802,Tabela66[#All],2,0),"")</f>
        <v/>
      </c>
      <c r="G802" s="177" t="str">
        <f>IFERROR(VLOOKUP(D802,Tabela.cadastro[[ID]:[CP ou M]],5,0),"")</f>
        <v/>
      </c>
      <c r="H802" s="177" t="str">
        <f>IFERROR(VLOOKUP(D802,Cadastros!A:F,6,0),"")</f>
        <v/>
      </c>
      <c r="I802" s="177" t="str">
        <f>IFERROR(VLOOKUP(D802,Cadastros!A:I,9,0),"")</f>
        <v/>
      </c>
      <c r="J802" s="177" t="str">
        <f>IFERROR(VLOOKUP(D802,Cadastros!A:J,10,0),"")</f>
        <v/>
      </c>
      <c r="K802" s="177" t="str">
        <f>IF(COUNTIF(Tabela66[id],D802)=0,"",COUNTIF(Tabela66[id],D802))</f>
        <v/>
      </c>
      <c r="L802" s="198"/>
      <c r="M802" s="227" t="str">
        <f t="shared" si="60"/>
        <v/>
      </c>
      <c r="P802" s="176" t="str">
        <f>IFERROR(VLOOKUP(O802,Cadastros!A:B,2),"")</f>
        <v/>
      </c>
      <c r="Q802" s="177" t="str">
        <f t="shared" ref="Q802:Q865" si="61">IFERROR(VLOOKUP(O802,$Y$33:$Z$866,2,0),"")</f>
        <v/>
      </c>
      <c r="R802" s="177" t="str">
        <f>IFERROR(VLOOKUP(O802,Cadastros!A:E,5,0),"")</f>
        <v/>
      </c>
      <c r="S802" s="177" t="str">
        <f>IFERROR(VLOOKUP(O802,Cadastros!A:F,6,0),"")</f>
        <v/>
      </c>
      <c r="T802" s="177" t="str">
        <f>IFERROR(VLOOKUP(O802,Cadastros!A:I,9,0),"")</f>
        <v/>
      </c>
      <c r="U802" s="177" t="str">
        <f t="shared" ref="U802:U865" si="62">IFERROR(VLOOKUP(O802,Y$33:AB$866,3,0),"")</f>
        <v/>
      </c>
      <c r="V802" s="177" t="str">
        <f t="shared" ref="V802:V865" si="63">IFERROR(VLOOKUP(O802,Y$33:AB$866,4,0),"")</f>
        <v/>
      </c>
      <c r="W802" s="177" t="str">
        <f t="shared" ref="W802:W865" si="64">IF(COUNTIF(Y$33:Y$866,O802)=0,"",COUNTIF(Y$33:Y$866,O802))</f>
        <v/>
      </c>
      <c r="Y802" s="240" t="e">
        <f t="array" ref="Y802">INDEX(Tabela.abordagens[],SMALL(IF(Tabela.abordagens[Mês]=$L$2,ROW(Tabela.abordagens[id])-2),ROW(A755)),1)</f>
        <v>#NUM!</v>
      </c>
      <c r="Z802" s="240" t="e">
        <f t="array" ref="Z802">INDEX(Tabela.abordagens[],SMALL(IF(Tabela.abordagens[Mês]=$L$2,ROW(Tabela.abordagens[Idade])-2),ROW(A755)),6)</f>
        <v>#NUM!</v>
      </c>
      <c r="AA802" s="240" t="e">
        <f t="array" ref="AA802">INDEX(Tabela.abordagens[],SMALL(IF(Tabela.abordagens[Mês]=$L$2,ROW(Tabela.abordagens[Idade])-2),ROW(A755)),4)</f>
        <v>#NUM!</v>
      </c>
      <c r="AB802" s="240" t="e">
        <f t="array" ref="AB802">INDEX(Tabela.abordagens[],SMALL(IF(Tabela.abordagens[Mês]=$L$2,ROW(Tabela.abordagens[Idade])-2),ROW(A755)),5)</f>
        <v>#NUM!</v>
      </c>
    </row>
    <row r="803" spans="2:28" ht="15" x14ac:dyDescent="0.25">
      <c r="B803" s="223" t="e">
        <f t="array" ref="B803">INDEX(Tabela.frequencia[],SMALL(IF(Tabela.frequencia[Mês]=$L$2,ROW(Tabela.frequencia[id])-1),ROW(A756)),1)</f>
        <v>#NUM!</v>
      </c>
      <c r="C803" s="229" t="e">
        <f t="array" ref="C803">INDEX(Tabela.frequencia[],SMALL(IF(Tabela.frequencia[Mês]=$L$2,ROW(Tabela.frequencia[id])-1),ROW(A756)),4)</f>
        <v>#NUM!</v>
      </c>
      <c r="E803" s="176" t="str">
        <f>IFERROR(VLOOKUP(D803,Tabela.cadastro[[ID]:[Nome]],2,0),"")</f>
        <v/>
      </c>
      <c r="F803" s="177" t="str">
        <f>IFERROR(VLOOKUP(D803,Tabela66[#All],2,0),"")</f>
        <v/>
      </c>
      <c r="G803" s="177" t="str">
        <f>IFERROR(VLOOKUP(D803,Tabela.cadastro[[ID]:[CP ou M]],5,0),"")</f>
        <v/>
      </c>
      <c r="H803" s="177" t="str">
        <f>IFERROR(VLOOKUP(D803,Cadastros!A:F,6,0),"")</f>
        <v/>
      </c>
      <c r="I803" s="177" t="str">
        <f>IFERROR(VLOOKUP(D803,Cadastros!A:I,9,0),"")</f>
        <v/>
      </c>
      <c r="J803" s="177" t="str">
        <f>IFERROR(VLOOKUP(D803,Cadastros!A:J,10,0),"")</f>
        <v/>
      </c>
      <c r="K803" s="177" t="str">
        <f>IF(COUNTIF(Tabela66[id],D803)=0,"",COUNTIF(Tabela66[id],D803))</f>
        <v/>
      </c>
      <c r="L803" s="198"/>
      <c r="M803" s="227" t="str">
        <f t="shared" si="60"/>
        <v/>
      </c>
      <c r="P803" s="176" t="str">
        <f>IFERROR(VLOOKUP(O803,Cadastros!A:B,2),"")</f>
        <v/>
      </c>
      <c r="Q803" s="177" t="str">
        <f t="shared" si="61"/>
        <v/>
      </c>
      <c r="R803" s="177" t="str">
        <f>IFERROR(VLOOKUP(O803,Cadastros!A:E,5,0),"")</f>
        <v/>
      </c>
      <c r="S803" s="177" t="str">
        <f>IFERROR(VLOOKUP(O803,Cadastros!A:F,6,0),"")</f>
        <v/>
      </c>
      <c r="T803" s="177" t="str">
        <f>IFERROR(VLOOKUP(O803,Cadastros!A:I,9,0),"")</f>
        <v/>
      </c>
      <c r="U803" s="177" t="str">
        <f t="shared" si="62"/>
        <v/>
      </c>
      <c r="V803" s="177" t="str">
        <f t="shared" si="63"/>
        <v/>
      </c>
      <c r="W803" s="177" t="str">
        <f t="shared" si="64"/>
        <v/>
      </c>
      <c r="Y803" s="240" t="e">
        <f t="array" ref="Y803">INDEX(Tabela.abordagens[],SMALL(IF(Tabela.abordagens[Mês]=$L$2,ROW(Tabela.abordagens[id])-2),ROW(A756)),1)</f>
        <v>#NUM!</v>
      </c>
      <c r="Z803" s="240" t="e">
        <f t="array" ref="Z803">INDEX(Tabela.abordagens[],SMALL(IF(Tabela.abordagens[Mês]=$L$2,ROW(Tabela.abordagens[Idade])-2),ROW(A756)),6)</f>
        <v>#NUM!</v>
      </c>
      <c r="AA803" s="240" t="e">
        <f t="array" ref="AA803">INDEX(Tabela.abordagens[],SMALL(IF(Tabela.abordagens[Mês]=$L$2,ROW(Tabela.abordagens[Idade])-2),ROW(A756)),4)</f>
        <v>#NUM!</v>
      </c>
      <c r="AB803" s="240" t="e">
        <f t="array" ref="AB803">INDEX(Tabela.abordagens[],SMALL(IF(Tabela.abordagens[Mês]=$L$2,ROW(Tabela.abordagens[Idade])-2),ROW(A756)),5)</f>
        <v>#NUM!</v>
      </c>
    </row>
    <row r="804" spans="2:28" ht="15" x14ac:dyDescent="0.25">
      <c r="B804" s="223" t="e">
        <f t="array" ref="B804">INDEX(Tabela.frequencia[],SMALL(IF(Tabela.frequencia[Mês]=$L$2,ROW(Tabela.frequencia[id])-1),ROW(A757)),1)</f>
        <v>#NUM!</v>
      </c>
      <c r="C804" s="229" t="e">
        <f t="array" ref="C804">INDEX(Tabela.frequencia[],SMALL(IF(Tabela.frequencia[Mês]=$L$2,ROW(Tabela.frequencia[id])-1),ROW(A757)),4)</f>
        <v>#NUM!</v>
      </c>
      <c r="E804" s="176" t="str">
        <f>IFERROR(VLOOKUP(D804,Tabela.cadastro[[ID]:[Nome]],2,0),"")</f>
        <v/>
      </c>
      <c r="F804" s="177" t="str">
        <f>IFERROR(VLOOKUP(D804,Tabela66[#All],2,0),"")</f>
        <v/>
      </c>
      <c r="G804" s="177" t="str">
        <f>IFERROR(VLOOKUP(D804,Tabela.cadastro[[ID]:[CP ou M]],5,0),"")</f>
        <v/>
      </c>
      <c r="H804" s="177" t="str">
        <f>IFERROR(VLOOKUP(D804,Cadastros!A:F,6,0),"")</f>
        <v/>
      </c>
      <c r="I804" s="177" t="str">
        <f>IFERROR(VLOOKUP(D804,Cadastros!A:I,9,0),"")</f>
        <v/>
      </c>
      <c r="J804" s="177" t="str">
        <f>IFERROR(VLOOKUP(D804,Cadastros!A:J,10,0),"")</f>
        <v/>
      </c>
      <c r="K804" s="177" t="str">
        <f>IF(COUNTIF(Tabela66[id],D804)=0,"",COUNTIF(Tabela66[id],D804))</f>
        <v/>
      </c>
      <c r="L804" s="198"/>
      <c r="M804" s="227" t="str">
        <f t="shared" si="60"/>
        <v/>
      </c>
      <c r="P804" s="176" t="str">
        <f>IFERROR(VLOOKUP(O804,Cadastros!A:B,2),"")</f>
        <v/>
      </c>
      <c r="Q804" s="177" t="str">
        <f t="shared" si="61"/>
        <v/>
      </c>
      <c r="R804" s="177" t="str">
        <f>IFERROR(VLOOKUP(O804,Cadastros!A:E,5,0),"")</f>
        <v/>
      </c>
      <c r="S804" s="177" t="str">
        <f>IFERROR(VLOOKUP(O804,Cadastros!A:F,6,0),"")</f>
        <v/>
      </c>
      <c r="T804" s="177" t="str">
        <f>IFERROR(VLOOKUP(O804,Cadastros!A:I,9,0),"")</f>
        <v/>
      </c>
      <c r="U804" s="177" t="str">
        <f t="shared" si="62"/>
        <v/>
      </c>
      <c r="V804" s="177" t="str">
        <f t="shared" si="63"/>
        <v/>
      </c>
      <c r="W804" s="177" t="str">
        <f t="shared" si="64"/>
        <v/>
      </c>
      <c r="Y804" s="240" t="e">
        <f t="array" ref="Y804">INDEX(Tabela.abordagens[],SMALL(IF(Tabela.abordagens[Mês]=$L$2,ROW(Tabela.abordagens[id])-2),ROW(A757)),1)</f>
        <v>#NUM!</v>
      </c>
      <c r="Z804" s="240" t="e">
        <f t="array" ref="Z804">INDEX(Tabela.abordagens[],SMALL(IF(Tabela.abordagens[Mês]=$L$2,ROW(Tabela.abordagens[Idade])-2),ROW(A757)),6)</f>
        <v>#NUM!</v>
      </c>
      <c r="AA804" s="240" t="e">
        <f t="array" ref="AA804">INDEX(Tabela.abordagens[],SMALL(IF(Tabela.abordagens[Mês]=$L$2,ROW(Tabela.abordagens[Idade])-2),ROW(A757)),4)</f>
        <v>#NUM!</v>
      </c>
      <c r="AB804" s="240" t="e">
        <f t="array" ref="AB804">INDEX(Tabela.abordagens[],SMALL(IF(Tabela.abordagens[Mês]=$L$2,ROW(Tabela.abordagens[Idade])-2),ROW(A757)),5)</f>
        <v>#NUM!</v>
      </c>
    </row>
    <row r="805" spans="2:28" ht="15" x14ac:dyDescent="0.25">
      <c r="B805" s="223" t="e">
        <f t="array" ref="B805">INDEX(Tabela.frequencia[],SMALL(IF(Tabela.frequencia[Mês]=$L$2,ROW(Tabela.frequencia[id])-1),ROW(A758)),1)</f>
        <v>#NUM!</v>
      </c>
      <c r="C805" s="229" t="e">
        <f t="array" ref="C805">INDEX(Tabela.frequencia[],SMALL(IF(Tabela.frequencia[Mês]=$L$2,ROW(Tabela.frequencia[id])-1),ROW(A758)),4)</f>
        <v>#NUM!</v>
      </c>
      <c r="E805" s="176" t="str">
        <f>IFERROR(VLOOKUP(D805,Tabela.cadastro[[ID]:[Nome]],2,0),"")</f>
        <v/>
      </c>
      <c r="F805" s="177" t="str">
        <f>IFERROR(VLOOKUP(D805,Tabela66[#All],2,0),"")</f>
        <v/>
      </c>
      <c r="G805" s="177" t="str">
        <f>IFERROR(VLOOKUP(D805,Tabela.cadastro[[ID]:[CP ou M]],5,0),"")</f>
        <v/>
      </c>
      <c r="H805" s="177" t="str">
        <f>IFERROR(VLOOKUP(D805,Cadastros!A:F,6,0),"")</f>
        <v/>
      </c>
      <c r="I805" s="177" t="str">
        <f>IFERROR(VLOOKUP(D805,Cadastros!A:I,9,0),"")</f>
        <v/>
      </c>
      <c r="J805" s="177" t="str">
        <f>IFERROR(VLOOKUP(D805,Cadastros!A:J,10,0),"")</f>
        <v/>
      </c>
      <c r="K805" s="177" t="str">
        <f>IF(COUNTIF(Tabela66[id],D805)=0,"",COUNTIF(Tabela66[id],D805))</f>
        <v/>
      </c>
      <c r="L805" s="198"/>
      <c r="M805" s="227" t="str">
        <f t="shared" si="60"/>
        <v/>
      </c>
      <c r="P805" s="176" t="str">
        <f>IFERROR(VLOOKUP(O805,Cadastros!A:B,2),"")</f>
        <v/>
      </c>
      <c r="Q805" s="177" t="str">
        <f t="shared" si="61"/>
        <v/>
      </c>
      <c r="R805" s="177" t="str">
        <f>IFERROR(VLOOKUP(O805,Cadastros!A:E,5,0),"")</f>
        <v/>
      </c>
      <c r="S805" s="177" t="str">
        <f>IFERROR(VLOOKUP(O805,Cadastros!A:F,6,0),"")</f>
        <v/>
      </c>
      <c r="T805" s="177" t="str">
        <f>IFERROR(VLOOKUP(O805,Cadastros!A:I,9,0),"")</f>
        <v/>
      </c>
      <c r="U805" s="177" t="str">
        <f t="shared" si="62"/>
        <v/>
      </c>
      <c r="V805" s="177" t="str">
        <f t="shared" si="63"/>
        <v/>
      </c>
      <c r="W805" s="177" t="str">
        <f t="shared" si="64"/>
        <v/>
      </c>
      <c r="Y805" s="240" t="e">
        <f t="array" ref="Y805">INDEX(Tabela.abordagens[],SMALL(IF(Tabela.abordagens[Mês]=$L$2,ROW(Tabela.abordagens[id])-2),ROW(A758)),1)</f>
        <v>#NUM!</v>
      </c>
      <c r="Z805" s="240" t="e">
        <f t="array" ref="Z805">INDEX(Tabela.abordagens[],SMALL(IF(Tabela.abordagens[Mês]=$L$2,ROW(Tabela.abordagens[Idade])-2),ROW(A758)),6)</f>
        <v>#NUM!</v>
      </c>
      <c r="AA805" s="240" t="e">
        <f t="array" ref="AA805">INDEX(Tabela.abordagens[],SMALL(IF(Tabela.abordagens[Mês]=$L$2,ROW(Tabela.abordagens[Idade])-2),ROW(A758)),4)</f>
        <v>#NUM!</v>
      </c>
      <c r="AB805" s="240" t="e">
        <f t="array" ref="AB805">INDEX(Tabela.abordagens[],SMALL(IF(Tabela.abordagens[Mês]=$L$2,ROW(Tabela.abordagens[Idade])-2),ROW(A758)),5)</f>
        <v>#NUM!</v>
      </c>
    </row>
    <row r="806" spans="2:28" ht="15" x14ac:dyDescent="0.25">
      <c r="B806" s="223" t="e">
        <f t="array" ref="B806">INDEX(Tabela.frequencia[],SMALL(IF(Tabela.frequencia[Mês]=$L$2,ROW(Tabela.frequencia[id])-1),ROW(A759)),1)</f>
        <v>#NUM!</v>
      </c>
      <c r="C806" s="229" t="e">
        <f t="array" ref="C806">INDEX(Tabela.frequencia[],SMALL(IF(Tabela.frequencia[Mês]=$L$2,ROW(Tabela.frequencia[id])-1),ROW(A759)),4)</f>
        <v>#NUM!</v>
      </c>
      <c r="E806" s="176" t="str">
        <f>IFERROR(VLOOKUP(D806,Tabela.cadastro[[ID]:[Nome]],2,0),"")</f>
        <v/>
      </c>
      <c r="F806" s="177" t="str">
        <f>IFERROR(VLOOKUP(D806,Tabela66[#All],2,0),"")</f>
        <v/>
      </c>
      <c r="G806" s="177" t="str">
        <f>IFERROR(VLOOKUP(D806,Tabela.cadastro[[ID]:[CP ou M]],5,0),"")</f>
        <v/>
      </c>
      <c r="H806" s="177" t="str">
        <f>IFERROR(VLOOKUP(D806,Cadastros!A:F,6,0),"")</f>
        <v/>
      </c>
      <c r="I806" s="177" t="str">
        <f>IFERROR(VLOOKUP(D806,Cadastros!A:I,9,0),"")</f>
        <v/>
      </c>
      <c r="J806" s="177" t="str">
        <f>IFERROR(VLOOKUP(D806,Cadastros!A:J,10,0),"")</f>
        <v/>
      </c>
      <c r="K806" s="177" t="str">
        <f>IF(COUNTIF(Tabela66[id],D806)=0,"",COUNTIF(Tabela66[id],D806))</f>
        <v/>
      </c>
      <c r="L806" s="198"/>
      <c r="M806" s="227" t="str">
        <f t="shared" si="60"/>
        <v/>
      </c>
      <c r="P806" s="176" t="str">
        <f>IFERROR(VLOOKUP(O806,Cadastros!A:B,2),"")</f>
        <v/>
      </c>
      <c r="Q806" s="177" t="str">
        <f t="shared" si="61"/>
        <v/>
      </c>
      <c r="R806" s="177" t="str">
        <f>IFERROR(VLOOKUP(O806,Cadastros!A:E,5,0),"")</f>
        <v/>
      </c>
      <c r="S806" s="177" t="str">
        <f>IFERROR(VLOOKUP(O806,Cadastros!A:F,6,0),"")</f>
        <v/>
      </c>
      <c r="T806" s="177" t="str">
        <f>IFERROR(VLOOKUP(O806,Cadastros!A:I,9,0),"")</f>
        <v/>
      </c>
      <c r="U806" s="177" t="str">
        <f t="shared" si="62"/>
        <v/>
      </c>
      <c r="V806" s="177" t="str">
        <f t="shared" si="63"/>
        <v/>
      </c>
      <c r="W806" s="177" t="str">
        <f t="shared" si="64"/>
        <v/>
      </c>
      <c r="Y806" s="240" t="e">
        <f t="array" ref="Y806">INDEX(Tabela.abordagens[],SMALL(IF(Tabela.abordagens[Mês]=$L$2,ROW(Tabela.abordagens[id])-2),ROW(A759)),1)</f>
        <v>#NUM!</v>
      </c>
      <c r="Z806" s="240" t="e">
        <f t="array" ref="Z806">INDEX(Tabela.abordagens[],SMALL(IF(Tabela.abordagens[Mês]=$L$2,ROW(Tabela.abordagens[Idade])-2),ROW(A759)),6)</f>
        <v>#NUM!</v>
      </c>
      <c r="AA806" s="240" t="e">
        <f t="array" ref="AA806">INDEX(Tabela.abordagens[],SMALL(IF(Tabela.abordagens[Mês]=$L$2,ROW(Tabela.abordagens[Idade])-2),ROW(A759)),4)</f>
        <v>#NUM!</v>
      </c>
      <c r="AB806" s="240" t="e">
        <f t="array" ref="AB806">INDEX(Tabela.abordagens[],SMALL(IF(Tabela.abordagens[Mês]=$L$2,ROW(Tabela.abordagens[Idade])-2),ROW(A759)),5)</f>
        <v>#NUM!</v>
      </c>
    </row>
    <row r="807" spans="2:28" ht="15" x14ac:dyDescent="0.25">
      <c r="B807" s="223" t="e">
        <f t="array" ref="B807">INDEX(Tabela.frequencia[],SMALL(IF(Tabela.frequencia[Mês]=$L$2,ROW(Tabela.frequencia[id])-1),ROW(A760)),1)</f>
        <v>#NUM!</v>
      </c>
      <c r="C807" s="229" t="e">
        <f t="array" ref="C807">INDEX(Tabela.frequencia[],SMALL(IF(Tabela.frequencia[Mês]=$L$2,ROW(Tabela.frequencia[id])-1),ROW(A760)),4)</f>
        <v>#NUM!</v>
      </c>
      <c r="E807" s="176" t="str">
        <f>IFERROR(VLOOKUP(D807,Tabela.cadastro[[ID]:[Nome]],2,0),"")</f>
        <v/>
      </c>
      <c r="F807" s="177" t="str">
        <f>IFERROR(VLOOKUP(D807,Tabela66[#All],2,0),"")</f>
        <v/>
      </c>
      <c r="G807" s="177" t="str">
        <f>IFERROR(VLOOKUP(D807,Tabela.cadastro[[ID]:[CP ou M]],5,0),"")</f>
        <v/>
      </c>
      <c r="H807" s="177" t="str">
        <f>IFERROR(VLOOKUP(D807,Cadastros!A:F,6,0),"")</f>
        <v/>
      </c>
      <c r="I807" s="177" t="str">
        <f>IFERROR(VLOOKUP(D807,Cadastros!A:I,9,0),"")</f>
        <v/>
      </c>
      <c r="J807" s="177" t="str">
        <f>IFERROR(VLOOKUP(D807,Cadastros!A:J,10,0),"")</f>
        <v/>
      </c>
      <c r="K807" s="177" t="str">
        <f>IF(COUNTIF(Tabela66[id],D807)=0,"",COUNTIF(Tabela66[id],D807))</f>
        <v/>
      </c>
      <c r="L807" s="198"/>
      <c r="M807" s="227" t="str">
        <f t="shared" si="60"/>
        <v/>
      </c>
      <c r="P807" s="176" t="str">
        <f>IFERROR(VLOOKUP(O807,Cadastros!A:B,2),"")</f>
        <v/>
      </c>
      <c r="Q807" s="177" t="str">
        <f t="shared" si="61"/>
        <v/>
      </c>
      <c r="R807" s="177" t="str">
        <f>IFERROR(VLOOKUP(O807,Cadastros!A:E,5,0),"")</f>
        <v/>
      </c>
      <c r="S807" s="177" t="str">
        <f>IFERROR(VLOOKUP(O807,Cadastros!A:F,6,0),"")</f>
        <v/>
      </c>
      <c r="T807" s="177" t="str">
        <f>IFERROR(VLOOKUP(O807,Cadastros!A:I,9,0),"")</f>
        <v/>
      </c>
      <c r="U807" s="177" t="str">
        <f t="shared" si="62"/>
        <v/>
      </c>
      <c r="V807" s="177" t="str">
        <f t="shared" si="63"/>
        <v/>
      </c>
      <c r="W807" s="177" t="str">
        <f t="shared" si="64"/>
        <v/>
      </c>
      <c r="Y807" s="240" t="e">
        <f t="array" ref="Y807">INDEX(Tabela.abordagens[],SMALL(IF(Tabela.abordagens[Mês]=$L$2,ROW(Tabela.abordagens[id])-2),ROW(A760)),1)</f>
        <v>#NUM!</v>
      </c>
      <c r="Z807" s="240" t="e">
        <f t="array" ref="Z807">INDEX(Tabela.abordagens[],SMALL(IF(Tabela.abordagens[Mês]=$L$2,ROW(Tabela.abordagens[Idade])-2),ROW(A760)),6)</f>
        <v>#NUM!</v>
      </c>
      <c r="AA807" s="240" t="e">
        <f t="array" ref="AA807">INDEX(Tabela.abordagens[],SMALL(IF(Tabela.abordagens[Mês]=$L$2,ROW(Tabela.abordagens[Idade])-2),ROW(A760)),4)</f>
        <v>#NUM!</v>
      </c>
      <c r="AB807" s="240" t="e">
        <f t="array" ref="AB807">INDEX(Tabela.abordagens[],SMALL(IF(Tabela.abordagens[Mês]=$L$2,ROW(Tabela.abordagens[Idade])-2),ROW(A760)),5)</f>
        <v>#NUM!</v>
      </c>
    </row>
    <row r="808" spans="2:28" ht="15" x14ac:dyDescent="0.25">
      <c r="B808" s="223" t="e">
        <f t="array" ref="B808">INDEX(Tabela.frequencia[],SMALL(IF(Tabela.frequencia[Mês]=$L$2,ROW(Tabela.frequencia[id])-1),ROW(A761)),1)</f>
        <v>#NUM!</v>
      </c>
      <c r="C808" s="229" t="e">
        <f t="array" ref="C808">INDEX(Tabela.frequencia[],SMALL(IF(Tabela.frequencia[Mês]=$L$2,ROW(Tabela.frequencia[id])-1),ROW(A761)),4)</f>
        <v>#NUM!</v>
      </c>
      <c r="E808" s="176" t="str">
        <f>IFERROR(VLOOKUP(D808,Tabela.cadastro[[ID]:[Nome]],2,0),"")</f>
        <v/>
      </c>
      <c r="F808" s="177" t="str">
        <f>IFERROR(VLOOKUP(D808,Tabela66[#All],2,0),"")</f>
        <v/>
      </c>
      <c r="G808" s="177" t="str">
        <f>IFERROR(VLOOKUP(D808,Tabela.cadastro[[ID]:[CP ou M]],5,0),"")</f>
        <v/>
      </c>
      <c r="H808" s="177" t="str">
        <f>IFERROR(VLOOKUP(D808,Cadastros!A:F,6,0),"")</f>
        <v/>
      </c>
      <c r="I808" s="177" t="str">
        <f>IFERROR(VLOOKUP(D808,Cadastros!A:I,9,0),"")</f>
        <v/>
      </c>
      <c r="J808" s="177" t="str">
        <f>IFERROR(VLOOKUP(D808,Cadastros!A:J,10,0),"")</f>
        <v/>
      </c>
      <c r="K808" s="177" t="str">
        <f>IF(COUNTIF(Tabela66[id],D808)=0,"",COUNTIF(Tabela66[id],D808))</f>
        <v/>
      </c>
      <c r="L808" s="198"/>
      <c r="M808" s="227" t="str">
        <f t="shared" si="60"/>
        <v/>
      </c>
      <c r="P808" s="176" t="str">
        <f>IFERROR(VLOOKUP(O808,Cadastros!A:B,2),"")</f>
        <v/>
      </c>
      <c r="Q808" s="177" t="str">
        <f t="shared" si="61"/>
        <v/>
      </c>
      <c r="R808" s="177" t="str">
        <f>IFERROR(VLOOKUP(O808,Cadastros!A:E,5,0),"")</f>
        <v/>
      </c>
      <c r="S808" s="177" t="str">
        <f>IFERROR(VLOOKUP(O808,Cadastros!A:F,6,0),"")</f>
        <v/>
      </c>
      <c r="T808" s="177" t="str">
        <f>IFERROR(VLOOKUP(O808,Cadastros!A:I,9,0),"")</f>
        <v/>
      </c>
      <c r="U808" s="177" t="str">
        <f t="shared" si="62"/>
        <v/>
      </c>
      <c r="V808" s="177" t="str">
        <f t="shared" si="63"/>
        <v/>
      </c>
      <c r="W808" s="177" t="str">
        <f t="shared" si="64"/>
        <v/>
      </c>
      <c r="Y808" s="240" t="e">
        <f t="array" ref="Y808">INDEX(Tabela.abordagens[],SMALL(IF(Tabela.abordagens[Mês]=$L$2,ROW(Tabela.abordagens[id])-2),ROW(A761)),1)</f>
        <v>#NUM!</v>
      </c>
      <c r="Z808" s="240" t="e">
        <f t="array" ref="Z808">INDEX(Tabela.abordagens[],SMALL(IF(Tabela.abordagens[Mês]=$L$2,ROW(Tabela.abordagens[Idade])-2),ROW(A761)),6)</f>
        <v>#NUM!</v>
      </c>
      <c r="AA808" s="240" t="e">
        <f t="array" ref="AA808">INDEX(Tabela.abordagens[],SMALL(IF(Tabela.abordagens[Mês]=$L$2,ROW(Tabela.abordagens[Idade])-2),ROW(A761)),4)</f>
        <v>#NUM!</v>
      </c>
      <c r="AB808" s="240" t="e">
        <f t="array" ref="AB808">INDEX(Tabela.abordagens[],SMALL(IF(Tabela.abordagens[Mês]=$L$2,ROW(Tabela.abordagens[Idade])-2),ROW(A761)),5)</f>
        <v>#NUM!</v>
      </c>
    </row>
    <row r="809" spans="2:28" ht="15" x14ac:dyDescent="0.25">
      <c r="B809" s="223" t="e">
        <f t="array" ref="B809">INDEX(Tabela.frequencia[],SMALL(IF(Tabela.frequencia[Mês]=$L$2,ROW(Tabela.frequencia[id])-1),ROW(A762)),1)</f>
        <v>#NUM!</v>
      </c>
      <c r="C809" s="229" t="e">
        <f t="array" ref="C809">INDEX(Tabela.frequencia[],SMALL(IF(Tabela.frequencia[Mês]=$L$2,ROW(Tabela.frequencia[id])-1),ROW(A762)),4)</f>
        <v>#NUM!</v>
      </c>
      <c r="E809" s="176" t="str">
        <f>IFERROR(VLOOKUP(D809,Tabela.cadastro[[ID]:[Nome]],2,0),"")</f>
        <v/>
      </c>
      <c r="F809" s="177" t="str">
        <f>IFERROR(VLOOKUP(D809,Tabela66[#All],2,0),"")</f>
        <v/>
      </c>
      <c r="G809" s="177" t="str">
        <f>IFERROR(VLOOKUP(D809,Tabela.cadastro[[ID]:[CP ou M]],5,0),"")</f>
        <v/>
      </c>
      <c r="H809" s="177" t="str">
        <f>IFERROR(VLOOKUP(D809,Cadastros!A:F,6,0),"")</f>
        <v/>
      </c>
      <c r="I809" s="177" t="str">
        <f>IFERROR(VLOOKUP(D809,Cadastros!A:I,9,0),"")</f>
        <v/>
      </c>
      <c r="J809" s="177" t="str">
        <f>IFERROR(VLOOKUP(D809,Cadastros!A:J,10,0),"")</f>
        <v/>
      </c>
      <c r="K809" s="177" t="str">
        <f>IF(COUNTIF(Tabela66[id],D809)=0,"",COUNTIF(Tabela66[id],D809))</f>
        <v/>
      </c>
      <c r="L809" s="198"/>
      <c r="M809" s="227" t="str">
        <f t="shared" si="60"/>
        <v/>
      </c>
      <c r="P809" s="176" t="str">
        <f>IFERROR(VLOOKUP(O809,Cadastros!A:B,2),"")</f>
        <v/>
      </c>
      <c r="Q809" s="177" t="str">
        <f t="shared" si="61"/>
        <v/>
      </c>
      <c r="R809" s="177" t="str">
        <f>IFERROR(VLOOKUP(O809,Cadastros!A:E,5,0),"")</f>
        <v/>
      </c>
      <c r="S809" s="177" t="str">
        <f>IFERROR(VLOOKUP(O809,Cadastros!A:F,6,0),"")</f>
        <v/>
      </c>
      <c r="T809" s="177" t="str">
        <f>IFERROR(VLOOKUP(O809,Cadastros!A:I,9,0),"")</f>
        <v/>
      </c>
      <c r="U809" s="177" t="str">
        <f t="shared" si="62"/>
        <v/>
      </c>
      <c r="V809" s="177" t="str">
        <f t="shared" si="63"/>
        <v/>
      </c>
      <c r="W809" s="177" t="str">
        <f t="shared" si="64"/>
        <v/>
      </c>
      <c r="Y809" s="240" t="e">
        <f t="array" ref="Y809">INDEX(Tabela.abordagens[],SMALL(IF(Tabela.abordagens[Mês]=$L$2,ROW(Tabela.abordagens[id])-2),ROW(A762)),1)</f>
        <v>#NUM!</v>
      </c>
      <c r="Z809" s="240" t="e">
        <f t="array" ref="Z809">INDEX(Tabela.abordagens[],SMALL(IF(Tabela.abordagens[Mês]=$L$2,ROW(Tabela.abordagens[Idade])-2),ROW(A762)),6)</f>
        <v>#NUM!</v>
      </c>
      <c r="AA809" s="240" t="e">
        <f t="array" ref="AA809">INDEX(Tabela.abordagens[],SMALL(IF(Tabela.abordagens[Mês]=$L$2,ROW(Tabela.abordagens[Idade])-2),ROW(A762)),4)</f>
        <v>#NUM!</v>
      </c>
      <c r="AB809" s="240" t="e">
        <f t="array" ref="AB809">INDEX(Tabela.abordagens[],SMALL(IF(Tabela.abordagens[Mês]=$L$2,ROW(Tabela.abordagens[Idade])-2),ROW(A762)),5)</f>
        <v>#NUM!</v>
      </c>
    </row>
    <row r="810" spans="2:28" ht="15" x14ac:dyDescent="0.25">
      <c r="B810" s="223" t="e">
        <f t="array" ref="B810">INDEX(Tabela.frequencia[],SMALL(IF(Tabela.frequencia[Mês]=$L$2,ROW(Tabela.frequencia[id])-1),ROW(A763)),1)</f>
        <v>#NUM!</v>
      </c>
      <c r="C810" s="229" t="e">
        <f t="array" ref="C810">INDEX(Tabela.frequencia[],SMALL(IF(Tabela.frequencia[Mês]=$L$2,ROW(Tabela.frequencia[id])-1),ROW(A763)),4)</f>
        <v>#NUM!</v>
      </c>
      <c r="E810" s="176" t="str">
        <f>IFERROR(VLOOKUP(D810,Tabela.cadastro[[ID]:[Nome]],2,0),"")</f>
        <v/>
      </c>
      <c r="F810" s="177" t="str">
        <f>IFERROR(VLOOKUP(D810,Tabela66[#All],2,0),"")</f>
        <v/>
      </c>
      <c r="G810" s="177" t="str">
        <f>IFERROR(VLOOKUP(D810,Tabela.cadastro[[ID]:[CP ou M]],5,0),"")</f>
        <v/>
      </c>
      <c r="H810" s="177" t="str">
        <f>IFERROR(VLOOKUP(D810,Cadastros!A:F,6,0),"")</f>
        <v/>
      </c>
      <c r="I810" s="177" t="str">
        <f>IFERROR(VLOOKUP(D810,Cadastros!A:I,9,0),"")</f>
        <v/>
      </c>
      <c r="J810" s="177" t="str">
        <f>IFERROR(VLOOKUP(D810,Cadastros!A:J,10,0),"")</f>
        <v/>
      </c>
      <c r="K810" s="177" t="str">
        <f>IF(COUNTIF(Tabela66[id],D810)=0,"",COUNTIF(Tabela66[id],D810))</f>
        <v/>
      </c>
      <c r="L810" s="198"/>
      <c r="M810" s="227" t="str">
        <f t="shared" ref="M810:M865" si="65">IF(AND(K810:K1641&gt;=5,L810:L1641="Não"),"*","")</f>
        <v/>
      </c>
      <c r="P810" s="176" t="str">
        <f>IFERROR(VLOOKUP(O810,Cadastros!A:B,2),"")</f>
        <v/>
      </c>
      <c r="Q810" s="177" t="str">
        <f t="shared" si="61"/>
        <v/>
      </c>
      <c r="R810" s="177" t="str">
        <f>IFERROR(VLOOKUP(O810,Cadastros!A:E,5,0),"")</f>
        <v/>
      </c>
      <c r="S810" s="177" t="str">
        <f>IFERROR(VLOOKUP(O810,Cadastros!A:F,6,0),"")</f>
        <v/>
      </c>
      <c r="T810" s="177" t="str">
        <f>IFERROR(VLOOKUP(O810,Cadastros!A:I,9,0),"")</f>
        <v/>
      </c>
      <c r="U810" s="177" t="str">
        <f t="shared" si="62"/>
        <v/>
      </c>
      <c r="V810" s="177" t="str">
        <f t="shared" si="63"/>
        <v/>
      </c>
      <c r="W810" s="177" t="str">
        <f t="shared" si="64"/>
        <v/>
      </c>
      <c r="Y810" s="240" t="e">
        <f t="array" ref="Y810">INDEX(Tabela.abordagens[],SMALL(IF(Tabela.abordagens[Mês]=$L$2,ROW(Tabela.abordagens[id])-2),ROW(A763)),1)</f>
        <v>#NUM!</v>
      </c>
      <c r="Z810" s="240" t="e">
        <f t="array" ref="Z810">INDEX(Tabela.abordagens[],SMALL(IF(Tabela.abordagens[Mês]=$L$2,ROW(Tabela.abordagens[Idade])-2),ROW(A763)),6)</f>
        <v>#NUM!</v>
      </c>
      <c r="AA810" s="240" t="e">
        <f t="array" ref="AA810">INDEX(Tabela.abordagens[],SMALL(IF(Tabela.abordagens[Mês]=$L$2,ROW(Tabela.abordagens[Idade])-2),ROW(A763)),4)</f>
        <v>#NUM!</v>
      </c>
      <c r="AB810" s="240" t="e">
        <f t="array" ref="AB810">INDEX(Tabela.abordagens[],SMALL(IF(Tabela.abordagens[Mês]=$L$2,ROW(Tabela.abordagens[Idade])-2),ROW(A763)),5)</f>
        <v>#NUM!</v>
      </c>
    </row>
    <row r="811" spans="2:28" ht="15" x14ac:dyDescent="0.25">
      <c r="B811" s="223" t="e">
        <f t="array" ref="B811">INDEX(Tabela.frequencia[],SMALL(IF(Tabela.frequencia[Mês]=$L$2,ROW(Tabela.frequencia[id])-1),ROW(A764)),1)</f>
        <v>#NUM!</v>
      </c>
      <c r="C811" s="229" t="e">
        <f t="array" ref="C811">INDEX(Tabela.frequencia[],SMALL(IF(Tabela.frequencia[Mês]=$L$2,ROW(Tabela.frequencia[id])-1),ROW(A764)),4)</f>
        <v>#NUM!</v>
      </c>
      <c r="E811" s="176" t="str">
        <f>IFERROR(VLOOKUP(D811,Tabela.cadastro[[ID]:[Nome]],2,0),"")</f>
        <v/>
      </c>
      <c r="F811" s="177" t="str">
        <f>IFERROR(VLOOKUP(D811,Tabela66[#All],2,0),"")</f>
        <v/>
      </c>
      <c r="G811" s="177" t="str">
        <f>IFERROR(VLOOKUP(D811,Tabela.cadastro[[ID]:[CP ou M]],5,0),"")</f>
        <v/>
      </c>
      <c r="H811" s="177" t="str">
        <f>IFERROR(VLOOKUP(D811,Cadastros!A:F,6,0),"")</f>
        <v/>
      </c>
      <c r="I811" s="177" t="str">
        <f>IFERROR(VLOOKUP(D811,Cadastros!A:I,9,0),"")</f>
        <v/>
      </c>
      <c r="J811" s="177" t="str">
        <f>IFERROR(VLOOKUP(D811,Cadastros!A:J,10,0),"")</f>
        <v/>
      </c>
      <c r="K811" s="177" t="str">
        <f>IF(COUNTIF(Tabela66[id],D811)=0,"",COUNTIF(Tabela66[id],D811))</f>
        <v/>
      </c>
      <c r="L811" s="198"/>
      <c r="M811" s="227" t="str">
        <f t="shared" si="65"/>
        <v/>
      </c>
      <c r="P811" s="176" t="str">
        <f>IFERROR(VLOOKUP(O811,Cadastros!A:B,2),"")</f>
        <v/>
      </c>
      <c r="Q811" s="177" t="str">
        <f t="shared" si="61"/>
        <v/>
      </c>
      <c r="R811" s="177" t="str">
        <f>IFERROR(VLOOKUP(O811,Cadastros!A:E,5,0),"")</f>
        <v/>
      </c>
      <c r="S811" s="177" t="str">
        <f>IFERROR(VLOOKUP(O811,Cadastros!A:F,6,0),"")</f>
        <v/>
      </c>
      <c r="T811" s="177" t="str">
        <f>IFERROR(VLOOKUP(O811,Cadastros!A:I,9,0),"")</f>
        <v/>
      </c>
      <c r="U811" s="177" t="str">
        <f t="shared" si="62"/>
        <v/>
      </c>
      <c r="V811" s="177" t="str">
        <f t="shared" si="63"/>
        <v/>
      </c>
      <c r="W811" s="177" t="str">
        <f t="shared" si="64"/>
        <v/>
      </c>
      <c r="Y811" s="240" t="e">
        <f t="array" ref="Y811">INDEX(Tabela.abordagens[],SMALL(IF(Tabela.abordagens[Mês]=$L$2,ROW(Tabela.abordagens[id])-2),ROW(A764)),1)</f>
        <v>#NUM!</v>
      </c>
      <c r="Z811" s="240" t="e">
        <f t="array" ref="Z811">INDEX(Tabela.abordagens[],SMALL(IF(Tabela.abordagens[Mês]=$L$2,ROW(Tabela.abordagens[Idade])-2),ROW(A764)),6)</f>
        <v>#NUM!</v>
      </c>
      <c r="AA811" s="240" t="e">
        <f t="array" ref="AA811">INDEX(Tabela.abordagens[],SMALL(IF(Tabela.abordagens[Mês]=$L$2,ROW(Tabela.abordagens[Idade])-2),ROW(A764)),4)</f>
        <v>#NUM!</v>
      </c>
      <c r="AB811" s="240" t="e">
        <f t="array" ref="AB811">INDEX(Tabela.abordagens[],SMALL(IF(Tabela.abordagens[Mês]=$L$2,ROW(Tabela.abordagens[Idade])-2),ROW(A764)),5)</f>
        <v>#NUM!</v>
      </c>
    </row>
    <row r="812" spans="2:28" ht="15" x14ac:dyDescent="0.25">
      <c r="B812" s="223" t="e">
        <f t="array" ref="B812">INDEX(Tabela.frequencia[],SMALL(IF(Tabela.frequencia[Mês]=$L$2,ROW(Tabela.frequencia[id])-1),ROW(A765)),1)</f>
        <v>#NUM!</v>
      </c>
      <c r="C812" s="229" t="e">
        <f t="array" ref="C812">INDEX(Tabela.frequencia[],SMALL(IF(Tabela.frequencia[Mês]=$L$2,ROW(Tabela.frequencia[id])-1),ROW(A765)),4)</f>
        <v>#NUM!</v>
      </c>
      <c r="E812" s="176" t="str">
        <f>IFERROR(VLOOKUP(D812,Tabela.cadastro[[ID]:[Nome]],2,0),"")</f>
        <v/>
      </c>
      <c r="F812" s="177" t="str">
        <f>IFERROR(VLOOKUP(D812,Tabela66[#All],2,0),"")</f>
        <v/>
      </c>
      <c r="G812" s="177" t="str">
        <f>IFERROR(VLOOKUP(D812,Tabela.cadastro[[ID]:[CP ou M]],5,0),"")</f>
        <v/>
      </c>
      <c r="H812" s="177" t="str">
        <f>IFERROR(VLOOKUP(D812,Cadastros!A:F,6,0),"")</f>
        <v/>
      </c>
      <c r="I812" s="177" t="str">
        <f>IFERROR(VLOOKUP(D812,Cadastros!A:I,9,0),"")</f>
        <v/>
      </c>
      <c r="J812" s="177" t="str">
        <f>IFERROR(VLOOKUP(D812,Cadastros!A:J,10,0),"")</f>
        <v/>
      </c>
      <c r="K812" s="177" t="str">
        <f>IF(COUNTIF(Tabela66[id],D812)=0,"",COUNTIF(Tabela66[id],D812))</f>
        <v/>
      </c>
      <c r="L812" s="198"/>
      <c r="M812" s="227" t="str">
        <f t="shared" si="65"/>
        <v/>
      </c>
      <c r="P812" s="176" t="str">
        <f>IFERROR(VLOOKUP(O812,Cadastros!A:B,2),"")</f>
        <v/>
      </c>
      <c r="Q812" s="177" t="str">
        <f t="shared" si="61"/>
        <v/>
      </c>
      <c r="R812" s="177" t="str">
        <f>IFERROR(VLOOKUP(O812,Cadastros!A:E,5,0),"")</f>
        <v/>
      </c>
      <c r="S812" s="177" t="str">
        <f>IFERROR(VLOOKUP(O812,Cadastros!A:F,6,0),"")</f>
        <v/>
      </c>
      <c r="T812" s="177" t="str">
        <f>IFERROR(VLOOKUP(O812,Cadastros!A:I,9,0),"")</f>
        <v/>
      </c>
      <c r="U812" s="177" t="str">
        <f t="shared" si="62"/>
        <v/>
      </c>
      <c r="V812" s="177" t="str">
        <f t="shared" si="63"/>
        <v/>
      </c>
      <c r="W812" s="177" t="str">
        <f t="shared" si="64"/>
        <v/>
      </c>
      <c r="Y812" s="240" t="e">
        <f t="array" ref="Y812">INDEX(Tabela.abordagens[],SMALL(IF(Tabela.abordagens[Mês]=$L$2,ROW(Tabela.abordagens[id])-2),ROW(A765)),1)</f>
        <v>#NUM!</v>
      </c>
      <c r="Z812" s="240" t="e">
        <f t="array" ref="Z812">INDEX(Tabela.abordagens[],SMALL(IF(Tabela.abordagens[Mês]=$L$2,ROW(Tabela.abordagens[Idade])-2),ROW(A765)),6)</f>
        <v>#NUM!</v>
      </c>
      <c r="AA812" s="240" t="e">
        <f t="array" ref="AA812">INDEX(Tabela.abordagens[],SMALL(IF(Tabela.abordagens[Mês]=$L$2,ROW(Tabela.abordagens[Idade])-2),ROW(A765)),4)</f>
        <v>#NUM!</v>
      </c>
      <c r="AB812" s="240" t="e">
        <f t="array" ref="AB812">INDEX(Tabela.abordagens[],SMALL(IF(Tabela.abordagens[Mês]=$L$2,ROW(Tabela.abordagens[Idade])-2),ROW(A765)),5)</f>
        <v>#NUM!</v>
      </c>
    </row>
    <row r="813" spans="2:28" ht="15" x14ac:dyDescent="0.25">
      <c r="B813" s="223" t="e">
        <f t="array" ref="B813">INDEX(Tabela.frequencia[],SMALL(IF(Tabela.frequencia[Mês]=$L$2,ROW(Tabela.frequencia[id])-1),ROW(A766)),1)</f>
        <v>#NUM!</v>
      </c>
      <c r="C813" s="229" t="e">
        <f t="array" ref="C813">INDEX(Tabela.frequencia[],SMALL(IF(Tabela.frequencia[Mês]=$L$2,ROW(Tabela.frequencia[id])-1),ROW(A766)),4)</f>
        <v>#NUM!</v>
      </c>
      <c r="E813" s="176" t="str">
        <f>IFERROR(VLOOKUP(D813,Tabela.cadastro[[ID]:[Nome]],2,0),"")</f>
        <v/>
      </c>
      <c r="F813" s="177" t="str">
        <f>IFERROR(VLOOKUP(D813,Tabela66[#All],2,0),"")</f>
        <v/>
      </c>
      <c r="G813" s="177" t="str">
        <f>IFERROR(VLOOKUP(D813,Tabela.cadastro[[ID]:[CP ou M]],5,0),"")</f>
        <v/>
      </c>
      <c r="H813" s="177" t="str">
        <f>IFERROR(VLOOKUP(D813,Cadastros!A:F,6,0),"")</f>
        <v/>
      </c>
      <c r="I813" s="177" t="str">
        <f>IFERROR(VLOOKUP(D813,Cadastros!A:I,9,0),"")</f>
        <v/>
      </c>
      <c r="J813" s="177" t="str">
        <f>IFERROR(VLOOKUP(D813,Cadastros!A:J,10,0),"")</f>
        <v/>
      </c>
      <c r="K813" s="177" t="str">
        <f>IF(COUNTIF(Tabela66[id],D813)=0,"",COUNTIF(Tabela66[id],D813))</f>
        <v/>
      </c>
      <c r="L813" s="198"/>
      <c r="M813" s="227" t="str">
        <f t="shared" si="65"/>
        <v/>
      </c>
      <c r="P813" s="176" t="str">
        <f>IFERROR(VLOOKUP(O813,Cadastros!A:B,2),"")</f>
        <v/>
      </c>
      <c r="Q813" s="177" t="str">
        <f t="shared" si="61"/>
        <v/>
      </c>
      <c r="R813" s="177" t="str">
        <f>IFERROR(VLOOKUP(O813,Cadastros!A:E,5,0),"")</f>
        <v/>
      </c>
      <c r="S813" s="177" t="str">
        <f>IFERROR(VLOOKUP(O813,Cadastros!A:F,6,0),"")</f>
        <v/>
      </c>
      <c r="T813" s="177" t="str">
        <f>IFERROR(VLOOKUP(O813,Cadastros!A:I,9,0),"")</f>
        <v/>
      </c>
      <c r="U813" s="177" t="str">
        <f t="shared" si="62"/>
        <v/>
      </c>
      <c r="V813" s="177" t="str">
        <f t="shared" si="63"/>
        <v/>
      </c>
      <c r="W813" s="177" t="str">
        <f t="shared" si="64"/>
        <v/>
      </c>
      <c r="Y813" s="240" t="e">
        <f t="array" ref="Y813">INDEX(Tabela.abordagens[],SMALL(IF(Tabela.abordagens[Mês]=$L$2,ROW(Tabela.abordagens[id])-2),ROW(A766)),1)</f>
        <v>#NUM!</v>
      </c>
      <c r="Z813" s="240" t="e">
        <f t="array" ref="Z813">INDEX(Tabela.abordagens[],SMALL(IF(Tabela.abordagens[Mês]=$L$2,ROW(Tabela.abordagens[Idade])-2),ROW(A766)),6)</f>
        <v>#NUM!</v>
      </c>
      <c r="AA813" s="240" t="e">
        <f t="array" ref="AA813">INDEX(Tabela.abordagens[],SMALL(IF(Tabela.abordagens[Mês]=$L$2,ROW(Tabela.abordagens[Idade])-2),ROW(A766)),4)</f>
        <v>#NUM!</v>
      </c>
      <c r="AB813" s="240" t="e">
        <f t="array" ref="AB813">INDEX(Tabela.abordagens[],SMALL(IF(Tabela.abordagens[Mês]=$L$2,ROW(Tabela.abordagens[Idade])-2),ROW(A766)),5)</f>
        <v>#NUM!</v>
      </c>
    </row>
    <row r="814" spans="2:28" ht="15" x14ac:dyDescent="0.25">
      <c r="B814" s="223" t="e">
        <f t="array" ref="B814">INDEX(Tabela.frequencia[],SMALL(IF(Tabela.frequencia[Mês]=$L$2,ROW(Tabela.frequencia[id])-1),ROW(A767)),1)</f>
        <v>#NUM!</v>
      </c>
      <c r="C814" s="229" t="e">
        <f t="array" ref="C814">INDEX(Tabela.frequencia[],SMALL(IF(Tabela.frequencia[Mês]=$L$2,ROW(Tabela.frequencia[id])-1),ROW(A767)),4)</f>
        <v>#NUM!</v>
      </c>
      <c r="E814" s="176" t="str">
        <f>IFERROR(VLOOKUP(D814,Tabela.cadastro[[ID]:[Nome]],2,0),"")</f>
        <v/>
      </c>
      <c r="F814" s="177" t="str">
        <f>IFERROR(VLOOKUP(D814,Tabela66[#All],2,0),"")</f>
        <v/>
      </c>
      <c r="G814" s="177" t="str">
        <f>IFERROR(VLOOKUP(D814,Tabela.cadastro[[ID]:[CP ou M]],5,0),"")</f>
        <v/>
      </c>
      <c r="H814" s="177" t="str">
        <f>IFERROR(VLOOKUP(D814,Cadastros!A:F,6,0),"")</f>
        <v/>
      </c>
      <c r="I814" s="177" t="str">
        <f>IFERROR(VLOOKUP(D814,Cadastros!A:I,9,0),"")</f>
        <v/>
      </c>
      <c r="J814" s="177" t="str">
        <f>IFERROR(VLOOKUP(D814,Cadastros!A:J,10,0),"")</f>
        <v/>
      </c>
      <c r="K814" s="177" t="str">
        <f>IF(COUNTIF(Tabela66[id],D814)=0,"",COUNTIF(Tabela66[id],D814))</f>
        <v/>
      </c>
      <c r="L814" s="198"/>
      <c r="M814" s="227" t="str">
        <f t="shared" si="65"/>
        <v/>
      </c>
      <c r="P814" s="176" t="str">
        <f>IFERROR(VLOOKUP(O814,Cadastros!A:B,2),"")</f>
        <v/>
      </c>
      <c r="Q814" s="177" t="str">
        <f t="shared" si="61"/>
        <v/>
      </c>
      <c r="R814" s="177" t="str">
        <f>IFERROR(VLOOKUP(O814,Cadastros!A:E,5,0),"")</f>
        <v/>
      </c>
      <c r="S814" s="177" t="str">
        <f>IFERROR(VLOOKUP(O814,Cadastros!A:F,6,0),"")</f>
        <v/>
      </c>
      <c r="T814" s="177" t="str">
        <f>IFERROR(VLOOKUP(O814,Cadastros!A:I,9,0),"")</f>
        <v/>
      </c>
      <c r="U814" s="177" t="str">
        <f t="shared" si="62"/>
        <v/>
      </c>
      <c r="V814" s="177" t="str">
        <f t="shared" si="63"/>
        <v/>
      </c>
      <c r="W814" s="177" t="str">
        <f t="shared" si="64"/>
        <v/>
      </c>
      <c r="Y814" s="240" t="e">
        <f t="array" ref="Y814">INDEX(Tabela.abordagens[],SMALL(IF(Tabela.abordagens[Mês]=$L$2,ROW(Tabela.abordagens[id])-2),ROW(A767)),1)</f>
        <v>#NUM!</v>
      </c>
      <c r="Z814" s="240" t="e">
        <f t="array" ref="Z814">INDEX(Tabela.abordagens[],SMALL(IF(Tabela.abordagens[Mês]=$L$2,ROW(Tabela.abordagens[Idade])-2),ROW(A767)),6)</f>
        <v>#NUM!</v>
      </c>
      <c r="AA814" s="240" t="e">
        <f t="array" ref="AA814">INDEX(Tabela.abordagens[],SMALL(IF(Tabela.abordagens[Mês]=$L$2,ROW(Tabela.abordagens[Idade])-2),ROW(A767)),4)</f>
        <v>#NUM!</v>
      </c>
      <c r="AB814" s="240" t="e">
        <f t="array" ref="AB814">INDEX(Tabela.abordagens[],SMALL(IF(Tabela.abordagens[Mês]=$L$2,ROW(Tabela.abordagens[Idade])-2),ROW(A767)),5)</f>
        <v>#NUM!</v>
      </c>
    </row>
    <row r="815" spans="2:28" ht="15" x14ac:dyDescent="0.25">
      <c r="B815" s="223" t="e">
        <f t="array" ref="B815">INDEX(Tabela.frequencia[],SMALL(IF(Tabela.frequencia[Mês]=$L$2,ROW(Tabela.frequencia[id])-1),ROW(A768)),1)</f>
        <v>#NUM!</v>
      </c>
      <c r="C815" s="229" t="e">
        <f t="array" ref="C815">INDEX(Tabela.frequencia[],SMALL(IF(Tabela.frequencia[Mês]=$L$2,ROW(Tabela.frequencia[id])-1),ROW(A768)),4)</f>
        <v>#NUM!</v>
      </c>
      <c r="E815" s="176" t="str">
        <f>IFERROR(VLOOKUP(D815,Tabela.cadastro[[ID]:[Nome]],2,0),"")</f>
        <v/>
      </c>
      <c r="F815" s="177" t="str">
        <f>IFERROR(VLOOKUP(D815,Tabela66[#All],2,0),"")</f>
        <v/>
      </c>
      <c r="G815" s="177" t="str">
        <f>IFERROR(VLOOKUP(D815,Tabela.cadastro[[ID]:[CP ou M]],5,0),"")</f>
        <v/>
      </c>
      <c r="H815" s="177" t="str">
        <f>IFERROR(VLOOKUP(D815,Cadastros!A:F,6,0),"")</f>
        <v/>
      </c>
      <c r="I815" s="177" t="str">
        <f>IFERROR(VLOOKUP(D815,Cadastros!A:I,9,0),"")</f>
        <v/>
      </c>
      <c r="J815" s="177" t="str">
        <f>IFERROR(VLOOKUP(D815,Cadastros!A:J,10,0),"")</f>
        <v/>
      </c>
      <c r="K815" s="177" t="str">
        <f>IF(COUNTIF(Tabela66[id],D815)=0,"",COUNTIF(Tabela66[id],D815))</f>
        <v/>
      </c>
      <c r="L815" s="198"/>
      <c r="M815" s="227" t="str">
        <f t="shared" si="65"/>
        <v/>
      </c>
      <c r="P815" s="176" t="str">
        <f>IFERROR(VLOOKUP(O815,Cadastros!A:B,2),"")</f>
        <v/>
      </c>
      <c r="Q815" s="177" t="str">
        <f t="shared" si="61"/>
        <v/>
      </c>
      <c r="R815" s="177" t="str">
        <f>IFERROR(VLOOKUP(O815,Cadastros!A:E,5,0),"")</f>
        <v/>
      </c>
      <c r="S815" s="177" t="str">
        <f>IFERROR(VLOOKUP(O815,Cadastros!A:F,6,0),"")</f>
        <v/>
      </c>
      <c r="T815" s="177" t="str">
        <f>IFERROR(VLOOKUP(O815,Cadastros!A:I,9,0),"")</f>
        <v/>
      </c>
      <c r="U815" s="177" t="str">
        <f t="shared" si="62"/>
        <v/>
      </c>
      <c r="V815" s="177" t="str">
        <f t="shared" si="63"/>
        <v/>
      </c>
      <c r="W815" s="177" t="str">
        <f t="shared" si="64"/>
        <v/>
      </c>
      <c r="Y815" s="240" t="e">
        <f t="array" ref="Y815">INDEX(Tabela.abordagens[],SMALL(IF(Tabela.abordagens[Mês]=$L$2,ROW(Tabela.abordagens[id])-2),ROW(A768)),1)</f>
        <v>#NUM!</v>
      </c>
      <c r="Z815" s="240" t="e">
        <f t="array" ref="Z815">INDEX(Tabela.abordagens[],SMALL(IF(Tabela.abordagens[Mês]=$L$2,ROW(Tabela.abordagens[Idade])-2),ROW(A768)),6)</f>
        <v>#NUM!</v>
      </c>
      <c r="AA815" s="240" t="e">
        <f t="array" ref="AA815">INDEX(Tabela.abordagens[],SMALL(IF(Tabela.abordagens[Mês]=$L$2,ROW(Tabela.abordagens[Idade])-2),ROW(A768)),4)</f>
        <v>#NUM!</v>
      </c>
      <c r="AB815" s="240" t="e">
        <f t="array" ref="AB815">INDEX(Tabela.abordagens[],SMALL(IF(Tabela.abordagens[Mês]=$L$2,ROW(Tabela.abordagens[Idade])-2),ROW(A768)),5)</f>
        <v>#NUM!</v>
      </c>
    </row>
    <row r="816" spans="2:28" ht="15" x14ac:dyDescent="0.25">
      <c r="B816" s="223" t="e">
        <f t="array" ref="B816">INDEX(Tabela.frequencia[],SMALL(IF(Tabela.frequencia[Mês]=$L$2,ROW(Tabela.frequencia[id])-1),ROW(A769)),1)</f>
        <v>#NUM!</v>
      </c>
      <c r="C816" s="229" t="e">
        <f t="array" ref="C816">INDEX(Tabela.frequencia[],SMALL(IF(Tabela.frequencia[Mês]=$L$2,ROW(Tabela.frequencia[id])-1),ROW(A769)),4)</f>
        <v>#NUM!</v>
      </c>
      <c r="E816" s="176" t="str">
        <f>IFERROR(VLOOKUP(D816,Tabela.cadastro[[ID]:[Nome]],2,0),"")</f>
        <v/>
      </c>
      <c r="F816" s="177" t="str">
        <f>IFERROR(VLOOKUP(D816,Tabela66[#All],2,0),"")</f>
        <v/>
      </c>
      <c r="G816" s="177" t="str">
        <f>IFERROR(VLOOKUP(D816,Tabela.cadastro[[ID]:[CP ou M]],5,0),"")</f>
        <v/>
      </c>
      <c r="H816" s="177" t="str">
        <f>IFERROR(VLOOKUP(D816,Cadastros!A:F,6,0),"")</f>
        <v/>
      </c>
      <c r="I816" s="177" t="str">
        <f>IFERROR(VLOOKUP(D816,Cadastros!A:I,9,0),"")</f>
        <v/>
      </c>
      <c r="J816" s="177" t="str">
        <f>IFERROR(VLOOKUP(D816,Cadastros!A:J,10,0),"")</f>
        <v/>
      </c>
      <c r="K816" s="177" t="str">
        <f>IF(COUNTIF(Tabela66[id],D816)=0,"",COUNTIF(Tabela66[id],D816))</f>
        <v/>
      </c>
      <c r="L816" s="198"/>
      <c r="M816" s="227" t="str">
        <f t="shared" si="65"/>
        <v/>
      </c>
      <c r="P816" s="176" t="str">
        <f>IFERROR(VLOOKUP(O816,Cadastros!A:B,2),"")</f>
        <v/>
      </c>
      <c r="Q816" s="177" t="str">
        <f t="shared" si="61"/>
        <v/>
      </c>
      <c r="R816" s="177" t="str">
        <f>IFERROR(VLOOKUP(O816,Cadastros!A:E,5,0),"")</f>
        <v/>
      </c>
      <c r="S816" s="177" t="str">
        <f>IFERROR(VLOOKUP(O816,Cadastros!A:F,6,0),"")</f>
        <v/>
      </c>
      <c r="T816" s="177" t="str">
        <f>IFERROR(VLOOKUP(O816,Cadastros!A:I,9,0),"")</f>
        <v/>
      </c>
      <c r="U816" s="177" t="str">
        <f t="shared" si="62"/>
        <v/>
      </c>
      <c r="V816" s="177" t="str">
        <f t="shared" si="63"/>
        <v/>
      </c>
      <c r="W816" s="177" t="str">
        <f t="shared" si="64"/>
        <v/>
      </c>
      <c r="Y816" s="240" t="e">
        <f t="array" ref="Y816">INDEX(Tabela.abordagens[],SMALL(IF(Tabela.abordagens[Mês]=$L$2,ROW(Tabela.abordagens[id])-2),ROW(A769)),1)</f>
        <v>#NUM!</v>
      </c>
      <c r="Z816" s="240" t="e">
        <f t="array" ref="Z816">INDEX(Tabela.abordagens[],SMALL(IF(Tabela.abordagens[Mês]=$L$2,ROW(Tabela.abordagens[Idade])-2),ROW(A769)),6)</f>
        <v>#NUM!</v>
      </c>
      <c r="AA816" s="240" t="e">
        <f t="array" ref="AA816">INDEX(Tabela.abordagens[],SMALL(IF(Tabela.abordagens[Mês]=$L$2,ROW(Tabela.abordagens[Idade])-2),ROW(A769)),4)</f>
        <v>#NUM!</v>
      </c>
      <c r="AB816" s="240" t="e">
        <f t="array" ref="AB816">INDEX(Tabela.abordagens[],SMALL(IF(Tabela.abordagens[Mês]=$L$2,ROW(Tabela.abordagens[Idade])-2),ROW(A769)),5)</f>
        <v>#NUM!</v>
      </c>
    </row>
    <row r="817" spans="2:28" ht="15" x14ac:dyDescent="0.25">
      <c r="B817" s="223" t="e">
        <f t="array" ref="B817">INDEX(Tabela.frequencia[],SMALL(IF(Tabela.frequencia[Mês]=$L$2,ROW(Tabela.frequencia[id])-1),ROW(A770)),1)</f>
        <v>#NUM!</v>
      </c>
      <c r="C817" s="229" t="e">
        <f t="array" ref="C817">INDEX(Tabela.frequencia[],SMALL(IF(Tabela.frequencia[Mês]=$L$2,ROW(Tabela.frequencia[id])-1),ROW(A770)),4)</f>
        <v>#NUM!</v>
      </c>
      <c r="E817" s="176" t="str">
        <f>IFERROR(VLOOKUP(D817,Tabela.cadastro[[ID]:[Nome]],2,0),"")</f>
        <v/>
      </c>
      <c r="F817" s="177" t="str">
        <f>IFERROR(VLOOKUP(D817,Tabela66[#All],2,0),"")</f>
        <v/>
      </c>
      <c r="G817" s="177" t="str">
        <f>IFERROR(VLOOKUP(D817,Tabela.cadastro[[ID]:[CP ou M]],5,0),"")</f>
        <v/>
      </c>
      <c r="H817" s="177" t="str">
        <f>IFERROR(VLOOKUP(D817,Cadastros!A:F,6,0),"")</f>
        <v/>
      </c>
      <c r="I817" s="177" t="str">
        <f>IFERROR(VLOOKUP(D817,Cadastros!A:I,9,0),"")</f>
        <v/>
      </c>
      <c r="J817" s="177" t="str">
        <f>IFERROR(VLOOKUP(D817,Cadastros!A:J,10,0),"")</f>
        <v/>
      </c>
      <c r="K817" s="177" t="str">
        <f>IF(COUNTIF(Tabela66[id],D817)=0,"",COUNTIF(Tabela66[id],D817))</f>
        <v/>
      </c>
      <c r="L817" s="198"/>
      <c r="M817" s="227" t="str">
        <f t="shared" si="65"/>
        <v/>
      </c>
      <c r="P817" s="176" t="str">
        <f>IFERROR(VLOOKUP(O817,Cadastros!A:B,2),"")</f>
        <v/>
      </c>
      <c r="Q817" s="177" t="str">
        <f t="shared" si="61"/>
        <v/>
      </c>
      <c r="R817" s="177" t="str">
        <f>IFERROR(VLOOKUP(O817,Cadastros!A:E,5,0),"")</f>
        <v/>
      </c>
      <c r="S817" s="177" t="str">
        <f>IFERROR(VLOOKUP(O817,Cadastros!A:F,6,0),"")</f>
        <v/>
      </c>
      <c r="T817" s="177" t="str">
        <f>IFERROR(VLOOKUP(O817,Cadastros!A:I,9,0),"")</f>
        <v/>
      </c>
      <c r="U817" s="177" t="str">
        <f t="shared" si="62"/>
        <v/>
      </c>
      <c r="V817" s="177" t="str">
        <f t="shared" si="63"/>
        <v/>
      </c>
      <c r="W817" s="177" t="str">
        <f t="shared" si="64"/>
        <v/>
      </c>
      <c r="Y817" s="240" t="e">
        <f t="array" ref="Y817">INDEX(Tabela.abordagens[],SMALL(IF(Tabela.abordagens[Mês]=$L$2,ROW(Tabela.abordagens[id])-2),ROW(A770)),1)</f>
        <v>#NUM!</v>
      </c>
      <c r="Z817" s="240" t="e">
        <f t="array" ref="Z817">INDEX(Tabela.abordagens[],SMALL(IF(Tabela.abordagens[Mês]=$L$2,ROW(Tabela.abordagens[Idade])-2),ROW(A770)),6)</f>
        <v>#NUM!</v>
      </c>
      <c r="AA817" s="240" t="e">
        <f t="array" ref="AA817">INDEX(Tabela.abordagens[],SMALL(IF(Tabela.abordagens[Mês]=$L$2,ROW(Tabela.abordagens[Idade])-2),ROW(A770)),4)</f>
        <v>#NUM!</v>
      </c>
      <c r="AB817" s="240" t="e">
        <f t="array" ref="AB817">INDEX(Tabela.abordagens[],SMALL(IF(Tabela.abordagens[Mês]=$L$2,ROW(Tabela.abordagens[Idade])-2),ROW(A770)),5)</f>
        <v>#NUM!</v>
      </c>
    </row>
    <row r="818" spans="2:28" ht="15" x14ac:dyDescent="0.25">
      <c r="B818" s="223" t="e">
        <f t="array" ref="B818">INDEX(Tabela.frequencia[],SMALL(IF(Tabela.frequencia[Mês]=$L$2,ROW(Tabela.frequencia[id])-1),ROW(A771)),1)</f>
        <v>#NUM!</v>
      </c>
      <c r="C818" s="229" t="e">
        <f t="array" ref="C818">INDEX(Tabela.frequencia[],SMALL(IF(Tabela.frequencia[Mês]=$L$2,ROW(Tabela.frequencia[id])-1),ROW(A771)),4)</f>
        <v>#NUM!</v>
      </c>
      <c r="E818" s="176" t="str">
        <f>IFERROR(VLOOKUP(D818,Tabela.cadastro[[ID]:[Nome]],2,0),"")</f>
        <v/>
      </c>
      <c r="F818" s="177" t="str">
        <f>IFERROR(VLOOKUP(D818,Tabela66[#All],2,0),"")</f>
        <v/>
      </c>
      <c r="G818" s="177" t="str">
        <f>IFERROR(VLOOKUP(D818,Tabela.cadastro[[ID]:[CP ou M]],5,0),"")</f>
        <v/>
      </c>
      <c r="H818" s="177" t="str">
        <f>IFERROR(VLOOKUP(D818,Cadastros!A:F,6,0),"")</f>
        <v/>
      </c>
      <c r="I818" s="177" t="str">
        <f>IFERROR(VLOOKUP(D818,Cadastros!A:I,9,0),"")</f>
        <v/>
      </c>
      <c r="J818" s="177" t="str">
        <f>IFERROR(VLOOKUP(D818,Cadastros!A:J,10,0),"")</f>
        <v/>
      </c>
      <c r="K818" s="177" t="str">
        <f>IF(COUNTIF(Tabela66[id],D818)=0,"",COUNTIF(Tabela66[id],D818))</f>
        <v/>
      </c>
      <c r="L818" s="198"/>
      <c r="M818" s="227" t="str">
        <f t="shared" si="65"/>
        <v/>
      </c>
      <c r="P818" s="176" t="str">
        <f>IFERROR(VLOOKUP(O818,Cadastros!A:B,2),"")</f>
        <v/>
      </c>
      <c r="Q818" s="177" t="str">
        <f t="shared" si="61"/>
        <v/>
      </c>
      <c r="R818" s="177" t="str">
        <f>IFERROR(VLOOKUP(O818,Cadastros!A:E,5,0),"")</f>
        <v/>
      </c>
      <c r="S818" s="177" t="str">
        <f>IFERROR(VLOOKUP(O818,Cadastros!A:F,6,0),"")</f>
        <v/>
      </c>
      <c r="T818" s="177" t="str">
        <f>IFERROR(VLOOKUP(O818,Cadastros!A:I,9,0),"")</f>
        <v/>
      </c>
      <c r="U818" s="177" t="str">
        <f t="shared" si="62"/>
        <v/>
      </c>
      <c r="V818" s="177" t="str">
        <f t="shared" si="63"/>
        <v/>
      </c>
      <c r="W818" s="177" t="str">
        <f t="shared" si="64"/>
        <v/>
      </c>
      <c r="Y818" s="240" t="e">
        <f t="array" ref="Y818">INDEX(Tabela.abordagens[],SMALL(IF(Tabela.abordagens[Mês]=$L$2,ROW(Tabela.abordagens[id])-2),ROW(A771)),1)</f>
        <v>#NUM!</v>
      </c>
      <c r="Z818" s="240" t="e">
        <f t="array" ref="Z818">INDEX(Tabela.abordagens[],SMALL(IF(Tabela.abordagens[Mês]=$L$2,ROW(Tabela.abordagens[Idade])-2),ROW(A771)),6)</f>
        <v>#NUM!</v>
      </c>
      <c r="AA818" s="240" t="e">
        <f t="array" ref="AA818">INDEX(Tabela.abordagens[],SMALL(IF(Tabela.abordagens[Mês]=$L$2,ROW(Tabela.abordagens[Idade])-2),ROW(A771)),4)</f>
        <v>#NUM!</v>
      </c>
      <c r="AB818" s="240" t="e">
        <f t="array" ref="AB818">INDEX(Tabela.abordagens[],SMALL(IF(Tabela.abordagens[Mês]=$L$2,ROW(Tabela.abordagens[Idade])-2),ROW(A771)),5)</f>
        <v>#NUM!</v>
      </c>
    </row>
    <row r="819" spans="2:28" ht="15" x14ac:dyDescent="0.25">
      <c r="B819" s="223" t="e">
        <f t="array" ref="B819">INDEX(Tabela.frequencia[],SMALL(IF(Tabela.frequencia[Mês]=$L$2,ROW(Tabela.frequencia[id])-1),ROW(A772)),1)</f>
        <v>#NUM!</v>
      </c>
      <c r="C819" s="229" t="e">
        <f t="array" ref="C819">INDEX(Tabela.frequencia[],SMALL(IF(Tabela.frequencia[Mês]=$L$2,ROW(Tabela.frequencia[id])-1),ROW(A772)),4)</f>
        <v>#NUM!</v>
      </c>
      <c r="E819" s="176" t="str">
        <f>IFERROR(VLOOKUP(D819,Tabela.cadastro[[ID]:[Nome]],2,0),"")</f>
        <v/>
      </c>
      <c r="F819" s="177" t="str">
        <f>IFERROR(VLOOKUP(D819,Tabela66[#All],2,0),"")</f>
        <v/>
      </c>
      <c r="G819" s="177" t="str">
        <f>IFERROR(VLOOKUP(D819,Tabela.cadastro[[ID]:[CP ou M]],5,0),"")</f>
        <v/>
      </c>
      <c r="H819" s="177" t="str">
        <f>IFERROR(VLOOKUP(D819,Cadastros!A:F,6,0),"")</f>
        <v/>
      </c>
      <c r="I819" s="177" t="str">
        <f>IFERROR(VLOOKUP(D819,Cadastros!A:I,9,0),"")</f>
        <v/>
      </c>
      <c r="J819" s="177" t="str">
        <f>IFERROR(VLOOKUP(D819,Cadastros!A:J,10,0),"")</f>
        <v/>
      </c>
      <c r="K819" s="177" t="str">
        <f>IF(COUNTIF(Tabela66[id],D819)=0,"",COUNTIF(Tabela66[id],D819))</f>
        <v/>
      </c>
      <c r="L819" s="198"/>
      <c r="M819" s="227" t="str">
        <f t="shared" si="65"/>
        <v/>
      </c>
      <c r="P819" s="176" t="str">
        <f>IFERROR(VLOOKUP(O819,Cadastros!A:B,2),"")</f>
        <v/>
      </c>
      <c r="Q819" s="177" t="str">
        <f t="shared" si="61"/>
        <v/>
      </c>
      <c r="R819" s="177" t="str">
        <f>IFERROR(VLOOKUP(O819,Cadastros!A:E,5,0),"")</f>
        <v/>
      </c>
      <c r="S819" s="177" t="str">
        <f>IFERROR(VLOOKUP(O819,Cadastros!A:F,6,0),"")</f>
        <v/>
      </c>
      <c r="T819" s="177" t="str">
        <f>IFERROR(VLOOKUP(O819,Cadastros!A:I,9,0),"")</f>
        <v/>
      </c>
      <c r="U819" s="177" t="str">
        <f t="shared" si="62"/>
        <v/>
      </c>
      <c r="V819" s="177" t="str">
        <f t="shared" si="63"/>
        <v/>
      </c>
      <c r="W819" s="177" t="str">
        <f t="shared" si="64"/>
        <v/>
      </c>
      <c r="Y819" s="240" t="e">
        <f t="array" ref="Y819">INDEX(Tabela.abordagens[],SMALL(IF(Tabela.abordagens[Mês]=$L$2,ROW(Tabela.abordagens[id])-2),ROW(A772)),1)</f>
        <v>#NUM!</v>
      </c>
      <c r="Z819" s="240" t="e">
        <f t="array" ref="Z819">INDEX(Tabela.abordagens[],SMALL(IF(Tabela.abordagens[Mês]=$L$2,ROW(Tabela.abordagens[Idade])-2),ROW(A772)),6)</f>
        <v>#NUM!</v>
      </c>
      <c r="AA819" s="240" t="e">
        <f t="array" ref="AA819">INDEX(Tabela.abordagens[],SMALL(IF(Tabela.abordagens[Mês]=$L$2,ROW(Tabela.abordagens[Idade])-2),ROW(A772)),4)</f>
        <v>#NUM!</v>
      </c>
      <c r="AB819" s="240" t="e">
        <f t="array" ref="AB819">INDEX(Tabela.abordagens[],SMALL(IF(Tabela.abordagens[Mês]=$L$2,ROW(Tabela.abordagens[Idade])-2),ROW(A772)),5)</f>
        <v>#NUM!</v>
      </c>
    </row>
    <row r="820" spans="2:28" ht="15" x14ac:dyDescent="0.25">
      <c r="B820" s="223" t="e">
        <f t="array" ref="B820">INDEX(Tabela.frequencia[],SMALL(IF(Tabela.frequencia[Mês]=$L$2,ROW(Tabela.frequencia[id])-1),ROW(A773)),1)</f>
        <v>#NUM!</v>
      </c>
      <c r="C820" s="229" t="e">
        <f t="array" ref="C820">INDEX(Tabela.frequencia[],SMALL(IF(Tabela.frequencia[Mês]=$L$2,ROW(Tabela.frequencia[id])-1),ROW(A773)),4)</f>
        <v>#NUM!</v>
      </c>
      <c r="E820" s="176" t="str">
        <f>IFERROR(VLOOKUP(D820,Tabela.cadastro[[ID]:[Nome]],2,0),"")</f>
        <v/>
      </c>
      <c r="F820" s="177" t="str">
        <f>IFERROR(VLOOKUP(D820,Tabela66[#All],2,0),"")</f>
        <v/>
      </c>
      <c r="G820" s="177" t="str">
        <f>IFERROR(VLOOKUP(D820,Tabela.cadastro[[ID]:[CP ou M]],5,0),"")</f>
        <v/>
      </c>
      <c r="H820" s="177" t="str">
        <f>IFERROR(VLOOKUP(D820,Cadastros!A:F,6,0),"")</f>
        <v/>
      </c>
      <c r="I820" s="177" t="str">
        <f>IFERROR(VLOOKUP(D820,Cadastros!A:I,9,0),"")</f>
        <v/>
      </c>
      <c r="J820" s="177" t="str">
        <f>IFERROR(VLOOKUP(D820,Cadastros!A:J,10,0),"")</f>
        <v/>
      </c>
      <c r="K820" s="177" t="str">
        <f>IF(COUNTIF(Tabela66[id],D820)=0,"",COUNTIF(Tabela66[id],D820))</f>
        <v/>
      </c>
      <c r="L820" s="198"/>
      <c r="M820" s="227" t="str">
        <f t="shared" si="65"/>
        <v/>
      </c>
      <c r="P820" s="176" t="str">
        <f>IFERROR(VLOOKUP(O820,Cadastros!A:B,2),"")</f>
        <v/>
      </c>
      <c r="Q820" s="177" t="str">
        <f t="shared" si="61"/>
        <v/>
      </c>
      <c r="R820" s="177" t="str">
        <f>IFERROR(VLOOKUP(O820,Cadastros!A:E,5,0),"")</f>
        <v/>
      </c>
      <c r="S820" s="177" t="str">
        <f>IFERROR(VLOOKUP(O820,Cadastros!A:F,6,0),"")</f>
        <v/>
      </c>
      <c r="T820" s="177" t="str">
        <f>IFERROR(VLOOKUP(O820,Cadastros!A:I,9,0),"")</f>
        <v/>
      </c>
      <c r="U820" s="177" t="str">
        <f t="shared" si="62"/>
        <v/>
      </c>
      <c r="V820" s="177" t="str">
        <f t="shared" si="63"/>
        <v/>
      </c>
      <c r="W820" s="177" t="str">
        <f t="shared" si="64"/>
        <v/>
      </c>
      <c r="Y820" s="240" t="e">
        <f t="array" ref="Y820">INDEX(Tabela.abordagens[],SMALL(IF(Tabela.abordagens[Mês]=$L$2,ROW(Tabela.abordagens[id])-2),ROW(A773)),1)</f>
        <v>#NUM!</v>
      </c>
      <c r="Z820" s="240" t="e">
        <f t="array" ref="Z820">INDEX(Tabela.abordagens[],SMALL(IF(Tabela.abordagens[Mês]=$L$2,ROW(Tabela.abordagens[Idade])-2),ROW(A773)),6)</f>
        <v>#NUM!</v>
      </c>
      <c r="AA820" s="240" t="e">
        <f t="array" ref="AA820">INDEX(Tabela.abordagens[],SMALL(IF(Tabela.abordagens[Mês]=$L$2,ROW(Tabela.abordagens[Idade])-2),ROW(A773)),4)</f>
        <v>#NUM!</v>
      </c>
      <c r="AB820" s="240" t="e">
        <f t="array" ref="AB820">INDEX(Tabela.abordagens[],SMALL(IF(Tabela.abordagens[Mês]=$L$2,ROW(Tabela.abordagens[Idade])-2),ROW(A773)),5)</f>
        <v>#NUM!</v>
      </c>
    </row>
    <row r="821" spans="2:28" ht="15" x14ac:dyDescent="0.25">
      <c r="B821" s="223" t="e">
        <f t="array" ref="B821">INDEX(Tabela.frequencia[],SMALL(IF(Tabela.frequencia[Mês]=$L$2,ROW(Tabela.frequencia[id])-1),ROW(A774)),1)</f>
        <v>#NUM!</v>
      </c>
      <c r="C821" s="229" t="e">
        <f t="array" ref="C821">INDEX(Tabela.frequencia[],SMALL(IF(Tabela.frequencia[Mês]=$L$2,ROW(Tabela.frequencia[id])-1),ROW(A774)),4)</f>
        <v>#NUM!</v>
      </c>
      <c r="E821" s="176" t="str">
        <f>IFERROR(VLOOKUP(D821,Tabela.cadastro[[ID]:[Nome]],2,0),"")</f>
        <v/>
      </c>
      <c r="F821" s="177" t="str">
        <f>IFERROR(VLOOKUP(D821,Tabela66[#All],2,0),"")</f>
        <v/>
      </c>
      <c r="G821" s="177" t="str">
        <f>IFERROR(VLOOKUP(D821,Tabela.cadastro[[ID]:[CP ou M]],5,0),"")</f>
        <v/>
      </c>
      <c r="H821" s="177" t="str">
        <f>IFERROR(VLOOKUP(D821,Cadastros!A:F,6,0),"")</f>
        <v/>
      </c>
      <c r="I821" s="177" t="str">
        <f>IFERROR(VLOOKUP(D821,Cadastros!A:I,9,0),"")</f>
        <v/>
      </c>
      <c r="J821" s="177" t="str">
        <f>IFERROR(VLOOKUP(D821,Cadastros!A:J,10,0),"")</f>
        <v/>
      </c>
      <c r="K821" s="177" t="str">
        <f>IF(COUNTIF(Tabela66[id],D821)=0,"",COUNTIF(Tabela66[id],D821))</f>
        <v/>
      </c>
      <c r="L821" s="198"/>
      <c r="M821" s="227" t="str">
        <f t="shared" si="65"/>
        <v/>
      </c>
      <c r="P821" s="176" t="str">
        <f>IFERROR(VLOOKUP(O821,Cadastros!A:B,2),"")</f>
        <v/>
      </c>
      <c r="Q821" s="177" t="str">
        <f t="shared" si="61"/>
        <v/>
      </c>
      <c r="R821" s="177" t="str">
        <f>IFERROR(VLOOKUP(O821,Cadastros!A:E,5,0),"")</f>
        <v/>
      </c>
      <c r="S821" s="177" t="str">
        <f>IFERROR(VLOOKUP(O821,Cadastros!A:F,6,0),"")</f>
        <v/>
      </c>
      <c r="T821" s="177" t="str">
        <f>IFERROR(VLOOKUP(O821,Cadastros!A:I,9,0),"")</f>
        <v/>
      </c>
      <c r="U821" s="177" t="str">
        <f t="shared" si="62"/>
        <v/>
      </c>
      <c r="V821" s="177" t="str">
        <f t="shared" si="63"/>
        <v/>
      </c>
      <c r="W821" s="177" t="str">
        <f t="shared" si="64"/>
        <v/>
      </c>
      <c r="Y821" s="240" t="e">
        <f t="array" ref="Y821">INDEX(Tabela.abordagens[],SMALL(IF(Tabela.abordagens[Mês]=$L$2,ROW(Tabela.abordagens[id])-2),ROW(A774)),1)</f>
        <v>#NUM!</v>
      </c>
      <c r="Z821" s="240" t="e">
        <f t="array" ref="Z821">INDEX(Tabela.abordagens[],SMALL(IF(Tabela.abordagens[Mês]=$L$2,ROW(Tabela.abordagens[Idade])-2),ROW(A774)),6)</f>
        <v>#NUM!</v>
      </c>
      <c r="AA821" s="240" t="e">
        <f t="array" ref="AA821">INDEX(Tabela.abordagens[],SMALL(IF(Tabela.abordagens[Mês]=$L$2,ROW(Tabela.abordagens[Idade])-2),ROW(A774)),4)</f>
        <v>#NUM!</v>
      </c>
      <c r="AB821" s="240" t="e">
        <f t="array" ref="AB821">INDEX(Tabela.abordagens[],SMALL(IF(Tabela.abordagens[Mês]=$L$2,ROW(Tabela.abordagens[Idade])-2),ROW(A774)),5)</f>
        <v>#NUM!</v>
      </c>
    </row>
    <row r="822" spans="2:28" ht="15" x14ac:dyDescent="0.25">
      <c r="B822" s="223" t="e">
        <f t="array" ref="B822">INDEX(Tabela.frequencia[],SMALL(IF(Tabela.frequencia[Mês]=$L$2,ROW(Tabela.frequencia[id])-1),ROW(A775)),1)</f>
        <v>#NUM!</v>
      </c>
      <c r="C822" s="229" t="e">
        <f t="array" ref="C822">INDEX(Tabela.frequencia[],SMALL(IF(Tabela.frequencia[Mês]=$L$2,ROW(Tabela.frequencia[id])-1),ROW(A775)),4)</f>
        <v>#NUM!</v>
      </c>
      <c r="E822" s="176" t="str">
        <f>IFERROR(VLOOKUP(D822,Tabela.cadastro[[ID]:[Nome]],2,0),"")</f>
        <v/>
      </c>
      <c r="F822" s="177" t="str">
        <f>IFERROR(VLOOKUP(D822,Tabela66[#All],2,0),"")</f>
        <v/>
      </c>
      <c r="G822" s="177" t="str">
        <f>IFERROR(VLOOKUP(D822,Tabela.cadastro[[ID]:[CP ou M]],5,0),"")</f>
        <v/>
      </c>
      <c r="H822" s="177" t="str">
        <f>IFERROR(VLOOKUP(D822,Cadastros!A:F,6,0),"")</f>
        <v/>
      </c>
      <c r="I822" s="177" t="str">
        <f>IFERROR(VLOOKUP(D822,Cadastros!A:I,9,0),"")</f>
        <v/>
      </c>
      <c r="J822" s="177" t="str">
        <f>IFERROR(VLOOKUP(D822,Cadastros!A:J,10,0),"")</f>
        <v/>
      </c>
      <c r="K822" s="177" t="str">
        <f>IF(COUNTIF(Tabela66[id],D822)=0,"",COUNTIF(Tabela66[id],D822))</f>
        <v/>
      </c>
      <c r="L822" s="198"/>
      <c r="M822" s="227" t="str">
        <f t="shared" si="65"/>
        <v/>
      </c>
      <c r="P822" s="176" t="str">
        <f>IFERROR(VLOOKUP(O822,Cadastros!A:B,2),"")</f>
        <v/>
      </c>
      <c r="Q822" s="177" t="str">
        <f t="shared" si="61"/>
        <v/>
      </c>
      <c r="R822" s="177" t="str">
        <f>IFERROR(VLOOKUP(O822,Cadastros!A:E,5,0),"")</f>
        <v/>
      </c>
      <c r="S822" s="177" t="str">
        <f>IFERROR(VLOOKUP(O822,Cadastros!A:F,6,0),"")</f>
        <v/>
      </c>
      <c r="T822" s="177" t="str">
        <f>IFERROR(VLOOKUP(O822,Cadastros!A:I,9,0),"")</f>
        <v/>
      </c>
      <c r="U822" s="177" t="str">
        <f t="shared" si="62"/>
        <v/>
      </c>
      <c r="V822" s="177" t="str">
        <f t="shared" si="63"/>
        <v/>
      </c>
      <c r="W822" s="177" t="str">
        <f t="shared" si="64"/>
        <v/>
      </c>
      <c r="Y822" s="240" t="e">
        <f t="array" ref="Y822">INDEX(Tabela.abordagens[],SMALL(IF(Tabela.abordagens[Mês]=$L$2,ROW(Tabela.abordagens[id])-2),ROW(A775)),1)</f>
        <v>#NUM!</v>
      </c>
      <c r="Z822" s="240" t="e">
        <f t="array" ref="Z822">INDEX(Tabela.abordagens[],SMALL(IF(Tabela.abordagens[Mês]=$L$2,ROW(Tabela.abordagens[Idade])-2),ROW(A775)),6)</f>
        <v>#NUM!</v>
      </c>
      <c r="AA822" s="240" t="e">
        <f t="array" ref="AA822">INDEX(Tabela.abordagens[],SMALL(IF(Tabela.abordagens[Mês]=$L$2,ROW(Tabela.abordagens[Idade])-2),ROW(A775)),4)</f>
        <v>#NUM!</v>
      </c>
      <c r="AB822" s="240" t="e">
        <f t="array" ref="AB822">INDEX(Tabela.abordagens[],SMALL(IF(Tabela.abordagens[Mês]=$L$2,ROW(Tabela.abordagens[Idade])-2),ROW(A775)),5)</f>
        <v>#NUM!</v>
      </c>
    </row>
    <row r="823" spans="2:28" ht="15" x14ac:dyDescent="0.25">
      <c r="B823" s="223" t="e">
        <f t="array" ref="B823">INDEX(Tabela.frequencia[],SMALL(IF(Tabela.frequencia[Mês]=$L$2,ROW(Tabela.frequencia[id])-1),ROW(A776)),1)</f>
        <v>#NUM!</v>
      </c>
      <c r="C823" s="229" t="e">
        <f t="array" ref="C823">INDEX(Tabela.frequencia[],SMALL(IF(Tabela.frequencia[Mês]=$L$2,ROW(Tabela.frequencia[id])-1),ROW(A776)),4)</f>
        <v>#NUM!</v>
      </c>
      <c r="E823" s="176" t="str">
        <f>IFERROR(VLOOKUP(D823,Tabela.cadastro[[ID]:[Nome]],2,0),"")</f>
        <v/>
      </c>
      <c r="F823" s="177" t="str">
        <f>IFERROR(VLOOKUP(D823,Tabela66[#All],2,0),"")</f>
        <v/>
      </c>
      <c r="G823" s="177" t="str">
        <f>IFERROR(VLOOKUP(D823,Tabela.cadastro[[ID]:[CP ou M]],5,0),"")</f>
        <v/>
      </c>
      <c r="H823" s="177" t="str">
        <f>IFERROR(VLOOKUP(D823,Cadastros!A:F,6,0),"")</f>
        <v/>
      </c>
      <c r="I823" s="177" t="str">
        <f>IFERROR(VLOOKUP(D823,Cadastros!A:I,9,0),"")</f>
        <v/>
      </c>
      <c r="J823" s="177" t="str">
        <f>IFERROR(VLOOKUP(D823,Cadastros!A:J,10,0),"")</f>
        <v/>
      </c>
      <c r="K823" s="177" t="str">
        <f>IF(COUNTIF(Tabela66[id],D823)=0,"",COUNTIF(Tabela66[id],D823))</f>
        <v/>
      </c>
      <c r="L823" s="198"/>
      <c r="M823" s="227" t="str">
        <f t="shared" si="65"/>
        <v/>
      </c>
      <c r="P823" s="176" t="str">
        <f>IFERROR(VLOOKUP(O823,Cadastros!A:B,2),"")</f>
        <v/>
      </c>
      <c r="Q823" s="177" t="str">
        <f t="shared" si="61"/>
        <v/>
      </c>
      <c r="R823" s="177" t="str">
        <f>IFERROR(VLOOKUP(O823,Cadastros!A:E,5,0),"")</f>
        <v/>
      </c>
      <c r="S823" s="177" t="str">
        <f>IFERROR(VLOOKUP(O823,Cadastros!A:F,6,0),"")</f>
        <v/>
      </c>
      <c r="T823" s="177" t="str">
        <f>IFERROR(VLOOKUP(O823,Cadastros!A:I,9,0),"")</f>
        <v/>
      </c>
      <c r="U823" s="177" t="str">
        <f t="shared" si="62"/>
        <v/>
      </c>
      <c r="V823" s="177" t="str">
        <f t="shared" si="63"/>
        <v/>
      </c>
      <c r="W823" s="177" t="str">
        <f t="shared" si="64"/>
        <v/>
      </c>
      <c r="Y823" s="240" t="e">
        <f t="array" ref="Y823">INDEX(Tabela.abordagens[],SMALL(IF(Tabela.abordagens[Mês]=$L$2,ROW(Tabela.abordagens[id])-2),ROW(A776)),1)</f>
        <v>#NUM!</v>
      </c>
      <c r="Z823" s="240" t="e">
        <f t="array" ref="Z823">INDEX(Tabela.abordagens[],SMALL(IF(Tabela.abordagens[Mês]=$L$2,ROW(Tabela.abordagens[Idade])-2),ROW(A776)),6)</f>
        <v>#NUM!</v>
      </c>
      <c r="AA823" s="240" t="e">
        <f t="array" ref="AA823">INDEX(Tabela.abordagens[],SMALL(IF(Tabela.abordagens[Mês]=$L$2,ROW(Tabela.abordagens[Idade])-2),ROW(A776)),4)</f>
        <v>#NUM!</v>
      </c>
      <c r="AB823" s="240" t="e">
        <f t="array" ref="AB823">INDEX(Tabela.abordagens[],SMALL(IF(Tabela.abordagens[Mês]=$L$2,ROW(Tabela.abordagens[Idade])-2),ROW(A776)),5)</f>
        <v>#NUM!</v>
      </c>
    </row>
    <row r="824" spans="2:28" ht="15" x14ac:dyDescent="0.25">
      <c r="B824" s="223" t="e">
        <f t="array" ref="B824">INDEX(Tabela.frequencia[],SMALL(IF(Tabela.frequencia[Mês]=$L$2,ROW(Tabela.frequencia[id])-1),ROW(A777)),1)</f>
        <v>#NUM!</v>
      </c>
      <c r="C824" s="229" t="e">
        <f t="array" ref="C824">INDEX(Tabela.frequencia[],SMALL(IF(Tabela.frequencia[Mês]=$L$2,ROW(Tabela.frequencia[id])-1),ROW(A777)),4)</f>
        <v>#NUM!</v>
      </c>
      <c r="E824" s="176" t="str">
        <f>IFERROR(VLOOKUP(D824,Tabela.cadastro[[ID]:[Nome]],2,0),"")</f>
        <v/>
      </c>
      <c r="F824" s="177" t="str">
        <f>IFERROR(VLOOKUP(D824,Tabela66[#All],2,0),"")</f>
        <v/>
      </c>
      <c r="G824" s="177" t="str">
        <f>IFERROR(VLOOKUP(D824,Tabela.cadastro[[ID]:[CP ou M]],5,0),"")</f>
        <v/>
      </c>
      <c r="H824" s="177" t="str">
        <f>IFERROR(VLOOKUP(D824,Cadastros!A:F,6,0),"")</f>
        <v/>
      </c>
      <c r="I824" s="177" t="str">
        <f>IFERROR(VLOOKUP(D824,Cadastros!A:I,9,0),"")</f>
        <v/>
      </c>
      <c r="J824" s="177" t="str">
        <f>IFERROR(VLOOKUP(D824,Cadastros!A:J,10,0),"")</f>
        <v/>
      </c>
      <c r="K824" s="177" t="str">
        <f>IF(COUNTIF(Tabela66[id],D824)=0,"",COUNTIF(Tabela66[id],D824))</f>
        <v/>
      </c>
      <c r="L824" s="198"/>
      <c r="M824" s="227" t="str">
        <f t="shared" si="65"/>
        <v/>
      </c>
      <c r="P824" s="176" t="str">
        <f>IFERROR(VLOOKUP(O824,Cadastros!A:B,2),"")</f>
        <v/>
      </c>
      <c r="Q824" s="177" t="str">
        <f t="shared" si="61"/>
        <v/>
      </c>
      <c r="R824" s="177" t="str">
        <f>IFERROR(VLOOKUP(O824,Cadastros!A:E,5,0),"")</f>
        <v/>
      </c>
      <c r="S824" s="177" t="str">
        <f>IFERROR(VLOOKUP(O824,Cadastros!A:F,6,0),"")</f>
        <v/>
      </c>
      <c r="T824" s="177" t="str">
        <f>IFERROR(VLOOKUP(O824,Cadastros!A:I,9,0),"")</f>
        <v/>
      </c>
      <c r="U824" s="177" t="str">
        <f t="shared" si="62"/>
        <v/>
      </c>
      <c r="V824" s="177" t="str">
        <f t="shared" si="63"/>
        <v/>
      </c>
      <c r="W824" s="177" t="str">
        <f t="shared" si="64"/>
        <v/>
      </c>
      <c r="Y824" s="240" t="e">
        <f t="array" ref="Y824">INDEX(Tabela.abordagens[],SMALL(IF(Tabela.abordagens[Mês]=$L$2,ROW(Tabela.abordagens[id])-2),ROW(A777)),1)</f>
        <v>#NUM!</v>
      </c>
      <c r="Z824" s="240" t="e">
        <f t="array" ref="Z824">INDEX(Tabela.abordagens[],SMALL(IF(Tabela.abordagens[Mês]=$L$2,ROW(Tabela.abordagens[Idade])-2),ROW(A777)),6)</f>
        <v>#NUM!</v>
      </c>
      <c r="AA824" s="240" t="e">
        <f t="array" ref="AA824">INDEX(Tabela.abordagens[],SMALL(IF(Tabela.abordagens[Mês]=$L$2,ROW(Tabela.abordagens[Idade])-2),ROW(A777)),4)</f>
        <v>#NUM!</v>
      </c>
      <c r="AB824" s="240" t="e">
        <f t="array" ref="AB824">INDEX(Tabela.abordagens[],SMALL(IF(Tabela.abordagens[Mês]=$L$2,ROW(Tabela.abordagens[Idade])-2),ROW(A777)),5)</f>
        <v>#NUM!</v>
      </c>
    </row>
    <row r="825" spans="2:28" ht="15" x14ac:dyDescent="0.25">
      <c r="B825" s="223" t="e">
        <f t="array" ref="B825">INDEX(Tabela.frequencia[],SMALL(IF(Tabela.frequencia[Mês]=$L$2,ROW(Tabela.frequencia[id])-1),ROW(A778)),1)</f>
        <v>#NUM!</v>
      </c>
      <c r="C825" s="229" t="e">
        <f t="array" ref="C825">INDEX(Tabela.frequencia[],SMALL(IF(Tabela.frequencia[Mês]=$L$2,ROW(Tabela.frequencia[id])-1),ROW(A778)),4)</f>
        <v>#NUM!</v>
      </c>
      <c r="E825" s="176" t="str">
        <f>IFERROR(VLOOKUP(D825,Tabela.cadastro[[ID]:[Nome]],2,0),"")</f>
        <v/>
      </c>
      <c r="F825" s="177" t="str">
        <f>IFERROR(VLOOKUP(D825,Tabela66[#All],2,0),"")</f>
        <v/>
      </c>
      <c r="G825" s="177" t="str">
        <f>IFERROR(VLOOKUP(D825,Tabela.cadastro[[ID]:[CP ou M]],5,0),"")</f>
        <v/>
      </c>
      <c r="H825" s="177" t="str">
        <f>IFERROR(VLOOKUP(D825,Cadastros!A:F,6,0),"")</f>
        <v/>
      </c>
      <c r="I825" s="177" t="str">
        <f>IFERROR(VLOOKUP(D825,Cadastros!A:I,9,0),"")</f>
        <v/>
      </c>
      <c r="J825" s="177" t="str">
        <f>IFERROR(VLOOKUP(D825,Cadastros!A:J,10,0),"")</f>
        <v/>
      </c>
      <c r="K825" s="177" t="str">
        <f>IF(COUNTIF(Tabela66[id],D825)=0,"",COUNTIF(Tabela66[id],D825))</f>
        <v/>
      </c>
      <c r="L825" s="198"/>
      <c r="M825" s="227" t="str">
        <f t="shared" si="65"/>
        <v/>
      </c>
      <c r="P825" s="176" t="str">
        <f>IFERROR(VLOOKUP(O825,Cadastros!A:B,2),"")</f>
        <v/>
      </c>
      <c r="Q825" s="177" t="str">
        <f t="shared" si="61"/>
        <v/>
      </c>
      <c r="R825" s="177" t="str">
        <f>IFERROR(VLOOKUP(O825,Cadastros!A:E,5,0),"")</f>
        <v/>
      </c>
      <c r="S825" s="177" t="str">
        <f>IFERROR(VLOOKUP(O825,Cadastros!A:F,6,0),"")</f>
        <v/>
      </c>
      <c r="T825" s="177" t="str">
        <f>IFERROR(VLOOKUP(O825,Cadastros!A:I,9,0),"")</f>
        <v/>
      </c>
      <c r="U825" s="177" t="str">
        <f t="shared" si="62"/>
        <v/>
      </c>
      <c r="V825" s="177" t="str">
        <f t="shared" si="63"/>
        <v/>
      </c>
      <c r="W825" s="177" t="str">
        <f t="shared" si="64"/>
        <v/>
      </c>
      <c r="Y825" s="240" t="e">
        <f t="array" ref="Y825">INDEX(Tabela.abordagens[],SMALL(IF(Tabela.abordagens[Mês]=$L$2,ROW(Tabela.abordagens[id])-2),ROW(A778)),1)</f>
        <v>#NUM!</v>
      </c>
      <c r="Z825" s="240" t="e">
        <f t="array" ref="Z825">INDEX(Tabela.abordagens[],SMALL(IF(Tabela.abordagens[Mês]=$L$2,ROW(Tabela.abordagens[Idade])-2),ROW(A778)),6)</f>
        <v>#NUM!</v>
      </c>
      <c r="AA825" s="240" t="e">
        <f t="array" ref="AA825">INDEX(Tabela.abordagens[],SMALL(IF(Tabela.abordagens[Mês]=$L$2,ROW(Tabela.abordagens[Idade])-2),ROW(A778)),4)</f>
        <v>#NUM!</v>
      </c>
      <c r="AB825" s="240" t="e">
        <f t="array" ref="AB825">INDEX(Tabela.abordagens[],SMALL(IF(Tabela.abordagens[Mês]=$L$2,ROW(Tabela.abordagens[Idade])-2),ROW(A778)),5)</f>
        <v>#NUM!</v>
      </c>
    </row>
    <row r="826" spans="2:28" ht="15" x14ac:dyDescent="0.25">
      <c r="B826" s="223" t="e">
        <f t="array" ref="B826">INDEX(Tabela.frequencia[],SMALL(IF(Tabela.frequencia[Mês]=$L$2,ROW(Tabela.frequencia[id])-1),ROW(A779)),1)</f>
        <v>#NUM!</v>
      </c>
      <c r="C826" s="229" t="e">
        <f t="array" ref="C826">INDEX(Tabela.frequencia[],SMALL(IF(Tabela.frequencia[Mês]=$L$2,ROW(Tabela.frequencia[id])-1),ROW(A779)),4)</f>
        <v>#NUM!</v>
      </c>
      <c r="E826" s="176" t="str">
        <f>IFERROR(VLOOKUP(D826,Tabela.cadastro[[ID]:[Nome]],2,0),"")</f>
        <v/>
      </c>
      <c r="F826" s="177" t="str">
        <f>IFERROR(VLOOKUP(D826,Tabela66[#All],2,0),"")</f>
        <v/>
      </c>
      <c r="G826" s="177" t="str">
        <f>IFERROR(VLOOKUP(D826,Tabela.cadastro[[ID]:[CP ou M]],5,0),"")</f>
        <v/>
      </c>
      <c r="H826" s="177" t="str">
        <f>IFERROR(VLOOKUP(D826,Cadastros!A:F,6,0),"")</f>
        <v/>
      </c>
      <c r="I826" s="177" t="str">
        <f>IFERROR(VLOOKUP(D826,Cadastros!A:I,9,0),"")</f>
        <v/>
      </c>
      <c r="J826" s="177" t="str">
        <f>IFERROR(VLOOKUP(D826,Cadastros!A:J,10,0),"")</f>
        <v/>
      </c>
      <c r="K826" s="177" t="str">
        <f>IF(COUNTIF(Tabela66[id],D826)=0,"",COUNTIF(Tabela66[id],D826))</f>
        <v/>
      </c>
      <c r="L826" s="198"/>
      <c r="M826" s="227" t="str">
        <f t="shared" si="65"/>
        <v/>
      </c>
      <c r="P826" s="176" t="str">
        <f>IFERROR(VLOOKUP(O826,Cadastros!A:B,2),"")</f>
        <v/>
      </c>
      <c r="Q826" s="177" t="str">
        <f t="shared" si="61"/>
        <v/>
      </c>
      <c r="R826" s="177" t="str">
        <f>IFERROR(VLOOKUP(O826,Cadastros!A:E,5,0),"")</f>
        <v/>
      </c>
      <c r="S826" s="177" t="str">
        <f>IFERROR(VLOOKUP(O826,Cadastros!A:F,6,0),"")</f>
        <v/>
      </c>
      <c r="T826" s="177" t="str">
        <f>IFERROR(VLOOKUP(O826,Cadastros!A:I,9,0),"")</f>
        <v/>
      </c>
      <c r="U826" s="177" t="str">
        <f t="shared" si="62"/>
        <v/>
      </c>
      <c r="V826" s="177" t="str">
        <f t="shared" si="63"/>
        <v/>
      </c>
      <c r="W826" s="177" t="str">
        <f t="shared" si="64"/>
        <v/>
      </c>
      <c r="Y826" s="240" t="e">
        <f t="array" ref="Y826">INDEX(Tabela.abordagens[],SMALL(IF(Tabela.abordagens[Mês]=$L$2,ROW(Tabela.abordagens[id])-2),ROW(A779)),1)</f>
        <v>#NUM!</v>
      </c>
      <c r="Z826" s="240" t="e">
        <f t="array" ref="Z826">INDEX(Tabela.abordagens[],SMALL(IF(Tabela.abordagens[Mês]=$L$2,ROW(Tabela.abordagens[Idade])-2),ROW(A779)),6)</f>
        <v>#NUM!</v>
      </c>
      <c r="AA826" s="240" t="e">
        <f t="array" ref="AA826">INDEX(Tabela.abordagens[],SMALL(IF(Tabela.abordagens[Mês]=$L$2,ROW(Tabela.abordagens[Idade])-2),ROW(A779)),4)</f>
        <v>#NUM!</v>
      </c>
      <c r="AB826" s="240" t="e">
        <f t="array" ref="AB826">INDEX(Tabela.abordagens[],SMALL(IF(Tabela.abordagens[Mês]=$L$2,ROW(Tabela.abordagens[Idade])-2),ROW(A779)),5)</f>
        <v>#NUM!</v>
      </c>
    </row>
    <row r="827" spans="2:28" ht="15" x14ac:dyDescent="0.25">
      <c r="B827" s="223" t="e">
        <f t="array" ref="B827">INDEX(Tabela.frequencia[],SMALL(IF(Tabela.frequencia[Mês]=$L$2,ROW(Tabela.frequencia[id])-1),ROW(A780)),1)</f>
        <v>#NUM!</v>
      </c>
      <c r="C827" s="229" t="e">
        <f t="array" ref="C827">INDEX(Tabela.frequencia[],SMALL(IF(Tabela.frequencia[Mês]=$L$2,ROW(Tabela.frequencia[id])-1),ROW(A780)),4)</f>
        <v>#NUM!</v>
      </c>
      <c r="E827" s="176" t="str">
        <f>IFERROR(VLOOKUP(D827,Tabela.cadastro[[ID]:[Nome]],2,0),"")</f>
        <v/>
      </c>
      <c r="F827" s="177" t="str">
        <f>IFERROR(VLOOKUP(D827,Tabela66[#All],2,0),"")</f>
        <v/>
      </c>
      <c r="G827" s="177" t="str">
        <f>IFERROR(VLOOKUP(D827,Tabela.cadastro[[ID]:[CP ou M]],5,0),"")</f>
        <v/>
      </c>
      <c r="H827" s="177" t="str">
        <f>IFERROR(VLOOKUP(D827,Cadastros!A:F,6,0),"")</f>
        <v/>
      </c>
      <c r="I827" s="177" t="str">
        <f>IFERROR(VLOOKUP(D827,Cadastros!A:I,9,0),"")</f>
        <v/>
      </c>
      <c r="J827" s="177" t="str">
        <f>IFERROR(VLOOKUP(D827,Cadastros!A:J,10,0),"")</f>
        <v/>
      </c>
      <c r="K827" s="177" t="str">
        <f>IF(COUNTIF(Tabela66[id],D827)=0,"",COUNTIF(Tabela66[id],D827))</f>
        <v/>
      </c>
      <c r="L827" s="198"/>
      <c r="M827" s="227" t="str">
        <f t="shared" si="65"/>
        <v/>
      </c>
      <c r="P827" s="176" t="str">
        <f>IFERROR(VLOOKUP(O827,Cadastros!A:B,2),"")</f>
        <v/>
      </c>
      <c r="Q827" s="177" t="str">
        <f t="shared" si="61"/>
        <v/>
      </c>
      <c r="R827" s="177" t="str">
        <f>IFERROR(VLOOKUP(O827,Cadastros!A:E,5,0),"")</f>
        <v/>
      </c>
      <c r="S827" s="177" t="str">
        <f>IFERROR(VLOOKUP(O827,Cadastros!A:F,6,0),"")</f>
        <v/>
      </c>
      <c r="T827" s="177" t="str">
        <f>IFERROR(VLOOKUP(O827,Cadastros!A:I,9,0),"")</f>
        <v/>
      </c>
      <c r="U827" s="177" t="str">
        <f t="shared" si="62"/>
        <v/>
      </c>
      <c r="V827" s="177" t="str">
        <f t="shared" si="63"/>
        <v/>
      </c>
      <c r="W827" s="177" t="str">
        <f t="shared" si="64"/>
        <v/>
      </c>
      <c r="Y827" s="240" t="e">
        <f t="array" ref="Y827">INDEX(Tabela.abordagens[],SMALL(IF(Tabela.abordagens[Mês]=$L$2,ROW(Tabela.abordagens[id])-2),ROW(A780)),1)</f>
        <v>#NUM!</v>
      </c>
      <c r="Z827" s="240" t="e">
        <f t="array" ref="Z827">INDEX(Tabela.abordagens[],SMALL(IF(Tabela.abordagens[Mês]=$L$2,ROW(Tabela.abordagens[Idade])-2),ROW(A780)),6)</f>
        <v>#NUM!</v>
      </c>
      <c r="AA827" s="240" t="e">
        <f t="array" ref="AA827">INDEX(Tabela.abordagens[],SMALL(IF(Tabela.abordagens[Mês]=$L$2,ROW(Tabela.abordagens[Idade])-2),ROW(A780)),4)</f>
        <v>#NUM!</v>
      </c>
      <c r="AB827" s="240" t="e">
        <f t="array" ref="AB827">INDEX(Tabela.abordagens[],SMALL(IF(Tabela.abordagens[Mês]=$L$2,ROW(Tabela.abordagens[Idade])-2),ROW(A780)),5)</f>
        <v>#NUM!</v>
      </c>
    </row>
    <row r="828" spans="2:28" ht="15" x14ac:dyDescent="0.25">
      <c r="B828" s="223" t="e">
        <f t="array" ref="B828">INDEX(Tabela.frequencia[],SMALL(IF(Tabela.frequencia[Mês]=$L$2,ROW(Tabela.frequencia[id])-1),ROW(A781)),1)</f>
        <v>#NUM!</v>
      </c>
      <c r="C828" s="229" t="e">
        <f t="array" ref="C828">INDEX(Tabela.frequencia[],SMALL(IF(Tabela.frequencia[Mês]=$L$2,ROW(Tabela.frequencia[id])-1),ROW(A781)),4)</f>
        <v>#NUM!</v>
      </c>
      <c r="E828" s="176" t="str">
        <f>IFERROR(VLOOKUP(D828,Tabela.cadastro[[ID]:[Nome]],2,0),"")</f>
        <v/>
      </c>
      <c r="F828" s="177" t="str">
        <f>IFERROR(VLOOKUP(D828,Tabela66[#All],2,0),"")</f>
        <v/>
      </c>
      <c r="G828" s="177" t="str">
        <f>IFERROR(VLOOKUP(D828,Tabela.cadastro[[ID]:[CP ou M]],5,0),"")</f>
        <v/>
      </c>
      <c r="H828" s="177" t="str">
        <f>IFERROR(VLOOKUP(D828,Cadastros!A:F,6,0),"")</f>
        <v/>
      </c>
      <c r="I828" s="177" t="str">
        <f>IFERROR(VLOOKUP(D828,Cadastros!A:I,9,0),"")</f>
        <v/>
      </c>
      <c r="J828" s="177" t="str">
        <f>IFERROR(VLOOKUP(D828,Cadastros!A:J,10,0),"")</f>
        <v/>
      </c>
      <c r="K828" s="177" t="str">
        <f>IF(COUNTIF(Tabela66[id],D828)=0,"",COUNTIF(Tabela66[id],D828))</f>
        <v/>
      </c>
      <c r="L828" s="198"/>
      <c r="M828" s="227" t="str">
        <f t="shared" si="65"/>
        <v/>
      </c>
      <c r="P828" s="176" t="str">
        <f>IFERROR(VLOOKUP(O828,Cadastros!A:B,2),"")</f>
        <v/>
      </c>
      <c r="Q828" s="177" t="str">
        <f t="shared" si="61"/>
        <v/>
      </c>
      <c r="R828" s="177" t="str">
        <f>IFERROR(VLOOKUP(O828,Cadastros!A:E,5,0),"")</f>
        <v/>
      </c>
      <c r="S828" s="177" t="str">
        <f>IFERROR(VLOOKUP(O828,Cadastros!A:F,6,0),"")</f>
        <v/>
      </c>
      <c r="T828" s="177" t="str">
        <f>IFERROR(VLOOKUP(O828,Cadastros!A:I,9,0),"")</f>
        <v/>
      </c>
      <c r="U828" s="177" t="str">
        <f t="shared" si="62"/>
        <v/>
      </c>
      <c r="V828" s="177" t="str">
        <f t="shared" si="63"/>
        <v/>
      </c>
      <c r="W828" s="177" t="str">
        <f t="shared" si="64"/>
        <v/>
      </c>
      <c r="Y828" s="240" t="e">
        <f t="array" ref="Y828">INDEX(Tabela.abordagens[],SMALL(IF(Tabela.abordagens[Mês]=$L$2,ROW(Tabela.abordagens[id])-2),ROW(A781)),1)</f>
        <v>#NUM!</v>
      </c>
      <c r="Z828" s="240" t="e">
        <f t="array" ref="Z828">INDEX(Tabela.abordagens[],SMALL(IF(Tabela.abordagens[Mês]=$L$2,ROW(Tabela.abordagens[Idade])-2),ROW(A781)),6)</f>
        <v>#NUM!</v>
      </c>
      <c r="AA828" s="240" t="e">
        <f t="array" ref="AA828">INDEX(Tabela.abordagens[],SMALL(IF(Tabela.abordagens[Mês]=$L$2,ROW(Tabela.abordagens[Idade])-2),ROW(A781)),4)</f>
        <v>#NUM!</v>
      </c>
      <c r="AB828" s="240" t="e">
        <f t="array" ref="AB828">INDEX(Tabela.abordagens[],SMALL(IF(Tabela.abordagens[Mês]=$L$2,ROW(Tabela.abordagens[Idade])-2),ROW(A781)),5)</f>
        <v>#NUM!</v>
      </c>
    </row>
    <row r="829" spans="2:28" ht="15" x14ac:dyDescent="0.25">
      <c r="B829" s="223" t="e">
        <f t="array" ref="B829">INDEX(Tabela.frequencia[],SMALL(IF(Tabela.frequencia[Mês]=$L$2,ROW(Tabela.frequencia[id])-1),ROW(A782)),1)</f>
        <v>#NUM!</v>
      </c>
      <c r="C829" s="229" t="e">
        <f t="array" ref="C829">INDEX(Tabela.frequencia[],SMALL(IF(Tabela.frequencia[Mês]=$L$2,ROW(Tabela.frequencia[id])-1),ROW(A782)),4)</f>
        <v>#NUM!</v>
      </c>
      <c r="E829" s="176" t="str">
        <f>IFERROR(VLOOKUP(D829,Tabela.cadastro[[ID]:[Nome]],2,0),"")</f>
        <v/>
      </c>
      <c r="F829" s="177" t="str">
        <f>IFERROR(VLOOKUP(D829,Tabela66[#All],2,0),"")</f>
        <v/>
      </c>
      <c r="G829" s="177" t="str">
        <f>IFERROR(VLOOKUP(D829,Tabela.cadastro[[ID]:[CP ou M]],5,0),"")</f>
        <v/>
      </c>
      <c r="H829" s="177" t="str">
        <f>IFERROR(VLOOKUP(D829,Cadastros!A:F,6,0),"")</f>
        <v/>
      </c>
      <c r="I829" s="177" t="str">
        <f>IFERROR(VLOOKUP(D829,Cadastros!A:I,9,0),"")</f>
        <v/>
      </c>
      <c r="J829" s="177" t="str">
        <f>IFERROR(VLOOKUP(D829,Cadastros!A:J,10,0),"")</f>
        <v/>
      </c>
      <c r="K829" s="177" t="str">
        <f>IF(COUNTIF(Tabela66[id],D829)=0,"",COUNTIF(Tabela66[id],D829))</f>
        <v/>
      </c>
      <c r="L829" s="198"/>
      <c r="M829" s="227" t="str">
        <f t="shared" si="65"/>
        <v/>
      </c>
      <c r="P829" s="176" t="str">
        <f>IFERROR(VLOOKUP(O829,Cadastros!A:B,2),"")</f>
        <v/>
      </c>
      <c r="Q829" s="177" t="str">
        <f t="shared" si="61"/>
        <v/>
      </c>
      <c r="R829" s="177" t="str">
        <f>IFERROR(VLOOKUP(O829,Cadastros!A:E,5,0),"")</f>
        <v/>
      </c>
      <c r="S829" s="177" t="str">
        <f>IFERROR(VLOOKUP(O829,Cadastros!A:F,6,0),"")</f>
        <v/>
      </c>
      <c r="T829" s="177" t="str">
        <f>IFERROR(VLOOKUP(O829,Cadastros!A:I,9,0),"")</f>
        <v/>
      </c>
      <c r="U829" s="177" t="str">
        <f t="shared" si="62"/>
        <v/>
      </c>
      <c r="V829" s="177" t="str">
        <f t="shared" si="63"/>
        <v/>
      </c>
      <c r="W829" s="177" t="str">
        <f t="shared" si="64"/>
        <v/>
      </c>
      <c r="Y829" s="240" t="e">
        <f t="array" ref="Y829">INDEX(Tabela.abordagens[],SMALL(IF(Tabela.abordagens[Mês]=$L$2,ROW(Tabela.abordagens[id])-2),ROW(A782)),1)</f>
        <v>#NUM!</v>
      </c>
      <c r="Z829" s="240" t="e">
        <f t="array" ref="Z829">INDEX(Tabela.abordagens[],SMALL(IF(Tabela.abordagens[Mês]=$L$2,ROW(Tabela.abordagens[Idade])-2),ROW(A782)),6)</f>
        <v>#NUM!</v>
      </c>
      <c r="AA829" s="240" t="e">
        <f t="array" ref="AA829">INDEX(Tabela.abordagens[],SMALL(IF(Tabela.abordagens[Mês]=$L$2,ROW(Tabela.abordagens[Idade])-2),ROW(A782)),4)</f>
        <v>#NUM!</v>
      </c>
      <c r="AB829" s="240" t="e">
        <f t="array" ref="AB829">INDEX(Tabela.abordagens[],SMALL(IF(Tabela.abordagens[Mês]=$L$2,ROW(Tabela.abordagens[Idade])-2),ROW(A782)),5)</f>
        <v>#NUM!</v>
      </c>
    </row>
    <row r="830" spans="2:28" ht="15" x14ac:dyDescent="0.25">
      <c r="B830" s="223" t="e">
        <f t="array" ref="B830">INDEX(Tabela.frequencia[],SMALL(IF(Tabela.frequencia[Mês]=$L$2,ROW(Tabela.frequencia[id])-1),ROW(A783)),1)</f>
        <v>#NUM!</v>
      </c>
      <c r="C830" s="229" t="e">
        <f t="array" ref="C830">INDEX(Tabela.frequencia[],SMALL(IF(Tabela.frequencia[Mês]=$L$2,ROW(Tabela.frequencia[id])-1),ROW(A783)),4)</f>
        <v>#NUM!</v>
      </c>
      <c r="E830" s="176" t="str">
        <f>IFERROR(VLOOKUP(D830,Tabela.cadastro[[ID]:[Nome]],2,0),"")</f>
        <v/>
      </c>
      <c r="F830" s="177" t="str">
        <f>IFERROR(VLOOKUP(D830,Tabela66[#All],2,0),"")</f>
        <v/>
      </c>
      <c r="G830" s="177" t="str">
        <f>IFERROR(VLOOKUP(D830,Tabela.cadastro[[ID]:[CP ou M]],5,0),"")</f>
        <v/>
      </c>
      <c r="H830" s="177" t="str">
        <f>IFERROR(VLOOKUP(D830,Cadastros!A:F,6,0),"")</f>
        <v/>
      </c>
      <c r="I830" s="177" t="str">
        <f>IFERROR(VLOOKUP(D830,Cadastros!A:I,9,0),"")</f>
        <v/>
      </c>
      <c r="J830" s="177" t="str">
        <f>IFERROR(VLOOKUP(D830,Cadastros!A:J,10,0),"")</f>
        <v/>
      </c>
      <c r="K830" s="177" t="str">
        <f>IF(COUNTIF(Tabela66[id],D830)=0,"",COUNTIF(Tabela66[id],D830))</f>
        <v/>
      </c>
      <c r="L830" s="198"/>
      <c r="M830" s="227" t="str">
        <f t="shared" si="65"/>
        <v/>
      </c>
      <c r="P830" s="176" t="str">
        <f>IFERROR(VLOOKUP(O830,Cadastros!A:B,2),"")</f>
        <v/>
      </c>
      <c r="Q830" s="177" t="str">
        <f t="shared" si="61"/>
        <v/>
      </c>
      <c r="R830" s="177" t="str">
        <f>IFERROR(VLOOKUP(O830,Cadastros!A:E,5,0),"")</f>
        <v/>
      </c>
      <c r="S830" s="177" t="str">
        <f>IFERROR(VLOOKUP(O830,Cadastros!A:F,6,0),"")</f>
        <v/>
      </c>
      <c r="T830" s="177" t="str">
        <f>IFERROR(VLOOKUP(O830,Cadastros!A:I,9,0),"")</f>
        <v/>
      </c>
      <c r="U830" s="177" t="str">
        <f t="shared" si="62"/>
        <v/>
      </c>
      <c r="V830" s="177" t="str">
        <f t="shared" si="63"/>
        <v/>
      </c>
      <c r="W830" s="177" t="str">
        <f t="shared" si="64"/>
        <v/>
      </c>
      <c r="Y830" s="240" t="e">
        <f t="array" ref="Y830">INDEX(Tabela.abordagens[],SMALL(IF(Tabela.abordagens[Mês]=$L$2,ROW(Tabela.abordagens[id])-2),ROW(A783)),1)</f>
        <v>#NUM!</v>
      </c>
      <c r="Z830" s="240" t="e">
        <f t="array" ref="Z830">INDEX(Tabela.abordagens[],SMALL(IF(Tabela.abordagens[Mês]=$L$2,ROW(Tabela.abordagens[Idade])-2),ROW(A783)),6)</f>
        <v>#NUM!</v>
      </c>
      <c r="AA830" s="240" t="e">
        <f t="array" ref="AA830">INDEX(Tabela.abordagens[],SMALL(IF(Tabela.abordagens[Mês]=$L$2,ROW(Tabela.abordagens[Idade])-2),ROW(A783)),4)</f>
        <v>#NUM!</v>
      </c>
      <c r="AB830" s="240" t="e">
        <f t="array" ref="AB830">INDEX(Tabela.abordagens[],SMALL(IF(Tabela.abordagens[Mês]=$L$2,ROW(Tabela.abordagens[Idade])-2),ROW(A783)),5)</f>
        <v>#NUM!</v>
      </c>
    </row>
    <row r="831" spans="2:28" ht="15" x14ac:dyDescent="0.25">
      <c r="B831" s="223" t="e">
        <f t="array" ref="B831">INDEX(Tabela.frequencia[],SMALL(IF(Tabela.frequencia[Mês]=$L$2,ROW(Tabela.frequencia[id])-1),ROW(A784)),1)</f>
        <v>#NUM!</v>
      </c>
      <c r="C831" s="229" t="e">
        <f t="array" ref="C831">INDEX(Tabela.frequencia[],SMALL(IF(Tabela.frequencia[Mês]=$L$2,ROW(Tabela.frequencia[id])-1),ROW(A784)),4)</f>
        <v>#NUM!</v>
      </c>
      <c r="E831" s="176" t="str">
        <f>IFERROR(VLOOKUP(D831,Tabela.cadastro[[ID]:[Nome]],2,0),"")</f>
        <v/>
      </c>
      <c r="F831" s="177" t="str">
        <f>IFERROR(VLOOKUP(D831,Tabela66[#All],2,0),"")</f>
        <v/>
      </c>
      <c r="G831" s="177" t="str">
        <f>IFERROR(VLOOKUP(D831,Tabela.cadastro[[ID]:[CP ou M]],5,0),"")</f>
        <v/>
      </c>
      <c r="H831" s="177" t="str">
        <f>IFERROR(VLOOKUP(D831,Cadastros!A:F,6,0),"")</f>
        <v/>
      </c>
      <c r="I831" s="177" t="str">
        <f>IFERROR(VLOOKUP(D831,Cadastros!A:I,9,0),"")</f>
        <v/>
      </c>
      <c r="J831" s="177" t="str">
        <f>IFERROR(VLOOKUP(D831,Cadastros!A:J,10,0),"")</f>
        <v/>
      </c>
      <c r="K831" s="177" t="str">
        <f>IF(COUNTIF(Tabela66[id],D831)=0,"",COUNTIF(Tabela66[id],D831))</f>
        <v/>
      </c>
      <c r="L831" s="198"/>
      <c r="M831" s="227" t="str">
        <f t="shared" si="65"/>
        <v/>
      </c>
      <c r="P831" s="176" t="str">
        <f>IFERROR(VLOOKUP(O831,Cadastros!A:B,2),"")</f>
        <v/>
      </c>
      <c r="Q831" s="177" t="str">
        <f t="shared" si="61"/>
        <v/>
      </c>
      <c r="R831" s="177" t="str">
        <f>IFERROR(VLOOKUP(O831,Cadastros!A:E,5,0),"")</f>
        <v/>
      </c>
      <c r="S831" s="177" t="str">
        <f>IFERROR(VLOOKUP(O831,Cadastros!A:F,6,0),"")</f>
        <v/>
      </c>
      <c r="T831" s="177" t="str">
        <f>IFERROR(VLOOKUP(O831,Cadastros!A:I,9,0),"")</f>
        <v/>
      </c>
      <c r="U831" s="177" t="str">
        <f t="shared" si="62"/>
        <v/>
      </c>
      <c r="V831" s="177" t="str">
        <f t="shared" si="63"/>
        <v/>
      </c>
      <c r="W831" s="177" t="str">
        <f t="shared" si="64"/>
        <v/>
      </c>
      <c r="Y831" s="240" t="e">
        <f t="array" ref="Y831">INDEX(Tabela.abordagens[],SMALL(IF(Tabela.abordagens[Mês]=$L$2,ROW(Tabela.abordagens[id])-2),ROW(A784)),1)</f>
        <v>#NUM!</v>
      </c>
      <c r="Z831" s="240" t="e">
        <f t="array" ref="Z831">INDEX(Tabela.abordagens[],SMALL(IF(Tabela.abordagens[Mês]=$L$2,ROW(Tabela.abordagens[Idade])-2),ROW(A784)),6)</f>
        <v>#NUM!</v>
      </c>
      <c r="AA831" s="240" t="e">
        <f t="array" ref="AA831">INDEX(Tabela.abordagens[],SMALL(IF(Tabela.abordagens[Mês]=$L$2,ROW(Tabela.abordagens[Idade])-2),ROW(A784)),4)</f>
        <v>#NUM!</v>
      </c>
      <c r="AB831" s="240" t="e">
        <f t="array" ref="AB831">INDEX(Tabela.abordagens[],SMALL(IF(Tabela.abordagens[Mês]=$L$2,ROW(Tabela.abordagens[Idade])-2),ROW(A784)),5)</f>
        <v>#NUM!</v>
      </c>
    </row>
    <row r="832" spans="2:28" ht="15" x14ac:dyDescent="0.25">
      <c r="B832" s="223" t="e">
        <f t="array" ref="B832">INDEX(Tabela.frequencia[],SMALL(IF(Tabela.frequencia[Mês]=$L$2,ROW(Tabela.frequencia[id])-1),ROW(A785)),1)</f>
        <v>#NUM!</v>
      </c>
      <c r="C832" s="229" t="e">
        <f t="array" ref="C832">INDEX(Tabela.frequencia[],SMALL(IF(Tabela.frequencia[Mês]=$L$2,ROW(Tabela.frequencia[id])-1),ROW(A785)),4)</f>
        <v>#NUM!</v>
      </c>
      <c r="E832" s="176" t="str">
        <f>IFERROR(VLOOKUP(D832,Tabela.cadastro[[ID]:[Nome]],2,0),"")</f>
        <v/>
      </c>
      <c r="F832" s="177" t="str">
        <f>IFERROR(VLOOKUP(D832,Tabela66[#All],2,0),"")</f>
        <v/>
      </c>
      <c r="G832" s="177" t="str">
        <f>IFERROR(VLOOKUP(D832,Tabela.cadastro[[ID]:[CP ou M]],5,0),"")</f>
        <v/>
      </c>
      <c r="H832" s="177" t="str">
        <f>IFERROR(VLOOKUP(D832,Cadastros!A:F,6,0),"")</f>
        <v/>
      </c>
      <c r="I832" s="177" t="str">
        <f>IFERROR(VLOOKUP(D832,Cadastros!A:I,9,0),"")</f>
        <v/>
      </c>
      <c r="J832" s="177" t="str">
        <f>IFERROR(VLOOKUP(D832,Cadastros!A:J,10,0),"")</f>
        <v/>
      </c>
      <c r="K832" s="177" t="str">
        <f>IF(COUNTIF(Tabela66[id],D832)=0,"",COUNTIF(Tabela66[id],D832))</f>
        <v/>
      </c>
      <c r="L832" s="198"/>
      <c r="M832" s="227" t="str">
        <f t="shared" si="65"/>
        <v/>
      </c>
      <c r="P832" s="176" t="str">
        <f>IFERROR(VLOOKUP(O832,Cadastros!A:B,2),"")</f>
        <v/>
      </c>
      <c r="Q832" s="177" t="str">
        <f t="shared" si="61"/>
        <v/>
      </c>
      <c r="R832" s="177" t="str">
        <f>IFERROR(VLOOKUP(O832,Cadastros!A:E,5,0),"")</f>
        <v/>
      </c>
      <c r="S832" s="177" t="str">
        <f>IFERROR(VLOOKUP(O832,Cadastros!A:F,6,0),"")</f>
        <v/>
      </c>
      <c r="T832" s="177" t="str">
        <f>IFERROR(VLOOKUP(O832,Cadastros!A:I,9,0),"")</f>
        <v/>
      </c>
      <c r="U832" s="177" t="str">
        <f t="shared" si="62"/>
        <v/>
      </c>
      <c r="V832" s="177" t="str">
        <f t="shared" si="63"/>
        <v/>
      </c>
      <c r="W832" s="177" t="str">
        <f t="shared" si="64"/>
        <v/>
      </c>
      <c r="Y832" s="240" t="e">
        <f t="array" ref="Y832">INDEX(Tabela.abordagens[],SMALL(IF(Tabela.abordagens[Mês]=$L$2,ROW(Tabela.abordagens[id])-2),ROW(A785)),1)</f>
        <v>#NUM!</v>
      </c>
      <c r="Z832" s="240" t="e">
        <f t="array" ref="Z832">INDEX(Tabela.abordagens[],SMALL(IF(Tabela.abordagens[Mês]=$L$2,ROW(Tabela.abordagens[Idade])-2),ROW(A785)),6)</f>
        <v>#NUM!</v>
      </c>
      <c r="AA832" s="240" t="e">
        <f t="array" ref="AA832">INDEX(Tabela.abordagens[],SMALL(IF(Tabela.abordagens[Mês]=$L$2,ROW(Tabela.abordagens[Idade])-2),ROW(A785)),4)</f>
        <v>#NUM!</v>
      </c>
      <c r="AB832" s="240" t="e">
        <f t="array" ref="AB832">INDEX(Tabela.abordagens[],SMALL(IF(Tabela.abordagens[Mês]=$L$2,ROW(Tabela.abordagens[Idade])-2),ROW(A785)),5)</f>
        <v>#NUM!</v>
      </c>
    </row>
    <row r="833" spans="2:28" ht="15" x14ac:dyDescent="0.25">
      <c r="B833" s="223" t="e">
        <f t="array" ref="B833">INDEX(Tabela.frequencia[],SMALL(IF(Tabela.frequencia[Mês]=$L$2,ROW(Tabela.frequencia[id])-1),ROW(A786)),1)</f>
        <v>#NUM!</v>
      </c>
      <c r="C833" s="229" t="e">
        <f t="array" ref="C833">INDEX(Tabela.frequencia[],SMALL(IF(Tabela.frequencia[Mês]=$L$2,ROW(Tabela.frequencia[id])-1),ROW(A786)),4)</f>
        <v>#NUM!</v>
      </c>
      <c r="E833" s="176" t="str">
        <f>IFERROR(VLOOKUP(D833,Tabela.cadastro[[ID]:[Nome]],2,0),"")</f>
        <v/>
      </c>
      <c r="F833" s="177" t="str">
        <f>IFERROR(VLOOKUP(D833,Tabela66[#All],2,0),"")</f>
        <v/>
      </c>
      <c r="G833" s="177" t="str">
        <f>IFERROR(VLOOKUP(D833,Tabela.cadastro[[ID]:[CP ou M]],5,0),"")</f>
        <v/>
      </c>
      <c r="H833" s="177" t="str">
        <f>IFERROR(VLOOKUP(D833,Cadastros!A:F,6,0),"")</f>
        <v/>
      </c>
      <c r="I833" s="177" t="str">
        <f>IFERROR(VLOOKUP(D833,Cadastros!A:I,9,0),"")</f>
        <v/>
      </c>
      <c r="J833" s="177" t="str">
        <f>IFERROR(VLOOKUP(D833,Cadastros!A:J,10,0),"")</f>
        <v/>
      </c>
      <c r="K833" s="177" t="str">
        <f>IF(COUNTIF(Tabela66[id],D833)=0,"",COUNTIF(Tabela66[id],D833))</f>
        <v/>
      </c>
      <c r="L833" s="198"/>
      <c r="M833" s="227" t="str">
        <f t="shared" si="65"/>
        <v/>
      </c>
      <c r="P833" s="176" t="str">
        <f>IFERROR(VLOOKUP(O833,Cadastros!A:B,2),"")</f>
        <v/>
      </c>
      <c r="Q833" s="177" t="str">
        <f t="shared" si="61"/>
        <v/>
      </c>
      <c r="R833" s="177" t="str">
        <f>IFERROR(VLOOKUP(O833,Cadastros!A:E,5,0),"")</f>
        <v/>
      </c>
      <c r="S833" s="177" t="str">
        <f>IFERROR(VLOOKUP(O833,Cadastros!A:F,6,0),"")</f>
        <v/>
      </c>
      <c r="T833" s="177" t="str">
        <f>IFERROR(VLOOKUP(O833,Cadastros!A:I,9,0),"")</f>
        <v/>
      </c>
      <c r="U833" s="177" t="str">
        <f t="shared" si="62"/>
        <v/>
      </c>
      <c r="V833" s="177" t="str">
        <f t="shared" si="63"/>
        <v/>
      </c>
      <c r="W833" s="177" t="str">
        <f t="shared" si="64"/>
        <v/>
      </c>
      <c r="Y833" s="240" t="e">
        <f t="array" ref="Y833">INDEX(Tabela.abordagens[],SMALL(IF(Tabela.abordagens[Mês]=$L$2,ROW(Tabela.abordagens[id])-2),ROW(A786)),1)</f>
        <v>#NUM!</v>
      </c>
      <c r="Z833" s="240" t="e">
        <f t="array" ref="Z833">INDEX(Tabela.abordagens[],SMALL(IF(Tabela.abordagens[Mês]=$L$2,ROW(Tabela.abordagens[Idade])-2),ROW(A786)),6)</f>
        <v>#NUM!</v>
      </c>
      <c r="AA833" s="240" t="e">
        <f t="array" ref="AA833">INDEX(Tabela.abordagens[],SMALL(IF(Tabela.abordagens[Mês]=$L$2,ROW(Tabela.abordagens[Idade])-2),ROW(A786)),4)</f>
        <v>#NUM!</v>
      </c>
      <c r="AB833" s="240" t="e">
        <f t="array" ref="AB833">INDEX(Tabela.abordagens[],SMALL(IF(Tabela.abordagens[Mês]=$L$2,ROW(Tabela.abordagens[Idade])-2),ROW(A786)),5)</f>
        <v>#NUM!</v>
      </c>
    </row>
    <row r="834" spans="2:28" ht="15" x14ac:dyDescent="0.25">
      <c r="B834" s="223" t="e">
        <f t="array" ref="B834">INDEX(Tabela.frequencia[],SMALL(IF(Tabela.frequencia[Mês]=$L$2,ROW(Tabela.frequencia[id])-1),ROW(A787)),1)</f>
        <v>#NUM!</v>
      </c>
      <c r="C834" s="229" t="e">
        <f t="array" ref="C834">INDEX(Tabela.frequencia[],SMALL(IF(Tabela.frequencia[Mês]=$L$2,ROW(Tabela.frequencia[id])-1),ROW(A787)),4)</f>
        <v>#NUM!</v>
      </c>
      <c r="E834" s="176" t="str">
        <f>IFERROR(VLOOKUP(D834,Tabela.cadastro[[ID]:[Nome]],2,0),"")</f>
        <v/>
      </c>
      <c r="F834" s="177" t="str">
        <f>IFERROR(VLOOKUP(D834,Tabela66[#All],2,0),"")</f>
        <v/>
      </c>
      <c r="G834" s="177" t="str">
        <f>IFERROR(VLOOKUP(D834,Tabela.cadastro[[ID]:[CP ou M]],5,0),"")</f>
        <v/>
      </c>
      <c r="H834" s="177" t="str">
        <f>IFERROR(VLOOKUP(D834,Cadastros!A:F,6,0),"")</f>
        <v/>
      </c>
      <c r="I834" s="177" t="str">
        <f>IFERROR(VLOOKUP(D834,Cadastros!A:I,9,0),"")</f>
        <v/>
      </c>
      <c r="J834" s="177" t="str">
        <f>IFERROR(VLOOKUP(D834,Cadastros!A:J,10,0),"")</f>
        <v/>
      </c>
      <c r="K834" s="177" t="str">
        <f>IF(COUNTIF(Tabela66[id],D834)=0,"",COUNTIF(Tabela66[id],D834))</f>
        <v/>
      </c>
      <c r="L834" s="198"/>
      <c r="M834" s="227" t="str">
        <f t="shared" si="65"/>
        <v/>
      </c>
      <c r="P834" s="176" t="str">
        <f>IFERROR(VLOOKUP(O834,Cadastros!A:B,2),"")</f>
        <v/>
      </c>
      <c r="Q834" s="177" t="str">
        <f t="shared" si="61"/>
        <v/>
      </c>
      <c r="R834" s="177" t="str">
        <f>IFERROR(VLOOKUP(O834,Cadastros!A:E,5,0),"")</f>
        <v/>
      </c>
      <c r="S834" s="177" t="str">
        <f>IFERROR(VLOOKUP(O834,Cadastros!A:F,6,0),"")</f>
        <v/>
      </c>
      <c r="T834" s="177" t="str">
        <f>IFERROR(VLOOKUP(O834,Cadastros!A:I,9,0),"")</f>
        <v/>
      </c>
      <c r="U834" s="177" t="str">
        <f t="shared" si="62"/>
        <v/>
      </c>
      <c r="V834" s="177" t="str">
        <f t="shared" si="63"/>
        <v/>
      </c>
      <c r="W834" s="177" t="str">
        <f t="shared" si="64"/>
        <v/>
      </c>
      <c r="Y834" s="240" t="e">
        <f t="array" ref="Y834">INDEX(Tabela.abordagens[],SMALL(IF(Tabela.abordagens[Mês]=$L$2,ROW(Tabela.abordagens[id])-2),ROW(A787)),1)</f>
        <v>#NUM!</v>
      </c>
      <c r="Z834" s="240" t="e">
        <f t="array" ref="Z834">INDEX(Tabela.abordagens[],SMALL(IF(Tabela.abordagens[Mês]=$L$2,ROW(Tabela.abordagens[Idade])-2),ROW(A787)),6)</f>
        <v>#NUM!</v>
      </c>
      <c r="AA834" s="240" t="e">
        <f t="array" ref="AA834">INDEX(Tabela.abordagens[],SMALL(IF(Tabela.abordagens[Mês]=$L$2,ROW(Tabela.abordagens[Idade])-2),ROW(A787)),4)</f>
        <v>#NUM!</v>
      </c>
      <c r="AB834" s="240" t="e">
        <f t="array" ref="AB834">INDEX(Tabela.abordagens[],SMALL(IF(Tabela.abordagens[Mês]=$L$2,ROW(Tabela.abordagens[Idade])-2),ROW(A787)),5)</f>
        <v>#NUM!</v>
      </c>
    </row>
    <row r="835" spans="2:28" ht="15" x14ac:dyDescent="0.25">
      <c r="B835" s="223" t="e">
        <f t="array" ref="B835">INDEX(Tabela.frequencia[],SMALL(IF(Tabela.frequencia[Mês]=$L$2,ROW(Tabela.frequencia[id])-1),ROW(A788)),1)</f>
        <v>#NUM!</v>
      </c>
      <c r="C835" s="229" t="e">
        <f t="array" ref="C835">INDEX(Tabela.frequencia[],SMALL(IF(Tabela.frequencia[Mês]=$L$2,ROW(Tabela.frequencia[id])-1),ROW(A788)),4)</f>
        <v>#NUM!</v>
      </c>
      <c r="E835" s="176" t="str">
        <f>IFERROR(VLOOKUP(D835,Tabela.cadastro[[ID]:[Nome]],2,0),"")</f>
        <v/>
      </c>
      <c r="F835" s="177" t="str">
        <f>IFERROR(VLOOKUP(D835,Tabela66[#All],2,0),"")</f>
        <v/>
      </c>
      <c r="G835" s="177" t="str">
        <f>IFERROR(VLOOKUP(D835,Tabela.cadastro[[ID]:[CP ou M]],5,0),"")</f>
        <v/>
      </c>
      <c r="H835" s="177" t="str">
        <f>IFERROR(VLOOKUP(D835,Cadastros!A:F,6,0),"")</f>
        <v/>
      </c>
      <c r="I835" s="177" t="str">
        <f>IFERROR(VLOOKUP(D835,Cadastros!A:I,9,0),"")</f>
        <v/>
      </c>
      <c r="J835" s="177" t="str">
        <f>IFERROR(VLOOKUP(D835,Cadastros!A:J,10,0),"")</f>
        <v/>
      </c>
      <c r="K835" s="177" t="str">
        <f>IF(COUNTIF(Tabela66[id],D835)=0,"",COUNTIF(Tabela66[id],D835))</f>
        <v/>
      </c>
      <c r="L835" s="198"/>
      <c r="M835" s="227" t="str">
        <f t="shared" si="65"/>
        <v/>
      </c>
      <c r="P835" s="176" t="str">
        <f>IFERROR(VLOOKUP(O835,Cadastros!A:B,2),"")</f>
        <v/>
      </c>
      <c r="Q835" s="177" t="str">
        <f t="shared" si="61"/>
        <v/>
      </c>
      <c r="R835" s="177" t="str">
        <f>IFERROR(VLOOKUP(O835,Cadastros!A:E,5,0),"")</f>
        <v/>
      </c>
      <c r="S835" s="177" t="str">
        <f>IFERROR(VLOOKUP(O835,Cadastros!A:F,6,0),"")</f>
        <v/>
      </c>
      <c r="T835" s="177" t="str">
        <f>IFERROR(VLOOKUP(O835,Cadastros!A:I,9,0),"")</f>
        <v/>
      </c>
      <c r="U835" s="177" t="str">
        <f t="shared" si="62"/>
        <v/>
      </c>
      <c r="V835" s="177" t="str">
        <f t="shared" si="63"/>
        <v/>
      </c>
      <c r="W835" s="177" t="str">
        <f t="shared" si="64"/>
        <v/>
      </c>
      <c r="Y835" s="240" t="e">
        <f t="array" ref="Y835">INDEX(Tabela.abordagens[],SMALL(IF(Tabela.abordagens[Mês]=$L$2,ROW(Tabela.abordagens[id])-2),ROW(A788)),1)</f>
        <v>#NUM!</v>
      </c>
      <c r="Z835" s="240" t="e">
        <f t="array" ref="Z835">INDEX(Tabela.abordagens[],SMALL(IF(Tabela.abordagens[Mês]=$L$2,ROW(Tabela.abordagens[Idade])-2),ROW(A788)),6)</f>
        <v>#NUM!</v>
      </c>
      <c r="AA835" s="240" t="e">
        <f t="array" ref="AA835">INDEX(Tabela.abordagens[],SMALL(IF(Tabela.abordagens[Mês]=$L$2,ROW(Tabela.abordagens[Idade])-2),ROW(A788)),4)</f>
        <v>#NUM!</v>
      </c>
      <c r="AB835" s="240" t="e">
        <f t="array" ref="AB835">INDEX(Tabela.abordagens[],SMALL(IF(Tabela.abordagens[Mês]=$L$2,ROW(Tabela.abordagens[Idade])-2),ROW(A788)),5)</f>
        <v>#NUM!</v>
      </c>
    </row>
    <row r="836" spans="2:28" ht="15" x14ac:dyDescent="0.25">
      <c r="B836" s="223" t="e">
        <f t="array" ref="B836">INDEX(Tabela.frequencia[],SMALL(IF(Tabela.frequencia[Mês]=$L$2,ROW(Tabela.frequencia[id])-1),ROW(A789)),1)</f>
        <v>#NUM!</v>
      </c>
      <c r="C836" s="229" t="e">
        <f t="array" ref="C836">INDEX(Tabela.frequencia[],SMALL(IF(Tabela.frequencia[Mês]=$L$2,ROW(Tabela.frequencia[id])-1),ROW(A789)),4)</f>
        <v>#NUM!</v>
      </c>
      <c r="E836" s="176" t="str">
        <f>IFERROR(VLOOKUP(D836,Tabela.cadastro[[ID]:[Nome]],2,0),"")</f>
        <v/>
      </c>
      <c r="F836" s="177" t="str">
        <f>IFERROR(VLOOKUP(D836,Tabela66[#All],2,0),"")</f>
        <v/>
      </c>
      <c r="G836" s="177" t="str">
        <f>IFERROR(VLOOKUP(D836,Tabela.cadastro[[ID]:[CP ou M]],5,0),"")</f>
        <v/>
      </c>
      <c r="H836" s="177" t="str">
        <f>IFERROR(VLOOKUP(D836,Cadastros!A:F,6,0),"")</f>
        <v/>
      </c>
      <c r="I836" s="177" t="str">
        <f>IFERROR(VLOOKUP(D836,Cadastros!A:I,9,0),"")</f>
        <v/>
      </c>
      <c r="J836" s="177" t="str">
        <f>IFERROR(VLOOKUP(D836,Cadastros!A:J,10,0),"")</f>
        <v/>
      </c>
      <c r="K836" s="177" t="str">
        <f>IF(COUNTIF(Tabela66[id],D836)=0,"",COUNTIF(Tabela66[id],D836))</f>
        <v/>
      </c>
      <c r="L836" s="198"/>
      <c r="M836" s="227" t="str">
        <f t="shared" si="65"/>
        <v/>
      </c>
      <c r="P836" s="176" t="str">
        <f>IFERROR(VLOOKUP(O836,Cadastros!A:B,2),"")</f>
        <v/>
      </c>
      <c r="Q836" s="177" t="str">
        <f t="shared" si="61"/>
        <v/>
      </c>
      <c r="R836" s="177" t="str">
        <f>IFERROR(VLOOKUP(O836,Cadastros!A:E,5,0),"")</f>
        <v/>
      </c>
      <c r="S836" s="177" t="str">
        <f>IFERROR(VLOOKUP(O836,Cadastros!A:F,6,0),"")</f>
        <v/>
      </c>
      <c r="T836" s="177" t="str">
        <f>IFERROR(VLOOKUP(O836,Cadastros!A:I,9,0),"")</f>
        <v/>
      </c>
      <c r="U836" s="177" t="str">
        <f t="shared" si="62"/>
        <v/>
      </c>
      <c r="V836" s="177" t="str">
        <f t="shared" si="63"/>
        <v/>
      </c>
      <c r="W836" s="177" t="str">
        <f t="shared" si="64"/>
        <v/>
      </c>
      <c r="Y836" s="240" t="e">
        <f t="array" ref="Y836">INDEX(Tabela.abordagens[],SMALL(IF(Tabela.abordagens[Mês]=$L$2,ROW(Tabela.abordagens[id])-2),ROW(A789)),1)</f>
        <v>#NUM!</v>
      </c>
      <c r="Z836" s="240" t="e">
        <f t="array" ref="Z836">INDEX(Tabela.abordagens[],SMALL(IF(Tabela.abordagens[Mês]=$L$2,ROW(Tabela.abordagens[Idade])-2),ROW(A789)),6)</f>
        <v>#NUM!</v>
      </c>
      <c r="AA836" s="240" t="e">
        <f t="array" ref="AA836">INDEX(Tabela.abordagens[],SMALL(IF(Tabela.abordagens[Mês]=$L$2,ROW(Tabela.abordagens[Idade])-2),ROW(A789)),4)</f>
        <v>#NUM!</v>
      </c>
      <c r="AB836" s="240" t="e">
        <f t="array" ref="AB836">INDEX(Tabela.abordagens[],SMALL(IF(Tabela.abordagens[Mês]=$L$2,ROW(Tabela.abordagens[Idade])-2),ROW(A789)),5)</f>
        <v>#NUM!</v>
      </c>
    </row>
    <row r="837" spans="2:28" ht="15" x14ac:dyDescent="0.25">
      <c r="B837" s="223" t="e">
        <f t="array" ref="B837">INDEX(Tabela.frequencia[],SMALL(IF(Tabela.frequencia[Mês]=$L$2,ROW(Tabela.frequencia[id])-1),ROW(A790)),1)</f>
        <v>#NUM!</v>
      </c>
      <c r="C837" s="229" t="e">
        <f t="array" ref="C837">INDEX(Tabela.frequencia[],SMALL(IF(Tabela.frequencia[Mês]=$L$2,ROW(Tabela.frequencia[id])-1),ROW(A790)),4)</f>
        <v>#NUM!</v>
      </c>
      <c r="E837" s="176" t="str">
        <f>IFERROR(VLOOKUP(D837,Tabela.cadastro[[ID]:[Nome]],2,0),"")</f>
        <v/>
      </c>
      <c r="F837" s="177" t="str">
        <f>IFERROR(VLOOKUP(D837,Tabela66[#All],2,0),"")</f>
        <v/>
      </c>
      <c r="G837" s="177" t="str">
        <f>IFERROR(VLOOKUP(D837,Tabela.cadastro[[ID]:[CP ou M]],5,0),"")</f>
        <v/>
      </c>
      <c r="H837" s="177" t="str">
        <f>IFERROR(VLOOKUP(D837,Cadastros!A:F,6,0),"")</f>
        <v/>
      </c>
      <c r="I837" s="177" t="str">
        <f>IFERROR(VLOOKUP(D837,Cadastros!A:I,9,0),"")</f>
        <v/>
      </c>
      <c r="J837" s="177" t="str">
        <f>IFERROR(VLOOKUP(D837,Cadastros!A:J,10,0),"")</f>
        <v/>
      </c>
      <c r="K837" s="177" t="str">
        <f>IF(COUNTIF(Tabela66[id],D837)=0,"",COUNTIF(Tabela66[id],D837))</f>
        <v/>
      </c>
      <c r="L837" s="198"/>
      <c r="M837" s="227" t="str">
        <f t="shared" si="65"/>
        <v/>
      </c>
      <c r="P837" s="176" t="str">
        <f>IFERROR(VLOOKUP(O837,Cadastros!A:B,2),"")</f>
        <v/>
      </c>
      <c r="Q837" s="177" t="str">
        <f t="shared" si="61"/>
        <v/>
      </c>
      <c r="R837" s="177" t="str">
        <f>IFERROR(VLOOKUP(O837,Cadastros!A:E,5,0),"")</f>
        <v/>
      </c>
      <c r="S837" s="177" t="str">
        <f>IFERROR(VLOOKUP(O837,Cadastros!A:F,6,0),"")</f>
        <v/>
      </c>
      <c r="T837" s="177" t="str">
        <f>IFERROR(VLOOKUP(O837,Cadastros!A:I,9,0),"")</f>
        <v/>
      </c>
      <c r="U837" s="177" t="str">
        <f t="shared" si="62"/>
        <v/>
      </c>
      <c r="V837" s="177" t="str">
        <f t="shared" si="63"/>
        <v/>
      </c>
      <c r="W837" s="177" t="str">
        <f t="shared" si="64"/>
        <v/>
      </c>
      <c r="Y837" s="240" t="e">
        <f t="array" ref="Y837">INDEX(Tabela.abordagens[],SMALL(IF(Tabela.abordagens[Mês]=$L$2,ROW(Tabela.abordagens[id])-2),ROW(A790)),1)</f>
        <v>#NUM!</v>
      </c>
      <c r="Z837" s="240" t="e">
        <f t="array" ref="Z837">INDEX(Tabela.abordagens[],SMALL(IF(Tabela.abordagens[Mês]=$L$2,ROW(Tabela.abordagens[Idade])-2),ROW(A790)),6)</f>
        <v>#NUM!</v>
      </c>
      <c r="AA837" s="240" t="e">
        <f t="array" ref="AA837">INDEX(Tabela.abordagens[],SMALL(IF(Tabela.abordagens[Mês]=$L$2,ROW(Tabela.abordagens[Idade])-2),ROW(A790)),4)</f>
        <v>#NUM!</v>
      </c>
      <c r="AB837" s="240" t="e">
        <f t="array" ref="AB837">INDEX(Tabela.abordagens[],SMALL(IF(Tabela.abordagens[Mês]=$L$2,ROW(Tabela.abordagens[Idade])-2),ROW(A790)),5)</f>
        <v>#NUM!</v>
      </c>
    </row>
    <row r="838" spans="2:28" ht="15" x14ac:dyDescent="0.25">
      <c r="B838" s="223" t="e">
        <f t="array" ref="B838">INDEX(Tabela.frequencia[],SMALL(IF(Tabela.frequencia[Mês]=$L$2,ROW(Tabela.frequencia[id])-1),ROW(A791)),1)</f>
        <v>#NUM!</v>
      </c>
      <c r="C838" s="229" t="e">
        <f t="array" ref="C838">INDEX(Tabela.frequencia[],SMALL(IF(Tabela.frequencia[Mês]=$L$2,ROW(Tabela.frequencia[id])-1),ROW(A791)),4)</f>
        <v>#NUM!</v>
      </c>
      <c r="E838" s="176" t="str">
        <f>IFERROR(VLOOKUP(D838,Tabela.cadastro[[ID]:[Nome]],2,0),"")</f>
        <v/>
      </c>
      <c r="F838" s="177" t="str">
        <f>IFERROR(VLOOKUP(D838,Tabela66[#All],2,0),"")</f>
        <v/>
      </c>
      <c r="G838" s="177" t="str">
        <f>IFERROR(VLOOKUP(D838,Tabela.cadastro[[ID]:[CP ou M]],5,0),"")</f>
        <v/>
      </c>
      <c r="H838" s="177" t="str">
        <f>IFERROR(VLOOKUP(D838,Cadastros!A:F,6,0),"")</f>
        <v/>
      </c>
      <c r="I838" s="177" t="str">
        <f>IFERROR(VLOOKUP(D838,Cadastros!A:I,9,0),"")</f>
        <v/>
      </c>
      <c r="J838" s="177" t="str">
        <f>IFERROR(VLOOKUP(D838,Cadastros!A:J,10,0),"")</f>
        <v/>
      </c>
      <c r="K838" s="177" t="str">
        <f>IF(COUNTIF(Tabela66[id],D838)=0,"",COUNTIF(Tabela66[id],D838))</f>
        <v/>
      </c>
      <c r="L838" s="198"/>
      <c r="M838" s="227" t="str">
        <f t="shared" si="65"/>
        <v/>
      </c>
      <c r="P838" s="176" t="str">
        <f>IFERROR(VLOOKUP(O838,Cadastros!A:B,2),"")</f>
        <v/>
      </c>
      <c r="Q838" s="177" t="str">
        <f t="shared" si="61"/>
        <v/>
      </c>
      <c r="R838" s="177" t="str">
        <f>IFERROR(VLOOKUP(O838,Cadastros!A:E,5,0),"")</f>
        <v/>
      </c>
      <c r="S838" s="177" t="str">
        <f>IFERROR(VLOOKUP(O838,Cadastros!A:F,6,0),"")</f>
        <v/>
      </c>
      <c r="T838" s="177" t="str">
        <f>IFERROR(VLOOKUP(O838,Cadastros!A:I,9,0),"")</f>
        <v/>
      </c>
      <c r="U838" s="177" t="str">
        <f t="shared" si="62"/>
        <v/>
      </c>
      <c r="V838" s="177" t="str">
        <f t="shared" si="63"/>
        <v/>
      </c>
      <c r="W838" s="177" t="str">
        <f t="shared" si="64"/>
        <v/>
      </c>
      <c r="Y838" s="240" t="e">
        <f t="array" ref="Y838">INDEX(Tabela.abordagens[],SMALL(IF(Tabela.abordagens[Mês]=$L$2,ROW(Tabela.abordagens[id])-2),ROW(A791)),1)</f>
        <v>#NUM!</v>
      </c>
      <c r="Z838" s="240" t="e">
        <f t="array" ref="Z838">INDEX(Tabela.abordagens[],SMALL(IF(Tabela.abordagens[Mês]=$L$2,ROW(Tabela.abordagens[Idade])-2),ROW(A791)),6)</f>
        <v>#NUM!</v>
      </c>
      <c r="AA838" s="240" t="e">
        <f t="array" ref="AA838">INDEX(Tabela.abordagens[],SMALL(IF(Tabela.abordagens[Mês]=$L$2,ROW(Tabela.abordagens[Idade])-2),ROW(A791)),4)</f>
        <v>#NUM!</v>
      </c>
      <c r="AB838" s="240" t="e">
        <f t="array" ref="AB838">INDEX(Tabela.abordagens[],SMALL(IF(Tabela.abordagens[Mês]=$L$2,ROW(Tabela.abordagens[Idade])-2),ROW(A791)),5)</f>
        <v>#NUM!</v>
      </c>
    </row>
    <row r="839" spans="2:28" ht="15" x14ac:dyDescent="0.25">
      <c r="B839" s="223" t="e">
        <f t="array" ref="B839">INDEX(Tabela.frequencia[],SMALL(IF(Tabela.frequencia[Mês]=$L$2,ROW(Tabela.frequencia[id])-1),ROW(A792)),1)</f>
        <v>#NUM!</v>
      </c>
      <c r="C839" s="229" t="e">
        <f t="array" ref="C839">INDEX(Tabela.frequencia[],SMALL(IF(Tabela.frequencia[Mês]=$L$2,ROW(Tabela.frequencia[id])-1),ROW(A792)),4)</f>
        <v>#NUM!</v>
      </c>
      <c r="E839" s="176" t="str">
        <f>IFERROR(VLOOKUP(D839,Tabela.cadastro[[ID]:[Nome]],2,0),"")</f>
        <v/>
      </c>
      <c r="F839" s="177" t="str">
        <f>IFERROR(VLOOKUP(D839,Tabela66[#All],2,0),"")</f>
        <v/>
      </c>
      <c r="G839" s="177" t="str">
        <f>IFERROR(VLOOKUP(D839,Tabela.cadastro[[ID]:[CP ou M]],5,0),"")</f>
        <v/>
      </c>
      <c r="H839" s="177" t="str">
        <f>IFERROR(VLOOKUP(D839,Cadastros!A:F,6,0),"")</f>
        <v/>
      </c>
      <c r="I839" s="177" t="str">
        <f>IFERROR(VLOOKUP(D839,Cadastros!A:I,9,0),"")</f>
        <v/>
      </c>
      <c r="J839" s="177" t="str">
        <f>IFERROR(VLOOKUP(D839,Cadastros!A:J,10,0),"")</f>
        <v/>
      </c>
      <c r="K839" s="177" t="str">
        <f>IF(COUNTIF(Tabela66[id],D839)=0,"",COUNTIF(Tabela66[id],D839))</f>
        <v/>
      </c>
      <c r="L839" s="198"/>
      <c r="M839" s="227" t="str">
        <f t="shared" si="65"/>
        <v/>
      </c>
      <c r="P839" s="176" t="str">
        <f>IFERROR(VLOOKUP(O839,Cadastros!A:B,2),"")</f>
        <v/>
      </c>
      <c r="Q839" s="177" t="str">
        <f t="shared" si="61"/>
        <v/>
      </c>
      <c r="R839" s="177" t="str">
        <f>IFERROR(VLOOKUP(O839,Cadastros!A:E,5,0),"")</f>
        <v/>
      </c>
      <c r="S839" s="177" t="str">
        <f>IFERROR(VLOOKUP(O839,Cadastros!A:F,6,0),"")</f>
        <v/>
      </c>
      <c r="T839" s="177" t="str">
        <f>IFERROR(VLOOKUP(O839,Cadastros!A:I,9,0),"")</f>
        <v/>
      </c>
      <c r="U839" s="177" t="str">
        <f t="shared" si="62"/>
        <v/>
      </c>
      <c r="V839" s="177" t="str">
        <f t="shared" si="63"/>
        <v/>
      </c>
      <c r="W839" s="177" t="str">
        <f t="shared" si="64"/>
        <v/>
      </c>
      <c r="Y839" s="240" t="e">
        <f t="array" ref="Y839">INDEX(Tabela.abordagens[],SMALL(IF(Tabela.abordagens[Mês]=$L$2,ROW(Tabela.abordagens[id])-2),ROW(A792)),1)</f>
        <v>#NUM!</v>
      </c>
      <c r="Z839" s="240" t="e">
        <f t="array" ref="Z839">INDEX(Tabela.abordagens[],SMALL(IF(Tabela.abordagens[Mês]=$L$2,ROW(Tabela.abordagens[Idade])-2),ROW(A792)),6)</f>
        <v>#NUM!</v>
      </c>
      <c r="AA839" s="240" t="e">
        <f t="array" ref="AA839">INDEX(Tabela.abordagens[],SMALL(IF(Tabela.abordagens[Mês]=$L$2,ROW(Tabela.abordagens[Idade])-2),ROW(A792)),4)</f>
        <v>#NUM!</v>
      </c>
      <c r="AB839" s="240" t="e">
        <f t="array" ref="AB839">INDEX(Tabela.abordagens[],SMALL(IF(Tabela.abordagens[Mês]=$L$2,ROW(Tabela.abordagens[Idade])-2),ROW(A792)),5)</f>
        <v>#NUM!</v>
      </c>
    </row>
    <row r="840" spans="2:28" ht="15" x14ac:dyDescent="0.25">
      <c r="B840" s="223" t="e">
        <f t="array" ref="B840">INDEX(Tabela.frequencia[],SMALL(IF(Tabela.frequencia[Mês]=$L$2,ROW(Tabela.frequencia[id])-1),ROW(A793)),1)</f>
        <v>#NUM!</v>
      </c>
      <c r="C840" s="229" t="e">
        <f t="array" ref="C840">INDEX(Tabela.frequencia[],SMALL(IF(Tabela.frequencia[Mês]=$L$2,ROW(Tabela.frequencia[id])-1),ROW(A793)),4)</f>
        <v>#NUM!</v>
      </c>
      <c r="E840" s="176" t="str">
        <f>IFERROR(VLOOKUP(D840,Tabela.cadastro[[ID]:[Nome]],2,0),"")</f>
        <v/>
      </c>
      <c r="F840" s="177" t="str">
        <f>IFERROR(VLOOKUP(D840,Tabela66[#All],2,0),"")</f>
        <v/>
      </c>
      <c r="G840" s="177" t="str">
        <f>IFERROR(VLOOKUP(D840,Tabela.cadastro[[ID]:[CP ou M]],5,0),"")</f>
        <v/>
      </c>
      <c r="H840" s="177" t="str">
        <f>IFERROR(VLOOKUP(D840,Cadastros!A:F,6,0),"")</f>
        <v/>
      </c>
      <c r="I840" s="177" t="str">
        <f>IFERROR(VLOOKUP(D840,Cadastros!A:I,9,0),"")</f>
        <v/>
      </c>
      <c r="J840" s="177" t="str">
        <f>IFERROR(VLOOKUP(D840,Cadastros!A:J,10,0),"")</f>
        <v/>
      </c>
      <c r="K840" s="177" t="str">
        <f>IF(COUNTIF(Tabela66[id],D840)=0,"",COUNTIF(Tabela66[id],D840))</f>
        <v/>
      </c>
      <c r="L840" s="198"/>
      <c r="M840" s="227" t="str">
        <f t="shared" si="65"/>
        <v/>
      </c>
      <c r="P840" s="176" t="str">
        <f>IFERROR(VLOOKUP(O840,Cadastros!A:B,2),"")</f>
        <v/>
      </c>
      <c r="Q840" s="177" t="str">
        <f t="shared" si="61"/>
        <v/>
      </c>
      <c r="R840" s="177" t="str">
        <f>IFERROR(VLOOKUP(O840,Cadastros!A:E,5,0),"")</f>
        <v/>
      </c>
      <c r="S840" s="177" t="str">
        <f>IFERROR(VLOOKUP(O840,Cadastros!A:F,6,0),"")</f>
        <v/>
      </c>
      <c r="T840" s="177" t="str">
        <f>IFERROR(VLOOKUP(O840,Cadastros!A:I,9,0),"")</f>
        <v/>
      </c>
      <c r="U840" s="177" t="str">
        <f t="shared" si="62"/>
        <v/>
      </c>
      <c r="V840" s="177" t="str">
        <f t="shared" si="63"/>
        <v/>
      </c>
      <c r="W840" s="177" t="str">
        <f t="shared" si="64"/>
        <v/>
      </c>
      <c r="Y840" s="240" t="e">
        <f t="array" ref="Y840">INDEX(Tabela.abordagens[],SMALL(IF(Tabela.abordagens[Mês]=$L$2,ROW(Tabela.abordagens[id])-2),ROW(A793)),1)</f>
        <v>#NUM!</v>
      </c>
      <c r="Z840" s="240" t="e">
        <f t="array" ref="Z840">INDEX(Tabela.abordagens[],SMALL(IF(Tabela.abordagens[Mês]=$L$2,ROW(Tabela.abordagens[Idade])-2),ROW(A793)),6)</f>
        <v>#NUM!</v>
      </c>
      <c r="AA840" s="240" t="e">
        <f t="array" ref="AA840">INDEX(Tabela.abordagens[],SMALL(IF(Tabela.abordagens[Mês]=$L$2,ROW(Tabela.abordagens[Idade])-2),ROW(A793)),4)</f>
        <v>#NUM!</v>
      </c>
      <c r="AB840" s="240" t="e">
        <f t="array" ref="AB840">INDEX(Tabela.abordagens[],SMALL(IF(Tabela.abordagens[Mês]=$L$2,ROW(Tabela.abordagens[Idade])-2),ROW(A793)),5)</f>
        <v>#NUM!</v>
      </c>
    </row>
    <row r="841" spans="2:28" ht="15" x14ac:dyDescent="0.25">
      <c r="B841" s="223" t="e">
        <f t="array" ref="B841">INDEX(Tabela.frequencia[],SMALL(IF(Tabela.frequencia[Mês]=$L$2,ROW(Tabela.frequencia[id])-1),ROW(A794)),1)</f>
        <v>#NUM!</v>
      </c>
      <c r="C841" s="229" t="e">
        <f t="array" ref="C841">INDEX(Tabela.frequencia[],SMALL(IF(Tabela.frequencia[Mês]=$L$2,ROW(Tabela.frequencia[id])-1),ROW(A794)),4)</f>
        <v>#NUM!</v>
      </c>
      <c r="E841" s="176" t="str">
        <f>IFERROR(VLOOKUP(D841,Tabela.cadastro[[ID]:[Nome]],2,0),"")</f>
        <v/>
      </c>
      <c r="F841" s="177" t="str">
        <f>IFERROR(VLOOKUP(D841,Tabela66[#All],2,0),"")</f>
        <v/>
      </c>
      <c r="G841" s="177" t="str">
        <f>IFERROR(VLOOKUP(D841,Tabela.cadastro[[ID]:[CP ou M]],5,0),"")</f>
        <v/>
      </c>
      <c r="H841" s="177" t="str">
        <f>IFERROR(VLOOKUP(D841,Cadastros!A:F,6,0),"")</f>
        <v/>
      </c>
      <c r="I841" s="177" t="str">
        <f>IFERROR(VLOOKUP(D841,Cadastros!A:I,9,0),"")</f>
        <v/>
      </c>
      <c r="J841" s="177" t="str">
        <f>IFERROR(VLOOKUP(D841,Cadastros!A:J,10,0),"")</f>
        <v/>
      </c>
      <c r="K841" s="177" t="str">
        <f>IF(COUNTIF(Tabela66[id],D841)=0,"",COUNTIF(Tabela66[id],D841))</f>
        <v/>
      </c>
      <c r="L841" s="198"/>
      <c r="M841" s="227" t="str">
        <f t="shared" si="65"/>
        <v/>
      </c>
      <c r="P841" s="176" t="str">
        <f>IFERROR(VLOOKUP(O841,Cadastros!A:B,2),"")</f>
        <v/>
      </c>
      <c r="Q841" s="177" t="str">
        <f t="shared" si="61"/>
        <v/>
      </c>
      <c r="R841" s="177" t="str">
        <f>IFERROR(VLOOKUP(O841,Cadastros!A:E,5,0),"")</f>
        <v/>
      </c>
      <c r="S841" s="177" t="str">
        <f>IFERROR(VLOOKUP(O841,Cadastros!A:F,6,0),"")</f>
        <v/>
      </c>
      <c r="T841" s="177" t="str">
        <f>IFERROR(VLOOKUP(O841,Cadastros!A:I,9,0),"")</f>
        <v/>
      </c>
      <c r="U841" s="177" t="str">
        <f t="shared" si="62"/>
        <v/>
      </c>
      <c r="V841" s="177" t="str">
        <f t="shared" si="63"/>
        <v/>
      </c>
      <c r="W841" s="177" t="str">
        <f t="shared" si="64"/>
        <v/>
      </c>
      <c r="Y841" s="240" t="e">
        <f t="array" ref="Y841">INDEX(Tabela.abordagens[],SMALL(IF(Tabela.abordagens[Mês]=$L$2,ROW(Tabela.abordagens[id])-2),ROW(A794)),1)</f>
        <v>#NUM!</v>
      </c>
      <c r="Z841" s="240" t="e">
        <f t="array" ref="Z841">INDEX(Tabela.abordagens[],SMALL(IF(Tabela.abordagens[Mês]=$L$2,ROW(Tabela.abordagens[Idade])-2),ROW(A794)),6)</f>
        <v>#NUM!</v>
      </c>
      <c r="AA841" s="240" t="e">
        <f t="array" ref="AA841">INDEX(Tabela.abordagens[],SMALL(IF(Tabela.abordagens[Mês]=$L$2,ROW(Tabela.abordagens[Idade])-2),ROW(A794)),4)</f>
        <v>#NUM!</v>
      </c>
      <c r="AB841" s="240" t="e">
        <f t="array" ref="AB841">INDEX(Tabela.abordagens[],SMALL(IF(Tabela.abordagens[Mês]=$L$2,ROW(Tabela.abordagens[Idade])-2),ROW(A794)),5)</f>
        <v>#NUM!</v>
      </c>
    </row>
    <row r="842" spans="2:28" ht="15" x14ac:dyDescent="0.25">
      <c r="B842" s="223" t="e">
        <f t="array" ref="B842">INDEX(Tabela.frequencia[],SMALL(IF(Tabela.frequencia[Mês]=$L$2,ROW(Tabela.frequencia[id])-1),ROW(A795)),1)</f>
        <v>#NUM!</v>
      </c>
      <c r="C842" s="229" t="e">
        <f t="array" ref="C842">INDEX(Tabela.frequencia[],SMALL(IF(Tabela.frequencia[Mês]=$L$2,ROW(Tabela.frequencia[id])-1),ROW(A795)),4)</f>
        <v>#NUM!</v>
      </c>
      <c r="E842" s="176" t="str">
        <f>IFERROR(VLOOKUP(D842,Tabela.cadastro[[ID]:[Nome]],2,0),"")</f>
        <v/>
      </c>
      <c r="F842" s="177" t="str">
        <f>IFERROR(VLOOKUP(D842,Tabela66[#All],2,0),"")</f>
        <v/>
      </c>
      <c r="G842" s="177" t="str">
        <f>IFERROR(VLOOKUP(D842,Tabela.cadastro[[ID]:[CP ou M]],5,0),"")</f>
        <v/>
      </c>
      <c r="H842" s="177" t="str">
        <f>IFERROR(VLOOKUP(D842,Cadastros!A:F,6,0),"")</f>
        <v/>
      </c>
      <c r="I842" s="177" t="str">
        <f>IFERROR(VLOOKUP(D842,Cadastros!A:I,9,0),"")</f>
        <v/>
      </c>
      <c r="J842" s="177" t="str">
        <f>IFERROR(VLOOKUP(D842,Cadastros!A:J,10,0),"")</f>
        <v/>
      </c>
      <c r="K842" s="177" t="str">
        <f>IF(COUNTIF(Tabela66[id],D842)=0,"",COUNTIF(Tabela66[id],D842))</f>
        <v/>
      </c>
      <c r="L842" s="198"/>
      <c r="M842" s="227" t="str">
        <f t="shared" si="65"/>
        <v/>
      </c>
      <c r="P842" s="176" t="str">
        <f>IFERROR(VLOOKUP(O842,Cadastros!A:B,2),"")</f>
        <v/>
      </c>
      <c r="Q842" s="177" t="str">
        <f t="shared" si="61"/>
        <v/>
      </c>
      <c r="R842" s="177" t="str">
        <f>IFERROR(VLOOKUP(O842,Cadastros!A:E,5,0),"")</f>
        <v/>
      </c>
      <c r="S842" s="177" t="str">
        <f>IFERROR(VLOOKUP(O842,Cadastros!A:F,6,0),"")</f>
        <v/>
      </c>
      <c r="T842" s="177" t="str">
        <f>IFERROR(VLOOKUP(O842,Cadastros!A:I,9,0),"")</f>
        <v/>
      </c>
      <c r="U842" s="177" t="str">
        <f t="shared" si="62"/>
        <v/>
      </c>
      <c r="V842" s="177" t="str">
        <f t="shared" si="63"/>
        <v/>
      </c>
      <c r="W842" s="177" t="str">
        <f t="shared" si="64"/>
        <v/>
      </c>
      <c r="Y842" s="240" t="e">
        <f t="array" ref="Y842">INDEX(Tabela.abordagens[],SMALL(IF(Tabela.abordagens[Mês]=$L$2,ROW(Tabela.abordagens[id])-2),ROW(A795)),1)</f>
        <v>#NUM!</v>
      </c>
      <c r="Z842" s="240" t="e">
        <f t="array" ref="Z842">INDEX(Tabela.abordagens[],SMALL(IF(Tabela.abordagens[Mês]=$L$2,ROW(Tabela.abordagens[Idade])-2),ROW(A795)),6)</f>
        <v>#NUM!</v>
      </c>
      <c r="AA842" s="240" t="e">
        <f t="array" ref="AA842">INDEX(Tabela.abordagens[],SMALL(IF(Tabela.abordagens[Mês]=$L$2,ROW(Tabela.abordagens[Idade])-2),ROW(A795)),4)</f>
        <v>#NUM!</v>
      </c>
      <c r="AB842" s="240" t="e">
        <f t="array" ref="AB842">INDEX(Tabela.abordagens[],SMALL(IF(Tabela.abordagens[Mês]=$L$2,ROW(Tabela.abordagens[Idade])-2),ROW(A795)),5)</f>
        <v>#NUM!</v>
      </c>
    </row>
    <row r="843" spans="2:28" ht="15" x14ac:dyDescent="0.25">
      <c r="B843" s="223" t="e">
        <f t="array" ref="B843">INDEX(Tabela.frequencia[],SMALL(IF(Tabela.frequencia[Mês]=$L$2,ROW(Tabela.frequencia[id])-1),ROW(A796)),1)</f>
        <v>#NUM!</v>
      </c>
      <c r="C843" s="229" t="e">
        <f t="array" ref="C843">INDEX(Tabela.frequencia[],SMALL(IF(Tabela.frequencia[Mês]=$L$2,ROW(Tabela.frequencia[id])-1),ROW(A796)),4)</f>
        <v>#NUM!</v>
      </c>
      <c r="E843" s="176" t="str">
        <f>IFERROR(VLOOKUP(D843,Tabela.cadastro[[ID]:[Nome]],2,0),"")</f>
        <v/>
      </c>
      <c r="F843" s="177" t="str">
        <f>IFERROR(VLOOKUP(D843,Tabela66[#All],2,0),"")</f>
        <v/>
      </c>
      <c r="G843" s="177" t="str">
        <f>IFERROR(VLOOKUP(D843,Tabela.cadastro[[ID]:[CP ou M]],5,0),"")</f>
        <v/>
      </c>
      <c r="H843" s="177" t="str">
        <f>IFERROR(VLOOKUP(D843,Cadastros!A:F,6,0),"")</f>
        <v/>
      </c>
      <c r="I843" s="177" t="str">
        <f>IFERROR(VLOOKUP(D843,Cadastros!A:I,9,0),"")</f>
        <v/>
      </c>
      <c r="J843" s="177" t="str">
        <f>IFERROR(VLOOKUP(D843,Cadastros!A:J,10,0),"")</f>
        <v/>
      </c>
      <c r="K843" s="177" t="str">
        <f>IF(COUNTIF(Tabela66[id],D843)=0,"",COUNTIF(Tabela66[id],D843))</f>
        <v/>
      </c>
      <c r="L843" s="198"/>
      <c r="M843" s="227" t="str">
        <f t="shared" si="65"/>
        <v/>
      </c>
      <c r="P843" s="176" t="str">
        <f>IFERROR(VLOOKUP(O843,Cadastros!A:B,2),"")</f>
        <v/>
      </c>
      <c r="Q843" s="177" t="str">
        <f t="shared" si="61"/>
        <v/>
      </c>
      <c r="R843" s="177" t="str">
        <f>IFERROR(VLOOKUP(O843,Cadastros!A:E,5,0),"")</f>
        <v/>
      </c>
      <c r="S843" s="177" t="str">
        <f>IFERROR(VLOOKUP(O843,Cadastros!A:F,6,0),"")</f>
        <v/>
      </c>
      <c r="T843" s="177" t="str">
        <f>IFERROR(VLOOKUP(O843,Cadastros!A:I,9,0),"")</f>
        <v/>
      </c>
      <c r="U843" s="177" t="str">
        <f t="shared" si="62"/>
        <v/>
      </c>
      <c r="V843" s="177" t="str">
        <f t="shared" si="63"/>
        <v/>
      </c>
      <c r="W843" s="177" t="str">
        <f t="shared" si="64"/>
        <v/>
      </c>
      <c r="Y843" s="240" t="e">
        <f t="array" ref="Y843">INDEX(Tabela.abordagens[],SMALL(IF(Tabela.abordagens[Mês]=$L$2,ROW(Tabela.abordagens[id])-2),ROW(A796)),1)</f>
        <v>#NUM!</v>
      </c>
      <c r="Z843" s="240" t="e">
        <f t="array" ref="Z843">INDEX(Tabela.abordagens[],SMALL(IF(Tabela.abordagens[Mês]=$L$2,ROW(Tabela.abordagens[Idade])-2),ROW(A796)),6)</f>
        <v>#NUM!</v>
      </c>
      <c r="AA843" s="240" t="e">
        <f t="array" ref="AA843">INDEX(Tabela.abordagens[],SMALL(IF(Tabela.abordagens[Mês]=$L$2,ROW(Tabela.abordagens[Idade])-2),ROW(A796)),4)</f>
        <v>#NUM!</v>
      </c>
      <c r="AB843" s="240" t="e">
        <f t="array" ref="AB843">INDEX(Tabela.abordagens[],SMALL(IF(Tabela.abordagens[Mês]=$L$2,ROW(Tabela.abordagens[Idade])-2),ROW(A796)),5)</f>
        <v>#NUM!</v>
      </c>
    </row>
    <row r="844" spans="2:28" ht="15" x14ac:dyDescent="0.25">
      <c r="B844" s="223" t="e">
        <f t="array" ref="B844">INDEX(Tabela.frequencia[],SMALL(IF(Tabela.frequencia[Mês]=$L$2,ROW(Tabela.frequencia[id])-1),ROW(A797)),1)</f>
        <v>#NUM!</v>
      </c>
      <c r="C844" s="229" t="e">
        <f t="array" ref="C844">INDEX(Tabela.frequencia[],SMALL(IF(Tabela.frequencia[Mês]=$L$2,ROW(Tabela.frequencia[id])-1),ROW(A797)),4)</f>
        <v>#NUM!</v>
      </c>
      <c r="E844" s="176" t="str">
        <f>IFERROR(VLOOKUP(D844,Tabela.cadastro[[ID]:[Nome]],2,0),"")</f>
        <v/>
      </c>
      <c r="F844" s="177" t="str">
        <f>IFERROR(VLOOKUP(D844,Tabela66[#All],2,0),"")</f>
        <v/>
      </c>
      <c r="G844" s="177" t="str">
        <f>IFERROR(VLOOKUP(D844,Tabela.cadastro[[ID]:[CP ou M]],5,0),"")</f>
        <v/>
      </c>
      <c r="H844" s="177" t="str">
        <f>IFERROR(VLOOKUP(D844,Cadastros!A:F,6,0),"")</f>
        <v/>
      </c>
      <c r="I844" s="177" t="str">
        <f>IFERROR(VLOOKUP(D844,Cadastros!A:I,9,0),"")</f>
        <v/>
      </c>
      <c r="J844" s="177" t="str">
        <f>IFERROR(VLOOKUP(D844,Cadastros!A:J,10,0),"")</f>
        <v/>
      </c>
      <c r="K844" s="177" t="str">
        <f>IF(COUNTIF(Tabela66[id],D844)=0,"",COUNTIF(Tabela66[id],D844))</f>
        <v/>
      </c>
      <c r="L844" s="198"/>
      <c r="M844" s="227" t="str">
        <f t="shared" si="65"/>
        <v/>
      </c>
      <c r="P844" s="176" t="str">
        <f>IFERROR(VLOOKUP(O844,Cadastros!A:B,2),"")</f>
        <v/>
      </c>
      <c r="Q844" s="177" t="str">
        <f t="shared" si="61"/>
        <v/>
      </c>
      <c r="R844" s="177" t="str">
        <f>IFERROR(VLOOKUP(O844,Cadastros!A:E,5,0),"")</f>
        <v/>
      </c>
      <c r="S844" s="177" t="str">
        <f>IFERROR(VLOOKUP(O844,Cadastros!A:F,6,0),"")</f>
        <v/>
      </c>
      <c r="T844" s="177" t="str">
        <f>IFERROR(VLOOKUP(O844,Cadastros!A:I,9,0),"")</f>
        <v/>
      </c>
      <c r="U844" s="177" t="str">
        <f t="shared" si="62"/>
        <v/>
      </c>
      <c r="V844" s="177" t="str">
        <f t="shared" si="63"/>
        <v/>
      </c>
      <c r="W844" s="177" t="str">
        <f t="shared" si="64"/>
        <v/>
      </c>
      <c r="Y844" s="240" t="e">
        <f t="array" ref="Y844">INDEX(Tabela.abordagens[],SMALL(IF(Tabela.abordagens[Mês]=$L$2,ROW(Tabela.abordagens[id])-2),ROW(A797)),1)</f>
        <v>#NUM!</v>
      </c>
      <c r="Z844" s="240" t="e">
        <f t="array" ref="Z844">INDEX(Tabela.abordagens[],SMALL(IF(Tabela.abordagens[Mês]=$L$2,ROW(Tabela.abordagens[Idade])-2),ROW(A797)),6)</f>
        <v>#NUM!</v>
      </c>
      <c r="AA844" s="240" t="e">
        <f t="array" ref="AA844">INDEX(Tabela.abordagens[],SMALL(IF(Tabela.abordagens[Mês]=$L$2,ROW(Tabela.abordagens[Idade])-2),ROW(A797)),4)</f>
        <v>#NUM!</v>
      </c>
      <c r="AB844" s="240" t="e">
        <f t="array" ref="AB844">INDEX(Tabela.abordagens[],SMALL(IF(Tabela.abordagens[Mês]=$L$2,ROW(Tabela.abordagens[Idade])-2),ROW(A797)),5)</f>
        <v>#NUM!</v>
      </c>
    </row>
    <row r="845" spans="2:28" ht="15" x14ac:dyDescent="0.25">
      <c r="B845" s="223" t="e">
        <f t="array" ref="B845">INDEX(Tabela.frequencia[],SMALL(IF(Tabela.frequencia[Mês]=$L$2,ROW(Tabela.frequencia[id])-1),ROW(A798)),1)</f>
        <v>#NUM!</v>
      </c>
      <c r="C845" s="229" t="e">
        <f t="array" ref="C845">INDEX(Tabela.frequencia[],SMALL(IF(Tabela.frequencia[Mês]=$L$2,ROW(Tabela.frequencia[id])-1),ROW(A798)),4)</f>
        <v>#NUM!</v>
      </c>
      <c r="E845" s="176" t="str">
        <f>IFERROR(VLOOKUP(D845,Tabela.cadastro[[ID]:[Nome]],2,0),"")</f>
        <v/>
      </c>
      <c r="F845" s="177" t="str">
        <f>IFERROR(VLOOKUP(D845,Tabela66[#All],2,0),"")</f>
        <v/>
      </c>
      <c r="G845" s="177" t="str">
        <f>IFERROR(VLOOKUP(D845,Tabela.cadastro[[ID]:[CP ou M]],5,0),"")</f>
        <v/>
      </c>
      <c r="H845" s="177" t="str">
        <f>IFERROR(VLOOKUP(D845,Cadastros!A:F,6,0),"")</f>
        <v/>
      </c>
      <c r="I845" s="177" t="str">
        <f>IFERROR(VLOOKUP(D845,Cadastros!A:I,9,0),"")</f>
        <v/>
      </c>
      <c r="J845" s="177" t="str">
        <f>IFERROR(VLOOKUP(D845,Cadastros!A:J,10,0),"")</f>
        <v/>
      </c>
      <c r="K845" s="177" t="str">
        <f>IF(COUNTIF(Tabela66[id],D845)=0,"",COUNTIF(Tabela66[id],D845))</f>
        <v/>
      </c>
      <c r="L845" s="198"/>
      <c r="M845" s="227" t="str">
        <f t="shared" si="65"/>
        <v/>
      </c>
      <c r="P845" s="176" t="str">
        <f>IFERROR(VLOOKUP(O845,Cadastros!A:B,2),"")</f>
        <v/>
      </c>
      <c r="Q845" s="177" t="str">
        <f t="shared" si="61"/>
        <v/>
      </c>
      <c r="R845" s="177" t="str">
        <f>IFERROR(VLOOKUP(O845,Cadastros!A:E,5,0),"")</f>
        <v/>
      </c>
      <c r="S845" s="177" t="str">
        <f>IFERROR(VLOOKUP(O845,Cadastros!A:F,6,0),"")</f>
        <v/>
      </c>
      <c r="T845" s="177" t="str">
        <f>IFERROR(VLOOKUP(O845,Cadastros!A:I,9,0),"")</f>
        <v/>
      </c>
      <c r="U845" s="177" t="str">
        <f t="shared" si="62"/>
        <v/>
      </c>
      <c r="V845" s="177" t="str">
        <f t="shared" si="63"/>
        <v/>
      </c>
      <c r="W845" s="177" t="str">
        <f t="shared" si="64"/>
        <v/>
      </c>
      <c r="Y845" s="240" t="e">
        <f t="array" ref="Y845">INDEX(Tabela.abordagens[],SMALL(IF(Tabela.abordagens[Mês]=$L$2,ROW(Tabela.abordagens[id])-2),ROW(A798)),1)</f>
        <v>#NUM!</v>
      </c>
      <c r="Z845" s="240" t="e">
        <f t="array" ref="Z845">INDEX(Tabela.abordagens[],SMALL(IF(Tabela.abordagens[Mês]=$L$2,ROW(Tabela.abordagens[Idade])-2),ROW(A798)),6)</f>
        <v>#NUM!</v>
      </c>
      <c r="AA845" s="240" t="e">
        <f t="array" ref="AA845">INDEX(Tabela.abordagens[],SMALL(IF(Tabela.abordagens[Mês]=$L$2,ROW(Tabela.abordagens[Idade])-2),ROW(A798)),4)</f>
        <v>#NUM!</v>
      </c>
      <c r="AB845" s="240" t="e">
        <f t="array" ref="AB845">INDEX(Tabela.abordagens[],SMALL(IF(Tabela.abordagens[Mês]=$L$2,ROW(Tabela.abordagens[Idade])-2),ROW(A798)),5)</f>
        <v>#NUM!</v>
      </c>
    </row>
    <row r="846" spans="2:28" ht="15" x14ac:dyDescent="0.25">
      <c r="B846" s="223" t="e">
        <f t="array" ref="B846">INDEX(Tabela.frequencia[],SMALL(IF(Tabela.frequencia[Mês]=$L$2,ROW(Tabela.frequencia[id])-1),ROW(A799)),1)</f>
        <v>#NUM!</v>
      </c>
      <c r="C846" s="229" t="e">
        <f t="array" ref="C846">INDEX(Tabela.frequencia[],SMALL(IF(Tabela.frequencia[Mês]=$L$2,ROW(Tabela.frequencia[id])-1),ROW(A799)),4)</f>
        <v>#NUM!</v>
      </c>
      <c r="E846" s="176" t="str">
        <f>IFERROR(VLOOKUP(D846,Tabela.cadastro[[ID]:[Nome]],2,0),"")</f>
        <v/>
      </c>
      <c r="F846" s="177" t="str">
        <f>IFERROR(VLOOKUP(D846,Tabela66[#All],2,0),"")</f>
        <v/>
      </c>
      <c r="G846" s="177" t="str">
        <f>IFERROR(VLOOKUP(D846,Tabela.cadastro[[ID]:[CP ou M]],5,0),"")</f>
        <v/>
      </c>
      <c r="H846" s="177" t="str">
        <f>IFERROR(VLOOKUP(D846,Cadastros!A:F,6,0),"")</f>
        <v/>
      </c>
      <c r="I846" s="177" t="str">
        <f>IFERROR(VLOOKUP(D846,Cadastros!A:I,9,0),"")</f>
        <v/>
      </c>
      <c r="J846" s="177" t="str">
        <f>IFERROR(VLOOKUP(D846,Cadastros!A:J,10,0),"")</f>
        <v/>
      </c>
      <c r="K846" s="177" t="str">
        <f>IF(COUNTIF(Tabela66[id],D846)=0,"",COUNTIF(Tabela66[id],D846))</f>
        <v/>
      </c>
      <c r="L846" s="198"/>
      <c r="M846" s="227" t="str">
        <f t="shared" si="65"/>
        <v/>
      </c>
      <c r="P846" s="176" t="str">
        <f>IFERROR(VLOOKUP(O846,Cadastros!A:B,2),"")</f>
        <v/>
      </c>
      <c r="Q846" s="177" t="str">
        <f t="shared" si="61"/>
        <v/>
      </c>
      <c r="R846" s="177" t="str">
        <f>IFERROR(VLOOKUP(O846,Cadastros!A:E,5,0),"")</f>
        <v/>
      </c>
      <c r="S846" s="177" t="str">
        <f>IFERROR(VLOOKUP(O846,Cadastros!A:F,6,0),"")</f>
        <v/>
      </c>
      <c r="T846" s="177" t="str">
        <f>IFERROR(VLOOKUP(O846,Cadastros!A:I,9,0),"")</f>
        <v/>
      </c>
      <c r="U846" s="177" t="str">
        <f t="shared" si="62"/>
        <v/>
      </c>
      <c r="V846" s="177" t="str">
        <f t="shared" si="63"/>
        <v/>
      </c>
      <c r="W846" s="177" t="str">
        <f t="shared" si="64"/>
        <v/>
      </c>
      <c r="Y846" s="240" t="e">
        <f t="array" ref="Y846">INDEX(Tabela.abordagens[],SMALL(IF(Tabela.abordagens[Mês]=$L$2,ROW(Tabela.abordagens[id])-2),ROW(A799)),1)</f>
        <v>#NUM!</v>
      </c>
      <c r="Z846" s="240" t="e">
        <f t="array" ref="Z846">INDEX(Tabela.abordagens[],SMALL(IF(Tabela.abordagens[Mês]=$L$2,ROW(Tabela.abordagens[Idade])-2),ROW(A799)),6)</f>
        <v>#NUM!</v>
      </c>
      <c r="AA846" s="240" t="e">
        <f t="array" ref="AA846">INDEX(Tabela.abordagens[],SMALL(IF(Tabela.abordagens[Mês]=$L$2,ROW(Tabela.abordagens[Idade])-2),ROW(A799)),4)</f>
        <v>#NUM!</v>
      </c>
      <c r="AB846" s="240" t="e">
        <f t="array" ref="AB846">INDEX(Tabela.abordagens[],SMALL(IF(Tabela.abordagens[Mês]=$L$2,ROW(Tabela.abordagens[Idade])-2),ROW(A799)),5)</f>
        <v>#NUM!</v>
      </c>
    </row>
    <row r="847" spans="2:28" ht="15" x14ac:dyDescent="0.25">
      <c r="B847" s="223" t="e">
        <f t="array" ref="B847">INDEX(Tabela.frequencia[],SMALL(IF(Tabela.frequencia[Mês]=$L$2,ROW(Tabela.frequencia[id])-1),ROW(A800)),1)</f>
        <v>#NUM!</v>
      </c>
      <c r="C847" s="229" t="e">
        <f t="array" ref="C847">INDEX(Tabela.frequencia[],SMALL(IF(Tabela.frequencia[Mês]=$L$2,ROW(Tabela.frequencia[id])-1),ROW(A800)),4)</f>
        <v>#NUM!</v>
      </c>
      <c r="E847" s="176" t="str">
        <f>IFERROR(VLOOKUP(D847,Tabela.cadastro[[ID]:[Nome]],2,0),"")</f>
        <v/>
      </c>
      <c r="F847" s="177" t="str">
        <f>IFERROR(VLOOKUP(D847,Tabela66[#All],2,0),"")</f>
        <v/>
      </c>
      <c r="G847" s="177" t="str">
        <f>IFERROR(VLOOKUP(D847,Tabela.cadastro[[ID]:[CP ou M]],5,0),"")</f>
        <v/>
      </c>
      <c r="H847" s="177" t="str">
        <f>IFERROR(VLOOKUP(D847,Cadastros!A:F,6,0),"")</f>
        <v/>
      </c>
      <c r="I847" s="177" t="str">
        <f>IFERROR(VLOOKUP(D847,Cadastros!A:I,9,0),"")</f>
        <v/>
      </c>
      <c r="J847" s="177" t="str">
        <f>IFERROR(VLOOKUP(D847,Cadastros!A:J,10,0),"")</f>
        <v/>
      </c>
      <c r="K847" s="177" t="str">
        <f>IF(COUNTIF(Tabela66[id],D847)=0,"",COUNTIF(Tabela66[id],D847))</f>
        <v/>
      </c>
      <c r="L847" s="198"/>
      <c r="M847" s="227" t="str">
        <f t="shared" si="65"/>
        <v/>
      </c>
      <c r="P847" s="176" t="str">
        <f>IFERROR(VLOOKUP(O847,Cadastros!A:B,2),"")</f>
        <v/>
      </c>
      <c r="Q847" s="177" t="str">
        <f t="shared" si="61"/>
        <v/>
      </c>
      <c r="R847" s="177" t="str">
        <f>IFERROR(VLOOKUP(O847,Cadastros!A:E,5,0),"")</f>
        <v/>
      </c>
      <c r="S847" s="177" t="str">
        <f>IFERROR(VLOOKUP(O847,Cadastros!A:F,6,0),"")</f>
        <v/>
      </c>
      <c r="T847" s="177" t="str">
        <f>IFERROR(VLOOKUP(O847,Cadastros!A:I,9,0),"")</f>
        <v/>
      </c>
      <c r="U847" s="177" t="str">
        <f t="shared" si="62"/>
        <v/>
      </c>
      <c r="V847" s="177" t="str">
        <f t="shared" si="63"/>
        <v/>
      </c>
      <c r="W847" s="177" t="str">
        <f t="shared" si="64"/>
        <v/>
      </c>
      <c r="Y847" s="240" t="e">
        <f t="array" ref="Y847">INDEX(Tabela.abordagens[],SMALL(IF(Tabela.abordagens[Mês]=$L$2,ROW(Tabela.abordagens[id])-2),ROW(A800)),1)</f>
        <v>#NUM!</v>
      </c>
      <c r="Z847" s="240" t="e">
        <f t="array" ref="Z847">INDEX(Tabela.abordagens[],SMALL(IF(Tabela.abordagens[Mês]=$L$2,ROW(Tabela.abordagens[Idade])-2),ROW(A800)),6)</f>
        <v>#NUM!</v>
      </c>
      <c r="AA847" s="240" t="e">
        <f t="array" ref="AA847">INDEX(Tabela.abordagens[],SMALL(IF(Tabela.abordagens[Mês]=$L$2,ROW(Tabela.abordagens[Idade])-2),ROW(A800)),4)</f>
        <v>#NUM!</v>
      </c>
      <c r="AB847" s="240" t="e">
        <f t="array" ref="AB847">INDEX(Tabela.abordagens[],SMALL(IF(Tabela.abordagens[Mês]=$L$2,ROW(Tabela.abordagens[Idade])-2),ROW(A800)),5)</f>
        <v>#NUM!</v>
      </c>
    </row>
    <row r="848" spans="2:28" ht="15" x14ac:dyDescent="0.25">
      <c r="B848" s="223" t="e">
        <f t="array" ref="B848">INDEX(Tabela.frequencia[],SMALL(IF(Tabela.frequencia[Mês]=$L$2,ROW(Tabela.frequencia[id])-1),ROW(A801)),1)</f>
        <v>#NUM!</v>
      </c>
      <c r="C848" s="229" t="e">
        <f t="array" ref="C848">INDEX(Tabela.frequencia[],SMALL(IF(Tabela.frequencia[Mês]=$L$2,ROW(Tabela.frequencia[id])-1),ROW(A801)),4)</f>
        <v>#NUM!</v>
      </c>
      <c r="E848" s="176" t="str">
        <f>IFERROR(VLOOKUP(D848,Tabela.cadastro[[ID]:[Nome]],2,0),"")</f>
        <v/>
      </c>
      <c r="F848" s="177" t="str">
        <f>IFERROR(VLOOKUP(D848,Tabela66[#All],2,0),"")</f>
        <v/>
      </c>
      <c r="G848" s="177" t="str">
        <f>IFERROR(VLOOKUP(D848,Tabela.cadastro[[ID]:[CP ou M]],5,0),"")</f>
        <v/>
      </c>
      <c r="H848" s="177" t="str">
        <f>IFERROR(VLOOKUP(D848,Cadastros!A:F,6,0),"")</f>
        <v/>
      </c>
      <c r="I848" s="177" t="str">
        <f>IFERROR(VLOOKUP(D848,Cadastros!A:I,9,0),"")</f>
        <v/>
      </c>
      <c r="J848" s="177" t="str">
        <f>IFERROR(VLOOKUP(D848,Cadastros!A:J,10,0),"")</f>
        <v/>
      </c>
      <c r="K848" s="177" t="str">
        <f>IF(COUNTIF(Tabela66[id],D848)=0,"",COUNTIF(Tabela66[id],D848))</f>
        <v/>
      </c>
      <c r="L848" s="198"/>
      <c r="M848" s="227" t="str">
        <f t="shared" si="65"/>
        <v/>
      </c>
      <c r="P848" s="176" t="str">
        <f>IFERROR(VLOOKUP(O848,Cadastros!A:B,2),"")</f>
        <v/>
      </c>
      <c r="Q848" s="177" t="str">
        <f t="shared" si="61"/>
        <v/>
      </c>
      <c r="R848" s="177" t="str">
        <f>IFERROR(VLOOKUP(O848,Cadastros!A:E,5,0),"")</f>
        <v/>
      </c>
      <c r="S848" s="177" t="str">
        <f>IFERROR(VLOOKUP(O848,Cadastros!A:F,6,0),"")</f>
        <v/>
      </c>
      <c r="T848" s="177" t="str">
        <f>IFERROR(VLOOKUP(O848,Cadastros!A:I,9,0),"")</f>
        <v/>
      </c>
      <c r="U848" s="177" t="str">
        <f t="shared" si="62"/>
        <v/>
      </c>
      <c r="V848" s="177" t="str">
        <f t="shared" si="63"/>
        <v/>
      </c>
      <c r="W848" s="177" t="str">
        <f t="shared" si="64"/>
        <v/>
      </c>
      <c r="Y848" s="240" t="e">
        <f t="array" ref="Y848">INDEX(Tabela.abordagens[],SMALL(IF(Tabela.abordagens[Mês]=$L$2,ROW(Tabela.abordagens[id])-2),ROW(A801)),1)</f>
        <v>#NUM!</v>
      </c>
      <c r="Z848" s="240" t="e">
        <f t="array" ref="Z848">INDEX(Tabela.abordagens[],SMALL(IF(Tabela.abordagens[Mês]=$L$2,ROW(Tabela.abordagens[Idade])-2),ROW(A801)),6)</f>
        <v>#NUM!</v>
      </c>
      <c r="AA848" s="240" t="e">
        <f t="array" ref="AA848">INDEX(Tabela.abordagens[],SMALL(IF(Tabela.abordagens[Mês]=$L$2,ROW(Tabela.abordagens[Idade])-2),ROW(A801)),4)</f>
        <v>#NUM!</v>
      </c>
      <c r="AB848" s="240" t="e">
        <f t="array" ref="AB848">INDEX(Tabela.abordagens[],SMALL(IF(Tabela.abordagens[Mês]=$L$2,ROW(Tabela.abordagens[Idade])-2),ROW(A801)),5)</f>
        <v>#NUM!</v>
      </c>
    </row>
    <row r="849" spans="2:28" ht="15" x14ac:dyDescent="0.25">
      <c r="B849" s="223" t="e">
        <f t="array" ref="B849">INDEX(Tabela.frequencia[],SMALL(IF(Tabela.frequencia[Mês]=$L$2,ROW(Tabela.frequencia[id])-1),ROW(A802)),1)</f>
        <v>#NUM!</v>
      </c>
      <c r="C849" s="229" t="e">
        <f t="array" ref="C849">INDEX(Tabela.frequencia[],SMALL(IF(Tabela.frequencia[Mês]=$L$2,ROW(Tabela.frequencia[id])-1),ROW(A802)),4)</f>
        <v>#NUM!</v>
      </c>
      <c r="E849" s="176" t="str">
        <f>IFERROR(VLOOKUP(D849,Tabela.cadastro[[ID]:[Nome]],2,0),"")</f>
        <v/>
      </c>
      <c r="F849" s="177" t="str">
        <f>IFERROR(VLOOKUP(D849,Tabela66[#All],2,0),"")</f>
        <v/>
      </c>
      <c r="G849" s="177" t="str">
        <f>IFERROR(VLOOKUP(D849,Tabela.cadastro[[ID]:[CP ou M]],5,0),"")</f>
        <v/>
      </c>
      <c r="H849" s="177" t="str">
        <f>IFERROR(VLOOKUP(D849,Cadastros!A:F,6,0),"")</f>
        <v/>
      </c>
      <c r="I849" s="177" t="str">
        <f>IFERROR(VLOOKUP(D849,Cadastros!A:I,9,0),"")</f>
        <v/>
      </c>
      <c r="J849" s="177" t="str">
        <f>IFERROR(VLOOKUP(D849,Cadastros!A:J,10,0),"")</f>
        <v/>
      </c>
      <c r="K849" s="177" t="str">
        <f>IF(COUNTIF(Tabela66[id],D849)=0,"",COUNTIF(Tabela66[id],D849))</f>
        <v/>
      </c>
      <c r="L849" s="198"/>
      <c r="M849" s="227" t="str">
        <f t="shared" si="65"/>
        <v/>
      </c>
      <c r="P849" s="176" t="str">
        <f>IFERROR(VLOOKUP(O849,Cadastros!A:B,2),"")</f>
        <v/>
      </c>
      <c r="Q849" s="177" t="str">
        <f t="shared" si="61"/>
        <v/>
      </c>
      <c r="R849" s="177" t="str">
        <f>IFERROR(VLOOKUP(O849,Cadastros!A:E,5,0),"")</f>
        <v/>
      </c>
      <c r="S849" s="177" t="str">
        <f>IFERROR(VLOOKUP(O849,Cadastros!A:F,6,0),"")</f>
        <v/>
      </c>
      <c r="T849" s="177" t="str">
        <f>IFERROR(VLOOKUP(O849,Cadastros!A:I,9,0),"")</f>
        <v/>
      </c>
      <c r="U849" s="177" t="str">
        <f t="shared" si="62"/>
        <v/>
      </c>
      <c r="V849" s="177" t="str">
        <f t="shared" si="63"/>
        <v/>
      </c>
      <c r="W849" s="177" t="str">
        <f t="shared" si="64"/>
        <v/>
      </c>
      <c r="Y849" s="240" t="e">
        <f t="array" ref="Y849">INDEX(Tabela.abordagens[],SMALL(IF(Tabela.abordagens[Mês]=$L$2,ROW(Tabela.abordagens[id])-2),ROW(A802)),1)</f>
        <v>#NUM!</v>
      </c>
      <c r="Z849" s="240" t="e">
        <f t="array" ref="Z849">INDEX(Tabela.abordagens[],SMALL(IF(Tabela.abordagens[Mês]=$L$2,ROW(Tabela.abordagens[Idade])-2),ROW(A802)),6)</f>
        <v>#NUM!</v>
      </c>
      <c r="AA849" s="240" t="e">
        <f t="array" ref="AA849">INDEX(Tabela.abordagens[],SMALL(IF(Tabela.abordagens[Mês]=$L$2,ROW(Tabela.abordagens[Idade])-2),ROW(A802)),4)</f>
        <v>#NUM!</v>
      </c>
      <c r="AB849" s="240" t="e">
        <f t="array" ref="AB849">INDEX(Tabela.abordagens[],SMALL(IF(Tabela.abordagens[Mês]=$L$2,ROW(Tabela.abordagens[Idade])-2),ROW(A802)),5)</f>
        <v>#NUM!</v>
      </c>
    </row>
    <row r="850" spans="2:28" ht="15" x14ac:dyDescent="0.25">
      <c r="B850" s="223" t="e">
        <f t="array" ref="B850">INDEX(Tabela.frequencia[],SMALL(IF(Tabela.frequencia[Mês]=$L$2,ROW(Tabela.frequencia[id])-1),ROW(A803)),1)</f>
        <v>#NUM!</v>
      </c>
      <c r="C850" s="229" t="e">
        <f t="array" ref="C850">INDEX(Tabela.frequencia[],SMALL(IF(Tabela.frequencia[Mês]=$L$2,ROW(Tabela.frequencia[id])-1),ROW(A803)),4)</f>
        <v>#NUM!</v>
      </c>
      <c r="E850" s="176" t="str">
        <f>IFERROR(VLOOKUP(D850,Tabela.cadastro[[ID]:[Nome]],2,0),"")</f>
        <v/>
      </c>
      <c r="F850" s="177" t="str">
        <f>IFERROR(VLOOKUP(D850,Tabela66[#All],2,0),"")</f>
        <v/>
      </c>
      <c r="G850" s="177" t="str">
        <f>IFERROR(VLOOKUP(D850,Tabela.cadastro[[ID]:[CP ou M]],5,0),"")</f>
        <v/>
      </c>
      <c r="H850" s="177" t="str">
        <f>IFERROR(VLOOKUP(D850,Cadastros!A:F,6,0),"")</f>
        <v/>
      </c>
      <c r="I850" s="177" t="str">
        <f>IFERROR(VLOOKUP(D850,Cadastros!A:I,9,0),"")</f>
        <v/>
      </c>
      <c r="J850" s="177" t="str">
        <f>IFERROR(VLOOKUP(D850,Cadastros!A:J,10,0),"")</f>
        <v/>
      </c>
      <c r="K850" s="177" t="str">
        <f>IF(COUNTIF(Tabela66[id],D850)=0,"",COUNTIF(Tabela66[id],D850))</f>
        <v/>
      </c>
      <c r="L850" s="198"/>
      <c r="M850" s="227" t="str">
        <f t="shared" si="65"/>
        <v/>
      </c>
      <c r="P850" s="176" t="str">
        <f>IFERROR(VLOOKUP(O850,Cadastros!A:B,2),"")</f>
        <v/>
      </c>
      <c r="Q850" s="177" t="str">
        <f t="shared" si="61"/>
        <v/>
      </c>
      <c r="R850" s="177" t="str">
        <f>IFERROR(VLOOKUP(O850,Cadastros!A:E,5,0),"")</f>
        <v/>
      </c>
      <c r="S850" s="177" t="str">
        <f>IFERROR(VLOOKUP(O850,Cadastros!A:F,6,0),"")</f>
        <v/>
      </c>
      <c r="T850" s="177" t="str">
        <f>IFERROR(VLOOKUP(O850,Cadastros!A:I,9,0),"")</f>
        <v/>
      </c>
      <c r="U850" s="177" t="str">
        <f t="shared" si="62"/>
        <v/>
      </c>
      <c r="V850" s="177" t="str">
        <f t="shared" si="63"/>
        <v/>
      </c>
      <c r="W850" s="177" t="str">
        <f t="shared" si="64"/>
        <v/>
      </c>
      <c r="Y850" s="240" t="e">
        <f t="array" ref="Y850">INDEX(Tabela.abordagens[],SMALL(IF(Tabela.abordagens[Mês]=$L$2,ROW(Tabela.abordagens[id])-2),ROW(A803)),1)</f>
        <v>#NUM!</v>
      </c>
      <c r="Z850" s="240" t="e">
        <f t="array" ref="Z850">INDEX(Tabela.abordagens[],SMALL(IF(Tabela.abordagens[Mês]=$L$2,ROW(Tabela.abordagens[Idade])-2),ROW(A803)),6)</f>
        <v>#NUM!</v>
      </c>
      <c r="AA850" s="240" t="e">
        <f t="array" ref="AA850">INDEX(Tabela.abordagens[],SMALL(IF(Tabela.abordagens[Mês]=$L$2,ROW(Tabela.abordagens[Idade])-2),ROW(A803)),4)</f>
        <v>#NUM!</v>
      </c>
      <c r="AB850" s="240" t="e">
        <f t="array" ref="AB850">INDEX(Tabela.abordagens[],SMALL(IF(Tabela.abordagens[Mês]=$L$2,ROW(Tabela.abordagens[Idade])-2),ROW(A803)),5)</f>
        <v>#NUM!</v>
      </c>
    </row>
    <row r="851" spans="2:28" ht="15" x14ac:dyDescent="0.25">
      <c r="B851" s="223" t="e">
        <f t="array" ref="B851">INDEX(Tabela.frequencia[],SMALL(IF(Tabela.frequencia[Mês]=$L$2,ROW(Tabela.frequencia[id])-1),ROW(A804)),1)</f>
        <v>#NUM!</v>
      </c>
      <c r="C851" s="229" t="e">
        <f t="array" ref="C851">INDEX(Tabela.frequencia[],SMALL(IF(Tabela.frequencia[Mês]=$L$2,ROW(Tabela.frequencia[id])-1),ROW(A804)),4)</f>
        <v>#NUM!</v>
      </c>
      <c r="E851" s="176" t="str">
        <f>IFERROR(VLOOKUP(D851,Tabela.cadastro[[ID]:[Nome]],2,0),"")</f>
        <v/>
      </c>
      <c r="F851" s="177" t="str">
        <f>IFERROR(VLOOKUP(D851,Tabela66[#All],2,0),"")</f>
        <v/>
      </c>
      <c r="G851" s="177" t="str">
        <f>IFERROR(VLOOKUP(D851,Tabela.cadastro[[ID]:[CP ou M]],5,0),"")</f>
        <v/>
      </c>
      <c r="H851" s="177" t="str">
        <f>IFERROR(VLOOKUP(D851,Cadastros!A:F,6,0),"")</f>
        <v/>
      </c>
      <c r="I851" s="177" t="str">
        <f>IFERROR(VLOOKUP(D851,Cadastros!A:I,9,0),"")</f>
        <v/>
      </c>
      <c r="J851" s="177" t="str">
        <f>IFERROR(VLOOKUP(D851,Cadastros!A:J,10,0),"")</f>
        <v/>
      </c>
      <c r="K851" s="177" t="str">
        <f>IF(COUNTIF(Tabela66[id],D851)=0,"",COUNTIF(Tabela66[id],D851))</f>
        <v/>
      </c>
      <c r="L851" s="198"/>
      <c r="M851" s="227" t="str">
        <f t="shared" si="65"/>
        <v/>
      </c>
      <c r="P851" s="176" t="str">
        <f>IFERROR(VLOOKUP(O851,Cadastros!A:B,2),"")</f>
        <v/>
      </c>
      <c r="Q851" s="177" t="str">
        <f t="shared" si="61"/>
        <v/>
      </c>
      <c r="R851" s="177" t="str">
        <f>IFERROR(VLOOKUP(O851,Cadastros!A:E,5,0),"")</f>
        <v/>
      </c>
      <c r="S851" s="177" t="str">
        <f>IFERROR(VLOOKUP(O851,Cadastros!A:F,6,0),"")</f>
        <v/>
      </c>
      <c r="T851" s="177" t="str">
        <f>IFERROR(VLOOKUP(O851,Cadastros!A:I,9,0),"")</f>
        <v/>
      </c>
      <c r="U851" s="177" t="str">
        <f t="shared" si="62"/>
        <v/>
      </c>
      <c r="V851" s="177" t="str">
        <f t="shared" si="63"/>
        <v/>
      </c>
      <c r="W851" s="177" t="str">
        <f t="shared" si="64"/>
        <v/>
      </c>
      <c r="Y851" s="240" t="e">
        <f t="array" ref="Y851">INDEX(Tabela.abordagens[],SMALL(IF(Tabela.abordagens[Mês]=$L$2,ROW(Tabela.abordagens[id])-2),ROW(A804)),1)</f>
        <v>#NUM!</v>
      </c>
      <c r="Z851" s="240" t="e">
        <f t="array" ref="Z851">INDEX(Tabela.abordagens[],SMALL(IF(Tabela.abordagens[Mês]=$L$2,ROW(Tabela.abordagens[Idade])-2),ROW(A804)),6)</f>
        <v>#NUM!</v>
      </c>
      <c r="AA851" s="240" t="e">
        <f t="array" ref="AA851">INDEX(Tabela.abordagens[],SMALL(IF(Tabela.abordagens[Mês]=$L$2,ROW(Tabela.abordagens[Idade])-2),ROW(A804)),4)</f>
        <v>#NUM!</v>
      </c>
      <c r="AB851" s="240" t="e">
        <f t="array" ref="AB851">INDEX(Tabela.abordagens[],SMALL(IF(Tabela.abordagens[Mês]=$L$2,ROW(Tabela.abordagens[Idade])-2),ROW(A804)),5)</f>
        <v>#NUM!</v>
      </c>
    </row>
    <row r="852" spans="2:28" ht="15" x14ac:dyDescent="0.25">
      <c r="B852" s="223" t="e">
        <f t="array" ref="B852">INDEX(Tabela.frequencia[],SMALL(IF(Tabela.frequencia[Mês]=$L$2,ROW(Tabela.frequencia[id])-1),ROW(A805)),1)</f>
        <v>#NUM!</v>
      </c>
      <c r="C852" s="229" t="e">
        <f t="array" ref="C852">INDEX(Tabela.frequencia[],SMALL(IF(Tabela.frequencia[Mês]=$L$2,ROW(Tabela.frequencia[id])-1),ROW(A805)),4)</f>
        <v>#NUM!</v>
      </c>
      <c r="E852" s="176" t="str">
        <f>IFERROR(VLOOKUP(D852,Tabela.cadastro[[ID]:[Nome]],2,0),"")</f>
        <v/>
      </c>
      <c r="F852" s="177" t="str">
        <f>IFERROR(VLOOKUP(D852,Tabela66[#All],2,0),"")</f>
        <v/>
      </c>
      <c r="G852" s="177" t="str">
        <f>IFERROR(VLOOKUP(D852,Tabela.cadastro[[ID]:[CP ou M]],5,0),"")</f>
        <v/>
      </c>
      <c r="H852" s="177" t="str">
        <f>IFERROR(VLOOKUP(D852,Cadastros!A:F,6,0),"")</f>
        <v/>
      </c>
      <c r="I852" s="177" t="str">
        <f>IFERROR(VLOOKUP(D852,Cadastros!A:I,9,0),"")</f>
        <v/>
      </c>
      <c r="J852" s="177" t="str">
        <f>IFERROR(VLOOKUP(D852,Cadastros!A:J,10,0),"")</f>
        <v/>
      </c>
      <c r="K852" s="177" t="str">
        <f>IF(COUNTIF(Tabela66[id],D852)=0,"",COUNTIF(Tabela66[id],D852))</f>
        <v/>
      </c>
      <c r="L852" s="198"/>
      <c r="M852" s="227" t="str">
        <f t="shared" si="65"/>
        <v/>
      </c>
      <c r="P852" s="176" t="str">
        <f>IFERROR(VLOOKUP(O852,Cadastros!A:B,2),"")</f>
        <v/>
      </c>
      <c r="Q852" s="177" t="str">
        <f t="shared" si="61"/>
        <v/>
      </c>
      <c r="R852" s="177" t="str">
        <f>IFERROR(VLOOKUP(O852,Cadastros!A:E,5,0),"")</f>
        <v/>
      </c>
      <c r="S852" s="177" t="str">
        <f>IFERROR(VLOOKUP(O852,Cadastros!A:F,6,0),"")</f>
        <v/>
      </c>
      <c r="T852" s="177" t="str">
        <f>IFERROR(VLOOKUP(O852,Cadastros!A:I,9,0),"")</f>
        <v/>
      </c>
      <c r="U852" s="177" t="str">
        <f t="shared" si="62"/>
        <v/>
      </c>
      <c r="V852" s="177" t="str">
        <f t="shared" si="63"/>
        <v/>
      </c>
      <c r="W852" s="177" t="str">
        <f t="shared" si="64"/>
        <v/>
      </c>
      <c r="Y852" s="240" t="e">
        <f t="array" ref="Y852">INDEX(Tabela.abordagens[],SMALL(IF(Tabela.abordagens[Mês]=$L$2,ROW(Tabela.abordagens[id])-2),ROW(A805)),1)</f>
        <v>#NUM!</v>
      </c>
      <c r="Z852" s="240" t="e">
        <f t="array" ref="Z852">INDEX(Tabela.abordagens[],SMALL(IF(Tabela.abordagens[Mês]=$L$2,ROW(Tabela.abordagens[Idade])-2),ROW(A805)),6)</f>
        <v>#NUM!</v>
      </c>
      <c r="AA852" s="240" t="e">
        <f t="array" ref="AA852">INDEX(Tabela.abordagens[],SMALL(IF(Tabela.abordagens[Mês]=$L$2,ROW(Tabela.abordagens[Idade])-2),ROW(A805)),4)</f>
        <v>#NUM!</v>
      </c>
      <c r="AB852" s="240" t="e">
        <f t="array" ref="AB852">INDEX(Tabela.abordagens[],SMALL(IF(Tabela.abordagens[Mês]=$L$2,ROW(Tabela.abordagens[Idade])-2),ROW(A805)),5)</f>
        <v>#NUM!</v>
      </c>
    </row>
    <row r="853" spans="2:28" ht="15" x14ac:dyDescent="0.25">
      <c r="B853" s="223" t="e">
        <f t="array" ref="B853">INDEX(Tabela.frequencia[],SMALL(IF(Tabela.frequencia[Mês]=$L$2,ROW(Tabela.frequencia[id])-1),ROW(A806)),1)</f>
        <v>#NUM!</v>
      </c>
      <c r="C853" s="229" t="e">
        <f t="array" ref="C853">INDEX(Tabela.frequencia[],SMALL(IF(Tabela.frequencia[Mês]=$L$2,ROW(Tabela.frequencia[id])-1),ROW(A806)),4)</f>
        <v>#NUM!</v>
      </c>
      <c r="E853" s="176" t="str">
        <f>IFERROR(VLOOKUP(D853,Tabela.cadastro[[ID]:[Nome]],2,0),"")</f>
        <v/>
      </c>
      <c r="F853" s="177" t="str">
        <f>IFERROR(VLOOKUP(D853,Tabela66[#All],2,0),"")</f>
        <v/>
      </c>
      <c r="G853" s="177" t="str">
        <f>IFERROR(VLOOKUP(D853,Tabela.cadastro[[ID]:[CP ou M]],5,0),"")</f>
        <v/>
      </c>
      <c r="H853" s="177" t="str">
        <f>IFERROR(VLOOKUP(D853,Cadastros!A:F,6,0),"")</f>
        <v/>
      </c>
      <c r="I853" s="177" t="str">
        <f>IFERROR(VLOOKUP(D853,Cadastros!A:I,9,0),"")</f>
        <v/>
      </c>
      <c r="J853" s="177" t="str">
        <f>IFERROR(VLOOKUP(D853,Cadastros!A:J,10,0),"")</f>
        <v/>
      </c>
      <c r="K853" s="177" t="str">
        <f>IF(COUNTIF(Tabela66[id],D853)=0,"",COUNTIF(Tabela66[id],D853))</f>
        <v/>
      </c>
      <c r="L853" s="198"/>
      <c r="M853" s="227" t="str">
        <f t="shared" si="65"/>
        <v/>
      </c>
      <c r="P853" s="176" t="str">
        <f>IFERROR(VLOOKUP(O853,Cadastros!A:B,2),"")</f>
        <v/>
      </c>
      <c r="Q853" s="177" t="str">
        <f t="shared" si="61"/>
        <v/>
      </c>
      <c r="R853" s="177" t="str">
        <f>IFERROR(VLOOKUP(O853,Cadastros!A:E,5,0),"")</f>
        <v/>
      </c>
      <c r="S853" s="177" t="str">
        <f>IFERROR(VLOOKUP(O853,Cadastros!A:F,6,0),"")</f>
        <v/>
      </c>
      <c r="T853" s="177" t="str">
        <f>IFERROR(VLOOKUP(O853,Cadastros!A:I,9,0),"")</f>
        <v/>
      </c>
      <c r="U853" s="177" t="str">
        <f t="shared" si="62"/>
        <v/>
      </c>
      <c r="V853" s="177" t="str">
        <f t="shared" si="63"/>
        <v/>
      </c>
      <c r="W853" s="177" t="str">
        <f t="shared" si="64"/>
        <v/>
      </c>
      <c r="Y853" s="240" t="e">
        <f t="array" ref="Y853">INDEX(Tabela.abordagens[],SMALL(IF(Tabela.abordagens[Mês]=$L$2,ROW(Tabela.abordagens[id])-2),ROW(A806)),1)</f>
        <v>#NUM!</v>
      </c>
      <c r="Z853" s="240" t="e">
        <f t="array" ref="Z853">INDEX(Tabela.abordagens[],SMALL(IF(Tabela.abordagens[Mês]=$L$2,ROW(Tabela.abordagens[Idade])-2),ROW(A806)),6)</f>
        <v>#NUM!</v>
      </c>
      <c r="AA853" s="240" t="e">
        <f t="array" ref="AA853">INDEX(Tabela.abordagens[],SMALL(IF(Tabela.abordagens[Mês]=$L$2,ROW(Tabela.abordagens[Idade])-2),ROW(A806)),4)</f>
        <v>#NUM!</v>
      </c>
      <c r="AB853" s="240" t="e">
        <f t="array" ref="AB853">INDEX(Tabela.abordagens[],SMALL(IF(Tabela.abordagens[Mês]=$L$2,ROW(Tabela.abordagens[Idade])-2),ROW(A806)),5)</f>
        <v>#NUM!</v>
      </c>
    </row>
    <row r="854" spans="2:28" ht="15" x14ac:dyDescent="0.25">
      <c r="B854" s="223" t="e">
        <f t="array" ref="B854">INDEX(Tabela.frequencia[],SMALL(IF(Tabela.frequencia[Mês]=$L$2,ROW(Tabela.frequencia[id])-1),ROW(A807)),1)</f>
        <v>#NUM!</v>
      </c>
      <c r="C854" s="229" t="e">
        <f t="array" ref="C854">INDEX(Tabela.frequencia[],SMALL(IF(Tabela.frequencia[Mês]=$L$2,ROW(Tabela.frequencia[id])-1),ROW(A807)),4)</f>
        <v>#NUM!</v>
      </c>
      <c r="E854" s="176" t="str">
        <f>IFERROR(VLOOKUP(D854,Tabela.cadastro[[ID]:[Nome]],2,0),"")</f>
        <v/>
      </c>
      <c r="F854" s="177" t="str">
        <f>IFERROR(VLOOKUP(D854,Tabela66[#All],2,0),"")</f>
        <v/>
      </c>
      <c r="G854" s="177" t="str">
        <f>IFERROR(VLOOKUP(D854,Tabela.cadastro[[ID]:[CP ou M]],5,0),"")</f>
        <v/>
      </c>
      <c r="H854" s="177" t="str">
        <f>IFERROR(VLOOKUP(D854,Cadastros!A:F,6,0),"")</f>
        <v/>
      </c>
      <c r="I854" s="177" t="str">
        <f>IFERROR(VLOOKUP(D854,Cadastros!A:I,9,0),"")</f>
        <v/>
      </c>
      <c r="J854" s="177" t="str">
        <f>IFERROR(VLOOKUP(D854,Cadastros!A:J,10,0),"")</f>
        <v/>
      </c>
      <c r="K854" s="177" t="str">
        <f>IF(COUNTIF(Tabela66[id],D854)=0,"",COUNTIF(Tabela66[id],D854))</f>
        <v/>
      </c>
      <c r="L854" s="198"/>
      <c r="M854" s="227" t="str">
        <f t="shared" si="65"/>
        <v/>
      </c>
      <c r="P854" s="176" t="str">
        <f>IFERROR(VLOOKUP(O854,Cadastros!A:B,2),"")</f>
        <v/>
      </c>
      <c r="Q854" s="177" t="str">
        <f t="shared" si="61"/>
        <v/>
      </c>
      <c r="R854" s="177" t="str">
        <f>IFERROR(VLOOKUP(O854,Cadastros!A:E,5,0),"")</f>
        <v/>
      </c>
      <c r="S854" s="177" t="str">
        <f>IFERROR(VLOOKUP(O854,Cadastros!A:F,6,0),"")</f>
        <v/>
      </c>
      <c r="T854" s="177" t="str">
        <f>IFERROR(VLOOKUP(O854,Cadastros!A:I,9,0),"")</f>
        <v/>
      </c>
      <c r="U854" s="177" t="str">
        <f t="shared" si="62"/>
        <v/>
      </c>
      <c r="V854" s="177" t="str">
        <f t="shared" si="63"/>
        <v/>
      </c>
      <c r="W854" s="177" t="str">
        <f t="shared" si="64"/>
        <v/>
      </c>
      <c r="Y854" s="240" t="e">
        <f t="array" ref="Y854">INDEX(Tabela.abordagens[],SMALL(IF(Tabela.abordagens[Mês]=$L$2,ROW(Tabela.abordagens[id])-2),ROW(A807)),1)</f>
        <v>#NUM!</v>
      </c>
      <c r="Z854" s="240" t="e">
        <f t="array" ref="Z854">INDEX(Tabela.abordagens[],SMALL(IF(Tabela.abordagens[Mês]=$L$2,ROW(Tabela.abordagens[Idade])-2),ROW(A807)),6)</f>
        <v>#NUM!</v>
      </c>
      <c r="AA854" s="240" t="e">
        <f t="array" ref="AA854">INDEX(Tabela.abordagens[],SMALL(IF(Tabela.abordagens[Mês]=$L$2,ROW(Tabela.abordagens[Idade])-2),ROW(A807)),4)</f>
        <v>#NUM!</v>
      </c>
      <c r="AB854" s="240" t="e">
        <f t="array" ref="AB854">INDEX(Tabela.abordagens[],SMALL(IF(Tabela.abordagens[Mês]=$L$2,ROW(Tabela.abordagens[Idade])-2),ROW(A807)),5)</f>
        <v>#NUM!</v>
      </c>
    </row>
    <row r="855" spans="2:28" ht="15" x14ac:dyDescent="0.25">
      <c r="B855" s="223" t="e">
        <f t="array" ref="B855">INDEX(Tabela.frequencia[],SMALL(IF(Tabela.frequencia[Mês]=$L$2,ROW(Tabela.frequencia[id])-1),ROW(A808)),1)</f>
        <v>#NUM!</v>
      </c>
      <c r="C855" s="229" t="e">
        <f t="array" ref="C855">INDEX(Tabela.frequencia[],SMALL(IF(Tabela.frequencia[Mês]=$L$2,ROW(Tabela.frequencia[id])-1),ROW(A808)),4)</f>
        <v>#NUM!</v>
      </c>
      <c r="E855" s="176" t="str">
        <f>IFERROR(VLOOKUP(D855,Tabela.cadastro[[ID]:[Nome]],2,0),"")</f>
        <v/>
      </c>
      <c r="F855" s="177" t="str">
        <f>IFERROR(VLOOKUP(D855,Tabela66[#All],2,0),"")</f>
        <v/>
      </c>
      <c r="G855" s="177" t="str">
        <f>IFERROR(VLOOKUP(D855,Tabela.cadastro[[ID]:[CP ou M]],5,0),"")</f>
        <v/>
      </c>
      <c r="H855" s="177" t="str">
        <f>IFERROR(VLOOKUP(D855,Cadastros!A:F,6,0),"")</f>
        <v/>
      </c>
      <c r="I855" s="177" t="str">
        <f>IFERROR(VLOOKUP(D855,Cadastros!A:I,9,0),"")</f>
        <v/>
      </c>
      <c r="J855" s="177" t="str">
        <f>IFERROR(VLOOKUP(D855,Cadastros!A:J,10,0),"")</f>
        <v/>
      </c>
      <c r="K855" s="177" t="str">
        <f>IF(COUNTIF(Tabela66[id],D855)=0,"",COUNTIF(Tabela66[id],D855))</f>
        <v/>
      </c>
      <c r="L855" s="198"/>
      <c r="M855" s="227" t="str">
        <f t="shared" si="65"/>
        <v/>
      </c>
      <c r="P855" s="176" t="str">
        <f>IFERROR(VLOOKUP(O855,Cadastros!A:B,2),"")</f>
        <v/>
      </c>
      <c r="Q855" s="177" t="str">
        <f t="shared" si="61"/>
        <v/>
      </c>
      <c r="R855" s="177" t="str">
        <f>IFERROR(VLOOKUP(O855,Cadastros!A:E,5,0),"")</f>
        <v/>
      </c>
      <c r="S855" s="177" t="str">
        <f>IFERROR(VLOOKUP(O855,Cadastros!A:F,6,0),"")</f>
        <v/>
      </c>
      <c r="T855" s="177" t="str">
        <f>IFERROR(VLOOKUP(O855,Cadastros!A:I,9,0),"")</f>
        <v/>
      </c>
      <c r="U855" s="177" t="str">
        <f t="shared" si="62"/>
        <v/>
      </c>
      <c r="V855" s="177" t="str">
        <f t="shared" si="63"/>
        <v/>
      </c>
      <c r="W855" s="177" t="str">
        <f t="shared" si="64"/>
        <v/>
      </c>
      <c r="Y855" s="240" t="e">
        <f t="array" ref="Y855">INDEX(Tabela.abordagens[],SMALL(IF(Tabela.abordagens[Mês]=$L$2,ROW(Tabela.abordagens[id])-2),ROW(A808)),1)</f>
        <v>#NUM!</v>
      </c>
      <c r="Z855" s="240" t="e">
        <f t="array" ref="Z855">INDEX(Tabela.abordagens[],SMALL(IF(Tabela.abordagens[Mês]=$L$2,ROW(Tabela.abordagens[Idade])-2),ROW(A808)),6)</f>
        <v>#NUM!</v>
      </c>
      <c r="AA855" s="240" t="e">
        <f t="array" ref="AA855">INDEX(Tabela.abordagens[],SMALL(IF(Tabela.abordagens[Mês]=$L$2,ROW(Tabela.abordagens[Idade])-2),ROW(A808)),4)</f>
        <v>#NUM!</v>
      </c>
      <c r="AB855" s="240" t="e">
        <f t="array" ref="AB855">INDEX(Tabela.abordagens[],SMALL(IF(Tabela.abordagens[Mês]=$L$2,ROW(Tabela.abordagens[Idade])-2),ROW(A808)),5)</f>
        <v>#NUM!</v>
      </c>
    </row>
    <row r="856" spans="2:28" ht="15" x14ac:dyDescent="0.25">
      <c r="B856" s="223" t="e">
        <f t="array" ref="B856">INDEX(Tabela.frequencia[],SMALL(IF(Tabela.frequencia[Mês]=$L$2,ROW(Tabela.frequencia[id])-1),ROW(A809)),1)</f>
        <v>#NUM!</v>
      </c>
      <c r="C856" s="229" t="e">
        <f t="array" ref="C856">INDEX(Tabela.frequencia[],SMALL(IF(Tabela.frequencia[Mês]=$L$2,ROW(Tabela.frequencia[id])-1),ROW(A809)),4)</f>
        <v>#NUM!</v>
      </c>
      <c r="E856" s="176" t="str">
        <f>IFERROR(VLOOKUP(D856,Tabela.cadastro[[ID]:[Nome]],2,0),"")</f>
        <v/>
      </c>
      <c r="F856" s="177" t="str">
        <f>IFERROR(VLOOKUP(D856,Tabela66[#All],2,0),"")</f>
        <v/>
      </c>
      <c r="G856" s="177" t="str">
        <f>IFERROR(VLOOKUP(D856,Tabela.cadastro[[ID]:[CP ou M]],5,0),"")</f>
        <v/>
      </c>
      <c r="H856" s="177" t="str">
        <f>IFERROR(VLOOKUP(D856,Cadastros!A:F,6,0),"")</f>
        <v/>
      </c>
      <c r="I856" s="177" t="str">
        <f>IFERROR(VLOOKUP(D856,Cadastros!A:I,9,0),"")</f>
        <v/>
      </c>
      <c r="J856" s="177" t="str">
        <f>IFERROR(VLOOKUP(D856,Cadastros!A:J,10,0),"")</f>
        <v/>
      </c>
      <c r="K856" s="177" t="str">
        <f>IF(COUNTIF(Tabela66[id],D856)=0,"",COUNTIF(Tabela66[id],D856))</f>
        <v/>
      </c>
      <c r="L856" s="198"/>
      <c r="M856" s="227" t="str">
        <f t="shared" si="65"/>
        <v/>
      </c>
      <c r="P856" s="176" t="str">
        <f>IFERROR(VLOOKUP(O856,Cadastros!A:B,2),"")</f>
        <v/>
      </c>
      <c r="Q856" s="177" t="str">
        <f t="shared" si="61"/>
        <v/>
      </c>
      <c r="R856" s="177" t="str">
        <f>IFERROR(VLOOKUP(O856,Cadastros!A:E,5,0),"")</f>
        <v/>
      </c>
      <c r="S856" s="177" t="str">
        <f>IFERROR(VLOOKUP(O856,Cadastros!A:F,6,0),"")</f>
        <v/>
      </c>
      <c r="T856" s="177" t="str">
        <f>IFERROR(VLOOKUP(O856,Cadastros!A:I,9,0),"")</f>
        <v/>
      </c>
      <c r="U856" s="177" t="str">
        <f t="shared" si="62"/>
        <v/>
      </c>
      <c r="V856" s="177" t="str">
        <f t="shared" si="63"/>
        <v/>
      </c>
      <c r="W856" s="177" t="str">
        <f t="shared" si="64"/>
        <v/>
      </c>
      <c r="Y856" s="240" t="e">
        <f t="array" ref="Y856">INDEX(Tabela.abordagens[],SMALL(IF(Tabela.abordagens[Mês]=$L$2,ROW(Tabela.abordagens[id])-2),ROW(A809)),1)</f>
        <v>#NUM!</v>
      </c>
      <c r="Z856" s="240" t="e">
        <f t="array" ref="Z856">INDEX(Tabela.abordagens[],SMALL(IF(Tabela.abordagens[Mês]=$L$2,ROW(Tabela.abordagens[Idade])-2),ROW(A809)),6)</f>
        <v>#NUM!</v>
      </c>
      <c r="AA856" s="240" t="e">
        <f t="array" ref="AA856">INDEX(Tabela.abordagens[],SMALL(IF(Tabela.abordagens[Mês]=$L$2,ROW(Tabela.abordagens[Idade])-2),ROW(A809)),4)</f>
        <v>#NUM!</v>
      </c>
      <c r="AB856" s="240" t="e">
        <f t="array" ref="AB856">INDEX(Tabela.abordagens[],SMALL(IF(Tabela.abordagens[Mês]=$L$2,ROW(Tabela.abordagens[Idade])-2),ROW(A809)),5)</f>
        <v>#NUM!</v>
      </c>
    </row>
    <row r="857" spans="2:28" ht="15" x14ac:dyDescent="0.25">
      <c r="B857" s="223" t="e">
        <f t="array" ref="B857">INDEX(Tabela.frequencia[],SMALL(IF(Tabela.frequencia[Mês]=$L$2,ROW(Tabela.frequencia[id])-1),ROW(A810)),1)</f>
        <v>#NUM!</v>
      </c>
      <c r="C857" s="229" t="e">
        <f t="array" ref="C857">INDEX(Tabela.frequencia[],SMALL(IF(Tabela.frequencia[Mês]=$L$2,ROW(Tabela.frequencia[id])-1),ROW(A810)),4)</f>
        <v>#NUM!</v>
      </c>
      <c r="E857" s="176" t="str">
        <f>IFERROR(VLOOKUP(D857,Tabela.cadastro[[ID]:[Nome]],2,0),"")</f>
        <v/>
      </c>
      <c r="F857" s="177" t="str">
        <f>IFERROR(VLOOKUP(D857,Tabela66[#All],2,0),"")</f>
        <v/>
      </c>
      <c r="G857" s="177" t="str">
        <f>IFERROR(VLOOKUP(D857,Tabela.cadastro[[ID]:[CP ou M]],5,0),"")</f>
        <v/>
      </c>
      <c r="H857" s="177" t="str">
        <f>IFERROR(VLOOKUP(D857,Cadastros!A:F,6,0),"")</f>
        <v/>
      </c>
      <c r="I857" s="177" t="str">
        <f>IFERROR(VLOOKUP(D857,Cadastros!A:I,9,0),"")</f>
        <v/>
      </c>
      <c r="J857" s="177" t="str">
        <f>IFERROR(VLOOKUP(D857,Cadastros!A:J,10,0),"")</f>
        <v/>
      </c>
      <c r="K857" s="177" t="str">
        <f>IF(COUNTIF(Tabela66[id],D857)=0,"",COUNTIF(Tabela66[id],D857))</f>
        <v/>
      </c>
      <c r="L857" s="198"/>
      <c r="M857" s="227" t="str">
        <f t="shared" si="65"/>
        <v/>
      </c>
      <c r="P857" s="176" t="str">
        <f>IFERROR(VLOOKUP(O857,Cadastros!A:B,2),"")</f>
        <v/>
      </c>
      <c r="Q857" s="177" t="str">
        <f t="shared" si="61"/>
        <v/>
      </c>
      <c r="R857" s="177" t="str">
        <f>IFERROR(VLOOKUP(O857,Cadastros!A:E,5,0),"")</f>
        <v/>
      </c>
      <c r="S857" s="177" t="str">
        <f>IFERROR(VLOOKUP(O857,Cadastros!A:F,6,0),"")</f>
        <v/>
      </c>
      <c r="T857" s="177" t="str">
        <f>IFERROR(VLOOKUP(O857,Cadastros!A:I,9,0),"")</f>
        <v/>
      </c>
      <c r="U857" s="177" t="str">
        <f t="shared" si="62"/>
        <v/>
      </c>
      <c r="V857" s="177" t="str">
        <f t="shared" si="63"/>
        <v/>
      </c>
      <c r="W857" s="177" t="str">
        <f t="shared" si="64"/>
        <v/>
      </c>
      <c r="Y857" s="240" t="e">
        <f t="array" ref="Y857">INDEX(Tabela.abordagens[],SMALL(IF(Tabela.abordagens[Mês]=$L$2,ROW(Tabela.abordagens[id])-2),ROW(A810)),1)</f>
        <v>#NUM!</v>
      </c>
      <c r="Z857" s="240" t="e">
        <f t="array" ref="Z857">INDEX(Tabela.abordagens[],SMALL(IF(Tabela.abordagens[Mês]=$L$2,ROW(Tabela.abordagens[Idade])-2),ROW(A810)),6)</f>
        <v>#NUM!</v>
      </c>
      <c r="AA857" s="240" t="e">
        <f t="array" ref="AA857">INDEX(Tabela.abordagens[],SMALL(IF(Tabela.abordagens[Mês]=$L$2,ROW(Tabela.abordagens[Idade])-2),ROW(A810)),4)</f>
        <v>#NUM!</v>
      </c>
      <c r="AB857" s="240" t="e">
        <f t="array" ref="AB857">INDEX(Tabela.abordagens[],SMALL(IF(Tabela.abordagens[Mês]=$L$2,ROW(Tabela.abordagens[Idade])-2),ROW(A810)),5)</f>
        <v>#NUM!</v>
      </c>
    </row>
    <row r="858" spans="2:28" ht="15" x14ac:dyDescent="0.25">
      <c r="B858" s="223" t="e">
        <f t="array" ref="B858">INDEX(Tabela.frequencia[],SMALL(IF(Tabela.frequencia[Mês]=$L$2,ROW(Tabela.frequencia[id])-1),ROW(A811)),1)</f>
        <v>#NUM!</v>
      </c>
      <c r="C858" s="229" t="e">
        <f t="array" ref="C858">INDEX(Tabela.frequencia[],SMALL(IF(Tabela.frequencia[Mês]=$L$2,ROW(Tabela.frequencia[id])-1),ROW(A811)),4)</f>
        <v>#NUM!</v>
      </c>
      <c r="E858" s="176" t="str">
        <f>IFERROR(VLOOKUP(D858,Tabela.cadastro[[ID]:[Nome]],2,0),"")</f>
        <v/>
      </c>
      <c r="F858" s="177" t="str">
        <f>IFERROR(VLOOKUP(D858,Tabela66[#All],2,0),"")</f>
        <v/>
      </c>
      <c r="G858" s="177" t="str">
        <f>IFERROR(VLOOKUP(D858,Tabela.cadastro[[ID]:[CP ou M]],5,0),"")</f>
        <v/>
      </c>
      <c r="H858" s="177" t="str">
        <f>IFERROR(VLOOKUP(D858,Cadastros!A:F,6,0),"")</f>
        <v/>
      </c>
      <c r="I858" s="177" t="str">
        <f>IFERROR(VLOOKUP(D858,Cadastros!A:I,9,0),"")</f>
        <v/>
      </c>
      <c r="J858" s="177" t="str">
        <f>IFERROR(VLOOKUP(D858,Cadastros!A:J,10,0),"")</f>
        <v/>
      </c>
      <c r="K858" s="177" t="str">
        <f>IF(COUNTIF(Tabela66[id],D858)=0,"",COUNTIF(Tabela66[id],D858))</f>
        <v/>
      </c>
      <c r="L858" s="198"/>
      <c r="M858" s="227" t="str">
        <f t="shared" si="65"/>
        <v/>
      </c>
      <c r="P858" s="176" t="str">
        <f>IFERROR(VLOOKUP(O858,Cadastros!A:B,2),"")</f>
        <v/>
      </c>
      <c r="Q858" s="177" t="str">
        <f t="shared" si="61"/>
        <v/>
      </c>
      <c r="R858" s="177" t="str">
        <f>IFERROR(VLOOKUP(O858,Cadastros!A:E,5,0),"")</f>
        <v/>
      </c>
      <c r="S858" s="177" t="str">
        <f>IFERROR(VLOOKUP(O858,Cadastros!A:F,6,0),"")</f>
        <v/>
      </c>
      <c r="T858" s="177" t="str">
        <f>IFERROR(VLOOKUP(O858,Cadastros!A:I,9,0),"")</f>
        <v/>
      </c>
      <c r="U858" s="177" t="str">
        <f t="shared" si="62"/>
        <v/>
      </c>
      <c r="V858" s="177" t="str">
        <f t="shared" si="63"/>
        <v/>
      </c>
      <c r="W858" s="177" t="str">
        <f t="shared" si="64"/>
        <v/>
      </c>
      <c r="Y858" s="240" t="e">
        <f t="array" ref="Y858">INDEX(Tabela.abordagens[],SMALL(IF(Tabela.abordagens[Mês]=$L$2,ROW(Tabela.abordagens[id])-2),ROW(A811)),1)</f>
        <v>#NUM!</v>
      </c>
      <c r="Z858" s="240" t="e">
        <f t="array" ref="Z858">INDEX(Tabela.abordagens[],SMALL(IF(Tabela.abordagens[Mês]=$L$2,ROW(Tabela.abordagens[Idade])-2),ROW(A811)),6)</f>
        <v>#NUM!</v>
      </c>
      <c r="AA858" s="240" t="e">
        <f t="array" ref="AA858">INDEX(Tabela.abordagens[],SMALL(IF(Tabela.abordagens[Mês]=$L$2,ROW(Tabela.abordagens[Idade])-2),ROW(A811)),4)</f>
        <v>#NUM!</v>
      </c>
      <c r="AB858" s="240" t="e">
        <f t="array" ref="AB858">INDEX(Tabela.abordagens[],SMALL(IF(Tabela.abordagens[Mês]=$L$2,ROW(Tabela.abordagens[Idade])-2),ROW(A811)),5)</f>
        <v>#NUM!</v>
      </c>
    </row>
    <row r="859" spans="2:28" ht="15" x14ac:dyDescent="0.25">
      <c r="B859" s="223" t="e">
        <f t="array" ref="B859">INDEX(Tabela.frequencia[],SMALL(IF(Tabela.frequencia[Mês]=$L$2,ROW(Tabela.frequencia[id])-1),ROW(A812)),1)</f>
        <v>#NUM!</v>
      </c>
      <c r="C859" s="229" t="e">
        <f t="array" ref="C859">INDEX(Tabela.frequencia[],SMALL(IF(Tabela.frequencia[Mês]=$L$2,ROW(Tabela.frequencia[id])-1),ROW(A812)),4)</f>
        <v>#NUM!</v>
      </c>
      <c r="E859" s="176" t="str">
        <f>IFERROR(VLOOKUP(D859,Tabela.cadastro[[ID]:[Nome]],2,0),"")</f>
        <v/>
      </c>
      <c r="F859" s="177" t="str">
        <f>IFERROR(VLOOKUP(D859,Tabela66[#All],2,0),"")</f>
        <v/>
      </c>
      <c r="G859" s="177" t="str">
        <f>IFERROR(VLOOKUP(D859,Tabela.cadastro[[ID]:[CP ou M]],5,0),"")</f>
        <v/>
      </c>
      <c r="H859" s="177" t="str">
        <f>IFERROR(VLOOKUP(D859,Cadastros!A:F,6,0),"")</f>
        <v/>
      </c>
      <c r="I859" s="177" t="str">
        <f>IFERROR(VLOOKUP(D859,Cadastros!A:I,9,0),"")</f>
        <v/>
      </c>
      <c r="J859" s="177" t="str">
        <f>IFERROR(VLOOKUP(D859,Cadastros!A:J,10,0),"")</f>
        <v/>
      </c>
      <c r="K859" s="177" t="str">
        <f>IF(COUNTIF(Tabela66[id],D859)=0,"",COUNTIF(Tabela66[id],D859))</f>
        <v/>
      </c>
      <c r="L859" s="198"/>
      <c r="M859" s="227" t="str">
        <f t="shared" si="65"/>
        <v/>
      </c>
      <c r="P859" s="176" t="str">
        <f>IFERROR(VLOOKUP(O859,Cadastros!A:B,2),"")</f>
        <v/>
      </c>
      <c r="Q859" s="177" t="str">
        <f t="shared" si="61"/>
        <v/>
      </c>
      <c r="R859" s="177" t="str">
        <f>IFERROR(VLOOKUP(O859,Cadastros!A:E,5,0),"")</f>
        <v/>
      </c>
      <c r="S859" s="177" t="str">
        <f>IFERROR(VLOOKUP(O859,Cadastros!A:F,6,0),"")</f>
        <v/>
      </c>
      <c r="T859" s="177" t="str">
        <f>IFERROR(VLOOKUP(O859,Cadastros!A:I,9,0),"")</f>
        <v/>
      </c>
      <c r="U859" s="177" t="str">
        <f t="shared" si="62"/>
        <v/>
      </c>
      <c r="V859" s="177" t="str">
        <f t="shared" si="63"/>
        <v/>
      </c>
      <c r="W859" s="177" t="str">
        <f t="shared" si="64"/>
        <v/>
      </c>
      <c r="Y859" s="240" t="e">
        <f t="array" ref="Y859">INDEX(Tabela.abordagens[],SMALL(IF(Tabela.abordagens[Mês]=$L$2,ROW(Tabela.abordagens[id])-2),ROW(A812)),1)</f>
        <v>#NUM!</v>
      </c>
      <c r="Z859" s="240" t="e">
        <f t="array" ref="Z859">INDEX(Tabela.abordagens[],SMALL(IF(Tabela.abordagens[Mês]=$L$2,ROW(Tabela.abordagens[Idade])-2),ROW(A812)),6)</f>
        <v>#NUM!</v>
      </c>
      <c r="AA859" s="240" t="e">
        <f t="array" ref="AA859">INDEX(Tabela.abordagens[],SMALL(IF(Tabela.abordagens[Mês]=$L$2,ROW(Tabela.abordagens[Idade])-2),ROW(A812)),4)</f>
        <v>#NUM!</v>
      </c>
      <c r="AB859" s="240" t="e">
        <f t="array" ref="AB859">INDEX(Tabela.abordagens[],SMALL(IF(Tabela.abordagens[Mês]=$L$2,ROW(Tabela.abordagens[Idade])-2),ROW(A812)),5)</f>
        <v>#NUM!</v>
      </c>
    </row>
    <row r="860" spans="2:28" ht="15" x14ac:dyDescent="0.25">
      <c r="B860" s="223" t="e">
        <f t="array" ref="B860">INDEX(Tabela.frequencia[],SMALL(IF(Tabela.frequencia[Mês]=$L$2,ROW(Tabela.frequencia[id])-1),ROW(A813)),1)</f>
        <v>#NUM!</v>
      </c>
      <c r="C860" s="229" t="e">
        <f t="array" ref="C860">INDEX(Tabela.frequencia[],SMALL(IF(Tabela.frequencia[Mês]=$L$2,ROW(Tabela.frequencia[id])-1),ROW(A813)),4)</f>
        <v>#NUM!</v>
      </c>
      <c r="E860" s="176" t="str">
        <f>IFERROR(VLOOKUP(D860,Tabela.cadastro[[ID]:[Nome]],2,0),"")</f>
        <v/>
      </c>
      <c r="F860" s="177" t="str">
        <f>IFERROR(VLOOKUP(D860,Tabela66[#All],2,0),"")</f>
        <v/>
      </c>
      <c r="G860" s="177" t="str">
        <f>IFERROR(VLOOKUP(D860,Tabela.cadastro[[ID]:[CP ou M]],5,0),"")</f>
        <v/>
      </c>
      <c r="H860" s="177" t="str">
        <f>IFERROR(VLOOKUP(D860,Cadastros!A:F,6,0),"")</f>
        <v/>
      </c>
      <c r="I860" s="177" t="str">
        <f>IFERROR(VLOOKUP(D860,Cadastros!A:I,9,0),"")</f>
        <v/>
      </c>
      <c r="J860" s="177" t="str">
        <f>IFERROR(VLOOKUP(D860,Cadastros!A:J,10,0),"")</f>
        <v/>
      </c>
      <c r="K860" s="177" t="str">
        <f>IF(COUNTIF(Tabela66[id],D860)=0,"",COUNTIF(Tabela66[id],D860))</f>
        <v/>
      </c>
      <c r="L860" s="198"/>
      <c r="M860" s="227" t="str">
        <f t="shared" si="65"/>
        <v/>
      </c>
      <c r="P860" s="176" t="str">
        <f>IFERROR(VLOOKUP(O860,Cadastros!A:B,2),"")</f>
        <v/>
      </c>
      <c r="Q860" s="177" t="str">
        <f t="shared" si="61"/>
        <v/>
      </c>
      <c r="R860" s="177" t="str">
        <f>IFERROR(VLOOKUP(O860,Cadastros!A:E,5,0),"")</f>
        <v/>
      </c>
      <c r="S860" s="177" t="str">
        <f>IFERROR(VLOOKUP(O860,Cadastros!A:F,6,0),"")</f>
        <v/>
      </c>
      <c r="T860" s="177" t="str">
        <f>IFERROR(VLOOKUP(O860,Cadastros!A:I,9,0),"")</f>
        <v/>
      </c>
      <c r="U860" s="177" t="str">
        <f t="shared" si="62"/>
        <v/>
      </c>
      <c r="V860" s="177" t="str">
        <f t="shared" si="63"/>
        <v/>
      </c>
      <c r="W860" s="177" t="str">
        <f t="shared" si="64"/>
        <v/>
      </c>
      <c r="Y860" s="240" t="e">
        <f t="array" ref="Y860">INDEX(Tabela.abordagens[],SMALL(IF(Tabela.abordagens[Mês]=$L$2,ROW(Tabela.abordagens[id])-2),ROW(A813)),1)</f>
        <v>#NUM!</v>
      </c>
      <c r="Z860" s="240" t="e">
        <f t="array" ref="Z860">INDEX(Tabela.abordagens[],SMALL(IF(Tabela.abordagens[Mês]=$L$2,ROW(Tabela.abordagens[Idade])-2),ROW(A813)),6)</f>
        <v>#NUM!</v>
      </c>
      <c r="AA860" s="240" t="e">
        <f t="array" ref="AA860">INDEX(Tabela.abordagens[],SMALL(IF(Tabela.abordagens[Mês]=$L$2,ROW(Tabela.abordagens[Idade])-2),ROW(A813)),4)</f>
        <v>#NUM!</v>
      </c>
      <c r="AB860" s="240" t="e">
        <f t="array" ref="AB860">INDEX(Tabela.abordagens[],SMALL(IF(Tabela.abordagens[Mês]=$L$2,ROW(Tabela.abordagens[Idade])-2),ROW(A813)),5)</f>
        <v>#NUM!</v>
      </c>
    </row>
    <row r="861" spans="2:28" ht="15" x14ac:dyDescent="0.25">
      <c r="B861" s="223" t="e">
        <f t="array" ref="B861">INDEX(Tabela.frequencia[],SMALL(IF(Tabela.frequencia[Mês]=$L$2,ROW(Tabela.frequencia[id])-1),ROW(A814)),1)</f>
        <v>#NUM!</v>
      </c>
      <c r="C861" s="229" t="e">
        <f t="array" ref="C861">INDEX(Tabela.frequencia[],SMALL(IF(Tabela.frequencia[Mês]=$L$2,ROW(Tabela.frequencia[id])-1),ROW(A814)),4)</f>
        <v>#NUM!</v>
      </c>
      <c r="E861" s="176" t="str">
        <f>IFERROR(VLOOKUP(D861,Tabela.cadastro[[ID]:[Nome]],2,0),"")</f>
        <v/>
      </c>
      <c r="F861" s="177" t="str">
        <f>IFERROR(VLOOKUP(D861,Tabela66[#All],2,0),"")</f>
        <v/>
      </c>
      <c r="G861" s="177" t="str">
        <f>IFERROR(VLOOKUP(D861,Tabela.cadastro[[ID]:[CP ou M]],5,0),"")</f>
        <v/>
      </c>
      <c r="H861" s="177" t="str">
        <f>IFERROR(VLOOKUP(D861,Cadastros!A:F,6,0),"")</f>
        <v/>
      </c>
      <c r="I861" s="177" t="str">
        <f>IFERROR(VLOOKUP(D861,Cadastros!A:I,9,0),"")</f>
        <v/>
      </c>
      <c r="J861" s="177" t="str">
        <f>IFERROR(VLOOKUP(D861,Cadastros!A:J,10,0),"")</f>
        <v/>
      </c>
      <c r="K861" s="177" t="str">
        <f>IF(COUNTIF(Tabela66[id],D861)=0,"",COUNTIF(Tabela66[id],D861))</f>
        <v/>
      </c>
      <c r="L861" s="198"/>
      <c r="M861" s="227" t="str">
        <f t="shared" si="65"/>
        <v/>
      </c>
      <c r="P861" s="176" t="str">
        <f>IFERROR(VLOOKUP(O861,Cadastros!A:B,2),"")</f>
        <v/>
      </c>
      <c r="Q861" s="177" t="str">
        <f t="shared" si="61"/>
        <v/>
      </c>
      <c r="R861" s="177" t="str">
        <f>IFERROR(VLOOKUP(O861,Cadastros!A:E,5,0),"")</f>
        <v/>
      </c>
      <c r="S861" s="177" t="str">
        <f>IFERROR(VLOOKUP(O861,Cadastros!A:F,6,0),"")</f>
        <v/>
      </c>
      <c r="T861" s="177" t="str">
        <f>IFERROR(VLOOKUP(O861,Cadastros!A:I,9,0),"")</f>
        <v/>
      </c>
      <c r="U861" s="177" t="str">
        <f t="shared" si="62"/>
        <v/>
      </c>
      <c r="V861" s="177" t="str">
        <f t="shared" si="63"/>
        <v/>
      </c>
      <c r="W861" s="177" t="str">
        <f t="shared" si="64"/>
        <v/>
      </c>
      <c r="Y861" s="240" t="e">
        <f t="array" ref="Y861">INDEX(Tabela.abordagens[],SMALL(IF(Tabela.abordagens[Mês]=$L$2,ROW(Tabela.abordagens[id])-2),ROW(A814)),1)</f>
        <v>#NUM!</v>
      </c>
      <c r="Z861" s="240" t="e">
        <f t="array" ref="Z861">INDEX(Tabela.abordagens[],SMALL(IF(Tabela.abordagens[Mês]=$L$2,ROW(Tabela.abordagens[Idade])-2),ROW(A814)),6)</f>
        <v>#NUM!</v>
      </c>
      <c r="AA861" s="240" t="e">
        <f t="array" ref="AA861">INDEX(Tabela.abordagens[],SMALL(IF(Tabela.abordagens[Mês]=$L$2,ROW(Tabela.abordagens[Idade])-2),ROW(A814)),4)</f>
        <v>#NUM!</v>
      </c>
      <c r="AB861" s="240" t="e">
        <f t="array" ref="AB861">INDEX(Tabela.abordagens[],SMALL(IF(Tabela.abordagens[Mês]=$L$2,ROW(Tabela.abordagens[Idade])-2),ROW(A814)),5)</f>
        <v>#NUM!</v>
      </c>
    </row>
    <row r="862" spans="2:28" ht="15" x14ac:dyDescent="0.25">
      <c r="B862" s="223" t="e">
        <f t="array" ref="B862">INDEX(Tabela.frequencia[],SMALL(IF(Tabela.frequencia[Mês]=$L$2,ROW(Tabela.frequencia[id])-1),ROW(A815)),1)</f>
        <v>#NUM!</v>
      </c>
      <c r="C862" s="229" t="e">
        <f t="array" ref="C862">INDEX(Tabela.frequencia[],SMALL(IF(Tabela.frequencia[Mês]=$L$2,ROW(Tabela.frequencia[id])-1),ROW(A815)),4)</f>
        <v>#NUM!</v>
      </c>
      <c r="E862" s="176" t="str">
        <f>IFERROR(VLOOKUP(D862,Tabela.cadastro[[ID]:[Nome]],2,0),"")</f>
        <v/>
      </c>
      <c r="F862" s="177" t="str">
        <f>IFERROR(VLOOKUP(D862,Tabela66[#All],2,0),"")</f>
        <v/>
      </c>
      <c r="G862" s="177" t="str">
        <f>IFERROR(VLOOKUP(D862,Tabela.cadastro[[ID]:[CP ou M]],5,0),"")</f>
        <v/>
      </c>
      <c r="H862" s="177" t="str">
        <f>IFERROR(VLOOKUP(D862,Cadastros!A:F,6,0),"")</f>
        <v/>
      </c>
      <c r="I862" s="177" t="str">
        <f>IFERROR(VLOOKUP(D862,Cadastros!A:I,9,0),"")</f>
        <v/>
      </c>
      <c r="J862" s="177" t="str">
        <f>IFERROR(VLOOKUP(D862,Cadastros!A:J,10,0),"")</f>
        <v/>
      </c>
      <c r="K862" s="177" t="str">
        <f>IF(COUNTIF(Tabela66[id],D862)=0,"",COUNTIF(Tabela66[id],D862))</f>
        <v/>
      </c>
      <c r="L862" s="198"/>
      <c r="M862" s="227" t="str">
        <f t="shared" si="65"/>
        <v/>
      </c>
      <c r="P862" s="176" t="str">
        <f>IFERROR(VLOOKUP(O862,Cadastros!A:B,2),"")</f>
        <v/>
      </c>
      <c r="Q862" s="177" t="str">
        <f t="shared" si="61"/>
        <v/>
      </c>
      <c r="R862" s="177" t="str">
        <f>IFERROR(VLOOKUP(O862,Cadastros!A:E,5,0),"")</f>
        <v/>
      </c>
      <c r="S862" s="177" t="str">
        <f>IFERROR(VLOOKUP(O862,Cadastros!A:F,6,0),"")</f>
        <v/>
      </c>
      <c r="T862" s="177" t="str">
        <f>IFERROR(VLOOKUP(O862,Cadastros!A:I,9,0),"")</f>
        <v/>
      </c>
      <c r="U862" s="177" t="str">
        <f t="shared" si="62"/>
        <v/>
      </c>
      <c r="V862" s="177" t="str">
        <f t="shared" si="63"/>
        <v/>
      </c>
      <c r="W862" s="177" t="str">
        <f t="shared" si="64"/>
        <v/>
      </c>
      <c r="Y862" s="240" t="e">
        <f t="array" ref="Y862">INDEX(Tabela.abordagens[],SMALL(IF(Tabela.abordagens[Mês]=$L$2,ROW(Tabela.abordagens[id])-2),ROW(A815)),1)</f>
        <v>#NUM!</v>
      </c>
      <c r="Z862" s="240" t="e">
        <f t="array" ref="Z862">INDEX(Tabela.abordagens[],SMALL(IF(Tabela.abordagens[Mês]=$L$2,ROW(Tabela.abordagens[Idade])-2),ROW(A815)),6)</f>
        <v>#NUM!</v>
      </c>
      <c r="AA862" s="240" t="e">
        <f t="array" ref="AA862">INDEX(Tabela.abordagens[],SMALL(IF(Tabela.abordagens[Mês]=$L$2,ROW(Tabela.abordagens[Idade])-2),ROW(A815)),4)</f>
        <v>#NUM!</v>
      </c>
      <c r="AB862" s="240" t="e">
        <f t="array" ref="AB862">INDEX(Tabela.abordagens[],SMALL(IF(Tabela.abordagens[Mês]=$L$2,ROW(Tabela.abordagens[Idade])-2),ROW(A815)),5)</f>
        <v>#NUM!</v>
      </c>
    </row>
    <row r="863" spans="2:28" ht="15" x14ac:dyDescent="0.25">
      <c r="B863" s="223" t="e">
        <f t="array" ref="B863">INDEX(Tabela.frequencia[],SMALL(IF(Tabela.frequencia[Mês]=$L$2,ROW(Tabela.frequencia[id])-1),ROW(A816)),1)</f>
        <v>#NUM!</v>
      </c>
      <c r="C863" s="229" t="e">
        <f t="array" ref="C863">INDEX(Tabela.frequencia[],SMALL(IF(Tabela.frequencia[Mês]=$L$2,ROW(Tabela.frequencia[id])-1),ROW(A816)),4)</f>
        <v>#NUM!</v>
      </c>
      <c r="E863" s="176" t="str">
        <f>IFERROR(VLOOKUP(D863,Tabela.cadastro[[ID]:[Nome]],2,0),"")</f>
        <v/>
      </c>
      <c r="F863" s="177" t="str">
        <f>IFERROR(VLOOKUP(D863,Tabela66[#All],2,0),"")</f>
        <v/>
      </c>
      <c r="G863" s="177" t="str">
        <f>IFERROR(VLOOKUP(D863,Tabela.cadastro[[ID]:[CP ou M]],5,0),"")</f>
        <v/>
      </c>
      <c r="H863" s="177" t="str">
        <f>IFERROR(VLOOKUP(D863,Cadastros!A:F,6,0),"")</f>
        <v/>
      </c>
      <c r="I863" s="177" t="str">
        <f>IFERROR(VLOOKUP(D863,Cadastros!A:I,9,0),"")</f>
        <v/>
      </c>
      <c r="J863" s="177" t="str">
        <f>IFERROR(VLOOKUP(D863,Cadastros!A:J,10,0),"")</f>
        <v/>
      </c>
      <c r="K863" s="177" t="str">
        <f>IF(COUNTIF(Tabela66[id],D863)=0,"",COUNTIF(Tabela66[id],D863))</f>
        <v/>
      </c>
      <c r="L863" s="198"/>
      <c r="M863" s="227" t="str">
        <f t="shared" si="65"/>
        <v/>
      </c>
      <c r="P863" s="176" t="str">
        <f>IFERROR(VLOOKUP(O863,Cadastros!A:B,2),"")</f>
        <v/>
      </c>
      <c r="Q863" s="177" t="str">
        <f t="shared" si="61"/>
        <v/>
      </c>
      <c r="R863" s="177" t="str">
        <f>IFERROR(VLOOKUP(O863,Cadastros!A:E,5,0),"")</f>
        <v/>
      </c>
      <c r="S863" s="177" t="str">
        <f>IFERROR(VLOOKUP(O863,Cadastros!A:F,6,0),"")</f>
        <v/>
      </c>
      <c r="T863" s="177" t="str">
        <f>IFERROR(VLOOKUP(O863,Cadastros!A:I,9,0),"")</f>
        <v/>
      </c>
      <c r="U863" s="177" t="str">
        <f t="shared" si="62"/>
        <v/>
      </c>
      <c r="V863" s="177" t="str">
        <f t="shared" si="63"/>
        <v/>
      </c>
      <c r="W863" s="177" t="str">
        <f t="shared" si="64"/>
        <v/>
      </c>
      <c r="Y863" s="240" t="e">
        <f t="array" ref="Y863">INDEX(Tabela.abordagens[],SMALL(IF(Tabela.abordagens[Mês]=$L$2,ROW(Tabela.abordagens[id])-2),ROW(A816)),1)</f>
        <v>#NUM!</v>
      </c>
      <c r="Z863" s="240" t="e">
        <f t="array" ref="Z863">INDEX(Tabela.abordagens[],SMALL(IF(Tabela.abordagens[Mês]=$L$2,ROW(Tabela.abordagens[Idade])-2),ROW(A816)),6)</f>
        <v>#NUM!</v>
      </c>
      <c r="AA863" s="240" t="e">
        <f t="array" ref="AA863">INDEX(Tabela.abordagens[],SMALL(IF(Tabela.abordagens[Mês]=$L$2,ROW(Tabela.abordagens[Idade])-2),ROW(A816)),4)</f>
        <v>#NUM!</v>
      </c>
      <c r="AB863" s="240" t="e">
        <f t="array" ref="AB863">INDEX(Tabela.abordagens[],SMALL(IF(Tabela.abordagens[Mês]=$L$2,ROW(Tabela.abordagens[Idade])-2),ROW(A816)),5)</f>
        <v>#NUM!</v>
      </c>
    </row>
    <row r="864" spans="2:28" ht="15" x14ac:dyDescent="0.25">
      <c r="B864" s="223" t="e">
        <f t="array" ref="B864">INDEX(Tabela.frequencia[],SMALL(IF(Tabela.frequencia[Mês]=$L$2,ROW(Tabela.frequencia[id])-1),ROW(A817)),1)</f>
        <v>#NUM!</v>
      </c>
      <c r="C864" s="229" t="e">
        <f t="array" ref="C864">INDEX(Tabela.frequencia[],SMALL(IF(Tabela.frequencia[Mês]=$L$2,ROW(Tabela.frequencia[id])-1),ROW(A817)),4)</f>
        <v>#NUM!</v>
      </c>
      <c r="E864" s="176" t="str">
        <f>IFERROR(VLOOKUP(D864,Tabela.cadastro[[ID]:[Nome]],2,0),"")</f>
        <v/>
      </c>
      <c r="F864" s="177" t="str">
        <f>IFERROR(VLOOKUP(D864,Tabela66[#All],2,0),"")</f>
        <v/>
      </c>
      <c r="G864" s="177" t="str">
        <f>IFERROR(VLOOKUP(D864,Tabela.cadastro[[ID]:[CP ou M]],5,0),"")</f>
        <v/>
      </c>
      <c r="H864" s="177" t="str">
        <f>IFERROR(VLOOKUP(D864,Cadastros!A:F,6,0),"")</f>
        <v/>
      </c>
      <c r="I864" s="177" t="str">
        <f>IFERROR(VLOOKUP(D864,Cadastros!A:I,9,0),"")</f>
        <v/>
      </c>
      <c r="J864" s="177" t="str">
        <f>IFERROR(VLOOKUP(D864,Cadastros!A:J,10,0),"")</f>
        <v/>
      </c>
      <c r="K864" s="177" t="str">
        <f>IF(COUNTIF(Tabela66[id],D864)=0,"",COUNTIF(Tabela66[id],D864))</f>
        <v/>
      </c>
      <c r="L864" s="198"/>
      <c r="M864" s="227" t="str">
        <f t="shared" si="65"/>
        <v/>
      </c>
      <c r="P864" s="176" t="str">
        <f>IFERROR(VLOOKUP(O864,Cadastros!A:B,2),"")</f>
        <v/>
      </c>
      <c r="Q864" s="177" t="str">
        <f t="shared" si="61"/>
        <v/>
      </c>
      <c r="R864" s="177" t="str">
        <f>IFERROR(VLOOKUP(O864,Cadastros!A:E,5,0),"")</f>
        <v/>
      </c>
      <c r="S864" s="177" t="str">
        <f>IFERROR(VLOOKUP(O864,Cadastros!A:F,6,0),"")</f>
        <v/>
      </c>
      <c r="T864" s="177" t="str">
        <f>IFERROR(VLOOKUP(O864,Cadastros!A:I,9,0),"")</f>
        <v/>
      </c>
      <c r="U864" s="177" t="str">
        <f t="shared" si="62"/>
        <v/>
      </c>
      <c r="V864" s="177" t="str">
        <f t="shared" si="63"/>
        <v/>
      </c>
      <c r="W864" s="177" t="str">
        <f t="shared" si="64"/>
        <v/>
      </c>
      <c r="Y864" s="240" t="e">
        <f t="array" ref="Y864">INDEX(Tabela.abordagens[],SMALL(IF(Tabela.abordagens[Mês]=$L$2,ROW(Tabela.abordagens[id])-2),ROW(A817)),1)</f>
        <v>#NUM!</v>
      </c>
      <c r="Z864" s="240" t="e">
        <f t="array" ref="Z864">INDEX(Tabela.abordagens[],SMALL(IF(Tabela.abordagens[Mês]=$L$2,ROW(Tabela.abordagens[Idade])-2),ROW(A817)),6)</f>
        <v>#NUM!</v>
      </c>
      <c r="AA864" s="240" t="e">
        <f t="array" ref="AA864">INDEX(Tabela.abordagens[],SMALL(IF(Tabela.abordagens[Mês]=$L$2,ROW(Tabela.abordagens[Idade])-2),ROW(A817)),4)</f>
        <v>#NUM!</v>
      </c>
      <c r="AB864" s="240" t="e">
        <f t="array" ref="AB864">INDEX(Tabela.abordagens[],SMALL(IF(Tabela.abordagens[Mês]=$L$2,ROW(Tabela.abordagens[Idade])-2),ROW(A817)),5)</f>
        <v>#NUM!</v>
      </c>
    </row>
    <row r="865" spans="2:28" ht="15" x14ac:dyDescent="0.25">
      <c r="B865" s="223" t="e">
        <f t="array" ref="B865">INDEX(Tabela.frequencia[],SMALL(IF(Tabela.frequencia[Mês]=$L$2,ROW(Tabela.frequencia[id])-1),ROW(A818)),1)</f>
        <v>#NUM!</v>
      </c>
      <c r="C865" s="229" t="e">
        <f t="array" ref="C865">INDEX(Tabela.frequencia[],SMALL(IF(Tabela.frequencia[Mês]=$L$2,ROW(Tabela.frequencia[id])-1),ROW(A818)),4)</f>
        <v>#NUM!</v>
      </c>
      <c r="E865" s="176" t="str">
        <f>IFERROR(VLOOKUP(D865,Tabela.cadastro[[ID]:[Nome]],2,0),"")</f>
        <v/>
      </c>
      <c r="F865" s="177" t="str">
        <f>IFERROR(VLOOKUP(D865,Tabela66[#All],2,0),"")</f>
        <v/>
      </c>
      <c r="G865" s="177" t="str">
        <f>IFERROR(VLOOKUP(D865,Tabela.cadastro[[ID]:[CP ou M]],5,0),"")</f>
        <v/>
      </c>
      <c r="H865" s="177" t="str">
        <f>IFERROR(VLOOKUP(D865,Cadastros!A:F,6,0),"")</f>
        <v/>
      </c>
      <c r="I865" s="177" t="str">
        <f>IFERROR(VLOOKUP(D865,Cadastros!A:I,9,0),"")</f>
        <v/>
      </c>
      <c r="J865" s="177" t="str">
        <f>IFERROR(VLOOKUP(D865,Cadastros!A:J,10,0),"")</f>
        <v/>
      </c>
      <c r="K865" s="177" t="str">
        <f>IF(COUNTIF(Tabela66[id],D865)=0,"",COUNTIF(Tabela66[id],D865))</f>
        <v/>
      </c>
      <c r="L865" s="198"/>
      <c r="M865" s="227" t="str">
        <f t="shared" si="65"/>
        <v/>
      </c>
      <c r="P865" s="176" t="str">
        <f>IFERROR(VLOOKUP(O865,Cadastros!A:B,2),"")</f>
        <v/>
      </c>
      <c r="Q865" s="177" t="str">
        <f t="shared" si="61"/>
        <v/>
      </c>
      <c r="R865" s="177" t="str">
        <f>IFERROR(VLOOKUP(O865,Cadastros!A:E,5,0),"")</f>
        <v/>
      </c>
      <c r="S865" s="177" t="str">
        <f>IFERROR(VLOOKUP(O865,Cadastros!A:F,6,0),"")</f>
        <v/>
      </c>
      <c r="T865" s="177" t="str">
        <f>IFERROR(VLOOKUP(O865,Cadastros!A:I,9,0),"")</f>
        <v/>
      </c>
      <c r="U865" s="177" t="str">
        <f t="shared" si="62"/>
        <v/>
      </c>
      <c r="V865" s="177" t="str">
        <f t="shared" si="63"/>
        <v/>
      </c>
      <c r="W865" s="177" t="str">
        <f t="shared" si="64"/>
        <v/>
      </c>
      <c r="Y865" s="240" t="e">
        <f t="array" ref="Y865">INDEX(Tabela.abordagens[],SMALL(IF(Tabela.abordagens[Mês]=$L$2,ROW(Tabela.abordagens[id])-2),ROW(A818)),1)</f>
        <v>#NUM!</v>
      </c>
      <c r="Z865" s="240" t="e">
        <f t="array" ref="Z865">INDEX(Tabela.abordagens[],SMALL(IF(Tabela.abordagens[Mês]=$L$2,ROW(Tabela.abordagens[Idade])-2),ROW(A818)),6)</f>
        <v>#NUM!</v>
      </c>
      <c r="AA865" s="240" t="e">
        <f t="array" ref="AA865">INDEX(Tabela.abordagens[],SMALL(IF(Tabela.abordagens[Mês]=$L$2,ROW(Tabela.abordagens[Idade])-2),ROW(A818)),4)</f>
        <v>#NUM!</v>
      </c>
      <c r="AB865" s="240" t="e">
        <f t="array" ref="AB865">INDEX(Tabela.abordagens[],SMALL(IF(Tabela.abordagens[Mês]=$L$2,ROW(Tabela.abordagens[Idade])-2),ROW(A818)),5)</f>
        <v>#NUM!</v>
      </c>
    </row>
    <row r="866" spans="2:28" x14ac:dyDescent="0.2">
      <c r="B866" s="231"/>
      <c r="C866" s="231"/>
      <c r="D866" s="232"/>
      <c r="E866" s="231"/>
      <c r="F866" s="232"/>
      <c r="G866" s="232"/>
      <c r="H866" s="232"/>
      <c r="I866" s="232"/>
      <c r="J866" s="232"/>
      <c r="K866" s="232"/>
      <c r="L866" s="231"/>
      <c r="P866" s="176" t="str">
        <f>IFERROR(VLOOKUP(O866,Cadastros!A:B,2),"")</f>
        <v/>
      </c>
      <c r="Q866" s="177" t="str">
        <f>IFERROR(VLOOKUP(O866,$Y$33:$Z$866,2,0),"")</f>
        <v/>
      </c>
      <c r="R866" s="177" t="str">
        <f>IFERROR(VLOOKUP(O866,Cadastros!A:E,5,0),"")</f>
        <v/>
      </c>
      <c r="S866" s="177" t="str">
        <f>IFERROR(VLOOKUP(O866,Cadastros!A:F,6,0),"")</f>
        <v/>
      </c>
      <c r="T866" s="177" t="str">
        <f>IFERROR(VLOOKUP(O866,Cadastros!A:I,9,0),"")</f>
        <v/>
      </c>
      <c r="U866" s="177" t="str">
        <f>IFERROR(VLOOKUP(O866,Y$33:AB$866,3,0),"")</f>
        <v/>
      </c>
      <c r="V866" s="177" t="str">
        <f>IFERROR(VLOOKUP(O866,Y$33:AB$866,4,0),"")</f>
        <v/>
      </c>
      <c r="W866" s="177" t="str">
        <f>IF(COUNTIF(Y$33:Y$866,O866)=0,"",COUNTIF(Y$33:Y$866,O866))</f>
        <v/>
      </c>
      <c r="Y866" s="240" t="e">
        <f t="array" ref="Y866">INDEX(Tabela.abordagens[],SMALL(IF(Tabela.abordagens[Mês]=$L$2,ROW(Tabela.abordagens[id])-2),ROW(A819)),1)</f>
        <v>#NUM!</v>
      </c>
      <c r="Z866" s="240" t="e">
        <f t="array" ref="Z866">INDEX(Tabela.abordagens[],SMALL(IF(Tabela.abordagens[Mês]=$L$2,ROW(Tabela.abordagens[Idade])-2),ROW(A819)),6)</f>
        <v>#NUM!</v>
      </c>
      <c r="AA866" s="240" t="e">
        <f t="array" ref="AA866">INDEX(Tabela.abordagens[],SMALL(IF(Tabela.abordagens[Mês]=$L$2,ROW(Tabela.abordagens[Idade])-2),ROW(A819)),4)</f>
        <v>#NUM!</v>
      </c>
      <c r="AB866" s="240" t="e">
        <f t="array" ref="AB866">INDEX(Tabela.abordagens[],SMALL(IF(Tabela.abordagens[Mês]=$L$2,ROW(Tabela.abordagens[Idade])-2),ROW(A819)),5)</f>
        <v>#NUM!</v>
      </c>
    </row>
    <row r="867" spans="2:28" x14ac:dyDescent="0.2">
      <c r="B867" s="244" t="s">
        <v>68</v>
      </c>
      <c r="C867" s="245"/>
      <c r="D867" s="246"/>
      <c r="E867" s="247"/>
    </row>
    <row r="868" spans="2:28" x14ac:dyDescent="0.2">
      <c r="B868" s="248" t="s">
        <v>69</v>
      </c>
      <c r="C868" s="249"/>
      <c r="D868" s="249"/>
      <c r="E868" s="252">
        <f>COUNTIF(G33:G865,"M")</f>
        <v>15</v>
      </c>
    </row>
    <row r="869" spans="2:28" x14ac:dyDescent="0.2">
      <c r="B869" s="250" t="s">
        <v>70</v>
      </c>
      <c r="C869" s="251"/>
      <c r="D869" s="251"/>
      <c r="E869" s="253">
        <f>COUNTIF(G33:G865,"CP")</f>
        <v>5</v>
      </c>
      <c r="K869" s="233"/>
    </row>
    <row r="870" spans="2:28" x14ac:dyDescent="0.2">
      <c r="K870" s="233"/>
    </row>
    <row r="871" spans="2:28" x14ac:dyDescent="0.2">
      <c r="B871" s="248" t="s">
        <v>75</v>
      </c>
      <c r="C871" s="249"/>
      <c r="D871" s="254"/>
      <c r="E871" s="256">
        <f>COUNTIF(L33:L865,"Sim")</f>
        <v>0</v>
      </c>
    </row>
    <row r="872" spans="2:28" x14ac:dyDescent="0.2">
      <c r="B872" s="250" t="s">
        <v>76</v>
      </c>
      <c r="C872" s="251"/>
      <c r="D872" s="255"/>
      <c r="E872" s="257">
        <f>COUNTIF(L33:L865,"Não")</f>
        <v>0</v>
      </c>
    </row>
    <row r="874" spans="2:28" x14ac:dyDescent="0.2">
      <c r="B874" s="225" t="s">
        <v>56</v>
      </c>
    </row>
    <row r="875" spans="2:28" x14ac:dyDescent="0.2">
      <c r="B875" s="291" t="s">
        <v>71</v>
      </c>
      <c r="C875" s="292"/>
      <c r="D875" s="293"/>
      <c r="E875" s="256">
        <f>COUNTIF(K33:K865,"&lt;=5")</f>
        <v>17</v>
      </c>
    </row>
    <row r="876" spans="2:28" x14ac:dyDescent="0.2">
      <c r="B876" s="306" t="s">
        <v>72</v>
      </c>
      <c r="C876" s="307"/>
      <c r="D876" s="308"/>
      <c r="E876" s="258">
        <f>COUNTIFS(K33:K865,"&gt;=6",K33:K865,"&lt;=10")</f>
        <v>1</v>
      </c>
    </row>
    <row r="877" spans="2:28" x14ac:dyDescent="0.2">
      <c r="B877" s="306" t="s">
        <v>73</v>
      </c>
      <c r="C877" s="307"/>
      <c r="D877" s="308"/>
      <c r="E877" s="258">
        <f>COUNTIFS(K33:K865,"&gt;=11",K33:K865,"&lt;=15")</f>
        <v>3</v>
      </c>
    </row>
    <row r="878" spans="2:28" x14ac:dyDescent="0.2">
      <c r="B878" s="288" t="s">
        <v>74</v>
      </c>
      <c r="C878" s="289"/>
      <c r="D878" s="290"/>
      <c r="E878" s="257">
        <f>COUNTIF(K33:K865,"&gt;=15")</f>
        <v>1</v>
      </c>
    </row>
    <row r="880" spans="2:28" ht="15" x14ac:dyDescent="0.25">
      <c r="B880" s="234" t="s">
        <v>112</v>
      </c>
      <c r="C880" s="234" t="s">
        <v>110</v>
      </c>
      <c r="D880" s="228"/>
      <c r="E880" s="228"/>
      <c r="F880" s="228"/>
      <c r="G880" s="207"/>
    </row>
    <row r="881" spans="2:7" ht="15" x14ac:dyDescent="0.25">
      <c r="B881" s="234" t="s">
        <v>36</v>
      </c>
      <c r="C881" s="235" t="s">
        <v>83</v>
      </c>
      <c r="D881" s="235" t="s">
        <v>79</v>
      </c>
      <c r="E881" s="228" t="s">
        <v>153</v>
      </c>
      <c r="F881" s="228" t="s">
        <v>152</v>
      </c>
      <c r="G881" s="207"/>
    </row>
    <row r="882" spans="2:7" ht="15" x14ac:dyDescent="0.25">
      <c r="B882" s="236" t="s">
        <v>96</v>
      </c>
      <c r="C882" s="237">
        <v>13</v>
      </c>
      <c r="D882" s="237">
        <v>13</v>
      </c>
      <c r="E882" s="237">
        <v>15</v>
      </c>
      <c r="F882" s="237"/>
      <c r="G882" s="207"/>
    </row>
    <row r="883" spans="2:7" ht="15" x14ac:dyDescent="0.25">
      <c r="B883" s="236" t="s">
        <v>97</v>
      </c>
      <c r="C883" s="237"/>
      <c r="D883" s="237">
        <v>20</v>
      </c>
      <c r="E883" s="237"/>
      <c r="F883" s="237"/>
      <c r="G883" s="207"/>
    </row>
    <row r="884" spans="2:7" ht="15" x14ac:dyDescent="0.25">
      <c r="B884" s="236" t="s">
        <v>84</v>
      </c>
      <c r="C884" s="237"/>
      <c r="D884" s="237"/>
      <c r="E884" s="237">
        <v>17</v>
      </c>
      <c r="F884" s="237"/>
      <c r="G884" s="207"/>
    </row>
    <row r="885" spans="2:7" ht="15" x14ac:dyDescent="0.25">
      <c r="B885" s="236" t="s">
        <v>85</v>
      </c>
      <c r="C885" s="237"/>
      <c r="D885" s="237"/>
      <c r="E885" s="237"/>
      <c r="F885" s="237">
        <v>59</v>
      </c>
      <c r="G885" s="207"/>
    </row>
    <row r="886" spans="2:7" ht="15" x14ac:dyDescent="0.25">
      <c r="B886" s="236" t="s">
        <v>95</v>
      </c>
      <c r="C886" s="237"/>
      <c r="D886" s="237"/>
      <c r="E886" s="237"/>
      <c r="F886" s="237">
        <v>50</v>
      </c>
      <c r="G886" s="207"/>
    </row>
    <row r="887" spans="2:7" ht="15" x14ac:dyDescent="0.25">
      <c r="B887" s="238" t="s">
        <v>111</v>
      </c>
      <c r="C887" s="239">
        <v>13</v>
      </c>
      <c r="D887" s="239">
        <v>33</v>
      </c>
      <c r="E887" s="239">
        <v>32</v>
      </c>
      <c r="F887" s="239">
        <v>109</v>
      </c>
      <c r="G887" s="207"/>
    </row>
    <row r="888" spans="2:7" ht="15" x14ac:dyDescent="0.25">
      <c r="B888" s="207"/>
      <c r="C888" s="207"/>
      <c r="D888" s="207"/>
      <c r="E888" s="207"/>
      <c r="F888" s="207"/>
      <c r="G888" s="207"/>
    </row>
    <row r="889" spans="2:7" ht="15" x14ac:dyDescent="0.25">
      <c r="B889" s="207"/>
      <c r="C889" s="207"/>
      <c r="D889" s="207"/>
      <c r="E889" s="207"/>
      <c r="F889" s="207"/>
      <c r="G889" s="207"/>
    </row>
    <row r="890" spans="2:7" ht="15" x14ac:dyDescent="0.25">
      <c r="B890" s="207"/>
      <c r="C890" s="207"/>
      <c r="D890" s="207"/>
      <c r="E890" s="207"/>
      <c r="F890" s="207"/>
      <c r="G890" s="207"/>
    </row>
    <row r="891" spans="2:7" ht="15" x14ac:dyDescent="0.25">
      <c r="B891" s="207"/>
      <c r="C891" s="207"/>
      <c r="D891" s="207"/>
      <c r="E891" s="207"/>
      <c r="F891" s="207"/>
      <c r="G891" s="207"/>
    </row>
    <row r="892" spans="2:7" ht="15" x14ac:dyDescent="0.25">
      <c r="B892" s="207"/>
      <c r="C892" s="207"/>
      <c r="D892" s="207"/>
      <c r="E892" s="207"/>
      <c r="F892" s="207"/>
      <c r="G892" s="207"/>
    </row>
    <row r="893" spans="2:7" ht="15" x14ac:dyDescent="0.25">
      <c r="B893" s="207"/>
      <c r="C893" s="207"/>
      <c r="D893" s="207"/>
      <c r="E893" s="207"/>
      <c r="F893" s="207"/>
      <c r="G893" s="207"/>
    </row>
    <row r="894" spans="2:7" ht="15" x14ac:dyDescent="0.25">
      <c r="B894" s="207"/>
      <c r="C894" s="207"/>
      <c r="D894" s="207"/>
      <c r="E894" s="207"/>
      <c r="F894" s="207"/>
      <c r="G894" s="207"/>
    </row>
    <row r="895" spans="2:7" ht="15" x14ac:dyDescent="0.25">
      <c r="B895" s="207"/>
      <c r="C895" s="207"/>
      <c r="D895" s="207"/>
      <c r="E895" s="207"/>
      <c r="F895" s="207"/>
    </row>
    <row r="896" spans="2:7" ht="15" x14ac:dyDescent="0.25">
      <c r="B896" s="207"/>
      <c r="C896" s="207"/>
      <c r="D896" s="207"/>
    </row>
    <row r="897" spans="2:4" ht="15" x14ac:dyDescent="0.25">
      <c r="B897" s="207"/>
      <c r="C897" s="207"/>
      <c r="D897" s="207"/>
    </row>
    <row r="898" spans="2:4" ht="15" x14ac:dyDescent="0.25">
      <c r="B898" s="207"/>
      <c r="C898" s="207"/>
    </row>
    <row r="899" spans="2:4" ht="15" x14ac:dyDescent="0.25">
      <c r="B899" s="207"/>
      <c r="C899" s="207"/>
    </row>
    <row r="900" spans="2:4" ht="15" x14ac:dyDescent="0.25">
      <c r="B900" s="207"/>
      <c r="C900" s="207"/>
    </row>
    <row r="901" spans="2:4" ht="15" x14ac:dyDescent="0.25">
      <c r="B901" s="207"/>
      <c r="C901" s="207"/>
    </row>
    <row r="902" spans="2:4" ht="15" x14ac:dyDescent="0.25">
      <c r="B902" s="207"/>
      <c r="C902" s="207"/>
    </row>
    <row r="903" spans="2:4" ht="15" x14ac:dyDescent="0.25">
      <c r="B903" s="207"/>
      <c r="C903" s="207"/>
    </row>
    <row r="904" spans="2:4" ht="15" x14ac:dyDescent="0.25">
      <c r="B904" s="207"/>
      <c r="C904" s="207"/>
    </row>
    <row r="905" spans="2:4" ht="15" x14ac:dyDescent="0.25">
      <c r="B905" s="207"/>
      <c r="C905" s="207"/>
    </row>
    <row r="906" spans="2:4" ht="15" x14ac:dyDescent="0.25">
      <c r="B906" s="207"/>
    </row>
    <row r="907" spans="2:4" ht="15" x14ac:dyDescent="0.25">
      <c r="B907" s="207"/>
    </row>
    <row r="908" spans="2:4" ht="15" x14ac:dyDescent="0.25">
      <c r="B908" s="207"/>
    </row>
    <row r="909" spans="2:4" ht="15" x14ac:dyDescent="0.25">
      <c r="B909" s="207"/>
    </row>
    <row r="910" spans="2:4" ht="15" x14ac:dyDescent="0.25">
      <c r="B910" s="207"/>
    </row>
    <row r="911" spans="2:4" ht="15" x14ac:dyDescent="0.25">
      <c r="B911" s="207"/>
    </row>
    <row r="912" spans="2:4" ht="15" x14ac:dyDescent="0.25">
      <c r="B912" s="207"/>
    </row>
    <row r="913" spans="2:2" ht="15" x14ac:dyDescent="0.25">
      <c r="B913" s="207"/>
    </row>
    <row r="914" spans="2:2" ht="15" x14ac:dyDescent="0.25">
      <c r="B914" s="207"/>
    </row>
    <row r="915" spans="2:2" ht="15" x14ac:dyDescent="0.25">
      <c r="B915" s="207"/>
    </row>
    <row r="916" spans="2:2" ht="15" x14ac:dyDescent="0.25">
      <c r="B916" s="207"/>
    </row>
    <row r="917" spans="2:2" ht="15" x14ac:dyDescent="0.25">
      <c r="B917" s="207"/>
    </row>
    <row r="918" spans="2:2" ht="15" x14ac:dyDescent="0.25">
      <c r="B918" s="207"/>
    </row>
    <row r="919" spans="2:2" ht="15" x14ac:dyDescent="0.25">
      <c r="B919" s="207"/>
    </row>
    <row r="920" spans="2:2" ht="15" x14ac:dyDescent="0.25">
      <c r="B920" s="207"/>
    </row>
    <row r="921" spans="2:2" ht="15" x14ac:dyDescent="0.25">
      <c r="B921" s="207"/>
    </row>
    <row r="922" spans="2:2" ht="15" x14ac:dyDescent="0.25">
      <c r="B922" s="207"/>
    </row>
    <row r="923" spans="2:2" ht="15" x14ac:dyDescent="0.25">
      <c r="B923" s="207"/>
    </row>
    <row r="924" spans="2:2" ht="15" x14ac:dyDescent="0.25">
      <c r="B924" s="207"/>
    </row>
    <row r="925" spans="2:2" ht="15" x14ac:dyDescent="0.25">
      <c r="B925" s="207"/>
    </row>
    <row r="926" spans="2:2" ht="15" x14ac:dyDescent="0.25">
      <c r="B926" s="207"/>
    </row>
    <row r="927" spans="2:2" ht="15" x14ac:dyDescent="0.25">
      <c r="B927" s="207"/>
    </row>
    <row r="928" spans="2:2" ht="15" x14ac:dyDescent="0.25">
      <c r="B928" s="207"/>
    </row>
    <row r="929" spans="2:2" ht="15" x14ac:dyDescent="0.25">
      <c r="B929" s="207"/>
    </row>
    <row r="930" spans="2:2" ht="15" x14ac:dyDescent="0.25">
      <c r="B930" s="207"/>
    </row>
    <row r="931" spans="2:2" ht="15" x14ac:dyDescent="0.25">
      <c r="B931" s="207"/>
    </row>
    <row r="932" spans="2:2" ht="15" x14ac:dyDescent="0.25">
      <c r="B932" s="207"/>
    </row>
    <row r="933" spans="2:2" ht="15" x14ac:dyDescent="0.25">
      <c r="B933" s="207"/>
    </row>
    <row r="934" spans="2:2" ht="15" x14ac:dyDescent="0.25">
      <c r="B934" s="207"/>
    </row>
    <row r="935" spans="2:2" ht="15" x14ac:dyDescent="0.25">
      <c r="B935" s="207"/>
    </row>
    <row r="936" spans="2:2" ht="15" x14ac:dyDescent="0.25">
      <c r="B936" s="207"/>
    </row>
    <row r="937" spans="2:2" ht="15" x14ac:dyDescent="0.25">
      <c r="B937" s="207"/>
    </row>
    <row r="938" spans="2:2" ht="15" x14ac:dyDescent="0.25">
      <c r="B938" s="207"/>
    </row>
    <row r="939" spans="2:2" ht="15" x14ac:dyDescent="0.25">
      <c r="B939" s="207"/>
    </row>
    <row r="940" spans="2:2" ht="15" x14ac:dyDescent="0.25">
      <c r="B940" s="207"/>
    </row>
    <row r="941" spans="2:2" ht="15" x14ac:dyDescent="0.25">
      <c r="B941" s="207"/>
    </row>
    <row r="942" spans="2:2" ht="15" x14ac:dyDescent="0.25">
      <c r="B942" s="207"/>
    </row>
    <row r="943" spans="2:2" ht="15" x14ac:dyDescent="0.25">
      <c r="B943" s="207"/>
    </row>
    <row r="944" spans="2:2" ht="15" x14ac:dyDescent="0.25">
      <c r="B944" s="207"/>
    </row>
    <row r="945" spans="2:2" ht="15" x14ac:dyDescent="0.25">
      <c r="B945" s="207"/>
    </row>
    <row r="946" spans="2:2" ht="15" x14ac:dyDescent="0.25">
      <c r="B946" s="207"/>
    </row>
    <row r="947" spans="2:2" ht="15" x14ac:dyDescent="0.25">
      <c r="B947" s="207"/>
    </row>
    <row r="948" spans="2:2" ht="15" x14ac:dyDescent="0.25">
      <c r="B948" s="207"/>
    </row>
    <row r="949" spans="2:2" ht="15" x14ac:dyDescent="0.25">
      <c r="B949" s="207"/>
    </row>
    <row r="950" spans="2:2" ht="15" x14ac:dyDescent="0.25">
      <c r="B950" s="207"/>
    </row>
    <row r="951" spans="2:2" ht="15" x14ac:dyDescent="0.25">
      <c r="B951" s="207"/>
    </row>
    <row r="952" spans="2:2" ht="15" x14ac:dyDescent="0.25">
      <c r="B952" s="207"/>
    </row>
    <row r="953" spans="2:2" ht="15" x14ac:dyDescent="0.25">
      <c r="B953" s="207"/>
    </row>
    <row r="954" spans="2:2" ht="15" x14ac:dyDescent="0.25">
      <c r="B954" s="207"/>
    </row>
    <row r="955" spans="2:2" ht="15" x14ac:dyDescent="0.25">
      <c r="B955" s="207"/>
    </row>
    <row r="956" spans="2:2" ht="15" x14ac:dyDescent="0.25">
      <c r="B956" s="207"/>
    </row>
    <row r="957" spans="2:2" ht="15" x14ac:dyDescent="0.25">
      <c r="B957" s="207"/>
    </row>
    <row r="958" spans="2:2" ht="15" x14ac:dyDescent="0.25">
      <c r="B958" s="207"/>
    </row>
    <row r="959" spans="2:2" ht="15" x14ac:dyDescent="0.25">
      <c r="B959" s="207"/>
    </row>
    <row r="960" spans="2:2" ht="15" x14ac:dyDescent="0.25">
      <c r="B960" s="207"/>
    </row>
    <row r="961" spans="2:2" ht="15" x14ac:dyDescent="0.25">
      <c r="B961" s="207"/>
    </row>
    <row r="962" spans="2:2" ht="15" x14ac:dyDescent="0.25">
      <c r="B962" s="207"/>
    </row>
    <row r="963" spans="2:2" ht="15" x14ac:dyDescent="0.25">
      <c r="B963" s="207"/>
    </row>
    <row r="964" spans="2:2" ht="15" x14ac:dyDescent="0.25">
      <c r="B964" s="207"/>
    </row>
    <row r="965" spans="2:2" ht="15" x14ac:dyDescent="0.25">
      <c r="B965" s="207"/>
    </row>
    <row r="966" spans="2:2" ht="15" x14ac:dyDescent="0.25">
      <c r="B966" s="207"/>
    </row>
    <row r="967" spans="2:2" ht="15" x14ac:dyDescent="0.25">
      <c r="B967" s="207"/>
    </row>
    <row r="968" spans="2:2" ht="15" x14ac:dyDescent="0.25">
      <c r="B968" s="207"/>
    </row>
    <row r="969" spans="2:2" ht="15" x14ac:dyDescent="0.25">
      <c r="B969" s="207"/>
    </row>
    <row r="970" spans="2:2" ht="15" x14ac:dyDescent="0.25">
      <c r="B970" s="207"/>
    </row>
    <row r="971" spans="2:2" ht="15" x14ac:dyDescent="0.25">
      <c r="B971" s="207"/>
    </row>
    <row r="972" spans="2:2" ht="15" x14ac:dyDescent="0.25">
      <c r="B972" s="207"/>
    </row>
    <row r="973" spans="2:2" ht="15" x14ac:dyDescent="0.25">
      <c r="B973" s="207"/>
    </row>
    <row r="974" spans="2:2" ht="15" x14ac:dyDescent="0.25">
      <c r="B974" s="207"/>
    </row>
    <row r="975" spans="2:2" ht="15" x14ac:dyDescent="0.25">
      <c r="B975" s="207"/>
    </row>
    <row r="976" spans="2:2" ht="15" x14ac:dyDescent="0.25">
      <c r="B976" s="207"/>
    </row>
    <row r="977" spans="2:2" ht="15" x14ac:dyDescent="0.25">
      <c r="B977" s="207"/>
    </row>
    <row r="978" spans="2:2" ht="15" x14ac:dyDescent="0.25">
      <c r="B978" s="207"/>
    </row>
    <row r="979" spans="2:2" ht="15" x14ac:dyDescent="0.25">
      <c r="B979" s="207"/>
    </row>
    <row r="980" spans="2:2" ht="15" x14ac:dyDescent="0.25">
      <c r="B980" s="207"/>
    </row>
    <row r="981" spans="2:2" ht="15" x14ac:dyDescent="0.25">
      <c r="B981" s="207"/>
    </row>
    <row r="982" spans="2:2" ht="15" x14ac:dyDescent="0.25">
      <c r="B982" s="207"/>
    </row>
    <row r="983" spans="2:2" ht="15" x14ac:dyDescent="0.25">
      <c r="B983" s="207"/>
    </row>
    <row r="984" spans="2:2" ht="15" x14ac:dyDescent="0.25">
      <c r="B984" s="207"/>
    </row>
    <row r="985" spans="2:2" ht="15" x14ac:dyDescent="0.25">
      <c r="B985" s="207"/>
    </row>
    <row r="986" spans="2:2" ht="15" x14ac:dyDescent="0.25">
      <c r="B986" s="207"/>
    </row>
    <row r="987" spans="2:2" ht="15" x14ac:dyDescent="0.25">
      <c r="B987" s="207"/>
    </row>
    <row r="988" spans="2:2" ht="15" x14ac:dyDescent="0.25">
      <c r="B988" s="207"/>
    </row>
    <row r="989" spans="2:2" ht="15" x14ac:dyDescent="0.25">
      <c r="B989" s="207"/>
    </row>
    <row r="990" spans="2:2" ht="15" x14ac:dyDescent="0.25">
      <c r="B990" s="207"/>
    </row>
    <row r="991" spans="2:2" ht="15" x14ac:dyDescent="0.25">
      <c r="B991" s="207"/>
    </row>
    <row r="992" spans="2:2" ht="15" x14ac:dyDescent="0.25">
      <c r="B992" s="207"/>
    </row>
    <row r="993" spans="2:2" ht="15" x14ac:dyDescent="0.25">
      <c r="B993" s="207"/>
    </row>
    <row r="994" spans="2:2" ht="15" x14ac:dyDescent="0.25">
      <c r="B994" s="207"/>
    </row>
    <row r="995" spans="2:2" ht="15" x14ac:dyDescent="0.25">
      <c r="B995" s="207"/>
    </row>
    <row r="996" spans="2:2" ht="15" x14ac:dyDescent="0.25">
      <c r="B996" s="207"/>
    </row>
    <row r="997" spans="2:2" ht="15" x14ac:dyDescent="0.25">
      <c r="B997" s="207"/>
    </row>
    <row r="998" spans="2:2" ht="15" x14ac:dyDescent="0.25">
      <c r="B998" s="207"/>
    </row>
    <row r="999" spans="2:2" ht="15" x14ac:dyDescent="0.25">
      <c r="B999" s="207"/>
    </row>
    <row r="1000" spans="2:2" ht="15" x14ac:dyDescent="0.25">
      <c r="B1000" s="207"/>
    </row>
    <row r="1001" spans="2:2" ht="15" x14ac:dyDescent="0.25">
      <c r="B1001" s="207"/>
    </row>
    <row r="1002" spans="2:2" ht="15" x14ac:dyDescent="0.25">
      <c r="B1002" s="207"/>
    </row>
    <row r="1003" spans="2:2" ht="15" x14ac:dyDescent="0.25">
      <c r="B1003" s="207"/>
    </row>
    <row r="1004" spans="2:2" ht="15" x14ac:dyDescent="0.25">
      <c r="B1004" s="207"/>
    </row>
    <row r="1005" spans="2:2" ht="15" x14ac:dyDescent="0.25">
      <c r="B1005" s="207"/>
    </row>
    <row r="1006" spans="2:2" ht="15" x14ac:dyDescent="0.25">
      <c r="B1006" s="207"/>
    </row>
    <row r="1007" spans="2:2" ht="15" x14ac:dyDescent="0.25">
      <c r="B1007" s="207"/>
    </row>
    <row r="1008" spans="2:2" ht="15" x14ac:dyDescent="0.25">
      <c r="B1008" s="207"/>
    </row>
    <row r="1009" spans="2:2" ht="15" x14ac:dyDescent="0.25">
      <c r="B1009" s="207"/>
    </row>
    <row r="1010" spans="2:2" ht="15" x14ac:dyDescent="0.25">
      <c r="B1010" s="207"/>
    </row>
    <row r="1011" spans="2:2" ht="15" x14ac:dyDescent="0.25">
      <c r="B1011" s="207"/>
    </row>
    <row r="1012" spans="2:2" ht="15" x14ac:dyDescent="0.25">
      <c r="B1012" s="207"/>
    </row>
    <row r="1013" spans="2:2" ht="15" x14ac:dyDescent="0.25">
      <c r="B1013" s="207"/>
    </row>
    <row r="1014" spans="2:2" ht="15" x14ac:dyDescent="0.25">
      <c r="B1014" s="207"/>
    </row>
    <row r="1015" spans="2:2" ht="15" x14ac:dyDescent="0.25">
      <c r="B1015" s="207"/>
    </row>
    <row r="1016" spans="2:2" ht="15" x14ac:dyDescent="0.25">
      <c r="B1016" s="207"/>
    </row>
    <row r="1017" spans="2:2" ht="15" x14ac:dyDescent="0.25">
      <c r="B1017" s="207"/>
    </row>
    <row r="1018" spans="2:2" ht="15" x14ac:dyDescent="0.25">
      <c r="B1018" s="207"/>
    </row>
    <row r="1019" spans="2:2" ht="15" x14ac:dyDescent="0.25">
      <c r="B1019" s="207"/>
    </row>
    <row r="1020" spans="2:2" ht="15" x14ac:dyDescent="0.25">
      <c r="B1020" s="207"/>
    </row>
    <row r="1021" spans="2:2" ht="15" x14ac:dyDescent="0.25">
      <c r="B1021" s="207"/>
    </row>
    <row r="1022" spans="2:2" ht="15" x14ac:dyDescent="0.25">
      <c r="B1022" s="207"/>
    </row>
    <row r="1023" spans="2:2" ht="15" x14ac:dyDescent="0.25">
      <c r="B1023" s="207"/>
    </row>
    <row r="1024" spans="2:2" ht="15" x14ac:dyDescent="0.25">
      <c r="B1024" s="207"/>
    </row>
    <row r="1025" spans="2:2" ht="15" x14ac:dyDescent="0.25">
      <c r="B1025" s="207"/>
    </row>
    <row r="1026" spans="2:2" ht="15" x14ac:dyDescent="0.25">
      <c r="B1026" s="207"/>
    </row>
    <row r="1027" spans="2:2" ht="15" x14ac:dyDescent="0.25">
      <c r="B1027" s="207"/>
    </row>
    <row r="1028" spans="2:2" ht="15" x14ac:dyDescent="0.25">
      <c r="B1028" s="207"/>
    </row>
    <row r="1029" spans="2:2" ht="15" x14ac:dyDescent="0.25">
      <c r="B1029" s="207"/>
    </row>
    <row r="1030" spans="2:2" ht="15" x14ac:dyDescent="0.25">
      <c r="B1030" s="207"/>
    </row>
    <row r="1031" spans="2:2" ht="15" x14ac:dyDescent="0.25">
      <c r="B1031" s="207"/>
    </row>
    <row r="1032" spans="2:2" ht="15" x14ac:dyDescent="0.25">
      <c r="B1032" s="207"/>
    </row>
    <row r="1033" spans="2:2" ht="15" x14ac:dyDescent="0.25">
      <c r="B1033" s="207"/>
    </row>
    <row r="1034" spans="2:2" ht="15" x14ac:dyDescent="0.25">
      <c r="B1034" s="207"/>
    </row>
    <row r="1035" spans="2:2" ht="15" x14ac:dyDescent="0.25">
      <c r="B1035" s="207"/>
    </row>
    <row r="1036" spans="2:2" ht="15" x14ac:dyDescent="0.25">
      <c r="B1036" s="207"/>
    </row>
    <row r="1037" spans="2:2" ht="15" x14ac:dyDescent="0.25">
      <c r="B1037" s="207"/>
    </row>
    <row r="1038" spans="2:2" ht="15" x14ac:dyDescent="0.25">
      <c r="B1038" s="207"/>
    </row>
    <row r="1039" spans="2:2" ht="15" x14ac:dyDescent="0.25">
      <c r="B1039" s="207"/>
    </row>
    <row r="1040" spans="2:2" ht="15" x14ac:dyDescent="0.25">
      <c r="B1040" s="207"/>
    </row>
    <row r="1041" spans="2:2" ht="15" x14ac:dyDescent="0.25">
      <c r="B1041" s="207"/>
    </row>
    <row r="1042" spans="2:2" ht="15" x14ac:dyDescent="0.25">
      <c r="B1042" s="207"/>
    </row>
    <row r="1043" spans="2:2" ht="15" x14ac:dyDescent="0.25">
      <c r="B1043" s="207"/>
    </row>
    <row r="1044" spans="2:2" ht="15" x14ac:dyDescent="0.25">
      <c r="B1044" s="207"/>
    </row>
    <row r="1045" spans="2:2" ht="15" x14ac:dyDescent="0.25">
      <c r="B1045" s="207"/>
    </row>
    <row r="1046" spans="2:2" ht="15" x14ac:dyDescent="0.25">
      <c r="B1046" s="207"/>
    </row>
    <row r="1047" spans="2:2" ht="15" x14ac:dyDescent="0.25">
      <c r="B1047" s="207"/>
    </row>
    <row r="1048" spans="2:2" ht="15" x14ac:dyDescent="0.25">
      <c r="B1048" s="207"/>
    </row>
    <row r="1049" spans="2:2" ht="15" x14ac:dyDescent="0.25">
      <c r="B1049" s="207"/>
    </row>
    <row r="1050" spans="2:2" ht="15" x14ac:dyDescent="0.25">
      <c r="B1050" s="207"/>
    </row>
    <row r="1051" spans="2:2" ht="15" x14ac:dyDescent="0.25">
      <c r="B1051" s="207"/>
    </row>
    <row r="1052" spans="2:2" ht="15" x14ac:dyDescent="0.25">
      <c r="B1052" s="207"/>
    </row>
    <row r="1053" spans="2:2" ht="15" x14ac:dyDescent="0.25">
      <c r="B1053" s="207"/>
    </row>
    <row r="1054" spans="2:2" ht="15" x14ac:dyDescent="0.25">
      <c r="B1054" s="228"/>
    </row>
    <row r="1055" spans="2:2" ht="15" x14ac:dyDescent="0.25">
      <c r="B1055" s="228"/>
    </row>
    <row r="1056" spans="2:2" ht="15" x14ac:dyDescent="0.25">
      <c r="B1056" s="228"/>
    </row>
    <row r="1057" spans="2:2" ht="15" x14ac:dyDescent="0.25">
      <c r="B1057" s="228"/>
    </row>
    <row r="1058" spans="2:2" ht="15" x14ac:dyDescent="0.25">
      <c r="B1058" s="228"/>
    </row>
    <row r="1059" spans="2:2" ht="15" x14ac:dyDescent="0.25">
      <c r="B1059" s="228"/>
    </row>
    <row r="1060" spans="2:2" ht="15" x14ac:dyDescent="0.25">
      <c r="B1060" s="228"/>
    </row>
    <row r="1061" spans="2:2" ht="15" x14ac:dyDescent="0.25">
      <c r="B1061" s="228"/>
    </row>
    <row r="1062" spans="2:2" ht="15" x14ac:dyDescent="0.25">
      <c r="B1062" s="228"/>
    </row>
    <row r="1063" spans="2:2" ht="15" x14ac:dyDescent="0.25">
      <c r="B1063" s="228"/>
    </row>
    <row r="1064" spans="2:2" ht="15" x14ac:dyDescent="0.25">
      <c r="B1064" s="228"/>
    </row>
    <row r="1065" spans="2:2" ht="15" x14ac:dyDescent="0.25">
      <c r="B1065" s="228"/>
    </row>
    <row r="1066" spans="2:2" ht="15" x14ac:dyDescent="0.25">
      <c r="B1066" s="228"/>
    </row>
    <row r="1067" spans="2:2" ht="15" x14ac:dyDescent="0.25">
      <c r="B1067" s="228"/>
    </row>
    <row r="1068" spans="2:2" ht="15" x14ac:dyDescent="0.25">
      <c r="B1068" s="228"/>
    </row>
    <row r="1069" spans="2:2" ht="15" x14ac:dyDescent="0.25">
      <c r="B1069" s="228"/>
    </row>
    <row r="1070" spans="2:2" ht="15" x14ac:dyDescent="0.25">
      <c r="B1070" s="228"/>
    </row>
    <row r="1071" spans="2:2" ht="15" x14ac:dyDescent="0.25">
      <c r="B1071" s="228"/>
    </row>
    <row r="1072" spans="2:2" ht="15" x14ac:dyDescent="0.25">
      <c r="B1072" s="228"/>
    </row>
    <row r="1073" spans="2:2" ht="15" x14ac:dyDescent="0.25">
      <c r="B1073" s="228"/>
    </row>
    <row r="1074" spans="2:2" ht="15" x14ac:dyDescent="0.25">
      <c r="B1074" s="228"/>
    </row>
    <row r="1075" spans="2:2" ht="15" x14ac:dyDescent="0.25">
      <c r="B1075" s="228"/>
    </row>
    <row r="1076" spans="2:2" ht="15" x14ac:dyDescent="0.25">
      <c r="B1076" s="228"/>
    </row>
    <row r="1077" spans="2:2" ht="15" x14ac:dyDescent="0.25">
      <c r="B1077" s="228"/>
    </row>
    <row r="1078" spans="2:2" ht="15" x14ac:dyDescent="0.25">
      <c r="B1078" s="228"/>
    </row>
    <row r="1079" spans="2:2" ht="15" x14ac:dyDescent="0.25">
      <c r="B1079" s="228"/>
    </row>
    <row r="1080" spans="2:2" ht="15" x14ac:dyDescent="0.25">
      <c r="B1080" s="228"/>
    </row>
    <row r="1081" spans="2:2" ht="15" x14ac:dyDescent="0.25">
      <c r="B1081" s="228"/>
    </row>
    <row r="1082" spans="2:2" ht="15" x14ac:dyDescent="0.25">
      <c r="B1082" s="228"/>
    </row>
    <row r="1083" spans="2:2" ht="15" x14ac:dyDescent="0.25">
      <c r="B1083" s="228"/>
    </row>
    <row r="1084" spans="2:2" ht="15" x14ac:dyDescent="0.25">
      <c r="B1084" s="228"/>
    </row>
    <row r="1085" spans="2:2" ht="15" x14ac:dyDescent="0.25">
      <c r="B1085" s="228"/>
    </row>
    <row r="1086" spans="2:2" ht="15" x14ac:dyDescent="0.25">
      <c r="B1086" s="228"/>
    </row>
    <row r="1087" spans="2:2" ht="15" x14ac:dyDescent="0.25">
      <c r="B1087" s="228"/>
    </row>
    <row r="1088" spans="2:2" ht="15" x14ac:dyDescent="0.25">
      <c r="B1088" s="228"/>
    </row>
    <row r="1089" spans="2:2" ht="15" x14ac:dyDescent="0.25">
      <c r="B1089" s="228"/>
    </row>
    <row r="1090" spans="2:2" ht="15" x14ac:dyDescent="0.25">
      <c r="B1090" s="228"/>
    </row>
    <row r="1091" spans="2:2" ht="15" x14ac:dyDescent="0.25">
      <c r="B1091" s="228"/>
    </row>
    <row r="1092" spans="2:2" ht="15" x14ac:dyDescent="0.25">
      <c r="B1092" s="228"/>
    </row>
    <row r="1093" spans="2:2" ht="15" x14ac:dyDescent="0.25">
      <c r="B1093" s="228"/>
    </row>
    <row r="1094" spans="2:2" ht="15" x14ac:dyDescent="0.25">
      <c r="B1094" s="228"/>
    </row>
    <row r="1095" spans="2:2" ht="15" x14ac:dyDescent="0.25">
      <c r="B1095" s="228"/>
    </row>
    <row r="1096" spans="2:2" ht="15" x14ac:dyDescent="0.25">
      <c r="B1096" s="228"/>
    </row>
    <row r="1097" spans="2:2" ht="15" x14ac:dyDescent="0.25">
      <c r="B1097" s="228"/>
    </row>
    <row r="1098" spans="2:2" ht="15" x14ac:dyDescent="0.25">
      <c r="B1098" s="228"/>
    </row>
    <row r="1099" spans="2:2" ht="15" x14ac:dyDescent="0.25">
      <c r="B1099" s="228"/>
    </row>
    <row r="1100" spans="2:2" ht="15" x14ac:dyDescent="0.25">
      <c r="B1100" s="228"/>
    </row>
    <row r="1101" spans="2:2" ht="15" x14ac:dyDescent="0.25">
      <c r="B1101" s="228"/>
    </row>
    <row r="1102" spans="2:2" ht="15" x14ac:dyDescent="0.25">
      <c r="B1102" s="228"/>
    </row>
    <row r="1103" spans="2:2" ht="15" x14ac:dyDescent="0.25">
      <c r="B1103" s="228"/>
    </row>
    <row r="1104" spans="2:2" ht="15" x14ac:dyDescent="0.25">
      <c r="B1104" s="228"/>
    </row>
    <row r="1105" spans="2:2" ht="15" x14ac:dyDescent="0.25">
      <c r="B1105" s="228"/>
    </row>
    <row r="1106" spans="2:2" ht="15" x14ac:dyDescent="0.25">
      <c r="B1106" s="228"/>
    </row>
    <row r="1107" spans="2:2" ht="15" x14ac:dyDescent="0.25">
      <c r="B1107" s="228"/>
    </row>
    <row r="1108" spans="2:2" ht="15" x14ac:dyDescent="0.25">
      <c r="B1108" s="228"/>
    </row>
    <row r="1109" spans="2:2" ht="15" x14ac:dyDescent="0.25">
      <c r="B1109" s="228"/>
    </row>
    <row r="1110" spans="2:2" ht="15" x14ac:dyDescent="0.25">
      <c r="B1110" s="228"/>
    </row>
    <row r="1111" spans="2:2" ht="15" x14ac:dyDescent="0.25">
      <c r="B1111" s="228"/>
    </row>
    <row r="1112" spans="2:2" ht="15" x14ac:dyDescent="0.25">
      <c r="B1112" s="228"/>
    </row>
    <row r="1113" spans="2:2" ht="15" x14ac:dyDescent="0.25">
      <c r="B1113" s="228"/>
    </row>
    <row r="1114" spans="2:2" ht="15" x14ac:dyDescent="0.25">
      <c r="B1114" s="228"/>
    </row>
    <row r="1115" spans="2:2" ht="15" x14ac:dyDescent="0.25">
      <c r="B1115" s="228"/>
    </row>
    <row r="1116" spans="2:2" ht="15" x14ac:dyDescent="0.25">
      <c r="B1116" s="228"/>
    </row>
    <row r="1117" spans="2:2" ht="15" x14ac:dyDescent="0.25">
      <c r="B1117" s="228"/>
    </row>
    <row r="1118" spans="2:2" ht="15" x14ac:dyDescent="0.25">
      <c r="B1118" s="228"/>
    </row>
    <row r="1119" spans="2:2" ht="15" x14ac:dyDescent="0.25">
      <c r="B1119" s="228"/>
    </row>
    <row r="1120" spans="2:2" ht="15" x14ac:dyDescent="0.25">
      <c r="B1120" s="228"/>
    </row>
    <row r="1121" spans="2:2" ht="15" x14ac:dyDescent="0.25">
      <c r="B1121" s="228"/>
    </row>
    <row r="1122" spans="2:2" ht="15" x14ac:dyDescent="0.25">
      <c r="B1122" s="228"/>
    </row>
    <row r="1123" spans="2:2" ht="15" x14ac:dyDescent="0.25">
      <c r="B1123" s="228"/>
    </row>
    <row r="1124" spans="2:2" ht="15" x14ac:dyDescent="0.25">
      <c r="B1124" s="228"/>
    </row>
    <row r="1125" spans="2:2" ht="15" x14ac:dyDescent="0.25">
      <c r="B1125" s="228"/>
    </row>
    <row r="1126" spans="2:2" ht="15" x14ac:dyDescent="0.25">
      <c r="B1126" s="228"/>
    </row>
    <row r="1127" spans="2:2" ht="15" x14ac:dyDescent="0.25">
      <c r="B1127" s="228"/>
    </row>
    <row r="1128" spans="2:2" ht="15" x14ac:dyDescent="0.25">
      <c r="B1128" s="228"/>
    </row>
    <row r="1129" spans="2:2" ht="15" x14ac:dyDescent="0.25">
      <c r="B1129" s="228"/>
    </row>
    <row r="1130" spans="2:2" ht="15" x14ac:dyDescent="0.25">
      <c r="B1130" s="228"/>
    </row>
    <row r="1131" spans="2:2" ht="15" x14ac:dyDescent="0.25">
      <c r="B1131" s="228"/>
    </row>
    <row r="1132" spans="2:2" ht="15" x14ac:dyDescent="0.25">
      <c r="B1132" s="228"/>
    </row>
    <row r="1133" spans="2:2" ht="15" x14ac:dyDescent="0.25">
      <c r="B1133" s="228"/>
    </row>
    <row r="1134" spans="2:2" ht="15" x14ac:dyDescent="0.25">
      <c r="B1134" s="228"/>
    </row>
    <row r="1135" spans="2:2" ht="15" x14ac:dyDescent="0.25">
      <c r="B1135" s="228"/>
    </row>
    <row r="1136" spans="2:2" ht="15" x14ac:dyDescent="0.25">
      <c r="B1136" s="228"/>
    </row>
    <row r="1137" spans="2:2" ht="15" x14ac:dyDescent="0.25">
      <c r="B1137" s="228"/>
    </row>
    <row r="1138" spans="2:2" ht="15" x14ac:dyDescent="0.25">
      <c r="B1138" s="228"/>
    </row>
    <row r="1139" spans="2:2" ht="15" x14ac:dyDescent="0.25">
      <c r="B1139" s="228"/>
    </row>
    <row r="1140" spans="2:2" ht="15" x14ac:dyDescent="0.25">
      <c r="B1140" s="228"/>
    </row>
    <row r="1141" spans="2:2" ht="15" x14ac:dyDescent="0.25">
      <c r="B1141" s="228"/>
    </row>
    <row r="1142" spans="2:2" ht="15" x14ac:dyDescent="0.25">
      <c r="B1142" s="228"/>
    </row>
    <row r="1143" spans="2:2" ht="15" x14ac:dyDescent="0.25">
      <c r="B1143" s="228"/>
    </row>
    <row r="1144" spans="2:2" ht="15" x14ac:dyDescent="0.25">
      <c r="B1144" s="228"/>
    </row>
    <row r="1145" spans="2:2" ht="15" x14ac:dyDescent="0.25">
      <c r="B1145" s="228"/>
    </row>
    <row r="1146" spans="2:2" ht="15" x14ac:dyDescent="0.25">
      <c r="B1146" s="228"/>
    </row>
    <row r="1147" spans="2:2" ht="15" x14ac:dyDescent="0.25">
      <c r="B1147" s="228"/>
    </row>
    <row r="1148" spans="2:2" ht="15" x14ac:dyDescent="0.25">
      <c r="B1148" s="228"/>
    </row>
    <row r="1149" spans="2:2" ht="15" x14ac:dyDescent="0.25">
      <c r="B1149" s="228"/>
    </row>
    <row r="1150" spans="2:2" ht="15" x14ac:dyDescent="0.25">
      <c r="B1150" s="228"/>
    </row>
    <row r="1151" spans="2:2" ht="15" x14ac:dyDescent="0.25">
      <c r="B1151" s="228"/>
    </row>
    <row r="1152" spans="2:2" ht="15" x14ac:dyDescent="0.25">
      <c r="B1152" s="228"/>
    </row>
    <row r="1153" spans="2:2" ht="15" x14ac:dyDescent="0.25">
      <c r="B1153" s="228"/>
    </row>
    <row r="1154" spans="2:2" ht="15" x14ac:dyDescent="0.25">
      <c r="B1154" s="228"/>
    </row>
    <row r="1155" spans="2:2" ht="15" x14ac:dyDescent="0.25">
      <c r="B1155" s="228"/>
    </row>
    <row r="1156" spans="2:2" ht="15" x14ac:dyDescent="0.25">
      <c r="B1156" s="228"/>
    </row>
    <row r="1157" spans="2:2" ht="15" x14ac:dyDescent="0.25">
      <c r="B1157" s="228"/>
    </row>
    <row r="1158" spans="2:2" ht="15" x14ac:dyDescent="0.25">
      <c r="B1158" s="228"/>
    </row>
    <row r="1159" spans="2:2" ht="15" x14ac:dyDescent="0.25">
      <c r="B1159" s="228"/>
    </row>
    <row r="1160" spans="2:2" ht="15" x14ac:dyDescent="0.25">
      <c r="B1160" s="228"/>
    </row>
    <row r="1161" spans="2:2" ht="15" x14ac:dyDescent="0.25">
      <c r="B1161" s="228"/>
    </row>
    <row r="1162" spans="2:2" ht="15" x14ac:dyDescent="0.25">
      <c r="B1162" s="228"/>
    </row>
    <row r="1163" spans="2:2" ht="15" x14ac:dyDescent="0.25">
      <c r="B1163" s="228"/>
    </row>
    <row r="1164" spans="2:2" ht="15" x14ac:dyDescent="0.25">
      <c r="B1164" s="228"/>
    </row>
    <row r="1165" spans="2:2" ht="15" x14ac:dyDescent="0.25">
      <c r="B1165" s="228"/>
    </row>
    <row r="1166" spans="2:2" ht="15" x14ac:dyDescent="0.25">
      <c r="B1166" s="228"/>
    </row>
    <row r="1167" spans="2:2" ht="15" x14ac:dyDescent="0.25">
      <c r="B1167" s="228"/>
    </row>
    <row r="1168" spans="2:2" ht="15" x14ac:dyDescent="0.25">
      <c r="B1168" s="228"/>
    </row>
    <row r="1169" spans="2:2" ht="15" x14ac:dyDescent="0.25">
      <c r="B1169" s="228"/>
    </row>
    <row r="1170" spans="2:2" ht="15" x14ac:dyDescent="0.25">
      <c r="B1170" s="228"/>
    </row>
    <row r="1171" spans="2:2" ht="15" x14ac:dyDescent="0.25">
      <c r="B1171" s="228"/>
    </row>
    <row r="1172" spans="2:2" ht="15" x14ac:dyDescent="0.25">
      <c r="B1172" s="228"/>
    </row>
    <row r="1173" spans="2:2" ht="15" x14ac:dyDescent="0.25">
      <c r="B1173" s="228"/>
    </row>
    <row r="1174" spans="2:2" ht="15" x14ac:dyDescent="0.25">
      <c r="B1174" s="228"/>
    </row>
    <row r="1175" spans="2:2" ht="15" x14ac:dyDescent="0.25">
      <c r="B1175" s="228"/>
    </row>
    <row r="1176" spans="2:2" ht="15" x14ac:dyDescent="0.25">
      <c r="B1176" s="228"/>
    </row>
    <row r="1177" spans="2:2" ht="15" x14ac:dyDescent="0.25">
      <c r="B1177" s="228"/>
    </row>
    <row r="1178" spans="2:2" ht="15" x14ac:dyDescent="0.25">
      <c r="B1178" s="228"/>
    </row>
    <row r="1179" spans="2:2" ht="15" x14ac:dyDescent="0.25">
      <c r="B1179" s="228"/>
    </row>
    <row r="1180" spans="2:2" ht="15" x14ac:dyDescent="0.25">
      <c r="B1180" s="228"/>
    </row>
    <row r="1181" spans="2:2" ht="15" x14ac:dyDescent="0.25">
      <c r="B1181" s="228"/>
    </row>
    <row r="1182" spans="2:2" ht="15" x14ac:dyDescent="0.25">
      <c r="B1182" s="228"/>
    </row>
    <row r="1183" spans="2:2" ht="15" x14ac:dyDescent="0.25">
      <c r="B1183" s="228"/>
    </row>
    <row r="1184" spans="2:2" ht="15" x14ac:dyDescent="0.25">
      <c r="B1184" s="228"/>
    </row>
    <row r="1185" spans="2:2" ht="15" x14ac:dyDescent="0.25">
      <c r="B1185" s="228"/>
    </row>
    <row r="1186" spans="2:2" ht="15" x14ac:dyDescent="0.25">
      <c r="B1186" s="228"/>
    </row>
    <row r="1187" spans="2:2" ht="15" x14ac:dyDescent="0.25">
      <c r="B1187" s="228"/>
    </row>
    <row r="1188" spans="2:2" ht="15" x14ac:dyDescent="0.25">
      <c r="B1188" s="228"/>
    </row>
    <row r="1189" spans="2:2" ht="15" x14ac:dyDescent="0.25">
      <c r="B1189" s="228"/>
    </row>
    <row r="1190" spans="2:2" ht="15" x14ac:dyDescent="0.25">
      <c r="B1190" s="228"/>
    </row>
    <row r="1191" spans="2:2" ht="15" x14ac:dyDescent="0.25">
      <c r="B1191" s="228"/>
    </row>
    <row r="1192" spans="2:2" ht="15" x14ac:dyDescent="0.25">
      <c r="B1192" s="228"/>
    </row>
    <row r="1193" spans="2:2" ht="15" x14ac:dyDescent="0.25">
      <c r="B1193" s="228"/>
    </row>
    <row r="1194" spans="2:2" ht="15" x14ac:dyDescent="0.25">
      <c r="B1194" s="228"/>
    </row>
    <row r="1195" spans="2:2" ht="15" x14ac:dyDescent="0.25">
      <c r="B1195" s="228"/>
    </row>
    <row r="1196" spans="2:2" ht="15" x14ac:dyDescent="0.25">
      <c r="B1196" s="228"/>
    </row>
    <row r="1197" spans="2:2" ht="15" x14ac:dyDescent="0.25">
      <c r="B1197" s="228"/>
    </row>
    <row r="1198" spans="2:2" ht="15" x14ac:dyDescent="0.25">
      <c r="B1198" s="228"/>
    </row>
    <row r="1199" spans="2:2" ht="15" x14ac:dyDescent="0.25">
      <c r="B1199" s="228"/>
    </row>
    <row r="1200" spans="2:2" ht="15" x14ac:dyDescent="0.25">
      <c r="B1200" s="228"/>
    </row>
    <row r="1201" spans="2:2" ht="15" x14ac:dyDescent="0.25">
      <c r="B1201" s="228"/>
    </row>
    <row r="1202" spans="2:2" ht="15" x14ac:dyDescent="0.25">
      <c r="B1202" s="228"/>
    </row>
    <row r="1203" spans="2:2" ht="15" x14ac:dyDescent="0.25">
      <c r="B1203" s="228"/>
    </row>
    <row r="1204" spans="2:2" ht="15" x14ac:dyDescent="0.25">
      <c r="B1204" s="228"/>
    </row>
    <row r="1205" spans="2:2" ht="15" x14ac:dyDescent="0.25">
      <c r="B1205" s="228"/>
    </row>
    <row r="1206" spans="2:2" ht="15" x14ac:dyDescent="0.25">
      <c r="B1206" s="228"/>
    </row>
    <row r="1207" spans="2:2" ht="15" x14ac:dyDescent="0.25">
      <c r="B1207" s="228"/>
    </row>
    <row r="1208" spans="2:2" ht="15" x14ac:dyDescent="0.25">
      <c r="B1208" s="228"/>
    </row>
    <row r="1209" spans="2:2" ht="15" x14ac:dyDescent="0.25">
      <c r="B1209" s="228"/>
    </row>
    <row r="1210" spans="2:2" ht="15" x14ac:dyDescent="0.25">
      <c r="B1210" s="228"/>
    </row>
    <row r="1211" spans="2:2" ht="15" x14ac:dyDescent="0.25">
      <c r="B1211" s="228"/>
    </row>
    <row r="1212" spans="2:2" ht="15" x14ac:dyDescent="0.25">
      <c r="B1212" s="228"/>
    </row>
    <row r="1213" spans="2:2" ht="15" x14ac:dyDescent="0.25">
      <c r="B1213" s="228"/>
    </row>
    <row r="1214" spans="2:2" ht="15" x14ac:dyDescent="0.25">
      <c r="B1214" s="228"/>
    </row>
    <row r="1215" spans="2:2" ht="15" x14ac:dyDescent="0.25">
      <c r="B1215" s="228"/>
    </row>
    <row r="1216" spans="2:2" ht="15" x14ac:dyDescent="0.25">
      <c r="B1216" s="228"/>
    </row>
    <row r="1217" spans="2:2" ht="15" x14ac:dyDescent="0.25">
      <c r="B1217" s="228"/>
    </row>
    <row r="1218" spans="2:2" ht="15" x14ac:dyDescent="0.25">
      <c r="B1218" s="228"/>
    </row>
    <row r="1219" spans="2:2" ht="15" x14ac:dyDescent="0.25">
      <c r="B1219" s="228"/>
    </row>
    <row r="1220" spans="2:2" ht="15" x14ac:dyDescent="0.25">
      <c r="B1220" s="228"/>
    </row>
    <row r="1221" spans="2:2" ht="15" x14ac:dyDescent="0.25">
      <c r="B1221" s="228"/>
    </row>
    <row r="1222" spans="2:2" ht="15" x14ac:dyDescent="0.25">
      <c r="B1222" s="228"/>
    </row>
    <row r="1223" spans="2:2" ht="15" x14ac:dyDescent="0.25">
      <c r="B1223" s="228"/>
    </row>
    <row r="1224" spans="2:2" ht="15" x14ac:dyDescent="0.25">
      <c r="B1224" s="228"/>
    </row>
    <row r="1225" spans="2:2" ht="15" x14ac:dyDescent="0.25">
      <c r="B1225" s="228"/>
    </row>
    <row r="1226" spans="2:2" ht="15" x14ac:dyDescent="0.25">
      <c r="B1226" s="228"/>
    </row>
    <row r="1227" spans="2:2" ht="15" x14ac:dyDescent="0.25">
      <c r="B1227" s="228"/>
    </row>
    <row r="1228" spans="2:2" ht="15" x14ac:dyDescent="0.25">
      <c r="B1228" s="228"/>
    </row>
    <row r="1229" spans="2:2" ht="15" x14ac:dyDescent="0.25">
      <c r="B1229" s="228"/>
    </row>
    <row r="1230" spans="2:2" ht="15" x14ac:dyDescent="0.25">
      <c r="B1230" s="228"/>
    </row>
    <row r="1231" spans="2:2" ht="15" x14ac:dyDescent="0.25">
      <c r="B1231" s="228"/>
    </row>
    <row r="1232" spans="2:2" ht="15" x14ac:dyDescent="0.25">
      <c r="B1232" s="228"/>
    </row>
    <row r="1233" spans="2:2" ht="15" x14ac:dyDescent="0.25">
      <c r="B1233" s="228"/>
    </row>
    <row r="1234" spans="2:2" ht="15" x14ac:dyDescent="0.25">
      <c r="B1234" s="228"/>
    </row>
    <row r="1235" spans="2:2" ht="15" x14ac:dyDescent="0.25">
      <c r="B1235" s="228"/>
    </row>
    <row r="1236" spans="2:2" ht="15" x14ac:dyDescent="0.25">
      <c r="B1236" s="228"/>
    </row>
    <row r="1237" spans="2:2" ht="15" x14ac:dyDescent="0.25">
      <c r="B1237" s="228"/>
    </row>
    <row r="1238" spans="2:2" ht="15" x14ac:dyDescent="0.25">
      <c r="B1238" s="228"/>
    </row>
    <row r="1239" spans="2:2" ht="15" x14ac:dyDescent="0.25">
      <c r="B1239" s="228"/>
    </row>
    <row r="1240" spans="2:2" ht="15" x14ac:dyDescent="0.25">
      <c r="B1240" s="228"/>
    </row>
    <row r="1241" spans="2:2" ht="15" x14ac:dyDescent="0.25">
      <c r="B1241" s="228"/>
    </row>
    <row r="1242" spans="2:2" ht="15" x14ac:dyDescent="0.25">
      <c r="B1242" s="228"/>
    </row>
    <row r="1243" spans="2:2" ht="15" x14ac:dyDescent="0.25">
      <c r="B1243" s="228"/>
    </row>
    <row r="1244" spans="2:2" ht="15" x14ac:dyDescent="0.25">
      <c r="B1244" s="228"/>
    </row>
    <row r="1245" spans="2:2" ht="15" x14ac:dyDescent="0.25">
      <c r="B1245" s="228"/>
    </row>
    <row r="1246" spans="2:2" ht="15" x14ac:dyDescent="0.25">
      <c r="B1246" s="228"/>
    </row>
    <row r="1247" spans="2:2" ht="15" x14ac:dyDescent="0.25">
      <c r="B1247" s="228"/>
    </row>
    <row r="1248" spans="2:2" ht="15" x14ac:dyDescent="0.25">
      <c r="B1248" s="228"/>
    </row>
    <row r="1249" spans="2:2" ht="15" x14ac:dyDescent="0.25">
      <c r="B1249" s="228"/>
    </row>
    <row r="1250" spans="2:2" ht="15" x14ac:dyDescent="0.25">
      <c r="B1250" s="228"/>
    </row>
    <row r="1251" spans="2:2" ht="15" x14ac:dyDescent="0.25">
      <c r="B1251" s="228"/>
    </row>
    <row r="1252" spans="2:2" ht="15" x14ac:dyDescent="0.25">
      <c r="B1252" s="228"/>
    </row>
    <row r="1253" spans="2:2" ht="15" x14ac:dyDescent="0.25">
      <c r="B1253" s="228"/>
    </row>
    <row r="1254" spans="2:2" ht="15" x14ac:dyDescent="0.25">
      <c r="B1254" s="228"/>
    </row>
    <row r="1255" spans="2:2" ht="15" x14ac:dyDescent="0.25">
      <c r="B1255" s="228"/>
    </row>
    <row r="1256" spans="2:2" ht="15" x14ac:dyDescent="0.25">
      <c r="B1256" s="228"/>
    </row>
    <row r="1257" spans="2:2" ht="15" x14ac:dyDescent="0.25">
      <c r="B1257" s="228"/>
    </row>
    <row r="1258" spans="2:2" ht="15" x14ac:dyDescent="0.25">
      <c r="B1258" s="228"/>
    </row>
    <row r="1259" spans="2:2" ht="15" x14ac:dyDescent="0.25">
      <c r="B1259" s="228"/>
    </row>
    <row r="1260" spans="2:2" ht="15" x14ac:dyDescent="0.25">
      <c r="B1260" s="228"/>
    </row>
    <row r="1261" spans="2:2" ht="15" x14ac:dyDescent="0.25">
      <c r="B1261" s="228"/>
    </row>
    <row r="1262" spans="2:2" ht="15" x14ac:dyDescent="0.25">
      <c r="B1262" s="228"/>
    </row>
    <row r="1263" spans="2:2" ht="15" x14ac:dyDescent="0.25">
      <c r="B1263" s="228"/>
    </row>
    <row r="1264" spans="2:2" ht="15" x14ac:dyDescent="0.25">
      <c r="B1264" s="228"/>
    </row>
    <row r="1265" spans="2:2" ht="15" x14ac:dyDescent="0.25">
      <c r="B1265" s="228"/>
    </row>
    <row r="1266" spans="2:2" ht="15" x14ac:dyDescent="0.25">
      <c r="B1266" s="228"/>
    </row>
    <row r="1267" spans="2:2" ht="15" x14ac:dyDescent="0.25">
      <c r="B1267" s="228"/>
    </row>
    <row r="1268" spans="2:2" ht="15" x14ac:dyDescent="0.25">
      <c r="B1268" s="228"/>
    </row>
    <row r="1269" spans="2:2" ht="15" x14ac:dyDescent="0.25">
      <c r="B1269" s="228"/>
    </row>
    <row r="1270" spans="2:2" ht="15" x14ac:dyDescent="0.25">
      <c r="B1270" s="228"/>
    </row>
    <row r="1271" spans="2:2" ht="15" x14ac:dyDescent="0.25">
      <c r="B1271" s="228"/>
    </row>
    <row r="1272" spans="2:2" ht="15" x14ac:dyDescent="0.25">
      <c r="B1272" s="228"/>
    </row>
    <row r="1273" spans="2:2" ht="15" x14ac:dyDescent="0.25">
      <c r="B1273" s="228"/>
    </row>
    <row r="1274" spans="2:2" ht="15" x14ac:dyDescent="0.25">
      <c r="B1274" s="228"/>
    </row>
    <row r="1275" spans="2:2" ht="15" x14ac:dyDescent="0.25">
      <c r="B1275" s="228"/>
    </row>
    <row r="1276" spans="2:2" ht="15" x14ac:dyDescent="0.25">
      <c r="B1276" s="228"/>
    </row>
    <row r="1277" spans="2:2" ht="15" x14ac:dyDescent="0.25">
      <c r="B1277" s="228"/>
    </row>
    <row r="1278" spans="2:2" ht="15" x14ac:dyDescent="0.25">
      <c r="B1278" s="228"/>
    </row>
    <row r="1279" spans="2:2" ht="15" x14ac:dyDescent="0.25">
      <c r="B1279" s="228"/>
    </row>
    <row r="1280" spans="2:2" ht="15" x14ac:dyDescent="0.25">
      <c r="B1280" s="228"/>
    </row>
    <row r="1281" spans="2:2" ht="15" x14ac:dyDescent="0.25">
      <c r="B1281" s="228"/>
    </row>
    <row r="1282" spans="2:2" ht="15" x14ac:dyDescent="0.25">
      <c r="B1282" s="228"/>
    </row>
    <row r="1283" spans="2:2" ht="15" x14ac:dyDescent="0.25">
      <c r="B1283" s="228"/>
    </row>
    <row r="1284" spans="2:2" ht="15" x14ac:dyDescent="0.25">
      <c r="B1284" s="228"/>
    </row>
    <row r="1285" spans="2:2" ht="15" x14ac:dyDescent="0.25">
      <c r="B1285" s="228"/>
    </row>
    <row r="1286" spans="2:2" ht="15" x14ac:dyDescent="0.25">
      <c r="B1286" s="228"/>
    </row>
    <row r="1287" spans="2:2" ht="15" x14ac:dyDescent="0.25">
      <c r="B1287" s="228"/>
    </row>
    <row r="1288" spans="2:2" ht="15" x14ac:dyDescent="0.25">
      <c r="B1288" s="228"/>
    </row>
    <row r="1289" spans="2:2" ht="15" x14ac:dyDescent="0.25">
      <c r="B1289" s="228"/>
    </row>
    <row r="1290" spans="2:2" ht="15" x14ac:dyDescent="0.25">
      <c r="B1290" s="228"/>
    </row>
    <row r="1291" spans="2:2" ht="15" x14ac:dyDescent="0.25">
      <c r="B1291" s="228"/>
    </row>
    <row r="1292" spans="2:2" ht="15" x14ac:dyDescent="0.25">
      <c r="B1292" s="228"/>
    </row>
    <row r="1293" spans="2:2" ht="15" x14ac:dyDescent="0.25">
      <c r="B1293" s="228"/>
    </row>
    <row r="1294" spans="2:2" ht="15" x14ac:dyDescent="0.25">
      <c r="B1294" s="228"/>
    </row>
    <row r="1295" spans="2:2" ht="15" x14ac:dyDescent="0.25">
      <c r="B1295" s="228"/>
    </row>
    <row r="1296" spans="2:2" ht="15" x14ac:dyDescent="0.25">
      <c r="B1296" s="228"/>
    </row>
    <row r="1297" spans="2:2" ht="15" x14ac:dyDescent="0.25">
      <c r="B1297" s="228"/>
    </row>
    <row r="1298" spans="2:2" ht="15" x14ac:dyDescent="0.25">
      <c r="B1298" s="228"/>
    </row>
    <row r="1299" spans="2:2" ht="15" x14ac:dyDescent="0.25">
      <c r="B1299" s="228"/>
    </row>
    <row r="1300" spans="2:2" ht="15" x14ac:dyDescent="0.25">
      <c r="B1300" s="228"/>
    </row>
    <row r="1301" spans="2:2" ht="15" x14ac:dyDescent="0.25">
      <c r="B1301" s="228"/>
    </row>
    <row r="1302" spans="2:2" ht="15" x14ac:dyDescent="0.25">
      <c r="B1302" s="228"/>
    </row>
    <row r="1303" spans="2:2" ht="15" x14ac:dyDescent="0.25">
      <c r="B1303" s="228"/>
    </row>
    <row r="1304" spans="2:2" ht="15" x14ac:dyDescent="0.25">
      <c r="B1304" s="228"/>
    </row>
    <row r="1305" spans="2:2" ht="15" x14ac:dyDescent="0.25">
      <c r="B1305" s="228"/>
    </row>
    <row r="1306" spans="2:2" ht="15" x14ac:dyDescent="0.25">
      <c r="B1306" s="228"/>
    </row>
    <row r="1307" spans="2:2" ht="15" x14ac:dyDescent="0.25">
      <c r="B1307" s="228"/>
    </row>
    <row r="1308" spans="2:2" ht="15" x14ac:dyDescent="0.25">
      <c r="B1308" s="228"/>
    </row>
    <row r="1309" spans="2:2" ht="15" x14ac:dyDescent="0.25">
      <c r="B1309" s="228"/>
    </row>
    <row r="1310" spans="2:2" ht="15" x14ac:dyDescent="0.25">
      <c r="B1310" s="228"/>
    </row>
    <row r="1311" spans="2:2" ht="15" x14ac:dyDescent="0.25">
      <c r="B1311" s="228"/>
    </row>
    <row r="1312" spans="2:2" ht="15" x14ac:dyDescent="0.25">
      <c r="B1312" s="228"/>
    </row>
    <row r="1313" spans="2:2" ht="15" x14ac:dyDescent="0.25">
      <c r="B1313" s="228"/>
    </row>
    <row r="1314" spans="2:2" ht="15" x14ac:dyDescent="0.25">
      <c r="B1314" s="228"/>
    </row>
    <row r="1315" spans="2:2" ht="15" x14ac:dyDescent="0.25">
      <c r="B1315" s="228"/>
    </row>
    <row r="1316" spans="2:2" ht="15" x14ac:dyDescent="0.25">
      <c r="B1316" s="228"/>
    </row>
    <row r="1317" spans="2:2" ht="15" x14ac:dyDescent="0.25">
      <c r="B1317" s="228"/>
    </row>
    <row r="1318" spans="2:2" ht="15" x14ac:dyDescent="0.25">
      <c r="B1318" s="228"/>
    </row>
    <row r="1319" spans="2:2" ht="15" x14ac:dyDescent="0.25">
      <c r="B1319" s="228"/>
    </row>
    <row r="1320" spans="2:2" ht="15" x14ac:dyDescent="0.25">
      <c r="B1320" s="228"/>
    </row>
    <row r="1321" spans="2:2" ht="15" x14ac:dyDescent="0.25">
      <c r="B1321" s="228"/>
    </row>
    <row r="1322" spans="2:2" ht="15" x14ac:dyDescent="0.25">
      <c r="B1322" s="228"/>
    </row>
    <row r="1323" spans="2:2" ht="15" x14ac:dyDescent="0.25">
      <c r="B1323" s="228"/>
    </row>
    <row r="1324" spans="2:2" ht="15" x14ac:dyDescent="0.25">
      <c r="B1324" s="228"/>
    </row>
    <row r="1325" spans="2:2" ht="15" x14ac:dyDescent="0.25">
      <c r="B1325" s="228"/>
    </row>
    <row r="1326" spans="2:2" ht="15" x14ac:dyDescent="0.25">
      <c r="B1326" s="228"/>
    </row>
    <row r="1327" spans="2:2" ht="15" x14ac:dyDescent="0.25">
      <c r="B1327" s="228"/>
    </row>
    <row r="1328" spans="2:2" ht="15" x14ac:dyDescent="0.25">
      <c r="B1328" s="228"/>
    </row>
    <row r="1329" spans="2:2" ht="15" x14ac:dyDescent="0.25">
      <c r="B1329" s="228"/>
    </row>
    <row r="1330" spans="2:2" ht="15" x14ac:dyDescent="0.25">
      <c r="B1330" s="228"/>
    </row>
    <row r="1331" spans="2:2" ht="15" x14ac:dyDescent="0.25">
      <c r="B1331" s="228"/>
    </row>
    <row r="1332" spans="2:2" ht="15" x14ac:dyDescent="0.25">
      <c r="B1332" s="228"/>
    </row>
    <row r="1333" spans="2:2" ht="15" x14ac:dyDescent="0.25">
      <c r="B1333" s="228"/>
    </row>
    <row r="1334" spans="2:2" ht="15" x14ac:dyDescent="0.25">
      <c r="B1334" s="228"/>
    </row>
    <row r="1335" spans="2:2" ht="15" x14ac:dyDescent="0.25">
      <c r="B1335" s="228"/>
    </row>
    <row r="1336" spans="2:2" ht="15" x14ac:dyDescent="0.25">
      <c r="B1336" s="228"/>
    </row>
    <row r="1337" spans="2:2" ht="15" x14ac:dyDescent="0.25">
      <c r="B1337" s="228"/>
    </row>
    <row r="1338" spans="2:2" ht="15" x14ac:dyDescent="0.25">
      <c r="B1338" s="228"/>
    </row>
    <row r="1339" spans="2:2" ht="15" x14ac:dyDescent="0.25">
      <c r="B1339" s="228"/>
    </row>
    <row r="1340" spans="2:2" ht="15" x14ac:dyDescent="0.25">
      <c r="B1340" s="228"/>
    </row>
    <row r="1341" spans="2:2" ht="15" x14ac:dyDescent="0.25">
      <c r="B1341" s="228"/>
    </row>
    <row r="1342" spans="2:2" ht="15" x14ac:dyDescent="0.25">
      <c r="B1342" s="228"/>
    </row>
    <row r="1343" spans="2:2" ht="15" x14ac:dyDescent="0.25">
      <c r="B1343" s="228"/>
    </row>
    <row r="1344" spans="2:2" ht="15" x14ac:dyDescent="0.25">
      <c r="B1344" s="228"/>
    </row>
    <row r="1345" spans="2:2" ht="15" x14ac:dyDescent="0.25">
      <c r="B1345" s="228"/>
    </row>
    <row r="1346" spans="2:2" ht="15" x14ac:dyDescent="0.25">
      <c r="B1346" s="228"/>
    </row>
    <row r="1347" spans="2:2" ht="15" x14ac:dyDescent="0.25">
      <c r="B1347" s="228"/>
    </row>
    <row r="1348" spans="2:2" ht="15" x14ac:dyDescent="0.25">
      <c r="B1348" s="228"/>
    </row>
    <row r="1349" spans="2:2" ht="15" x14ac:dyDescent="0.25">
      <c r="B1349" s="228"/>
    </row>
    <row r="1350" spans="2:2" ht="15" x14ac:dyDescent="0.25">
      <c r="B1350" s="228"/>
    </row>
    <row r="1351" spans="2:2" ht="15" x14ac:dyDescent="0.25">
      <c r="B1351" s="228"/>
    </row>
    <row r="1352" spans="2:2" ht="15" x14ac:dyDescent="0.25">
      <c r="B1352" s="228"/>
    </row>
    <row r="1353" spans="2:2" ht="15" x14ac:dyDescent="0.25">
      <c r="B1353" s="228"/>
    </row>
    <row r="1354" spans="2:2" ht="15" x14ac:dyDescent="0.25">
      <c r="B1354" s="228"/>
    </row>
    <row r="1355" spans="2:2" ht="15" x14ac:dyDescent="0.25">
      <c r="B1355" s="228"/>
    </row>
    <row r="1356" spans="2:2" ht="15" x14ac:dyDescent="0.25">
      <c r="B1356" s="228"/>
    </row>
    <row r="1357" spans="2:2" ht="15" x14ac:dyDescent="0.25">
      <c r="B1357" s="228"/>
    </row>
    <row r="1358" spans="2:2" ht="15" x14ac:dyDescent="0.25">
      <c r="B1358" s="228"/>
    </row>
    <row r="1359" spans="2:2" ht="15" x14ac:dyDescent="0.25">
      <c r="B1359" s="228"/>
    </row>
    <row r="1360" spans="2:2" ht="15" x14ac:dyDescent="0.25">
      <c r="B1360" s="228"/>
    </row>
    <row r="1361" spans="2:2" ht="15" x14ac:dyDescent="0.25">
      <c r="B1361" s="228"/>
    </row>
    <row r="1362" spans="2:2" ht="15" x14ac:dyDescent="0.25">
      <c r="B1362" s="228"/>
    </row>
    <row r="1363" spans="2:2" ht="15" x14ac:dyDescent="0.25">
      <c r="B1363" s="228"/>
    </row>
    <row r="1364" spans="2:2" ht="15" x14ac:dyDescent="0.25">
      <c r="B1364" s="228"/>
    </row>
    <row r="1365" spans="2:2" ht="15" x14ac:dyDescent="0.25">
      <c r="B1365" s="228"/>
    </row>
    <row r="1366" spans="2:2" ht="15" x14ac:dyDescent="0.25">
      <c r="B1366" s="228"/>
    </row>
    <row r="1367" spans="2:2" ht="15" x14ac:dyDescent="0.25">
      <c r="B1367" s="228"/>
    </row>
    <row r="1368" spans="2:2" ht="15" x14ac:dyDescent="0.25">
      <c r="B1368" s="228"/>
    </row>
    <row r="1369" spans="2:2" ht="15" x14ac:dyDescent="0.25">
      <c r="B1369" s="228"/>
    </row>
    <row r="1370" spans="2:2" ht="15" x14ac:dyDescent="0.25">
      <c r="B1370" s="228"/>
    </row>
    <row r="1371" spans="2:2" ht="15" x14ac:dyDescent="0.25">
      <c r="B1371" s="228"/>
    </row>
    <row r="1372" spans="2:2" ht="15" x14ac:dyDescent="0.25">
      <c r="B1372" s="228"/>
    </row>
    <row r="1373" spans="2:2" ht="15" x14ac:dyDescent="0.25">
      <c r="B1373" s="228"/>
    </row>
    <row r="1374" spans="2:2" ht="15" x14ac:dyDescent="0.25">
      <c r="B1374" s="228"/>
    </row>
    <row r="1375" spans="2:2" ht="15" x14ac:dyDescent="0.25">
      <c r="B1375" s="228"/>
    </row>
    <row r="1376" spans="2:2" ht="15" x14ac:dyDescent="0.25">
      <c r="B1376" s="228"/>
    </row>
    <row r="1377" spans="2:2" ht="15" x14ac:dyDescent="0.25">
      <c r="B1377" s="228"/>
    </row>
    <row r="1378" spans="2:2" ht="15" x14ac:dyDescent="0.25">
      <c r="B1378" s="228"/>
    </row>
    <row r="1379" spans="2:2" ht="15" x14ac:dyDescent="0.25">
      <c r="B1379" s="228"/>
    </row>
    <row r="1380" spans="2:2" ht="15" x14ac:dyDescent="0.25">
      <c r="B1380" s="228"/>
    </row>
    <row r="1381" spans="2:2" ht="15" x14ac:dyDescent="0.25">
      <c r="B1381" s="228"/>
    </row>
    <row r="1382" spans="2:2" ht="15" x14ac:dyDescent="0.25">
      <c r="B1382" s="228"/>
    </row>
    <row r="1383" spans="2:2" ht="15" x14ac:dyDescent="0.25">
      <c r="B1383" s="228"/>
    </row>
    <row r="1384" spans="2:2" ht="15" x14ac:dyDescent="0.25">
      <c r="B1384" s="228"/>
    </row>
    <row r="1385" spans="2:2" ht="15" x14ac:dyDescent="0.25">
      <c r="B1385" s="228"/>
    </row>
    <row r="1386" spans="2:2" ht="15" x14ac:dyDescent="0.25">
      <c r="B1386" s="228"/>
    </row>
    <row r="1387" spans="2:2" ht="15" x14ac:dyDescent="0.25">
      <c r="B1387" s="228"/>
    </row>
    <row r="1388" spans="2:2" ht="15" x14ac:dyDescent="0.25">
      <c r="B1388" s="228"/>
    </row>
    <row r="1389" spans="2:2" ht="15" x14ac:dyDescent="0.25">
      <c r="B1389" s="228"/>
    </row>
    <row r="1390" spans="2:2" ht="15" x14ac:dyDescent="0.25">
      <c r="B1390" s="228"/>
    </row>
    <row r="1391" spans="2:2" ht="15" x14ac:dyDescent="0.25">
      <c r="B1391" s="228"/>
    </row>
    <row r="1392" spans="2:2" ht="15" x14ac:dyDescent="0.25">
      <c r="B1392" s="228"/>
    </row>
    <row r="1393" spans="2:2" ht="15" x14ac:dyDescent="0.25">
      <c r="B1393" s="228"/>
    </row>
    <row r="1394" spans="2:2" ht="15" x14ac:dyDescent="0.25">
      <c r="B1394" s="228"/>
    </row>
    <row r="1395" spans="2:2" ht="15" x14ac:dyDescent="0.25">
      <c r="B1395" s="228"/>
    </row>
    <row r="1396" spans="2:2" ht="15" x14ac:dyDescent="0.25">
      <c r="B1396" s="228"/>
    </row>
    <row r="1397" spans="2:2" ht="15" x14ac:dyDescent="0.25">
      <c r="B1397" s="228"/>
    </row>
    <row r="1398" spans="2:2" ht="15" x14ac:dyDescent="0.25">
      <c r="B1398" s="228"/>
    </row>
    <row r="1399" spans="2:2" ht="15" x14ac:dyDescent="0.25">
      <c r="B1399" s="228"/>
    </row>
    <row r="1400" spans="2:2" ht="15" x14ac:dyDescent="0.25">
      <c r="B1400" s="228"/>
    </row>
    <row r="1401" spans="2:2" ht="15" x14ac:dyDescent="0.25">
      <c r="B1401" s="228"/>
    </row>
    <row r="1402" spans="2:2" ht="15" x14ac:dyDescent="0.25">
      <c r="B1402" s="228"/>
    </row>
    <row r="1403" spans="2:2" ht="15" x14ac:dyDescent="0.25">
      <c r="B1403" s="228"/>
    </row>
    <row r="1404" spans="2:2" ht="15" x14ac:dyDescent="0.25">
      <c r="B1404" s="228"/>
    </row>
    <row r="1405" spans="2:2" ht="15" x14ac:dyDescent="0.25">
      <c r="B1405" s="228"/>
    </row>
    <row r="1406" spans="2:2" ht="15" x14ac:dyDescent="0.25">
      <c r="B1406" s="228"/>
    </row>
    <row r="1407" spans="2:2" ht="15" x14ac:dyDescent="0.25">
      <c r="B1407" s="228"/>
    </row>
    <row r="1408" spans="2:2" ht="15" x14ac:dyDescent="0.25">
      <c r="B1408" s="228"/>
    </row>
    <row r="1409" spans="2:2" ht="15" x14ac:dyDescent="0.25">
      <c r="B1409" s="228"/>
    </row>
    <row r="1410" spans="2:2" ht="15" x14ac:dyDescent="0.25">
      <c r="B1410" s="228"/>
    </row>
    <row r="1411" spans="2:2" ht="15" x14ac:dyDescent="0.25">
      <c r="B1411" s="228"/>
    </row>
    <row r="1412" spans="2:2" ht="15" x14ac:dyDescent="0.25">
      <c r="B1412" s="228"/>
    </row>
    <row r="1413" spans="2:2" ht="15" x14ac:dyDescent="0.25">
      <c r="B1413" s="228"/>
    </row>
    <row r="1414" spans="2:2" ht="15" x14ac:dyDescent="0.25">
      <c r="B1414" s="228"/>
    </row>
    <row r="1415" spans="2:2" ht="15" x14ac:dyDescent="0.25">
      <c r="B1415" s="228"/>
    </row>
    <row r="1416" spans="2:2" ht="15" x14ac:dyDescent="0.25">
      <c r="B1416" s="228"/>
    </row>
    <row r="1417" spans="2:2" ht="15" x14ac:dyDescent="0.25">
      <c r="B1417" s="228"/>
    </row>
    <row r="1418" spans="2:2" ht="15" x14ac:dyDescent="0.25">
      <c r="B1418" s="228"/>
    </row>
    <row r="1419" spans="2:2" ht="15" x14ac:dyDescent="0.25">
      <c r="B1419" s="228"/>
    </row>
    <row r="1420" spans="2:2" ht="15" x14ac:dyDescent="0.25">
      <c r="B1420" s="228"/>
    </row>
    <row r="1421" spans="2:2" ht="15" x14ac:dyDescent="0.25">
      <c r="B1421" s="228"/>
    </row>
    <row r="1422" spans="2:2" ht="15" x14ac:dyDescent="0.25">
      <c r="B1422" s="228"/>
    </row>
    <row r="1423" spans="2:2" ht="15" x14ac:dyDescent="0.25">
      <c r="B1423" s="228"/>
    </row>
    <row r="1424" spans="2:2" ht="15" x14ac:dyDescent="0.25">
      <c r="B1424" s="228"/>
    </row>
    <row r="1425" spans="2:2" ht="15" x14ac:dyDescent="0.25">
      <c r="B1425" s="228"/>
    </row>
    <row r="1426" spans="2:2" ht="15" x14ac:dyDescent="0.25">
      <c r="B1426" s="228"/>
    </row>
    <row r="1427" spans="2:2" ht="15" x14ac:dyDescent="0.25">
      <c r="B1427" s="228"/>
    </row>
    <row r="1428" spans="2:2" ht="15" x14ac:dyDescent="0.25">
      <c r="B1428" s="228"/>
    </row>
    <row r="1429" spans="2:2" ht="15" x14ac:dyDescent="0.25">
      <c r="B1429" s="228"/>
    </row>
    <row r="1430" spans="2:2" ht="15" x14ac:dyDescent="0.25">
      <c r="B1430" s="228"/>
    </row>
    <row r="1431" spans="2:2" ht="15" x14ac:dyDescent="0.25">
      <c r="B1431" s="228"/>
    </row>
    <row r="1432" spans="2:2" ht="15" x14ac:dyDescent="0.25">
      <c r="B1432" s="228"/>
    </row>
    <row r="1433" spans="2:2" ht="15" x14ac:dyDescent="0.25">
      <c r="B1433" s="228"/>
    </row>
    <row r="1434" spans="2:2" ht="15" x14ac:dyDescent="0.25">
      <c r="B1434" s="228"/>
    </row>
    <row r="1435" spans="2:2" ht="15" x14ac:dyDescent="0.25">
      <c r="B1435" s="228"/>
    </row>
    <row r="1436" spans="2:2" ht="15" x14ac:dyDescent="0.25">
      <c r="B1436" s="228"/>
    </row>
    <row r="1437" spans="2:2" ht="15" x14ac:dyDescent="0.25">
      <c r="B1437" s="228"/>
    </row>
    <row r="1438" spans="2:2" ht="15" x14ac:dyDescent="0.25">
      <c r="B1438" s="228"/>
    </row>
    <row r="1439" spans="2:2" ht="15" x14ac:dyDescent="0.25">
      <c r="B1439" s="228"/>
    </row>
    <row r="1440" spans="2:2" ht="15" x14ac:dyDescent="0.25">
      <c r="B1440" s="228"/>
    </row>
    <row r="1441" spans="2:2" ht="15" x14ac:dyDescent="0.25">
      <c r="B1441" s="228"/>
    </row>
    <row r="1442" spans="2:2" ht="15" x14ac:dyDescent="0.25">
      <c r="B1442" s="228"/>
    </row>
    <row r="1443" spans="2:2" ht="15" x14ac:dyDescent="0.25">
      <c r="B1443" s="228"/>
    </row>
    <row r="1444" spans="2:2" ht="15" x14ac:dyDescent="0.25">
      <c r="B1444" s="228"/>
    </row>
    <row r="1445" spans="2:2" ht="15" x14ac:dyDescent="0.25">
      <c r="B1445" s="228"/>
    </row>
    <row r="1446" spans="2:2" ht="15" x14ac:dyDescent="0.25">
      <c r="B1446" s="228"/>
    </row>
    <row r="1447" spans="2:2" ht="15" x14ac:dyDescent="0.25">
      <c r="B1447" s="228"/>
    </row>
    <row r="1448" spans="2:2" ht="15" x14ac:dyDescent="0.25">
      <c r="B1448" s="228"/>
    </row>
    <row r="1449" spans="2:2" ht="15" x14ac:dyDescent="0.25">
      <c r="B1449" s="228"/>
    </row>
    <row r="1450" spans="2:2" ht="15" x14ac:dyDescent="0.25">
      <c r="B1450" s="228"/>
    </row>
    <row r="1451" spans="2:2" ht="15" x14ac:dyDescent="0.25">
      <c r="B1451" s="228"/>
    </row>
    <row r="1452" spans="2:2" ht="15" x14ac:dyDescent="0.25">
      <c r="B1452" s="228"/>
    </row>
    <row r="1453" spans="2:2" ht="15" x14ac:dyDescent="0.25">
      <c r="B1453" s="228"/>
    </row>
    <row r="1454" spans="2:2" ht="15" x14ac:dyDescent="0.25">
      <c r="B1454" s="228"/>
    </row>
    <row r="1455" spans="2:2" ht="15" x14ac:dyDescent="0.25">
      <c r="B1455" s="228"/>
    </row>
    <row r="1456" spans="2:2" ht="15" x14ac:dyDescent="0.25">
      <c r="B1456" s="228"/>
    </row>
    <row r="1457" spans="2:2" ht="15" x14ac:dyDescent="0.25">
      <c r="B1457" s="228"/>
    </row>
    <row r="1458" spans="2:2" ht="15" x14ac:dyDescent="0.25">
      <c r="B1458" s="228"/>
    </row>
    <row r="1459" spans="2:2" ht="15" x14ac:dyDescent="0.25">
      <c r="B1459" s="228"/>
    </row>
    <row r="1460" spans="2:2" ht="15" x14ac:dyDescent="0.25">
      <c r="B1460" s="228"/>
    </row>
    <row r="1461" spans="2:2" ht="15" x14ac:dyDescent="0.25">
      <c r="B1461" s="228"/>
    </row>
    <row r="1462" spans="2:2" ht="15" x14ac:dyDescent="0.25">
      <c r="B1462" s="228"/>
    </row>
    <row r="1463" spans="2:2" ht="15" x14ac:dyDescent="0.25">
      <c r="B1463" s="228"/>
    </row>
    <row r="1464" spans="2:2" ht="15" x14ac:dyDescent="0.25">
      <c r="B1464" s="228"/>
    </row>
    <row r="1465" spans="2:2" ht="15" x14ac:dyDescent="0.25">
      <c r="B1465" s="228"/>
    </row>
    <row r="1466" spans="2:2" ht="15" x14ac:dyDescent="0.25">
      <c r="B1466" s="228"/>
    </row>
    <row r="1467" spans="2:2" ht="15" x14ac:dyDescent="0.25">
      <c r="B1467" s="228"/>
    </row>
    <row r="1468" spans="2:2" ht="15" x14ac:dyDescent="0.25">
      <c r="B1468" s="228"/>
    </row>
    <row r="1469" spans="2:2" ht="15" x14ac:dyDescent="0.25">
      <c r="B1469" s="228"/>
    </row>
    <row r="1470" spans="2:2" ht="15" x14ac:dyDescent="0.25">
      <c r="B1470" s="228"/>
    </row>
    <row r="1471" spans="2:2" ht="15" x14ac:dyDescent="0.25">
      <c r="B1471" s="228"/>
    </row>
    <row r="1472" spans="2:2" ht="15" x14ac:dyDescent="0.25">
      <c r="B1472" s="228"/>
    </row>
    <row r="1473" spans="2:2" ht="15" x14ac:dyDescent="0.25">
      <c r="B1473" s="228"/>
    </row>
    <row r="1474" spans="2:2" ht="15" x14ac:dyDescent="0.25">
      <c r="B1474" s="228"/>
    </row>
    <row r="1475" spans="2:2" ht="15" x14ac:dyDescent="0.25">
      <c r="B1475" s="228"/>
    </row>
    <row r="1476" spans="2:2" ht="15" x14ac:dyDescent="0.25">
      <c r="B1476" s="228"/>
    </row>
    <row r="1477" spans="2:2" ht="15" x14ac:dyDescent="0.25">
      <c r="B1477" s="228"/>
    </row>
    <row r="1478" spans="2:2" ht="15" x14ac:dyDescent="0.25">
      <c r="B1478" s="228"/>
    </row>
    <row r="1479" spans="2:2" ht="15" x14ac:dyDescent="0.25">
      <c r="B1479" s="228"/>
    </row>
    <row r="1480" spans="2:2" ht="15" x14ac:dyDescent="0.25">
      <c r="B1480" s="228"/>
    </row>
    <row r="1481" spans="2:2" ht="15" x14ac:dyDescent="0.25">
      <c r="B1481" s="228"/>
    </row>
    <row r="1482" spans="2:2" ht="15" x14ac:dyDescent="0.25">
      <c r="B1482" s="228"/>
    </row>
    <row r="1483" spans="2:2" ht="15" x14ac:dyDescent="0.25">
      <c r="B1483" s="228"/>
    </row>
    <row r="1484" spans="2:2" ht="15" x14ac:dyDescent="0.25">
      <c r="B1484" s="228"/>
    </row>
    <row r="1485" spans="2:2" ht="15" x14ac:dyDescent="0.25">
      <c r="B1485" s="228"/>
    </row>
    <row r="1486" spans="2:2" ht="15" x14ac:dyDescent="0.25">
      <c r="B1486" s="228"/>
    </row>
    <row r="1487" spans="2:2" ht="15" x14ac:dyDescent="0.25">
      <c r="B1487" s="228"/>
    </row>
    <row r="1488" spans="2:2" ht="15" x14ac:dyDescent="0.25">
      <c r="B1488" s="228"/>
    </row>
    <row r="1489" spans="2:2" ht="15" x14ac:dyDescent="0.25">
      <c r="B1489" s="228"/>
    </row>
    <row r="1490" spans="2:2" ht="15" x14ac:dyDescent="0.25">
      <c r="B1490" s="228"/>
    </row>
    <row r="1491" spans="2:2" ht="15" x14ac:dyDescent="0.25">
      <c r="B1491" s="228"/>
    </row>
    <row r="1492" spans="2:2" ht="15" x14ac:dyDescent="0.25">
      <c r="B1492" s="228"/>
    </row>
    <row r="1493" spans="2:2" ht="15" x14ac:dyDescent="0.25">
      <c r="B1493" s="228"/>
    </row>
    <row r="1494" spans="2:2" ht="15" x14ac:dyDescent="0.25">
      <c r="B1494" s="228"/>
    </row>
    <row r="1495" spans="2:2" ht="15" x14ac:dyDescent="0.25">
      <c r="B1495" s="228"/>
    </row>
    <row r="1496" spans="2:2" ht="15" x14ac:dyDescent="0.25">
      <c r="B1496" s="228"/>
    </row>
    <row r="1497" spans="2:2" ht="15" x14ac:dyDescent="0.25">
      <c r="B1497" s="228"/>
    </row>
    <row r="1498" spans="2:2" ht="15" x14ac:dyDescent="0.25">
      <c r="B1498" s="228"/>
    </row>
    <row r="1499" spans="2:2" ht="15" x14ac:dyDescent="0.25">
      <c r="B1499" s="228"/>
    </row>
    <row r="1500" spans="2:2" ht="15" x14ac:dyDescent="0.25">
      <c r="B1500" s="228"/>
    </row>
    <row r="1501" spans="2:2" ht="15" x14ac:dyDescent="0.25">
      <c r="B1501" s="228"/>
    </row>
    <row r="1502" spans="2:2" ht="15" x14ac:dyDescent="0.25">
      <c r="B1502" s="228"/>
    </row>
    <row r="1503" spans="2:2" ht="15" x14ac:dyDescent="0.25">
      <c r="B1503" s="228"/>
    </row>
    <row r="1504" spans="2:2" ht="15" x14ac:dyDescent="0.25">
      <c r="B1504" s="228"/>
    </row>
    <row r="1505" spans="2:2" ht="15" x14ac:dyDescent="0.25">
      <c r="B1505" s="228"/>
    </row>
    <row r="1506" spans="2:2" ht="15" x14ac:dyDescent="0.25">
      <c r="B1506" s="228"/>
    </row>
    <row r="1507" spans="2:2" ht="15" x14ac:dyDescent="0.25">
      <c r="B1507" s="228"/>
    </row>
    <row r="1508" spans="2:2" ht="15" x14ac:dyDescent="0.25">
      <c r="B1508" s="228"/>
    </row>
    <row r="1509" spans="2:2" ht="15" x14ac:dyDescent="0.25">
      <c r="B1509" s="228"/>
    </row>
    <row r="1510" spans="2:2" ht="15" x14ac:dyDescent="0.25">
      <c r="B1510" s="228"/>
    </row>
    <row r="1511" spans="2:2" ht="15" x14ac:dyDescent="0.25">
      <c r="B1511" s="228"/>
    </row>
    <row r="1512" spans="2:2" ht="15" x14ac:dyDescent="0.25">
      <c r="B1512" s="228"/>
    </row>
    <row r="1513" spans="2:2" ht="15" x14ac:dyDescent="0.25">
      <c r="B1513" s="228"/>
    </row>
    <row r="1514" spans="2:2" ht="15" x14ac:dyDescent="0.25">
      <c r="B1514" s="228"/>
    </row>
    <row r="1515" spans="2:2" ht="15" x14ac:dyDescent="0.25">
      <c r="B1515" s="228"/>
    </row>
    <row r="1516" spans="2:2" ht="15" x14ac:dyDescent="0.25">
      <c r="B1516" s="228"/>
    </row>
    <row r="1517" spans="2:2" ht="15" x14ac:dyDescent="0.25">
      <c r="B1517" s="228"/>
    </row>
    <row r="1518" spans="2:2" ht="15" x14ac:dyDescent="0.25">
      <c r="B1518" s="228"/>
    </row>
    <row r="1519" spans="2:2" ht="15" x14ac:dyDescent="0.25">
      <c r="B1519" s="228"/>
    </row>
    <row r="1520" spans="2:2" ht="15" x14ac:dyDescent="0.25">
      <c r="B1520" s="228"/>
    </row>
    <row r="1521" spans="2:2" ht="15" x14ac:dyDescent="0.25">
      <c r="B1521" s="228"/>
    </row>
    <row r="1522" spans="2:2" ht="15" x14ac:dyDescent="0.25">
      <c r="B1522" s="228"/>
    </row>
    <row r="1523" spans="2:2" ht="15" x14ac:dyDescent="0.25">
      <c r="B1523" s="228"/>
    </row>
    <row r="1524" spans="2:2" ht="15" x14ac:dyDescent="0.25">
      <c r="B1524" s="228"/>
    </row>
    <row r="1525" spans="2:2" ht="15" x14ac:dyDescent="0.25">
      <c r="B1525" s="228"/>
    </row>
    <row r="1526" spans="2:2" ht="15" x14ac:dyDescent="0.25">
      <c r="B1526" s="228"/>
    </row>
    <row r="1527" spans="2:2" ht="15" x14ac:dyDescent="0.25">
      <c r="B1527" s="228"/>
    </row>
    <row r="1528" spans="2:2" ht="15" x14ac:dyDescent="0.25">
      <c r="B1528" s="228"/>
    </row>
    <row r="1529" spans="2:2" ht="15" x14ac:dyDescent="0.25">
      <c r="B1529" s="228"/>
    </row>
    <row r="1530" spans="2:2" ht="15" x14ac:dyDescent="0.25">
      <c r="B1530" s="228"/>
    </row>
    <row r="1531" spans="2:2" ht="15" x14ac:dyDescent="0.25">
      <c r="B1531" s="228"/>
    </row>
  </sheetData>
  <sheetProtection algorithmName="SHA-512" hashValue="Xd6g1rOQjKpX7vbH+RdloksXI2HskLPKsKTb6RLG3niVXV37twy574VdmqS+Py9T2iXp0bkb9G7vfi2A/M26tg==" saltValue="mgUo/LZqGgzWwURysrkLnw==" spinCount="100000" sheet="1" objects="1" scenarios="1"/>
  <protectedRanges>
    <protectedRange sqref="K2 I2" name="Mes e ano"/>
  </protectedRanges>
  <mergeCells count="18">
    <mergeCell ref="C11:K11"/>
    <mergeCell ref="C13:K13"/>
    <mergeCell ref="C7:E8"/>
    <mergeCell ref="F7:F8"/>
    <mergeCell ref="B6:E6"/>
    <mergeCell ref="B10:K10"/>
    <mergeCell ref="G18:G19"/>
    <mergeCell ref="B17:F17"/>
    <mergeCell ref="C18:F19"/>
    <mergeCell ref="B876:D876"/>
    <mergeCell ref="B877:D877"/>
    <mergeCell ref="B878:D878"/>
    <mergeCell ref="B875:D875"/>
    <mergeCell ref="B21:K21"/>
    <mergeCell ref="C22:K22"/>
    <mergeCell ref="C24:K24"/>
    <mergeCell ref="C29:K29"/>
    <mergeCell ref="B28:K28"/>
  </mergeCells>
  <conditionalFormatting sqref="F33:J865">
    <cfRule type="cellIs" dxfId="63" priority="4" operator="equal">
      <formula>0</formula>
    </cfRule>
  </conditionalFormatting>
  <conditionalFormatting sqref="F33:F865">
    <cfRule type="cellIs" dxfId="62" priority="3" operator="between">
      <formula>100</formula>
      <formula>300</formula>
    </cfRule>
  </conditionalFormatting>
  <conditionalFormatting sqref="Q33:Q866">
    <cfRule type="cellIs" dxfId="61" priority="2" operator="between">
      <formula>100</formula>
      <formula>200</formula>
    </cfRule>
  </conditionalFormatting>
  <conditionalFormatting sqref="R33:W866">
    <cfRule type="cellIs" dxfId="60" priority="1" operator="equal">
      <formula>0</formula>
    </cfRule>
  </conditionalFormatting>
  <dataValidations disablePrompts="1" count="4">
    <dataValidation type="list" allowBlank="1" showInputMessage="1" showErrorMessage="1" sqref="I31 U31">
      <formula1>"Janeiro,Fevereiro,Março,Abril,Maio,Junho,Julho,Agosto,Setembro,Outubro,Novembro,Dezembro"</formula1>
    </dataValidation>
    <dataValidation type="whole" allowBlank="1" showInputMessage="1" showErrorMessage="1" sqref="K31 W31">
      <formula1>2000</formula1>
      <formula2>2100</formula2>
    </dataValidation>
    <dataValidation type="list" allowBlank="1" showInputMessage="1" showErrorMessage="1" errorTitle="Erro de formato" error="Insira o mês por extenso e com a primeira letra maiúscula." sqref="I2">
      <formula1>"Janeiro,Fevereiro,Março,Abril,Maio,Junho,Julho,Agosto,Setembro,Outubro,Novembro,Dezembro"</formula1>
    </dataValidation>
    <dataValidation type="whole" allowBlank="1" showInputMessage="1" showErrorMessage="1" errorTitle="Erro de formato" error="Insira um ano válido" sqref="K2">
      <formula1>2000</formula1>
      <formula2>2300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4"/>
  <drawing r:id="rId5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M21" sqref="M21"/>
    </sheetView>
  </sheetViews>
  <sheetFormatPr defaultRowHeight="15" x14ac:dyDescent="0.25"/>
  <cols>
    <col min="1" max="16384" width="9.140625" style="50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Cadastros</vt:lpstr>
      <vt:lpstr>Passagens</vt:lpstr>
      <vt:lpstr>Frequência CP</vt:lpstr>
      <vt:lpstr>Abordagens</vt:lpstr>
      <vt:lpstr>Consulta Usuário</vt:lpstr>
      <vt:lpstr>Relatório Mensal</vt:lpstr>
      <vt:lpstr>Sobre</vt:lpstr>
      <vt:lpstr>'Consulta Usuário'!Area_de_extracao</vt:lpstr>
      <vt:lpstr>'Consulta Usuário'!Area_de_impressao</vt:lpstr>
      <vt:lpstr>'Relatório Mensal'!Area_de_impressao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SMDS 03</dc:creator>
  <cp:lastModifiedBy>Gregs</cp:lastModifiedBy>
  <cp:lastPrinted>2020-10-03T19:46:09Z</cp:lastPrinted>
  <dcterms:created xsi:type="dcterms:W3CDTF">2017-07-26T16:32:38Z</dcterms:created>
  <dcterms:modified xsi:type="dcterms:W3CDTF">2020-10-03T22:30:26Z</dcterms:modified>
</cp:coreProperties>
</file>